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231" codeName="{E757BCB4-07E6-AE0B-56E0-F0EEF7A6E26C}"/>
  <workbookPr codeName="ThisWorkbook" defaultThemeVersion="166925"/>
  <mc:AlternateContent xmlns:mc="http://schemas.openxmlformats.org/markup-compatibility/2006">
    <mc:Choice Requires="x15">
      <x15ac:absPath xmlns:x15ac="http://schemas.microsoft.com/office/spreadsheetml/2010/11/ac" url="C:\Users\jmuel\Documents\GitHub\orbis-dei.github.io\"/>
    </mc:Choice>
  </mc:AlternateContent>
  <xr:revisionPtr revIDLastSave="0" documentId="13_ncr:1_{F0C170B0-4C0C-45F0-AFFC-5288B4828261}" xr6:coauthVersionLast="47" xr6:coauthVersionMax="47" xr10:uidLastSave="{00000000-0000-0000-0000-000000000000}"/>
  <bookViews>
    <workbookView xWindow="-120" yWindow="-120" windowWidth="29040" windowHeight="17520" firstSheet="1" activeTab="1" xr2:uid="{8DFEE2B0-96F0-470A-9396-053C4BBAF42B}"/>
  </bookViews>
  <sheets>
    <sheet name="WP Site" sheetId="4" state="hidden" r:id="rId1"/>
    <sheet name="Live Sites" sheetId="11" r:id="rId2"/>
    <sheet name="Draft Sites" sheetId="3" r:id="rId3"/>
    <sheet name="Tag List" sheetId="10" r:id="rId4"/>
    <sheet name="(Ref) Countries" sheetId="5" r:id="rId5"/>
    <sheet name="Sheet1" sheetId="1" r:id="rId6"/>
    <sheet name="Sheet7" sheetId="8" r:id="rId7"/>
  </sheets>
  <functionGroups builtInGroupCount="19"/>
  <definedNames>
    <definedName name="_xlnm._FilterDatabase" localSheetId="4" hidden="1">'(Ref) Countries'!$A$1:$C$249</definedName>
    <definedName name="_xlnm._FilterDatabase" localSheetId="2" hidden="1">'Draft Sites'!$A$1:$AT$124</definedName>
    <definedName name="_xlnm._FilterDatabase" localSheetId="1" hidden="1">'Live Sites'!$A$1:$CQ$81</definedName>
    <definedName name="_xlnm._FilterDatabase" localSheetId="5" hidden="1">Sheet1!$B$1:$G$66</definedName>
    <definedName name="_xlnm._FilterDatabase" localSheetId="6" hidden="1">Sheet7!$A$1:$F$154</definedName>
    <definedName name="adana" localSheetId="5">Sheet1!$C$27</definedName>
    <definedName name="alexandria" localSheetId="5">Sheet1!$C$9</definedName>
    <definedName name="athos" localSheetId="5">Sheet1!$C$62</definedName>
    <definedName name="behuard" localSheetId="5">Sheet1!$C$18</definedName>
    <definedName name="benevento" localSheetId="5">Sheet1!$C$42</definedName>
    <definedName name="bolougne" localSheetId="5">Sheet1!$C$38</definedName>
    <definedName name="caesarea" localSheetId="5">Sheet1!$C$13</definedName>
    <definedName name="canterbury980" localSheetId="5">Sheet1!$C$65</definedName>
    <definedName name="castelnuovo" localSheetId="5">Sheet1!$C$60</definedName>
    <definedName name="clermont" localSheetId="5">Sheet1!$C$43</definedName>
    <definedName name="cologne" localSheetId="5">Sheet1!$C$63</definedName>
    <definedName name="constantinople" localSheetId="5">Sheet1!$C$20</definedName>
    <definedName name="constantinople714" localSheetId="5">Sheet1!$C$46</definedName>
    <definedName name="corbie" localSheetId="5">Sheet1!$C$54</definedName>
    <definedName name="corentin" localSheetId="5">Sheet1!$C$21</definedName>
    <definedName name="egypt" localSheetId="5">Sheet1!$C$17</definedName>
    <definedName name="ensiedeln" localSheetId="5">Sheet1!$C$59</definedName>
    <definedName name="ephesus" localSheetId="5">Sheet1!$C$2</definedName>
    <definedName name="evesham" localSheetId="5">Sheet1!$C$45</definedName>
    <definedName name="farfa" localSheetId="5">Sheet1!$C$48</definedName>
    <definedName name="galla" localSheetId="5">Sheet1!$C$28</definedName>
    <definedName name="gargano" localSheetId="5">Sheet1!$C$22</definedName>
    <definedName name="genoa" localSheetId="5">Sheet1!$C$33</definedName>
    <definedName name="giudicaele" localSheetId="5">Sheet1!$C$39</definedName>
    <definedName name="gregoryoftours" localSheetId="5">Sheet1!$C$29</definedName>
    <definedName name="gualdotadino" localSheetId="5">Sheet1!$C$32</definedName>
    <definedName name="hainault" localSheetId="5">Sheet1!$C$40</definedName>
    <definedName name="herford" localSheetId="5">Sheet1!$C$61</definedName>
    <definedName name="india" localSheetId="5">Sheet1!$C$3</definedName>
    <definedName name="italy300" localSheetId="5">Sheet1!$C$7</definedName>
    <definedName name="kuravilangad" localSheetId="5">Sheet1!$C$11</definedName>
    <definedName name="lepuy" localSheetId="5">Sheet1!#REF!</definedName>
    <definedName name="maastricht" localSheetId="5">Sheet1!$C$49</definedName>
    <definedName name="mainz" localSheetId="5">Sheet1!$C$51</definedName>
    <definedName name="montreuil" localSheetId="5">Sheet1!$C$52</definedName>
    <definedName name="myra" localSheetId="5">Sheet1!$C$10</definedName>
    <definedName name="neocaesarea" localSheetId="5">Sheet1!$C$5</definedName>
    <definedName name="Patmos" localSheetId="5">Sheet1!$C$4</definedName>
    <definedName name="picciano" localSheetId="5">Sheet1!$C$66</definedName>
    <definedName name="propezzano" localSheetId="5">Sheet1!$C$47</definedName>
    <definedName name="reims" localSheetId="5">Sheet1!$C$58</definedName>
    <definedName name="rome258" localSheetId="5">Sheet1!#REF!</definedName>
    <definedName name="rome526" localSheetId="5">Sheet1!$C$24</definedName>
    <definedName name="rosenthal" localSheetId="5">Sheet1!$C$53</definedName>
    <definedName name="savoy" localSheetId="5">Sheet1!$C$50</definedName>
    <definedName name="sicea" localSheetId="5">Sheet1!$C$23</definedName>
    <definedName name="spoleto" localSheetId="5">Sheet1!$C$30</definedName>
    <definedName name="tagaste" localSheetId="5">Sheet1!$C$15</definedName>
    <definedName name="toledo" localSheetId="5">Sheet1!$C$41</definedName>
    <definedName name="tolouse" localSheetId="5">Sheet1!$C$55</definedName>
    <definedName name="tours" localSheetId="5">Sheet1!$C$14</definedName>
    <definedName name="zaragoza" localSheetId="5">Sheet1!#REF!</definedName>
  </definedName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V50" i="11" l="1"/>
  <c r="BV52" i="11"/>
  <c r="BV53" i="11"/>
  <c r="BV54" i="11"/>
  <c r="BV56" i="11"/>
  <c r="BV57" i="11"/>
  <c r="BV58" i="11"/>
  <c r="BV59" i="11"/>
  <c r="BV60" i="11"/>
  <c r="BV61" i="11"/>
  <c r="BV62" i="11"/>
  <c r="BV86" i="11"/>
  <c r="BV87" i="11"/>
  <c r="BV88" i="11"/>
  <c r="BV92" i="11"/>
  <c r="BV103" i="11"/>
  <c r="BV104" i="11"/>
  <c r="CI107" i="11"/>
  <c r="CB107" i="11"/>
  <c r="CA107" i="11"/>
  <c r="BZ107" i="11"/>
  <c r="BW107" i="11"/>
  <c r="BU107" i="11"/>
  <c r="BS107" i="11"/>
  <c r="BR107" i="11"/>
  <c r="BQ107" i="11"/>
  <c r="BO107" i="11"/>
  <c r="BN107" i="11"/>
  <c r="BM107" i="11"/>
  <c r="BL107" i="11"/>
  <c r="BJ107" i="11"/>
  <c r="BI107" i="11"/>
  <c r="BH107" i="11"/>
  <c r="BG107" i="11"/>
  <c r="BF107" i="11"/>
  <c r="BE107" i="11"/>
  <c r="BD107" i="11"/>
  <c r="BC107" i="11"/>
  <c r="BB107" i="11"/>
  <c r="BA107" i="11"/>
  <c r="AZ107" i="11"/>
  <c r="AY107" i="11"/>
  <c r="AX107" i="11"/>
  <c r="AW107" i="11"/>
  <c r="AV107" i="11"/>
  <c r="AU107" i="11"/>
  <c r="AT107" i="11"/>
  <c r="AS107" i="11"/>
  <c r="AR107" i="11"/>
  <c r="CI106" i="11"/>
  <c r="CB106" i="11"/>
  <c r="CA106" i="11"/>
  <c r="BZ106" i="11"/>
  <c r="BW106" i="11"/>
  <c r="BU106" i="11"/>
  <c r="BS106" i="11"/>
  <c r="BR106" i="11"/>
  <c r="BQ106" i="11"/>
  <c r="BO106" i="11"/>
  <c r="BN106" i="11"/>
  <c r="BM106" i="11"/>
  <c r="BL106" i="11"/>
  <c r="BP106" i="11" s="1"/>
  <c r="BJ106" i="11"/>
  <c r="BI106" i="11"/>
  <c r="BH106" i="11"/>
  <c r="BG106" i="11"/>
  <c r="BF106" i="11"/>
  <c r="BE106" i="11"/>
  <c r="BD106" i="11"/>
  <c r="BC106" i="11"/>
  <c r="BB106" i="11"/>
  <c r="BA106" i="11"/>
  <c r="AZ106" i="11"/>
  <c r="AY106" i="11"/>
  <c r="AX106" i="11"/>
  <c r="AW106" i="11"/>
  <c r="AV106" i="11"/>
  <c r="AU106" i="11"/>
  <c r="AT106" i="11"/>
  <c r="AS106" i="11"/>
  <c r="AR106" i="11"/>
  <c r="CI105" i="11"/>
  <c r="CB105" i="11"/>
  <c r="CA105" i="11"/>
  <c r="BZ105" i="11"/>
  <c r="BU105" i="11"/>
  <c r="BS105" i="11"/>
  <c r="BR105" i="11"/>
  <c r="BQ105" i="11"/>
  <c r="BO105" i="11"/>
  <c r="BN105" i="11"/>
  <c r="BM105" i="11"/>
  <c r="BL105" i="11"/>
  <c r="BP105" i="11" s="1"/>
  <c r="BJ105" i="11"/>
  <c r="BI105" i="11"/>
  <c r="BH105" i="11"/>
  <c r="BG105" i="11"/>
  <c r="BF105" i="11"/>
  <c r="BE105" i="11"/>
  <c r="BD105" i="11"/>
  <c r="BC105" i="11"/>
  <c r="BB105" i="11"/>
  <c r="BA105" i="11"/>
  <c r="AZ105" i="11"/>
  <c r="AY105" i="11"/>
  <c r="AX105" i="11"/>
  <c r="AW105" i="11"/>
  <c r="AV105" i="11"/>
  <c r="AU105" i="11"/>
  <c r="AT105" i="11"/>
  <c r="AS105" i="11"/>
  <c r="AR105" i="11"/>
  <c r="BY105" i="11" s="1"/>
  <c r="CG105" i="11" s="1"/>
  <c r="CI104" i="11"/>
  <c r="CB104" i="11"/>
  <c r="CA104" i="11"/>
  <c r="BZ104" i="11"/>
  <c r="BU104" i="11"/>
  <c r="BS104" i="11"/>
  <c r="BR104" i="11"/>
  <c r="BQ104" i="11"/>
  <c r="BO104" i="11"/>
  <c r="BN104" i="11"/>
  <c r="BM104" i="11"/>
  <c r="BL104" i="11"/>
  <c r="BP104" i="11" s="1"/>
  <c r="BJ104" i="11"/>
  <c r="BI104" i="11"/>
  <c r="BH104" i="11"/>
  <c r="BG104" i="11"/>
  <c r="BF104" i="11"/>
  <c r="BE104" i="11"/>
  <c r="BD104" i="11"/>
  <c r="BC104" i="11"/>
  <c r="BB104" i="11"/>
  <c r="BA104" i="11"/>
  <c r="AZ104" i="11"/>
  <c r="AY104" i="11"/>
  <c r="AX104" i="11"/>
  <c r="AW104" i="11"/>
  <c r="AV104" i="11"/>
  <c r="AU104" i="11"/>
  <c r="AT104" i="11"/>
  <c r="AS104" i="11"/>
  <c r="AR104" i="11"/>
  <c r="CI103" i="11"/>
  <c r="CB103" i="11"/>
  <c r="CA103" i="11"/>
  <c r="BZ103" i="11"/>
  <c r="BW103" i="11"/>
  <c r="BU103" i="11"/>
  <c r="BS103" i="11"/>
  <c r="BR103" i="11"/>
  <c r="BQ103" i="11"/>
  <c r="BO103" i="11"/>
  <c r="BN103" i="11"/>
  <c r="BM103" i="11"/>
  <c r="BL103" i="11"/>
  <c r="BJ103" i="11"/>
  <c r="BI103" i="11"/>
  <c r="BH103" i="11"/>
  <c r="BG103" i="11"/>
  <c r="BF103" i="11"/>
  <c r="BE103" i="11"/>
  <c r="BD103" i="11"/>
  <c r="BC103" i="11"/>
  <c r="BB103" i="11"/>
  <c r="BA103" i="11"/>
  <c r="AZ103" i="11"/>
  <c r="AY103" i="11"/>
  <c r="AX103" i="11"/>
  <c r="AW103" i="11"/>
  <c r="AV103" i="11"/>
  <c r="AU103" i="11"/>
  <c r="AT103" i="11"/>
  <c r="AS103" i="11"/>
  <c r="AR103" i="11"/>
  <c r="CI102" i="11"/>
  <c r="CB102" i="11"/>
  <c r="CA102" i="11"/>
  <c r="BZ102" i="11"/>
  <c r="BW102" i="11"/>
  <c r="BU102" i="11"/>
  <c r="BS102" i="11"/>
  <c r="BR102" i="11"/>
  <c r="BQ102" i="11"/>
  <c r="BO102" i="11"/>
  <c r="BN102" i="11"/>
  <c r="BM102" i="11"/>
  <c r="BL102" i="11"/>
  <c r="BJ102" i="11"/>
  <c r="BI102" i="11"/>
  <c r="BH102" i="11"/>
  <c r="BG102" i="11"/>
  <c r="BF102" i="11"/>
  <c r="BE102" i="11"/>
  <c r="BD102" i="11"/>
  <c r="BC102" i="11"/>
  <c r="BB102" i="11"/>
  <c r="BA102" i="11"/>
  <c r="AZ102" i="11"/>
  <c r="AY102" i="11"/>
  <c r="AX102" i="11"/>
  <c r="AW102" i="11"/>
  <c r="AV102" i="11"/>
  <c r="AU102" i="11"/>
  <c r="AT102" i="11"/>
  <c r="AS102" i="11"/>
  <c r="AR102" i="11"/>
  <c r="CI101" i="11"/>
  <c r="CE101" i="11"/>
  <c r="CD101" i="11"/>
  <c r="CC101" i="11"/>
  <c r="CB101" i="11"/>
  <c r="CA101" i="11"/>
  <c r="BZ101" i="11"/>
  <c r="BW101" i="11"/>
  <c r="BU101" i="11"/>
  <c r="BS101" i="11"/>
  <c r="BR101" i="11"/>
  <c r="BQ101" i="11"/>
  <c r="BO101" i="11"/>
  <c r="BN101" i="11"/>
  <c r="BM101" i="11"/>
  <c r="BL101" i="11"/>
  <c r="BP101" i="11" s="1"/>
  <c r="BJ101" i="11"/>
  <c r="BI101" i="11"/>
  <c r="BH101" i="11"/>
  <c r="BG101" i="11"/>
  <c r="BF101" i="11"/>
  <c r="BE101" i="11"/>
  <c r="BD101" i="11"/>
  <c r="BC101" i="11"/>
  <c r="BB101" i="11"/>
  <c r="BA101" i="11"/>
  <c r="AZ101" i="11"/>
  <c r="AY101" i="11"/>
  <c r="AX101" i="11"/>
  <c r="AW101" i="11"/>
  <c r="AV101" i="11"/>
  <c r="AU101" i="11"/>
  <c r="AT101" i="11"/>
  <c r="AS101" i="11"/>
  <c r="AR101" i="11"/>
  <c r="CI100" i="11"/>
  <c r="CB100" i="11"/>
  <c r="CA100" i="11"/>
  <c r="BZ100" i="11"/>
  <c r="BU100" i="11"/>
  <c r="BS100" i="11"/>
  <c r="BR100" i="11"/>
  <c r="BQ100" i="11"/>
  <c r="BO100" i="11"/>
  <c r="BN100" i="11"/>
  <c r="BM100" i="11"/>
  <c r="BL100" i="11"/>
  <c r="BJ100" i="11"/>
  <c r="BI100" i="11"/>
  <c r="BH100" i="11"/>
  <c r="BG100" i="11"/>
  <c r="BF100" i="11"/>
  <c r="BE100" i="11"/>
  <c r="BD100" i="11"/>
  <c r="BC100" i="11"/>
  <c r="BB100" i="11"/>
  <c r="BA100" i="11"/>
  <c r="AZ100" i="11"/>
  <c r="AY100" i="11"/>
  <c r="AX100" i="11"/>
  <c r="AW100" i="11"/>
  <c r="AV100" i="11"/>
  <c r="AU100" i="11"/>
  <c r="AT100" i="11"/>
  <c r="AS100" i="11"/>
  <c r="AR100" i="11"/>
  <c r="CI99" i="11"/>
  <c r="CB99" i="11"/>
  <c r="CA99" i="11"/>
  <c r="BZ99" i="11"/>
  <c r="BW99" i="11"/>
  <c r="BU99" i="11"/>
  <c r="BS99" i="11"/>
  <c r="BR99" i="11"/>
  <c r="BQ99" i="11"/>
  <c r="BO99" i="11"/>
  <c r="BN99" i="11"/>
  <c r="BM99" i="11"/>
  <c r="BL99" i="11"/>
  <c r="BJ99" i="11"/>
  <c r="BI99" i="11"/>
  <c r="BH99" i="11"/>
  <c r="BG99" i="11"/>
  <c r="BF99" i="11"/>
  <c r="BE99" i="11"/>
  <c r="BD99" i="11"/>
  <c r="BC99" i="11"/>
  <c r="BB99" i="11"/>
  <c r="BA99" i="11"/>
  <c r="AZ99" i="11"/>
  <c r="AY99" i="11"/>
  <c r="AX99" i="11"/>
  <c r="AW99" i="11"/>
  <c r="AV99" i="11"/>
  <c r="AU99" i="11"/>
  <c r="AT99" i="11"/>
  <c r="AS99" i="11"/>
  <c r="AR99" i="11"/>
  <c r="CI98" i="11"/>
  <c r="CB98" i="11"/>
  <c r="CA98" i="11"/>
  <c r="BZ98" i="11"/>
  <c r="BU98" i="11"/>
  <c r="BS98" i="11"/>
  <c r="BR98" i="11"/>
  <c r="BQ98" i="11"/>
  <c r="BO98" i="11"/>
  <c r="BN98" i="11"/>
  <c r="BM98" i="11"/>
  <c r="BL98" i="11"/>
  <c r="BJ98" i="11"/>
  <c r="BI98" i="11"/>
  <c r="BH98" i="11"/>
  <c r="BG98" i="11"/>
  <c r="BF98" i="11"/>
  <c r="BE98" i="11"/>
  <c r="BD98" i="11"/>
  <c r="BC98" i="11"/>
  <c r="BB98" i="11"/>
  <c r="BA98" i="11"/>
  <c r="AZ98" i="11"/>
  <c r="AY98" i="11"/>
  <c r="AX98" i="11"/>
  <c r="AW98" i="11"/>
  <c r="AV98" i="11"/>
  <c r="AU98" i="11"/>
  <c r="AT98" i="11"/>
  <c r="AS98" i="11"/>
  <c r="AR98" i="11"/>
  <c r="BY98" i="11" s="1"/>
  <c r="CG98" i="11" s="1"/>
  <c r="CI97" i="11"/>
  <c r="CB97" i="11"/>
  <c r="CA97" i="11"/>
  <c r="BZ97" i="11"/>
  <c r="BW97" i="11"/>
  <c r="BU97" i="11"/>
  <c r="BS97" i="11"/>
  <c r="BR97" i="11"/>
  <c r="BQ97" i="11"/>
  <c r="BO97" i="11"/>
  <c r="BN97" i="11"/>
  <c r="BM97" i="11"/>
  <c r="BL97" i="11"/>
  <c r="BJ97" i="11"/>
  <c r="BI97" i="11"/>
  <c r="BH97" i="11"/>
  <c r="BG97" i="11"/>
  <c r="BF97" i="11"/>
  <c r="BE97" i="11"/>
  <c r="BD97" i="11"/>
  <c r="BC97" i="11"/>
  <c r="BB97" i="11"/>
  <c r="BA97" i="11"/>
  <c r="AZ97" i="11"/>
  <c r="AY97" i="11"/>
  <c r="AX97" i="11"/>
  <c r="AW97" i="11"/>
  <c r="AV97" i="11"/>
  <c r="AU97" i="11"/>
  <c r="AT97" i="11"/>
  <c r="AS97" i="11"/>
  <c r="AR97" i="11"/>
  <c r="CI96" i="11"/>
  <c r="CB96" i="11"/>
  <c r="CA96" i="11"/>
  <c r="BZ96" i="11"/>
  <c r="BW96" i="11"/>
  <c r="BU96" i="11"/>
  <c r="BS96" i="11"/>
  <c r="BR96" i="11"/>
  <c r="BQ96" i="11"/>
  <c r="BO96" i="11"/>
  <c r="BN96" i="11"/>
  <c r="BM96" i="11"/>
  <c r="BL96" i="11"/>
  <c r="BJ96" i="11"/>
  <c r="BI96" i="11"/>
  <c r="BH96" i="11"/>
  <c r="BG96" i="11"/>
  <c r="BF96" i="11"/>
  <c r="BE96" i="11"/>
  <c r="BD96" i="11"/>
  <c r="BC96" i="11"/>
  <c r="BB96" i="11"/>
  <c r="BA96" i="11"/>
  <c r="AZ96" i="11"/>
  <c r="AY96" i="11"/>
  <c r="AX96" i="11"/>
  <c r="AW96" i="11"/>
  <c r="AV96" i="11"/>
  <c r="AU96" i="11"/>
  <c r="AT96" i="11"/>
  <c r="AS96" i="11"/>
  <c r="AR96" i="11"/>
  <c r="CI95" i="11"/>
  <c r="CB95" i="11"/>
  <c r="CA95" i="11"/>
  <c r="BZ95" i="11"/>
  <c r="BW95" i="11"/>
  <c r="BU95" i="11"/>
  <c r="BS95" i="11"/>
  <c r="BR95" i="11"/>
  <c r="BQ95" i="11"/>
  <c r="BO95" i="11"/>
  <c r="BN95" i="11"/>
  <c r="BM95" i="11"/>
  <c r="BL95" i="11"/>
  <c r="BJ95" i="11"/>
  <c r="BI95" i="11"/>
  <c r="BH95" i="11"/>
  <c r="BG95" i="11"/>
  <c r="BF95" i="11"/>
  <c r="BE95" i="11"/>
  <c r="BD95" i="11"/>
  <c r="BC95" i="11"/>
  <c r="BB95" i="11"/>
  <c r="BA95" i="11"/>
  <c r="AZ95" i="11"/>
  <c r="AY95" i="11"/>
  <c r="AX95" i="11"/>
  <c r="AW95" i="11"/>
  <c r="AV95" i="11"/>
  <c r="AU95" i="11"/>
  <c r="AT95" i="11"/>
  <c r="AS95" i="11"/>
  <c r="AR95" i="11"/>
  <c r="CI94" i="11"/>
  <c r="CB94" i="11"/>
  <c r="CA94" i="11"/>
  <c r="BZ94" i="11"/>
  <c r="BW94" i="11"/>
  <c r="BU94" i="11"/>
  <c r="BS94" i="11"/>
  <c r="BR94" i="11"/>
  <c r="BQ94" i="11"/>
  <c r="BO94" i="11"/>
  <c r="BN94" i="11"/>
  <c r="BM94" i="11"/>
  <c r="BL94" i="11"/>
  <c r="BP94" i="11" s="1"/>
  <c r="BJ94" i="11"/>
  <c r="BI94" i="11"/>
  <c r="BH94" i="11"/>
  <c r="BG94" i="11"/>
  <c r="BF94" i="11"/>
  <c r="BE94" i="11"/>
  <c r="BD94" i="11"/>
  <c r="BC94" i="11"/>
  <c r="BB94" i="11"/>
  <c r="BA94" i="11"/>
  <c r="AZ94" i="11"/>
  <c r="AY94" i="11"/>
  <c r="AX94" i="11"/>
  <c r="AW94" i="11"/>
  <c r="AV94" i="11"/>
  <c r="AU94" i="11"/>
  <c r="AT94" i="11"/>
  <c r="AS94" i="11"/>
  <c r="AR94" i="11"/>
  <c r="CI93" i="11"/>
  <c r="CB93" i="11"/>
  <c r="CA93" i="11"/>
  <c r="BZ93" i="11"/>
  <c r="BW93" i="11"/>
  <c r="BU93" i="11"/>
  <c r="BS93" i="11"/>
  <c r="BR93" i="11"/>
  <c r="BQ93" i="11"/>
  <c r="BO93" i="11"/>
  <c r="BN93" i="11"/>
  <c r="BM93" i="11"/>
  <c r="BL93" i="11"/>
  <c r="BP93" i="11" s="1"/>
  <c r="BJ93" i="11"/>
  <c r="BI93" i="11"/>
  <c r="BH93" i="11"/>
  <c r="BG93" i="11"/>
  <c r="BF93" i="11"/>
  <c r="BE93" i="11"/>
  <c r="BD93" i="11"/>
  <c r="BC93" i="11"/>
  <c r="BB93" i="11"/>
  <c r="BA93" i="11"/>
  <c r="AZ93" i="11"/>
  <c r="AY93" i="11"/>
  <c r="AX93" i="11"/>
  <c r="AW93" i="11"/>
  <c r="AV93" i="11"/>
  <c r="AU93" i="11"/>
  <c r="AT93" i="11"/>
  <c r="AS93" i="11"/>
  <c r="AR93" i="11"/>
  <c r="CI92" i="11"/>
  <c r="CB92" i="11"/>
  <c r="CA92" i="11"/>
  <c r="BZ92" i="11"/>
  <c r="BW92" i="11"/>
  <c r="BU92" i="11"/>
  <c r="BS92" i="11"/>
  <c r="BR92" i="11"/>
  <c r="BQ92" i="11"/>
  <c r="BO92" i="11"/>
  <c r="BN92" i="11"/>
  <c r="BM92" i="11"/>
  <c r="BL92" i="11"/>
  <c r="BJ92" i="11"/>
  <c r="BI92" i="11"/>
  <c r="BH92" i="11"/>
  <c r="BG92" i="11"/>
  <c r="BF92" i="11"/>
  <c r="BE92" i="11"/>
  <c r="BD92" i="11"/>
  <c r="BC92" i="11"/>
  <c r="BB92" i="11"/>
  <c r="BA92" i="11"/>
  <c r="AZ92" i="11"/>
  <c r="AY92" i="11"/>
  <c r="AX92" i="11"/>
  <c r="AW92" i="11"/>
  <c r="AV92" i="11"/>
  <c r="AU92" i="11"/>
  <c r="AT92" i="11"/>
  <c r="AS92" i="11"/>
  <c r="AR92" i="11"/>
  <c r="CI91" i="11"/>
  <c r="CB91" i="11"/>
  <c r="CA91" i="11"/>
  <c r="BZ91" i="11"/>
  <c r="BW91" i="11"/>
  <c r="BU91" i="11"/>
  <c r="BS91" i="11"/>
  <c r="BR91" i="11"/>
  <c r="BQ91" i="11"/>
  <c r="BO91" i="11"/>
  <c r="BN91" i="11"/>
  <c r="BM91" i="11"/>
  <c r="BL91" i="11"/>
  <c r="BJ91" i="11"/>
  <c r="BI91" i="11"/>
  <c r="BH91" i="11"/>
  <c r="BG91" i="11"/>
  <c r="BF91" i="11"/>
  <c r="BE91" i="11"/>
  <c r="BD91" i="11"/>
  <c r="BC91" i="11"/>
  <c r="BB91" i="11"/>
  <c r="BA91" i="11"/>
  <c r="AZ91" i="11"/>
  <c r="AY91" i="11"/>
  <c r="AX91" i="11"/>
  <c r="AW91" i="11"/>
  <c r="AV91" i="11"/>
  <c r="AU91" i="11"/>
  <c r="AT91" i="11"/>
  <c r="AS91" i="11"/>
  <c r="AR91" i="11"/>
  <c r="CI90" i="11"/>
  <c r="CB90" i="11"/>
  <c r="CA90" i="11"/>
  <c r="BZ90" i="11"/>
  <c r="BW90" i="11"/>
  <c r="BU90" i="11"/>
  <c r="BS90" i="11"/>
  <c r="BR90" i="11"/>
  <c r="BQ90" i="11"/>
  <c r="BO90" i="11"/>
  <c r="BN90" i="11"/>
  <c r="BM90" i="11"/>
  <c r="BL90" i="11"/>
  <c r="BJ90" i="11"/>
  <c r="BI90" i="11"/>
  <c r="BH90" i="11"/>
  <c r="BG90" i="11"/>
  <c r="BF90" i="11"/>
  <c r="BE90" i="11"/>
  <c r="BD90" i="11"/>
  <c r="BC90" i="11"/>
  <c r="BB90" i="11"/>
  <c r="BA90" i="11"/>
  <c r="AZ90" i="11"/>
  <c r="AY90" i="11"/>
  <c r="AX90" i="11"/>
  <c r="AW90" i="11"/>
  <c r="AV90" i="11"/>
  <c r="AU90" i="11"/>
  <c r="AT90" i="11"/>
  <c r="AS90" i="11"/>
  <c r="AR90" i="11"/>
  <c r="CI89" i="11"/>
  <c r="CB89" i="11"/>
  <c r="CA89" i="11"/>
  <c r="BZ89" i="11"/>
  <c r="BW89" i="11"/>
  <c r="BU89" i="11"/>
  <c r="BS89" i="11"/>
  <c r="BR89" i="11"/>
  <c r="BQ89" i="11"/>
  <c r="BO89" i="11"/>
  <c r="BN89" i="11"/>
  <c r="BM89" i="11"/>
  <c r="BL89" i="11"/>
  <c r="BJ89" i="11"/>
  <c r="BI89" i="11"/>
  <c r="BH89" i="11"/>
  <c r="BG89" i="11"/>
  <c r="BF89" i="11"/>
  <c r="BE89" i="11"/>
  <c r="BD89" i="11"/>
  <c r="BC89" i="11"/>
  <c r="BB89" i="11"/>
  <c r="BA89" i="11"/>
  <c r="AZ89" i="11"/>
  <c r="AY89" i="11"/>
  <c r="AX89" i="11"/>
  <c r="AW89" i="11"/>
  <c r="AV89" i="11"/>
  <c r="AU89" i="11"/>
  <c r="AT89" i="11"/>
  <c r="AS89" i="11"/>
  <c r="AR89" i="11"/>
  <c r="CI88" i="11"/>
  <c r="CB88" i="11"/>
  <c r="CA88" i="11"/>
  <c r="BZ88" i="11"/>
  <c r="BW88" i="11"/>
  <c r="BU88" i="11"/>
  <c r="BS88" i="11"/>
  <c r="BR88" i="11"/>
  <c r="BQ88" i="11"/>
  <c r="BO88" i="11"/>
  <c r="BN88" i="11"/>
  <c r="BM88" i="11"/>
  <c r="BL88" i="11"/>
  <c r="BJ88" i="11"/>
  <c r="BI88" i="11"/>
  <c r="BH88" i="11"/>
  <c r="BG88" i="11"/>
  <c r="BF88" i="11"/>
  <c r="BE88" i="11"/>
  <c r="BD88" i="11"/>
  <c r="BC88" i="11"/>
  <c r="BB88" i="11"/>
  <c r="BA88" i="11"/>
  <c r="AZ88" i="11"/>
  <c r="AY88" i="11"/>
  <c r="AX88" i="11"/>
  <c r="AW88" i="11"/>
  <c r="AV88" i="11"/>
  <c r="AU88" i="11"/>
  <c r="AT88" i="11"/>
  <c r="AS88" i="11"/>
  <c r="AR88" i="11"/>
  <c r="CI87" i="11"/>
  <c r="CB87" i="11"/>
  <c r="CA87" i="11"/>
  <c r="BZ87" i="11"/>
  <c r="BW87" i="11"/>
  <c r="BU87" i="11"/>
  <c r="BS87" i="11"/>
  <c r="BR87" i="11"/>
  <c r="BQ87" i="11"/>
  <c r="BO87" i="11"/>
  <c r="BN87" i="11"/>
  <c r="BM87" i="11"/>
  <c r="BL87" i="11"/>
  <c r="BJ87" i="11"/>
  <c r="BI87" i="11"/>
  <c r="BH87" i="11"/>
  <c r="BG87" i="11"/>
  <c r="BF87" i="11"/>
  <c r="BE87" i="11"/>
  <c r="BD87" i="11"/>
  <c r="BC87" i="11"/>
  <c r="BB87" i="11"/>
  <c r="BA87" i="11"/>
  <c r="AZ87" i="11"/>
  <c r="AY87" i="11"/>
  <c r="AX87" i="11"/>
  <c r="AW87" i="11"/>
  <c r="AV87" i="11"/>
  <c r="AU87" i="11"/>
  <c r="AT87" i="11"/>
  <c r="AS87" i="11"/>
  <c r="AR87" i="11"/>
  <c r="CI86" i="11"/>
  <c r="CB86" i="11"/>
  <c r="CA86" i="11"/>
  <c r="BZ86" i="11"/>
  <c r="BW86" i="11"/>
  <c r="BU86" i="11"/>
  <c r="BS86" i="11"/>
  <c r="BR86" i="11"/>
  <c r="BQ86" i="11"/>
  <c r="BO86" i="11"/>
  <c r="BN86" i="11"/>
  <c r="BM86" i="11"/>
  <c r="BL86" i="11"/>
  <c r="BP86" i="11" s="1"/>
  <c r="BJ86" i="11"/>
  <c r="BI86" i="11"/>
  <c r="BH86" i="11"/>
  <c r="BG86" i="11"/>
  <c r="BF86" i="11"/>
  <c r="BE86" i="11"/>
  <c r="BD86" i="11"/>
  <c r="BC86" i="11"/>
  <c r="BB86" i="11"/>
  <c r="BA86" i="11"/>
  <c r="AZ86" i="11"/>
  <c r="AY86" i="11"/>
  <c r="AX86" i="11"/>
  <c r="AW86" i="11"/>
  <c r="AV86" i="11"/>
  <c r="AU86" i="11"/>
  <c r="AT86" i="11"/>
  <c r="AS86" i="11"/>
  <c r="AR86" i="11"/>
  <c r="CI85" i="11"/>
  <c r="CB85" i="11"/>
  <c r="CA85" i="11"/>
  <c r="BZ85" i="11"/>
  <c r="BW85" i="11"/>
  <c r="BU85" i="11"/>
  <c r="BS85" i="11"/>
  <c r="BR85" i="11"/>
  <c r="BQ85" i="11"/>
  <c r="BO85" i="11"/>
  <c r="BN85" i="11"/>
  <c r="BM85" i="11"/>
  <c r="BL85" i="11"/>
  <c r="BJ85" i="11"/>
  <c r="BI85" i="11"/>
  <c r="BH85" i="11"/>
  <c r="BG85" i="11"/>
  <c r="BF85" i="11"/>
  <c r="BE85" i="11"/>
  <c r="BD85" i="11"/>
  <c r="BC85" i="11"/>
  <c r="BB85" i="11"/>
  <c r="BA85" i="11"/>
  <c r="AZ85" i="11"/>
  <c r="AY85" i="11"/>
  <c r="AX85" i="11"/>
  <c r="AW85" i="11"/>
  <c r="AV85" i="11"/>
  <c r="AU85" i="11"/>
  <c r="AT85" i="11"/>
  <c r="AS85" i="11"/>
  <c r="AR85" i="11"/>
  <c r="CI84" i="11"/>
  <c r="CB84" i="11"/>
  <c r="CA84" i="11"/>
  <c r="BZ84" i="11"/>
  <c r="BW84" i="11"/>
  <c r="BU84" i="11"/>
  <c r="BS84" i="11"/>
  <c r="BR84" i="11"/>
  <c r="BQ84" i="11"/>
  <c r="BO84" i="11"/>
  <c r="BN84" i="11"/>
  <c r="BM84" i="11"/>
  <c r="BL84" i="11"/>
  <c r="BJ84" i="11"/>
  <c r="BI84" i="11"/>
  <c r="BH84" i="11"/>
  <c r="BG84" i="11"/>
  <c r="BF84" i="11"/>
  <c r="BE84" i="11"/>
  <c r="BD84" i="11"/>
  <c r="BC84" i="11"/>
  <c r="BB84" i="11"/>
  <c r="BA84" i="11"/>
  <c r="AZ84" i="11"/>
  <c r="AY84" i="11"/>
  <c r="AX84" i="11"/>
  <c r="AW84" i="11"/>
  <c r="AV84" i="11"/>
  <c r="AU84" i="11"/>
  <c r="AT84" i="11"/>
  <c r="AS84" i="11"/>
  <c r="AR84" i="11"/>
  <c r="CI83" i="11"/>
  <c r="CB83" i="11"/>
  <c r="CA83" i="11"/>
  <c r="BZ83" i="11"/>
  <c r="BW83" i="11"/>
  <c r="BU83" i="11"/>
  <c r="BS83" i="11"/>
  <c r="BR83" i="11"/>
  <c r="BQ83" i="11"/>
  <c r="BO83" i="11"/>
  <c r="BN83" i="11"/>
  <c r="BM83" i="11"/>
  <c r="BL83" i="11"/>
  <c r="BJ83" i="11"/>
  <c r="BI83" i="11"/>
  <c r="BH83" i="11"/>
  <c r="BG83" i="11"/>
  <c r="BF83" i="11"/>
  <c r="BE83" i="11"/>
  <c r="BD83" i="11"/>
  <c r="BC83" i="11"/>
  <c r="BB83" i="11"/>
  <c r="BA83" i="11"/>
  <c r="AZ83" i="11"/>
  <c r="AY83" i="11"/>
  <c r="AX83" i="11"/>
  <c r="AW83" i="11"/>
  <c r="AV83" i="11"/>
  <c r="AU83" i="11"/>
  <c r="AT83" i="11"/>
  <c r="AS83" i="11"/>
  <c r="AR83" i="11"/>
  <c r="CI82" i="11"/>
  <c r="CB82" i="11"/>
  <c r="CA82" i="11"/>
  <c r="BZ82" i="11"/>
  <c r="BW82" i="11"/>
  <c r="BU82" i="11"/>
  <c r="BS82" i="11"/>
  <c r="BR82" i="11"/>
  <c r="BQ82" i="11"/>
  <c r="BO82" i="11"/>
  <c r="BN82" i="11"/>
  <c r="BM82" i="11"/>
  <c r="BL82" i="11"/>
  <c r="BJ82" i="11"/>
  <c r="BI82" i="11"/>
  <c r="BH82" i="11"/>
  <c r="BG82" i="11"/>
  <c r="BF82" i="11"/>
  <c r="BE82" i="11"/>
  <c r="BD82" i="11"/>
  <c r="BC82" i="11"/>
  <c r="BB82" i="11"/>
  <c r="BA82" i="11"/>
  <c r="AZ82" i="11"/>
  <c r="AY82" i="11"/>
  <c r="AX82" i="11"/>
  <c r="AW82" i="11"/>
  <c r="AV82" i="11"/>
  <c r="AU82" i="11"/>
  <c r="AT82" i="11"/>
  <c r="AS82" i="11"/>
  <c r="AR82" i="11"/>
  <c r="CI81" i="11"/>
  <c r="CE81" i="11"/>
  <c r="CD81" i="11"/>
  <c r="CC81" i="11"/>
  <c r="CB81" i="11"/>
  <c r="CA81" i="11"/>
  <c r="BZ81" i="11"/>
  <c r="BW81" i="11"/>
  <c r="BU81" i="11"/>
  <c r="BS81" i="11"/>
  <c r="BR81" i="11"/>
  <c r="BQ81" i="11"/>
  <c r="BO81" i="11"/>
  <c r="BN81" i="11"/>
  <c r="BM81" i="11"/>
  <c r="BL81" i="11"/>
  <c r="BJ81" i="11"/>
  <c r="BI81" i="11"/>
  <c r="BH81" i="11"/>
  <c r="BG81" i="11"/>
  <c r="BF81" i="11"/>
  <c r="BE81" i="11"/>
  <c r="BD81" i="11"/>
  <c r="BC81" i="11"/>
  <c r="BB81" i="11"/>
  <c r="BA81" i="11"/>
  <c r="AZ81" i="11"/>
  <c r="AY81" i="11"/>
  <c r="AX81" i="11"/>
  <c r="AW81" i="11"/>
  <c r="AV81" i="11"/>
  <c r="AU81" i="11"/>
  <c r="AT81" i="11"/>
  <c r="AS81" i="11"/>
  <c r="AR81" i="11"/>
  <c r="CI79" i="11"/>
  <c r="CE79" i="11"/>
  <c r="CD79" i="11"/>
  <c r="CB79" i="11"/>
  <c r="CA79" i="11"/>
  <c r="BZ79" i="11"/>
  <c r="BW79" i="11"/>
  <c r="BU79" i="11"/>
  <c r="BS79" i="11"/>
  <c r="BR79" i="11"/>
  <c r="BQ79" i="11"/>
  <c r="BO79" i="11"/>
  <c r="BN79" i="11"/>
  <c r="BM79" i="11"/>
  <c r="BL79" i="11"/>
  <c r="BJ79" i="11"/>
  <c r="BI79" i="11"/>
  <c r="BH79" i="11"/>
  <c r="BG79" i="11"/>
  <c r="BF79" i="11"/>
  <c r="BE79" i="11"/>
  <c r="BD79" i="11"/>
  <c r="BC79" i="11"/>
  <c r="BB79" i="11"/>
  <c r="BA79" i="11"/>
  <c r="AZ79" i="11"/>
  <c r="AY79" i="11"/>
  <c r="AX79" i="11"/>
  <c r="AW79" i="11"/>
  <c r="AV79" i="11"/>
  <c r="AU79" i="11"/>
  <c r="AT79" i="11"/>
  <c r="AS79" i="11"/>
  <c r="AR79" i="11"/>
  <c r="CI80" i="11"/>
  <c r="CE80" i="11"/>
  <c r="CD80" i="11"/>
  <c r="CB80" i="11"/>
  <c r="CA80" i="11"/>
  <c r="BZ80" i="11"/>
  <c r="BW80" i="11"/>
  <c r="BU80" i="11"/>
  <c r="BS80" i="11"/>
  <c r="BR80" i="11"/>
  <c r="BQ80" i="11"/>
  <c r="BO80" i="11"/>
  <c r="BN80" i="11"/>
  <c r="BM80" i="11"/>
  <c r="BL80" i="11"/>
  <c r="BJ80" i="11"/>
  <c r="BI80" i="11"/>
  <c r="BH80" i="11"/>
  <c r="BG80" i="11"/>
  <c r="BF80" i="11"/>
  <c r="BE80" i="11"/>
  <c r="BD80" i="11"/>
  <c r="BC80" i="11"/>
  <c r="BB80" i="11"/>
  <c r="BA80" i="11"/>
  <c r="AZ80" i="11"/>
  <c r="AY80" i="11"/>
  <c r="AX80" i="11"/>
  <c r="AW80" i="11"/>
  <c r="AV80" i="11"/>
  <c r="AU80" i="11"/>
  <c r="AT80" i="11"/>
  <c r="AS80" i="11"/>
  <c r="AR80" i="11"/>
  <c r="CI78" i="11"/>
  <c r="CE78" i="11"/>
  <c r="CD78" i="11"/>
  <c r="CB78" i="11"/>
  <c r="CA78" i="11"/>
  <c r="BZ78" i="11"/>
  <c r="BW78" i="11"/>
  <c r="BU78" i="11"/>
  <c r="BS78" i="11"/>
  <c r="BR78" i="11"/>
  <c r="BQ78" i="11"/>
  <c r="BO78" i="11"/>
  <c r="BN78" i="11"/>
  <c r="BM78" i="11"/>
  <c r="BL78" i="11"/>
  <c r="BJ78" i="11"/>
  <c r="BI78" i="11"/>
  <c r="BH78" i="11"/>
  <c r="BG78" i="11"/>
  <c r="BF78" i="11"/>
  <c r="BE78" i="11"/>
  <c r="BD78" i="11"/>
  <c r="BC78" i="11"/>
  <c r="BB78" i="11"/>
  <c r="BA78" i="11"/>
  <c r="AZ78" i="11"/>
  <c r="AY78" i="11"/>
  <c r="AX78" i="11"/>
  <c r="AW78" i="11"/>
  <c r="AV78" i="11"/>
  <c r="AU78" i="11"/>
  <c r="AT78" i="11"/>
  <c r="AS78" i="11"/>
  <c r="AR78" i="11"/>
  <c r="CI77" i="11"/>
  <c r="CE77" i="11"/>
  <c r="CD77" i="11"/>
  <c r="CB77" i="11"/>
  <c r="CA77" i="11"/>
  <c r="BZ77" i="11"/>
  <c r="BW77" i="11"/>
  <c r="BU77" i="11"/>
  <c r="BS77" i="11"/>
  <c r="BR77" i="11"/>
  <c r="BQ77" i="11"/>
  <c r="BO77" i="11"/>
  <c r="BN77" i="11"/>
  <c r="BM77" i="11"/>
  <c r="BL77" i="11"/>
  <c r="BJ77" i="11"/>
  <c r="BI77" i="11"/>
  <c r="BH77" i="11"/>
  <c r="BG77" i="11"/>
  <c r="BF77" i="11"/>
  <c r="BE77" i="11"/>
  <c r="BD77" i="11"/>
  <c r="BC77" i="11"/>
  <c r="BB77" i="11"/>
  <c r="BA77" i="11"/>
  <c r="AZ77" i="11"/>
  <c r="AY77" i="11"/>
  <c r="AX77" i="11"/>
  <c r="AW77" i="11"/>
  <c r="AV77" i="11"/>
  <c r="AU77" i="11"/>
  <c r="AT77" i="11"/>
  <c r="AS77" i="11"/>
  <c r="AR77" i="11"/>
  <c r="CI76" i="11"/>
  <c r="CE76" i="11"/>
  <c r="CD76" i="11"/>
  <c r="CB76" i="11"/>
  <c r="CA76" i="11"/>
  <c r="BZ76" i="11"/>
  <c r="BW76" i="11"/>
  <c r="BU76" i="11"/>
  <c r="BS76" i="11"/>
  <c r="BR76" i="11"/>
  <c r="BQ76" i="11"/>
  <c r="BO76" i="11"/>
  <c r="BN76" i="11"/>
  <c r="BM76" i="11"/>
  <c r="BL76" i="11"/>
  <c r="BJ76" i="11"/>
  <c r="BI76" i="11"/>
  <c r="BH76" i="11"/>
  <c r="BG76" i="11"/>
  <c r="BF76" i="11"/>
  <c r="BE76" i="11"/>
  <c r="BD76" i="11"/>
  <c r="BC76" i="11"/>
  <c r="BB76" i="11"/>
  <c r="BA76" i="11"/>
  <c r="AZ76" i="11"/>
  <c r="AY76" i="11"/>
  <c r="AX76" i="11"/>
  <c r="AW76" i="11"/>
  <c r="AV76" i="11"/>
  <c r="AU76" i="11"/>
  <c r="AT76" i="11"/>
  <c r="AS76" i="11"/>
  <c r="AR76" i="11"/>
  <c r="CI75" i="11"/>
  <c r="CE75" i="11"/>
  <c r="CD75" i="11"/>
  <c r="CB75" i="11"/>
  <c r="CA75" i="11"/>
  <c r="BZ75" i="11"/>
  <c r="BW75" i="11"/>
  <c r="BU75" i="11"/>
  <c r="BS75" i="11"/>
  <c r="BR75" i="11"/>
  <c r="BQ75" i="11"/>
  <c r="BO75" i="11"/>
  <c r="BN75" i="11"/>
  <c r="BM75" i="11"/>
  <c r="BL75" i="11"/>
  <c r="BJ75" i="11"/>
  <c r="BI75" i="11"/>
  <c r="BH75" i="11"/>
  <c r="BG75" i="11"/>
  <c r="BF75" i="11"/>
  <c r="BE75" i="11"/>
  <c r="BD75" i="11"/>
  <c r="BC75" i="11"/>
  <c r="BB75" i="11"/>
  <c r="BA75" i="11"/>
  <c r="AZ75" i="11"/>
  <c r="AY75" i="11"/>
  <c r="AX75" i="11"/>
  <c r="AW75" i="11"/>
  <c r="AV75" i="11"/>
  <c r="AU75" i="11"/>
  <c r="AT75" i="11"/>
  <c r="AS75" i="11"/>
  <c r="AR75" i="11"/>
  <c r="CI74" i="11"/>
  <c r="CE74" i="11"/>
  <c r="CD74" i="11"/>
  <c r="CB74" i="11"/>
  <c r="CA74" i="11"/>
  <c r="BZ74" i="11"/>
  <c r="BW74" i="11"/>
  <c r="BU74" i="11"/>
  <c r="BS74" i="11"/>
  <c r="BR74" i="11"/>
  <c r="BQ74" i="11"/>
  <c r="BO74" i="11"/>
  <c r="BN74" i="11"/>
  <c r="BM74" i="11"/>
  <c r="BL74" i="11"/>
  <c r="BJ74" i="11"/>
  <c r="BI74" i="11"/>
  <c r="BH74" i="11"/>
  <c r="BG74" i="11"/>
  <c r="BF74" i="11"/>
  <c r="BE74" i="11"/>
  <c r="BD74" i="11"/>
  <c r="BC74" i="11"/>
  <c r="BB74" i="11"/>
  <c r="BA74" i="11"/>
  <c r="AZ74" i="11"/>
  <c r="AY74" i="11"/>
  <c r="AX74" i="11"/>
  <c r="AW74" i="11"/>
  <c r="AV74" i="11"/>
  <c r="AU74" i="11"/>
  <c r="AT74" i="11"/>
  <c r="AS74" i="11"/>
  <c r="AR74" i="11"/>
  <c r="CI73" i="11"/>
  <c r="CE73" i="11"/>
  <c r="CD73" i="11"/>
  <c r="CB73" i="11"/>
  <c r="CA73" i="11"/>
  <c r="BZ73" i="11"/>
  <c r="BW73" i="11"/>
  <c r="BU73" i="11"/>
  <c r="BS73" i="11"/>
  <c r="BR73" i="11"/>
  <c r="BQ73" i="11"/>
  <c r="BO73" i="11"/>
  <c r="BN73" i="11"/>
  <c r="BM73" i="11"/>
  <c r="BL73" i="11"/>
  <c r="BJ73" i="11"/>
  <c r="BI73" i="11"/>
  <c r="BH73" i="11"/>
  <c r="BG73" i="11"/>
  <c r="BF73" i="11"/>
  <c r="BE73" i="11"/>
  <c r="BD73" i="11"/>
  <c r="BC73" i="11"/>
  <c r="BB73" i="11"/>
  <c r="BA73" i="11"/>
  <c r="AZ73" i="11"/>
  <c r="AY73" i="11"/>
  <c r="AX73" i="11"/>
  <c r="AW73" i="11"/>
  <c r="AV73" i="11"/>
  <c r="AU73" i="11"/>
  <c r="AT73" i="11"/>
  <c r="AS73" i="11"/>
  <c r="AR73" i="11"/>
  <c r="CI72" i="11"/>
  <c r="CE72" i="11"/>
  <c r="CD72" i="11"/>
  <c r="CC72" i="11"/>
  <c r="CB72" i="11"/>
  <c r="CA72" i="11"/>
  <c r="BZ72" i="11"/>
  <c r="BU72" i="11"/>
  <c r="BS72" i="11"/>
  <c r="BR72" i="11"/>
  <c r="BQ72" i="11"/>
  <c r="BO72" i="11"/>
  <c r="BN72" i="11"/>
  <c r="BM72" i="11"/>
  <c r="BL72" i="11"/>
  <c r="BJ72" i="11"/>
  <c r="BI72" i="11"/>
  <c r="BH72" i="11"/>
  <c r="BG72" i="11"/>
  <c r="BF72" i="11"/>
  <c r="BE72" i="11"/>
  <c r="BD72" i="11"/>
  <c r="BC72" i="11"/>
  <c r="BB72" i="11"/>
  <c r="BA72" i="11"/>
  <c r="AZ72" i="11"/>
  <c r="AY72" i="11"/>
  <c r="AX72" i="11"/>
  <c r="AW72" i="11"/>
  <c r="AV72" i="11"/>
  <c r="AU72" i="11"/>
  <c r="AT72" i="11"/>
  <c r="AS72" i="11"/>
  <c r="AR72" i="11"/>
  <c r="CI71" i="11"/>
  <c r="CB71" i="11"/>
  <c r="CA71" i="11"/>
  <c r="BZ71" i="11"/>
  <c r="BW71" i="11"/>
  <c r="BU71" i="11"/>
  <c r="BS71" i="11"/>
  <c r="BR71" i="11"/>
  <c r="BQ71" i="11"/>
  <c r="BO71" i="11"/>
  <c r="BN71" i="11"/>
  <c r="BM71" i="11"/>
  <c r="BL71" i="11"/>
  <c r="BJ71" i="11"/>
  <c r="BI71" i="11"/>
  <c r="BH71" i="11"/>
  <c r="BG71" i="11"/>
  <c r="BF71" i="11"/>
  <c r="BE71" i="11"/>
  <c r="BD71" i="11"/>
  <c r="BC71" i="11"/>
  <c r="BB71" i="11"/>
  <c r="BA71" i="11"/>
  <c r="AZ71" i="11"/>
  <c r="AY71" i="11"/>
  <c r="AX71" i="11"/>
  <c r="AW71" i="11"/>
  <c r="AV71" i="11"/>
  <c r="AU71" i="11"/>
  <c r="AT71" i="11"/>
  <c r="AS71" i="11"/>
  <c r="AR71" i="11"/>
  <c r="CI70" i="11"/>
  <c r="CB70" i="11"/>
  <c r="CA70" i="11"/>
  <c r="BZ70" i="11"/>
  <c r="BW70" i="11"/>
  <c r="BU70" i="11"/>
  <c r="BS70" i="11"/>
  <c r="BR70" i="11"/>
  <c r="BQ70" i="11"/>
  <c r="BO70" i="11"/>
  <c r="BN70" i="11"/>
  <c r="BM70" i="11"/>
  <c r="BL70" i="11"/>
  <c r="BJ70" i="11"/>
  <c r="BI70" i="11"/>
  <c r="BH70" i="11"/>
  <c r="BG70" i="11"/>
  <c r="BF70" i="11"/>
  <c r="BE70" i="11"/>
  <c r="BD70" i="11"/>
  <c r="BC70" i="11"/>
  <c r="BB70" i="11"/>
  <c r="BA70" i="11"/>
  <c r="AZ70" i="11"/>
  <c r="AY70" i="11"/>
  <c r="AX70" i="11"/>
  <c r="AW70" i="11"/>
  <c r="AV70" i="11"/>
  <c r="AU70" i="11"/>
  <c r="AT70" i="11"/>
  <c r="AS70" i="11"/>
  <c r="AR70" i="11"/>
  <c r="CI69" i="11"/>
  <c r="CE69" i="11"/>
  <c r="CD69" i="11"/>
  <c r="CB69" i="11"/>
  <c r="CA69" i="11"/>
  <c r="BZ69" i="11"/>
  <c r="BW69" i="11"/>
  <c r="BU69" i="11"/>
  <c r="BS69" i="11"/>
  <c r="BR69" i="11"/>
  <c r="BQ69" i="11"/>
  <c r="BO69" i="11"/>
  <c r="BN69" i="11"/>
  <c r="BM69" i="11"/>
  <c r="BL69" i="11"/>
  <c r="BJ69" i="11"/>
  <c r="BI69" i="11"/>
  <c r="BH69" i="11"/>
  <c r="BG69" i="11"/>
  <c r="BF69" i="11"/>
  <c r="BE69" i="11"/>
  <c r="BD69" i="11"/>
  <c r="BC69" i="11"/>
  <c r="BB69" i="11"/>
  <c r="BA69" i="11"/>
  <c r="AZ69" i="11"/>
  <c r="AY69" i="11"/>
  <c r="AX69" i="11"/>
  <c r="AW69" i="11"/>
  <c r="AV69" i="11"/>
  <c r="AU69" i="11"/>
  <c r="AT69" i="11"/>
  <c r="AS69" i="11"/>
  <c r="AR69" i="11"/>
  <c r="CI68" i="11"/>
  <c r="CE68" i="11"/>
  <c r="CD68" i="11"/>
  <c r="CB68" i="11"/>
  <c r="CA68" i="11"/>
  <c r="BZ68" i="11"/>
  <c r="BW68" i="11"/>
  <c r="BU68" i="11"/>
  <c r="BS68" i="11"/>
  <c r="BR68" i="11"/>
  <c r="BQ68" i="11"/>
  <c r="BO68" i="11"/>
  <c r="BN68" i="11"/>
  <c r="BM68" i="11"/>
  <c r="BL68" i="11"/>
  <c r="BJ68" i="11"/>
  <c r="BI68" i="11"/>
  <c r="BH68" i="11"/>
  <c r="BG68" i="11"/>
  <c r="BF68" i="11"/>
  <c r="BE68" i="11"/>
  <c r="BD68" i="11"/>
  <c r="BC68" i="11"/>
  <c r="BB68" i="11"/>
  <c r="BA68" i="11"/>
  <c r="AZ68" i="11"/>
  <c r="AY68" i="11"/>
  <c r="AX68" i="11"/>
  <c r="AW68" i="11"/>
  <c r="AV68" i="11"/>
  <c r="AU68" i="11"/>
  <c r="AT68" i="11"/>
  <c r="AS68" i="11"/>
  <c r="AR68" i="11"/>
  <c r="CI67" i="11"/>
  <c r="CE67" i="11"/>
  <c r="CD67" i="11"/>
  <c r="CB67" i="11"/>
  <c r="CA67" i="11"/>
  <c r="BZ67" i="11"/>
  <c r="BW67" i="11"/>
  <c r="BU67" i="11"/>
  <c r="BS67" i="11"/>
  <c r="BR67" i="11"/>
  <c r="BQ67" i="11"/>
  <c r="BO67" i="11"/>
  <c r="BN67" i="11"/>
  <c r="BM67" i="11"/>
  <c r="BL67" i="11"/>
  <c r="BJ67" i="11"/>
  <c r="BI67" i="11"/>
  <c r="BH67" i="11"/>
  <c r="BG67" i="11"/>
  <c r="BF67" i="11"/>
  <c r="BE67" i="11"/>
  <c r="BD67" i="11"/>
  <c r="BC67" i="11"/>
  <c r="BB67" i="11"/>
  <c r="BA67" i="11"/>
  <c r="AZ67" i="11"/>
  <c r="AY67" i="11"/>
  <c r="AX67" i="11"/>
  <c r="AW67" i="11"/>
  <c r="AV67" i="11"/>
  <c r="AU67" i="11"/>
  <c r="AT67" i="11"/>
  <c r="AS67" i="11"/>
  <c r="AR67" i="11"/>
  <c r="CI66" i="11"/>
  <c r="CE66" i="11"/>
  <c r="CD66" i="11"/>
  <c r="CB66" i="11"/>
  <c r="CA66" i="11"/>
  <c r="BZ66" i="11"/>
  <c r="BW66" i="11"/>
  <c r="BU66" i="11"/>
  <c r="BS66" i="11"/>
  <c r="BR66" i="11"/>
  <c r="BQ66" i="11"/>
  <c r="BO66" i="11"/>
  <c r="BN66" i="11"/>
  <c r="BM66" i="11"/>
  <c r="BL66" i="11"/>
  <c r="BJ66" i="11"/>
  <c r="BI66" i="11"/>
  <c r="BH66" i="11"/>
  <c r="BG66" i="11"/>
  <c r="BF66" i="11"/>
  <c r="BE66" i="11"/>
  <c r="BD66" i="11"/>
  <c r="BC66" i="11"/>
  <c r="BB66" i="11"/>
  <c r="BA66" i="11"/>
  <c r="AZ66" i="11"/>
  <c r="AY66" i="11"/>
  <c r="AX66" i="11"/>
  <c r="AW66" i="11"/>
  <c r="AV66" i="11"/>
  <c r="AU66" i="11"/>
  <c r="AT66" i="11"/>
  <c r="AS66" i="11"/>
  <c r="AR66" i="11"/>
  <c r="CI65" i="11"/>
  <c r="CE65" i="11"/>
  <c r="CD65" i="11"/>
  <c r="CB65" i="11"/>
  <c r="CA65" i="11"/>
  <c r="BZ65" i="11"/>
  <c r="BW65" i="11"/>
  <c r="BU65" i="11"/>
  <c r="BS65" i="11"/>
  <c r="BR65" i="11"/>
  <c r="BQ65" i="11"/>
  <c r="BO65" i="11"/>
  <c r="BN65" i="11"/>
  <c r="BM65" i="11"/>
  <c r="BL65" i="11"/>
  <c r="BJ65" i="11"/>
  <c r="BI65" i="11"/>
  <c r="BH65" i="11"/>
  <c r="BG65" i="11"/>
  <c r="BF65" i="11"/>
  <c r="BE65" i="11"/>
  <c r="BD65" i="11"/>
  <c r="BC65" i="11"/>
  <c r="BB65" i="11"/>
  <c r="BA65" i="11"/>
  <c r="AZ65" i="11"/>
  <c r="AY65" i="11"/>
  <c r="AX65" i="11"/>
  <c r="AW65" i="11"/>
  <c r="AV65" i="11"/>
  <c r="AU65" i="11"/>
  <c r="AT65" i="11"/>
  <c r="AS65" i="11"/>
  <c r="AR65" i="11"/>
  <c r="CI64" i="11"/>
  <c r="CE64" i="11"/>
  <c r="CD64" i="11"/>
  <c r="CB64" i="11"/>
  <c r="CA64" i="11"/>
  <c r="BZ64" i="11"/>
  <c r="BW64" i="11"/>
  <c r="BU64" i="11"/>
  <c r="BS64" i="11"/>
  <c r="BR64" i="11"/>
  <c r="BQ64" i="11"/>
  <c r="BO64" i="11"/>
  <c r="BN64" i="11"/>
  <c r="BM64" i="11"/>
  <c r="BL64" i="11"/>
  <c r="BJ64" i="11"/>
  <c r="BI64" i="11"/>
  <c r="BH64" i="11"/>
  <c r="BG64" i="11"/>
  <c r="BF64" i="11"/>
  <c r="BE64" i="11"/>
  <c r="BD64" i="11"/>
  <c r="BC64" i="11"/>
  <c r="BB64" i="11"/>
  <c r="BA64" i="11"/>
  <c r="AZ64" i="11"/>
  <c r="AY64" i="11"/>
  <c r="AX64" i="11"/>
  <c r="AW64" i="11"/>
  <c r="AV64" i="11"/>
  <c r="AU64" i="11"/>
  <c r="AT64" i="11"/>
  <c r="AS64" i="11"/>
  <c r="AR64" i="11"/>
  <c r="BY64" i="11" s="1"/>
  <c r="CG64" i="11" s="1"/>
  <c r="C252" i="5"/>
  <c r="C253" i="5"/>
  <c r="C254" i="5"/>
  <c r="C255" i="5"/>
  <c r="C256" i="5"/>
  <c r="C257" i="5"/>
  <c r="C258" i="5"/>
  <c r="C259" i="5"/>
  <c r="C260" i="5"/>
  <c r="C261" i="5"/>
  <c r="C262" i="5"/>
  <c r="C263" i="5"/>
  <c r="C264" i="5"/>
  <c r="C265" i="5"/>
  <c r="C266" i="5"/>
  <c r="C267" i="5"/>
  <c r="C268" i="5"/>
  <c r="C269" i="5"/>
  <c r="C270" i="5"/>
  <c r="C271" i="5"/>
  <c r="C272" i="5"/>
  <c r="C273" i="5"/>
  <c r="C274" i="5"/>
  <c r="C275" i="5"/>
  <c r="C276" i="5"/>
  <c r="C277" i="5"/>
  <c r="C278" i="5"/>
  <c r="C279" i="5"/>
  <c r="C280" i="5"/>
  <c r="C281" i="5"/>
  <c r="C282" i="5"/>
  <c r="C283" i="5"/>
  <c r="C284" i="5"/>
  <c r="C285" i="5"/>
  <c r="C286" i="5"/>
  <c r="C287" i="5"/>
  <c r="C288" i="5"/>
  <c r="C289" i="5"/>
  <c r="C290" i="5"/>
  <c r="C291" i="5"/>
  <c r="C292" i="5"/>
  <c r="C293" i="5"/>
  <c r="C294" i="5"/>
  <c r="C295" i="5"/>
  <c r="C296" i="5"/>
  <c r="C297" i="5"/>
  <c r="C298" i="5"/>
  <c r="C299" i="5"/>
  <c r="C300" i="5"/>
  <c r="C301" i="5"/>
  <c r="C251" i="5"/>
  <c r="CI63" i="11"/>
  <c r="CE63" i="11"/>
  <c r="CD63" i="11"/>
  <c r="CB63" i="11"/>
  <c r="CA63" i="11"/>
  <c r="BZ63" i="11"/>
  <c r="BW63" i="11"/>
  <c r="BU63" i="11"/>
  <c r="BS63" i="11"/>
  <c r="BR63" i="11"/>
  <c r="BQ63" i="11"/>
  <c r="BO63" i="11"/>
  <c r="BN63" i="11"/>
  <c r="BM63" i="11"/>
  <c r="BL63" i="11"/>
  <c r="BJ63" i="11"/>
  <c r="BI63" i="11"/>
  <c r="BH63" i="11"/>
  <c r="BG63" i="11"/>
  <c r="BF63" i="11"/>
  <c r="BE63" i="11"/>
  <c r="BD63" i="11"/>
  <c r="BC63" i="11"/>
  <c r="BB63" i="11"/>
  <c r="BA63" i="11"/>
  <c r="AZ63" i="11"/>
  <c r="AY63" i="11"/>
  <c r="AX63" i="11"/>
  <c r="AW63" i="11"/>
  <c r="AV63" i="11"/>
  <c r="AU63" i="11"/>
  <c r="AT63" i="11"/>
  <c r="AS63" i="11"/>
  <c r="AR63" i="11"/>
  <c r="CI62" i="11"/>
  <c r="CE62" i="11"/>
  <c r="CD62" i="11"/>
  <c r="CB62" i="11"/>
  <c r="CA62" i="11"/>
  <c r="BZ62" i="11"/>
  <c r="BU62" i="11"/>
  <c r="BS62" i="11"/>
  <c r="BR62" i="11"/>
  <c r="BQ62" i="11"/>
  <c r="BO62" i="11"/>
  <c r="BN62" i="11"/>
  <c r="BM62" i="11"/>
  <c r="BL62" i="11"/>
  <c r="BJ62" i="11"/>
  <c r="BI62" i="11"/>
  <c r="BH62" i="11"/>
  <c r="BG62" i="11"/>
  <c r="BF62" i="11"/>
  <c r="BE62" i="11"/>
  <c r="BD62" i="11"/>
  <c r="BC62" i="11"/>
  <c r="BB62" i="11"/>
  <c r="BA62" i="11"/>
  <c r="AZ62" i="11"/>
  <c r="AY62" i="11"/>
  <c r="AX62" i="11"/>
  <c r="AW62" i="11"/>
  <c r="AV62" i="11"/>
  <c r="AU62" i="11"/>
  <c r="AT62" i="11"/>
  <c r="AS62" i="11"/>
  <c r="AR62" i="11"/>
  <c r="CI61" i="11"/>
  <c r="CE61" i="11"/>
  <c r="CB61" i="11"/>
  <c r="CA61" i="11"/>
  <c r="BZ61" i="11"/>
  <c r="BU61" i="11"/>
  <c r="BS61" i="11"/>
  <c r="BR61" i="11"/>
  <c r="BQ61" i="11"/>
  <c r="BO61" i="11"/>
  <c r="BN61" i="11"/>
  <c r="BM61" i="11"/>
  <c r="BL61" i="11"/>
  <c r="BJ61" i="11"/>
  <c r="BI61" i="11"/>
  <c r="BH61" i="11"/>
  <c r="BG61" i="11"/>
  <c r="BF61" i="11"/>
  <c r="BE61" i="11"/>
  <c r="BD61" i="11"/>
  <c r="BC61" i="11"/>
  <c r="BB61" i="11"/>
  <c r="BA61" i="11"/>
  <c r="AZ61" i="11"/>
  <c r="AY61" i="11"/>
  <c r="AX61" i="11"/>
  <c r="AW61" i="11"/>
  <c r="AV61" i="11"/>
  <c r="AU61" i="11"/>
  <c r="AT61" i="11"/>
  <c r="AS61" i="11"/>
  <c r="AR61" i="11"/>
  <c r="CI60" i="11"/>
  <c r="CE60" i="11"/>
  <c r="CB60" i="11"/>
  <c r="CA60" i="11"/>
  <c r="BZ60" i="11"/>
  <c r="BU60" i="11"/>
  <c r="BS60" i="11"/>
  <c r="BR60" i="11"/>
  <c r="BQ60" i="11"/>
  <c r="BO60" i="11"/>
  <c r="BN60" i="11"/>
  <c r="BM60" i="11"/>
  <c r="BL60" i="11"/>
  <c r="BJ60" i="11"/>
  <c r="BI60" i="11"/>
  <c r="BH60" i="11"/>
  <c r="BG60" i="11"/>
  <c r="BF60" i="11"/>
  <c r="BE60" i="11"/>
  <c r="BD60" i="11"/>
  <c r="BC60" i="11"/>
  <c r="BB60" i="11"/>
  <c r="BA60" i="11"/>
  <c r="AZ60" i="11"/>
  <c r="AY60" i="11"/>
  <c r="AX60" i="11"/>
  <c r="AW60" i="11"/>
  <c r="AV60" i="11"/>
  <c r="AU60" i="11"/>
  <c r="AT60" i="11"/>
  <c r="AS60" i="11"/>
  <c r="AR60" i="11"/>
  <c r="CI59" i="11"/>
  <c r="CE59" i="11"/>
  <c r="CB59" i="11"/>
  <c r="CA59" i="11"/>
  <c r="BZ59" i="11"/>
  <c r="BW59" i="11"/>
  <c r="BS59" i="11"/>
  <c r="BR59" i="11"/>
  <c r="BQ59" i="11"/>
  <c r="BO59" i="11"/>
  <c r="BN59" i="11"/>
  <c r="BM59" i="11"/>
  <c r="BL59" i="11"/>
  <c r="BJ59" i="11"/>
  <c r="BI59" i="11"/>
  <c r="BH59" i="11"/>
  <c r="BG59" i="11"/>
  <c r="BF59" i="11"/>
  <c r="BE59" i="11"/>
  <c r="BD59" i="11"/>
  <c r="BC59" i="11"/>
  <c r="BB59" i="11"/>
  <c r="BA59" i="11"/>
  <c r="AZ59" i="11"/>
  <c r="AY59" i="11"/>
  <c r="AX59" i="11"/>
  <c r="AW59" i="11"/>
  <c r="AV59" i="11"/>
  <c r="AU59" i="11"/>
  <c r="AT59" i="11"/>
  <c r="AS59" i="11"/>
  <c r="AR59" i="11"/>
  <c r="CI58" i="11"/>
  <c r="CE58" i="11"/>
  <c r="CD58" i="11"/>
  <c r="CB58" i="11"/>
  <c r="CA58" i="11"/>
  <c r="BZ58" i="11"/>
  <c r="BW58" i="11"/>
  <c r="BU58" i="11"/>
  <c r="BS58" i="11"/>
  <c r="BR58" i="11"/>
  <c r="BQ58" i="11"/>
  <c r="BO58" i="11"/>
  <c r="BN58" i="11"/>
  <c r="BM58" i="11"/>
  <c r="BL58" i="11"/>
  <c r="BJ58" i="11"/>
  <c r="BI58" i="11"/>
  <c r="BH58" i="11"/>
  <c r="BG58" i="11"/>
  <c r="BF58" i="11"/>
  <c r="BE58" i="11"/>
  <c r="BD58" i="11"/>
  <c r="BC58" i="11"/>
  <c r="BB58" i="11"/>
  <c r="BA58" i="11"/>
  <c r="AZ58" i="11"/>
  <c r="AY58" i="11"/>
  <c r="AX58" i="11"/>
  <c r="AW58" i="11"/>
  <c r="AV58" i="11"/>
  <c r="AU58" i="11"/>
  <c r="AT58" i="11"/>
  <c r="AS58" i="11"/>
  <c r="AR58" i="11"/>
  <c r="CI57" i="11"/>
  <c r="CE57" i="11"/>
  <c r="CD57" i="11"/>
  <c r="CB57" i="11"/>
  <c r="CA57" i="11"/>
  <c r="BZ57" i="11"/>
  <c r="BW57" i="11"/>
  <c r="BU57" i="11"/>
  <c r="BS57" i="11"/>
  <c r="BR57" i="11"/>
  <c r="BQ57" i="11"/>
  <c r="BO57" i="11"/>
  <c r="BN57" i="11"/>
  <c r="BM57" i="11"/>
  <c r="BL57" i="11"/>
  <c r="BJ57" i="11"/>
  <c r="BI57" i="11"/>
  <c r="BH57" i="11"/>
  <c r="BG57" i="11"/>
  <c r="BF57" i="11"/>
  <c r="BE57" i="11"/>
  <c r="BD57" i="11"/>
  <c r="BC57" i="11"/>
  <c r="BB57" i="11"/>
  <c r="BA57" i="11"/>
  <c r="AZ57" i="11"/>
  <c r="AY57" i="11"/>
  <c r="AX57" i="11"/>
  <c r="AW57" i="11"/>
  <c r="AV57" i="11"/>
  <c r="AU57" i="11"/>
  <c r="AT57" i="11"/>
  <c r="AS57" i="11"/>
  <c r="AR57" i="11"/>
  <c r="CI56" i="11"/>
  <c r="CE56" i="11"/>
  <c r="CD56" i="11"/>
  <c r="CB56" i="11"/>
  <c r="CA56" i="11"/>
  <c r="BZ56" i="11"/>
  <c r="BW56" i="11"/>
  <c r="BU56" i="11"/>
  <c r="BS56" i="11"/>
  <c r="BR56" i="11"/>
  <c r="BQ56" i="11"/>
  <c r="BO56" i="11"/>
  <c r="BN56" i="11"/>
  <c r="BM56" i="11"/>
  <c r="BL56" i="11"/>
  <c r="BJ56" i="11"/>
  <c r="BI56" i="11"/>
  <c r="BH56" i="11"/>
  <c r="BG56" i="11"/>
  <c r="BF56" i="11"/>
  <c r="BE56" i="11"/>
  <c r="BD56" i="11"/>
  <c r="BC56" i="11"/>
  <c r="BB56" i="11"/>
  <c r="BA56" i="11"/>
  <c r="AZ56" i="11"/>
  <c r="AY56" i="11"/>
  <c r="AX56" i="11"/>
  <c r="AW56" i="11"/>
  <c r="AV56" i="11"/>
  <c r="AU56" i="11"/>
  <c r="AT56" i="11"/>
  <c r="AS56" i="11"/>
  <c r="AR56" i="11"/>
  <c r="CI55" i="11"/>
  <c r="CE55" i="11"/>
  <c r="CD55" i="11"/>
  <c r="CB55" i="11"/>
  <c r="CA55" i="11"/>
  <c r="BZ55" i="11"/>
  <c r="BW55" i="11"/>
  <c r="BU55" i="11"/>
  <c r="BS55" i="11"/>
  <c r="BR55" i="11"/>
  <c r="BQ55" i="11"/>
  <c r="BO55" i="11"/>
  <c r="BN55" i="11"/>
  <c r="BM55" i="11"/>
  <c r="BL55" i="11"/>
  <c r="BJ55" i="11"/>
  <c r="BI55" i="11"/>
  <c r="BH55" i="11"/>
  <c r="BG55" i="11"/>
  <c r="BF55" i="11"/>
  <c r="BE55" i="11"/>
  <c r="BD55" i="11"/>
  <c r="BC55" i="11"/>
  <c r="BB55" i="11"/>
  <c r="BA55" i="11"/>
  <c r="AZ55" i="11"/>
  <c r="AY55" i="11"/>
  <c r="AX55" i="11"/>
  <c r="AW55" i="11"/>
  <c r="AV55" i="11"/>
  <c r="AU55" i="11"/>
  <c r="AT55" i="11"/>
  <c r="AS55" i="11"/>
  <c r="AR55" i="11"/>
  <c r="CI54" i="11"/>
  <c r="CE54" i="11"/>
  <c r="CD54" i="11"/>
  <c r="CB54" i="11"/>
  <c r="CA54" i="11"/>
  <c r="BZ54" i="11"/>
  <c r="BW54" i="11"/>
  <c r="BU54" i="11"/>
  <c r="BS54" i="11"/>
  <c r="BR54" i="11"/>
  <c r="BQ54" i="11"/>
  <c r="BO54" i="11"/>
  <c r="BN54" i="11"/>
  <c r="BM54" i="11"/>
  <c r="BL54" i="11"/>
  <c r="BJ54" i="11"/>
  <c r="BI54" i="11"/>
  <c r="BH54" i="11"/>
  <c r="BG54" i="11"/>
  <c r="BF54" i="11"/>
  <c r="BE54" i="11"/>
  <c r="BD54" i="11"/>
  <c r="BC54" i="11"/>
  <c r="BB54" i="11"/>
  <c r="BA54" i="11"/>
  <c r="AZ54" i="11"/>
  <c r="AY54" i="11"/>
  <c r="AX54" i="11"/>
  <c r="AW54" i="11"/>
  <c r="AV54" i="11"/>
  <c r="AU54" i="11"/>
  <c r="AT54" i="11"/>
  <c r="AS54" i="11"/>
  <c r="AR54" i="11"/>
  <c r="CI53" i="11"/>
  <c r="CE53" i="11"/>
  <c r="CB53" i="11"/>
  <c r="CA53" i="11"/>
  <c r="BZ53" i="11"/>
  <c r="BU53" i="11"/>
  <c r="BS53" i="11"/>
  <c r="BR53" i="11"/>
  <c r="BQ53" i="11"/>
  <c r="BO53" i="11"/>
  <c r="BN53" i="11"/>
  <c r="BM53" i="11"/>
  <c r="BL53" i="11"/>
  <c r="BJ53" i="11"/>
  <c r="BI53" i="11"/>
  <c r="BH53" i="11"/>
  <c r="BG53" i="11"/>
  <c r="BF53" i="11"/>
  <c r="BE53" i="11"/>
  <c r="BD53" i="11"/>
  <c r="BC53" i="11"/>
  <c r="BB53" i="11"/>
  <c r="BA53" i="11"/>
  <c r="AZ53" i="11"/>
  <c r="AY53" i="11"/>
  <c r="AX53" i="11"/>
  <c r="AW53" i="11"/>
  <c r="AV53" i="11"/>
  <c r="AU53" i="11"/>
  <c r="AT53" i="11"/>
  <c r="AS53" i="11"/>
  <c r="AR53" i="11"/>
  <c r="CI52" i="11"/>
  <c r="CB52" i="11"/>
  <c r="CA52" i="11"/>
  <c r="BZ52" i="11"/>
  <c r="BU52" i="11"/>
  <c r="BS52" i="11"/>
  <c r="BR52" i="11"/>
  <c r="BQ52" i="11"/>
  <c r="BO52" i="11"/>
  <c r="BN52" i="11"/>
  <c r="BM52" i="11"/>
  <c r="BL52" i="11"/>
  <c r="BJ52" i="11"/>
  <c r="BI52" i="11"/>
  <c r="BH52" i="11"/>
  <c r="BG52" i="11"/>
  <c r="BF52" i="11"/>
  <c r="BE52" i="11"/>
  <c r="BD52" i="11"/>
  <c r="BC52" i="11"/>
  <c r="BB52" i="11"/>
  <c r="BA52" i="11"/>
  <c r="AZ52" i="11"/>
  <c r="AY52" i="11"/>
  <c r="AX52" i="11"/>
  <c r="AW52" i="11"/>
  <c r="AV52" i="11"/>
  <c r="AU52" i="11"/>
  <c r="AT52" i="11"/>
  <c r="AS52" i="11"/>
  <c r="AR52" i="11"/>
  <c r="CI51" i="11"/>
  <c r="CB51" i="11"/>
  <c r="CA51" i="11"/>
  <c r="BZ51" i="11"/>
  <c r="BU51" i="11"/>
  <c r="BS51" i="11"/>
  <c r="BR51" i="11"/>
  <c r="BQ51" i="11"/>
  <c r="BO51" i="11"/>
  <c r="BN51" i="11"/>
  <c r="BM51" i="11"/>
  <c r="BL51" i="11"/>
  <c r="BJ51" i="11"/>
  <c r="BI51" i="11"/>
  <c r="BH51" i="11"/>
  <c r="BG51" i="11"/>
  <c r="BF51" i="11"/>
  <c r="BE51" i="11"/>
  <c r="BD51" i="11"/>
  <c r="BC51" i="11"/>
  <c r="BB51" i="11"/>
  <c r="BA51" i="11"/>
  <c r="AZ51" i="11"/>
  <c r="AY51" i="11"/>
  <c r="AX51" i="11"/>
  <c r="AW51" i="11"/>
  <c r="AV51" i="11"/>
  <c r="AU51" i="11"/>
  <c r="AT51" i="11"/>
  <c r="AS51" i="11"/>
  <c r="AR51" i="11"/>
  <c r="CI50" i="11"/>
  <c r="CB50" i="11"/>
  <c r="CA50" i="11"/>
  <c r="BZ50" i="11"/>
  <c r="BU50" i="11"/>
  <c r="BS50" i="11"/>
  <c r="BR50" i="11"/>
  <c r="BQ50" i="11"/>
  <c r="BO50" i="11"/>
  <c r="BN50" i="11"/>
  <c r="BM50" i="11"/>
  <c r="BL50" i="11"/>
  <c r="BJ50" i="11"/>
  <c r="BI50" i="11"/>
  <c r="BH50" i="11"/>
  <c r="BG50" i="11"/>
  <c r="BF50" i="11"/>
  <c r="BE50" i="11"/>
  <c r="BD50" i="11"/>
  <c r="BC50" i="11"/>
  <c r="BB50" i="11"/>
  <c r="BA50" i="11"/>
  <c r="AZ50" i="11"/>
  <c r="AY50" i="11"/>
  <c r="AX50" i="11"/>
  <c r="AW50" i="11"/>
  <c r="AV50" i="11"/>
  <c r="AU50" i="11"/>
  <c r="AT50" i="11"/>
  <c r="AS50" i="11"/>
  <c r="AR50" i="11"/>
  <c r="BY50" i="11" s="1"/>
  <c r="CG50" i="11" s="1"/>
  <c r="CI49" i="11"/>
  <c r="CB49" i="11"/>
  <c r="CA49" i="11"/>
  <c r="BZ49" i="11"/>
  <c r="BW49" i="11"/>
  <c r="BU49" i="11"/>
  <c r="BS49" i="11"/>
  <c r="BR49" i="11"/>
  <c r="BQ49" i="11"/>
  <c r="BO49" i="11"/>
  <c r="BN49" i="11"/>
  <c r="BM49" i="11"/>
  <c r="BL49" i="11"/>
  <c r="BJ49" i="11"/>
  <c r="BI49" i="11"/>
  <c r="BH49" i="11"/>
  <c r="BG49" i="11"/>
  <c r="BF49" i="11"/>
  <c r="BE49" i="11"/>
  <c r="BD49" i="11"/>
  <c r="BC49" i="11"/>
  <c r="BB49" i="11"/>
  <c r="BA49" i="11"/>
  <c r="AZ49" i="11"/>
  <c r="AY49" i="11"/>
  <c r="AX49" i="11"/>
  <c r="AW49" i="11"/>
  <c r="AV49" i="11"/>
  <c r="AU49" i="11"/>
  <c r="AT49" i="11"/>
  <c r="AS49" i="11"/>
  <c r="AR49" i="11"/>
  <c r="CI48" i="11"/>
  <c r="CB48" i="11"/>
  <c r="CA48" i="11"/>
  <c r="BZ48" i="11"/>
  <c r="BU48" i="11"/>
  <c r="BS48" i="11"/>
  <c r="BR48" i="11"/>
  <c r="BQ48" i="11"/>
  <c r="BO48" i="11"/>
  <c r="BN48" i="11"/>
  <c r="BM48" i="11"/>
  <c r="BL48" i="11"/>
  <c r="BJ48" i="11"/>
  <c r="BI48" i="11"/>
  <c r="BH48" i="11"/>
  <c r="BG48" i="11"/>
  <c r="BF48" i="11"/>
  <c r="BE48" i="11"/>
  <c r="BD48" i="11"/>
  <c r="BC48" i="11"/>
  <c r="BB48" i="11"/>
  <c r="BA48" i="11"/>
  <c r="AZ48" i="11"/>
  <c r="AY48" i="11"/>
  <c r="AX48" i="11"/>
  <c r="AW48" i="11"/>
  <c r="AV48" i="11"/>
  <c r="AU48" i="11"/>
  <c r="AT48" i="11"/>
  <c r="AS48" i="11"/>
  <c r="AR48" i="11"/>
  <c r="CI47" i="11"/>
  <c r="CE47" i="11"/>
  <c r="CD47" i="11"/>
  <c r="CC47" i="11"/>
  <c r="CB47" i="11"/>
  <c r="CA47" i="11"/>
  <c r="BZ47" i="11"/>
  <c r="BU47" i="11"/>
  <c r="BS47" i="11"/>
  <c r="BR47" i="11"/>
  <c r="BQ47" i="11"/>
  <c r="BO47" i="11"/>
  <c r="BN47" i="11"/>
  <c r="BM47" i="11"/>
  <c r="BL47" i="11"/>
  <c r="BJ47" i="11"/>
  <c r="BI47" i="11"/>
  <c r="BH47" i="11"/>
  <c r="BG47" i="11"/>
  <c r="BF47" i="11"/>
  <c r="BE47" i="11"/>
  <c r="BD47" i="11"/>
  <c r="BC47" i="11"/>
  <c r="BB47" i="11"/>
  <c r="BA47" i="11"/>
  <c r="AZ47" i="11"/>
  <c r="AY47" i="11"/>
  <c r="AX47" i="11"/>
  <c r="AW47" i="11"/>
  <c r="AV47" i="11"/>
  <c r="AU47" i="11"/>
  <c r="AT47" i="11"/>
  <c r="AS47" i="11"/>
  <c r="AR47" i="11"/>
  <c r="BY47" i="11" s="1"/>
  <c r="CG47" i="11" s="1"/>
  <c r="AR46" i="11"/>
  <c r="BY46" i="11" s="1"/>
  <c r="CG46" i="11" s="1"/>
  <c r="AS46" i="11"/>
  <c r="AT46" i="11"/>
  <c r="AU46" i="11"/>
  <c r="AV46" i="11"/>
  <c r="AW46" i="11"/>
  <c r="AX46" i="11"/>
  <c r="AY46" i="11"/>
  <c r="AZ46" i="11"/>
  <c r="BA46" i="11"/>
  <c r="BB46" i="11"/>
  <c r="BC46" i="11"/>
  <c r="BD46" i="11"/>
  <c r="BE46" i="11"/>
  <c r="BF46" i="11"/>
  <c r="BG46" i="11"/>
  <c r="BH46" i="11"/>
  <c r="BI46" i="11"/>
  <c r="BJ46" i="11"/>
  <c r="BL46" i="11"/>
  <c r="BM46" i="11"/>
  <c r="BN46" i="11"/>
  <c r="BO46" i="11"/>
  <c r="BQ46" i="11"/>
  <c r="BR46" i="11"/>
  <c r="BS46" i="11"/>
  <c r="BU46" i="11"/>
  <c r="BZ46" i="11"/>
  <c r="CA46" i="11"/>
  <c r="CB46" i="11"/>
  <c r="CC46" i="11"/>
  <c r="CD46" i="11"/>
  <c r="CE46" i="11"/>
  <c r="CI46" i="11"/>
  <c r="CI45" i="11"/>
  <c r="CE45" i="11"/>
  <c r="CD45" i="11"/>
  <c r="CB45" i="11"/>
  <c r="CA45" i="11"/>
  <c r="BZ45" i="11"/>
  <c r="BW45" i="11"/>
  <c r="BS45" i="11"/>
  <c r="BR45" i="11"/>
  <c r="BQ45" i="11"/>
  <c r="BO45" i="11"/>
  <c r="BN45" i="11"/>
  <c r="BM45" i="11"/>
  <c r="BL45" i="11"/>
  <c r="BJ45" i="11"/>
  <c r="BI45" i="11"/>
  <c r="BH45" i="11"/>
  <c r="BG45" i="11"/>
  <c r="BF45" i="11"/>
  <c r="BE45" i="11"/>
  <c r="BD45" i="11"/>
  <c r="BC45" i="11"/>
  <c r="BB45" i="11"/>
  <c r="BA45" i="11"/>
  <c r="AZ45" i="11"/>
  <c r="AY45" i="11"/>
  <c r="AX45" i="11"/>
  <c r="AW45" i="11"/>
  <c r="AV45" i="11"/>
  <c r="AU45" i="11"/>
  <c r="AT45" i="11"/>
  <c r="AS45" i="11"/>
  <c r="AR45" i="11"/>
  <c r="CI44" i="11"/>
  <c r="CB44" i="11"/>
  <c r="CA44" i="11"/>
  <c r="BZ44" i="11"/>
  <c r="BS44" i="11"/>
  <c r="BR44" i="11"/>
  <c r="BQ44" i="11"/>
  <c r="BO44" i="11"/>
  <c r="BN44" i="11"/>
  <c r="BM44" i="11"/>
  <c r="BL44" i="11"/>
  <c r="BJ44" i="11"/>
  <c r="BI44" i="11"/>
  <c r="BH44" i="11"/>
  <c r="BG44" i="11"/>
  <c r="BF44" i="11"/>
  <c r="BE44" i="11"/>
  <c r="BD44" i="11"/>
  <c r="BC44" i="11"/>
  <c r="BB44" i="11"/>
  <c r="BA44" i="11"/>
  <c r="AZ44" i="11"/>
  <c r="AY44" i="11"/>
  <c r="AX44" i="11"/>
  <c r="AW44" i="11"/>
  <c r="AV44" i="11"/>
  <c r="AU44" i="11"/>
  <c r="AT44" i="11"/>
  <c r="AS44" i="11"/>
  <c r="AR44" i="11"/>
  <c r="CI43" i="11"/>
  <c r="CE43" i="11"/>
  <c r="CD43" i="11"/>
  <c r="CC43" i="11"/>
  <c r="CB43" i="11"/>
  <c r="CA43" i="11"/>
  <c r="BZ43" i="11"/>
  <c r="BS43" i="11"/>
  <c r="BR43" i="11"/>
  <c r="BQ43" i="11"/>
  <c r="BO43" i="11"/>
  <c r="BN43" i="11"/>
  <c r="BM43" i="11"/>
  <c r="BL43" i="11"/>
  <c r="BJ43" i="11"/>
  <c r="BI43" i="11"/>
  <c r="BH43" i="11"/>
  <c r="BG43" i="11"/>
  <c r="BF43" i="11"/>
  <c r="BE43" i="11"/>
  <c r="BD43" i="11"/>
  <c r="BC43" i="11"/>
  <c r="BB43" i="11"/>
  <c r="BA43" i="11"/>
  <c r="AZ43" i="11"/>
  <c r="AY43" i="11"/>
  <c r="AX43" i="11"/>
  <c r="AW43" i="11"/>
  <c r="AV43" i="11"/>
  <c r="AU43" i="11"/>
  <c r="AT43" i="11"/>
  <c r="AS43" i="11"/>
  <c r="AR43" i="11"/>
  <c r="CI42" i="11"/>
  <c r="CE42" i="11"/>
  <c r="CB42" i="11"/>
  <c r="CA42" i="11"/>
  <c r="BZ42" i="11"/>
  <c r="BW42" i="11"/>
  <c r="BS42" i="11"/>
  <c r="BR42" i="11"/>
  <c r="BQ42" i="11"/>
  <c r="BO42" i="11"/>
  <c r="BN42" i="11"/>
  <c r="BM42" i="11"/>
  <c r="BL42" i="11"/>
  <c r="BJ42" i="11"/>
  <c r="BI42" i="11"/>
  <c r="BH42" i="11"/>
  <c r="BG42" i="11"/>
  <c r="BF42" i="11"/>
  <c r="BE42" i="11"/>
  <c r="BD42" i="11"/>
  <c r="BC42" i="11"/>
  <c r="BB42" i="11"/>
  <c r="BA42" i="11"/>
  <c r="AZ42" i="11"/>
  <c r="AY42" i="11"/>
  <c r="AX42" i="11"/>
  <c r="AW42" i="11"/>
  <c r="AV42" i="11"/>
  <c r="AU42" i="11"/>
  <c r="AT42" i="11"/>
  <c r="AS42" i="11"/>
  <c r="AR42" i="11"/>
  <c r="CI41" i="11"/>
  <c r="CE41" i="11"/>
  <c r="CD41" i="11"/>
  <c r="CC41" i="11"/>
  <c r="CB41" i="11"/>
  <c r="CA41" i="11"/>
  <c r="BZ41" i="11"/>
  <c r="BW41" i="11"/>
  <c r="BS41" i="11"/>
  <c r="BR41" i="11"/>
  <c r="BQ41" i="11"/>
  <c r="BO41" i="11"/>
  <c r="BN41" i="11"/>
  <c r="BM41" i="11"/>
  <c r="BL41" i="11"/>
  <c r="BJ41" i="11"/>
  <c r="BI41" i="11"/>
  <c r="BH41" i="11"/>
  <c r="BG41" i="11"/>
  <c r="BF41" i="11"/>
  <c r="BE41" i="11"/>
  <c r="BD41" i="11"/>
  <c r="BC41" i="11"/>
  <c r="BB41" i="11"/>
  <c r="BA41" i="11"/>
  <c r="AZ41" i="11"/>
  <c r="AY41" i="11"/>
  <c r="AX41" i="11"/>
  <c r="AW41" i="11"/>
  <c r="AV41" i="11"/>
  <c r="AU41" i="11"/>
  <c r="AT41" i="11"/>
  <c r="AS41" i="11"/>
  <c r="AR41" i="11"/>
  <c r="CI40" i="11"/>
  <c r="CE40" i="11"/>
  <c r="CD40" i="11"/>
  <c r="CC40" i="11"/>
  <c r="CB40" i="11"/>
  <c r="CA40" i="11"/>
  <c r="BZ40" i="11"/>
  <c r="BS40" i="11"/>
  <c r="BR40" i="11"/>
  <c r="BQ40" i="11"/>
  <c r="BO40" i="11"/>
  <c r="BN40" i="11"/>
  <c r="BM40" i="11"/>
  <c r="BL40" i="11"/>
  <c r="BJ40" i="11"/>
  <c r="BI40" i="11"/>
  <c r="BH40" i="11"/>
  <c r="BG40" i="11"/>
  <c r="BF40" i="11"/>
  <c r="BE40" i="11"/>
  <c r="BD40" i="11"/>
  <c r="BC40" i="11"/>
  <c r="BB40" i="11"/>
  <c r="BA40" i="11"/>
  <c r="AZ40" i="11"/>
  <c r="AY40" i="11"/>
  <c r="AX40" i="11"/>
  <c r="AW40" i="11"/>
  <c r="AV40" i="11"/>
  <c r="AU40" i="11"/>
  <c r="AT40" i="11"/>
  <c r="AS40" i="11"/>
  <c r="AR40" i="11"/>
  <c r="CI39" i="11"/>
  <c r="CE39" i="11"/>
  <c r="CD39" i="11"/>
  <c r="CC39" i="11"/>
  <c r="CB39" i="11"/>
  <c r="CA39" i="11"/>
  <c r="BZ39" i="11"/>
  <c r="BW39" i="11"/>
  <c r="BS39" i="11"/>
  <c r="BR39" i="11"/>
  <c r="BQ39" i="11"/>
  <c r="BO39" i="11"/>
  <c r="BN39" i="11"/>
  <c r="BM39" i="11"/>
  <c r="BL39" i="11"/>
  <c r="BJ39" i="11"/>
  <c r="BI39" i="11"/>
  <c r="BH39" i="11"/>
  <c r="BG39" i="11"/>
  <c r="BF39" i="11"/>
  <c r="BE39" i="11"/>
  <c r="BD39" i="11"/>
  <c r="BC39" i="11"/>
  <c r="BB39" i="11"/>
  <c r="BA39" i="11"/>
  <c r="AZ39" i="11"/>
  <c r="AY39" i="11"/>
  <c r="AX39" i="11"/>
  <c r="AW39" i="11"/>
  <c r="AV39" i="11"/>
  <c r="AU39" i="11"/>
  <c r="AT39" i="11"/>
  <c r="AS39" i="11"/>
  <c r="AR39" i="11"/>
  <c r="CI38" i="11"/>
  <c r="CE38" i="11"/>
  <c r="CD38" i="11"/>
  <c r="CB38" i="11"/>
  <c r="CA38" i="11"/>
  <c r="BZ38" i="11"/>
  <c r="BS38" i="11"/>
  <c r="BR38" i="11"/>
  <c r="BQ38" i="11"/>
  <c r="BO38" i="11"/>
  <c r="BN38" i="11"/>
  <c r="BM38" i="11"/>
  <c r="BL38" i="11"/>
  <c r="BJ38" i="11"/>
  <c r="BI38" i="11"/>
  <c r="BH38" i="11"/>
  <c r="BG38" i="11"/>
  <c r="BF38" i="11"/>
  <c r="BE38" i="11"/>
  <c r="BD38" i="11"/>
  <c r="BC38" i="11"/>
  <c r="BB38" i="11"/>
  <c r="BA38" i="11"/>
  <c r="AZ38" i="11"/>
  <c r="AY38" i="11"/>
  <c r="AX38" i="11"/>
  <c r="AW38" i="11"/>
  <c r="AV38" i="11"/>
  <c r="AU38" i="11"/>
  <c r="AT38" i="11"/>
  <c r="AS38" i="11"/>
  <c r="AR38" i="11"/>
  <c r="CI37" i="11"/>
  <c r="CE37" i="11"/>
  <c r="CD37" i="11"/>
  <c r="CB37" i="11"/>
  <c r="CA37" i="11"/>
  <c r="BZ37" i="11"/>
  <c r="BW37" i="11"/>
  <c r="BS37" i="11"/>
  <c r="BR37" i="11"/>
  <c r="BQ37" i="11"/>
  <c r="BO37" i="11"/>
  <c r="BN37" i="11"/>
  <c r="BM37" i="11"/>
  <c r="BL37" i="11"/>
  <c r="BJ37" i="11"/>
  <c r="BI37" i="11"/>
  <c r="BH37" i="11"/>
  <c r="BG37" i="11"/>
  <c r="BF37" i="11"/>
  <c r="BE37" i="11"/>
  <c r="BD37" i="11"/>
  <c r="BC37" i="11"/>
  <c r="BB37" i="11"/>
  <c r="BA37" i="11"/>
  <c r="AZ37" i="11"/>
  <c r="AY37" i="11"/>
  <c r="AX37" i="11"/>
  <c r="AW37" i="11"/>
  <c r="AV37" i="11"/>
  <c r="AU37" i="11"/>
  <c r="AT37" i="11"/>
  <c r="AS37" i="11"/>
  <c r="AR37" i="11"/>
  <c r="CI36" i="11"/>
  <c r="CE36" i="11"/>
  <c r="CD36" i="11"/>
  <c r="CC36" i="11"/>
  <c r="CB36" i="11"/>
  <c r="CA36" i="11"/>
  <c r="BZ36" i="11"/>
  <c r="BW36" i="11"/>
  <c r="BS36" i="11"/>
  <c r="BR36" i="11"/>
  <c r="BQ36" i="11"/>
  <c r="BO36" i="11"/>
  <c r="BN36" i="11"/>
  <c r="BM36" i="11"/>
  <c r="BL36" i="11"/>
  <c r="BJ36" i="11"/>
  <c r="BI36" i="11"/>
  <c r="BH36" i="11"/>
  <c r="BG36" i="11"/>
  <c r="BF36" i="11"/>
  <c r="BE36" i="11"/>
  <c r="BD36" i="11"/>
  <c r="BC36" i="11"/>
  <c r="BB36" i="11"/>
  <c r="BA36" i="11"/>
  <c r="AZ36" i="11"/>
  <c r="AY36" i="11"/>
  <c r="AX36" i="11"/>
  <c r="AW36" i="11"/>
  <c r="AV36" i="11"/>
  <c r="AU36" i="11"/>
  <c r="AT36" i="11"/>
  <c r="AS36" i="11"/>
  <c r="AR36" i="11"/>
  <c r="CI35" i="11"/>
  <c r="CE35" i="11"/>
  <c r="CB35" i="11"/>
  <c r="CA35" i="11"/>
  <c r="BZ35" i="11"/>
  <c r="BW35" i="11"/>
  <c r="BS35" i="11"/>
  <c r="BR35" i="11"/>
  <c r="BQ35" i="11"/>
  <c r="BO35" i="11"/>
  <c r="BN35" i="11"/>
  <c r="BM35" i="11"/>
  <c r="BL35" i="11"/>
  <c r="BJ35" i="11"/>
  <c r="BI35" i="11"/>
  <c r="BH35" i="11"/>
  <c r="BG35" i="11"/>
  <c r="BF35" i="11"/>
  <c r="BE35" i="11"/>
  <c r="BD35" i="11"/>
  <c r="BC35" i="11"/>
  <c r="BB35" i="11"/>
  <c r="BA35" i="11"/>
  <c r="AZ35" i="11"/>
  <c r="AY35" i="11"/>
  <c r="AX35" i="11"/>
  <c r="AW35" i="11"/>
  <c r="AV35" i="11"/>
  <c r="AU35" i="11"/>
  <c r="AT35" i="11"/>
  <c r="AS35" i="11"/>
  <c r="AR35" i="11"/>
  <c r="CI34" i="11"/>
  <c r="CE34" i="11"/>
  <c r="CD34" i="11"/>
  <c r="CC34" i="11"/>
  <c r="CB34" i="11"/>
  <c r="CA34" i="11"/>
  <c r="BZ34" i="11"/>
  <c r="BS34" i="11"/>
  <c r="BR34" i="11"/>
  <c r="BQ34" i="11"/>
  <c r="BO34" i="11"/>
  <c r="BN34" i="11"/>
  <c r="BM34" i="11"/>
  <c r="BL34" i="11"/>
  <c r="BJ34" i="11"/>
  <c r="BI34" i="11"/>
  <c r="BH34" i="11"/>
  <c r="BG34" i="11"/>
  <c r="BF34" i="11"/>
  <c r="BE34" i="11"/>
  <c r="BD34" i="11"/>
  <c r="BC34" i="11"/>
  <c r="BB34" i="11"/>
  <c r="BA34" i="11"/>
  <c r="AZ34" i="11"/>
  <c r="AY34" i="11"/>
  <c r="AX34" i="11"/>
  <c r="AW34" i="11"/>
  <c r="AV34" i="11"/>
  <c r="AU34" i="11"/>
  <c r="AT34" i="11"/>
  <c r="AS34" i="11"/>
  <c r="AR34" i="11"/>
  <c r="CI33" i="11"/>
  <c r="CE33" i="11"/>
  <c r="CD33" i="11"/>
  <c r="CC33" i="11"/>
  <c r="CB33" i="11"/>
  <c r="CA33" i="11"/>
  <c r="BZ33" i="11"/>
  <c r="BW33" i="11"/>
  <c r="BS33" i="11"/>
  <c r="BR33" i="11"/>
  <c r="BQ33" i="11"/>
  <c r="BO33" i="11"/>
  <c r="BN33" i="11"/>
  <c r="BM33" i="11"/>
  <c r="BL33" i="11"/>
  <c r="BJ33" i="11"/>
  <c r="BI33" i="11"/>
  <c r="BH33" i="11"/>
  <c r="BG33" i="11"/>
  <c r="BF33" i="11"/>
  <c r="BE33" i="11"/>
  <c r="BD33" i="11"/>
  <c r="BC33" i="11"/>
  <c r="BB33" i="11"/>
  <c r="BA33" i="11"/>
  <c r="AZ33" i="11"/>
  <c r="AY33" i="11"/>
  <c r="AX33" i="11"/>
  <c r="AW33" i="11"/>
  <c r="AV33" i="11"/>
  <c r="AU33" i="11"/>
  <c r="AT33" i="11"/>
  <c r="AS33" i="11"/>
  <c r="AR33" i="11"/>
  <c r="BY33" i="11" s="1"/>
  <c r="CG33" i="11" s="1"/>
  <c r="CI32" i="11"/>
  <c r="CE32" i="11"/>
  <c r="CD32" i="11"/>
  <c r="CC32" i="11"/>
  <c r="CB32" i="11"/>
  <c r="CA32" i="11"/>
  <c r="BZ32" i="11"/>
  <c r="BW32" i="11"/>
  <c r="BS32" i="11"/>
  <c r="BR32" i="11"/>
  <c r="BQ32" i="11"/>
  <c r="BO32" i="11"/>
  <c r="BN32" i="11"/>
  <c r="BM32" i="11"/>
  <c r="BL32" i="11"/>
  <c r="BJ32" i="11"/>
  <c r="BI32" i="11"/>
  <c r="BH32" i="11"/>
  <c r="BG32" i="11"/>
  <c r="BF32" i="11"/>
  <c r="BE32" i="11"/>
  <c r="BD32" i="11"/>
  <c r="BC32" i="11"/>
  <c r="BB32" i="11"/>
  <c r="BA32" i="11"/>
  <c r="AZ32" i="11"/>
  <c r="AY32" i="11"/>
  <c r="AX32" i="11"/>
  <c r="AW32" i="11"/>
  <c r="AV32" i="11"/>
  <c r="AU32" i="11"/>
  <c r="AT32" i="11"/>
  <c r="AS32" i="11"/>
  <c r="AR32" i="11"/>
  <c r="BY32" i="11" s="1"/>
  <c r="CJ32" i="11" s="1"/>
  <c r="CI31" i="11"/>
  <c r="CE31" i="11"/>
  <c r="CD31" i="11"/>
  <c r="CC31" i="11"/>
  <c r="CB31" i="11"/>
  <c r="CA31" i="11"/>
  <c r="BZ31" i="11"/>
  <c r="BW31" i="11"/>
  <c r="BS31" i="11"/>
  <c r="BR31" i="11"/>
  <c r="BQ31" i="11"/>
  <c r="BO31" i="11"/>
  <c r="BN31" i="11"/>
  <c r="BM31" i="11"/>
  <c r="BL31" i="11"/>
  <c r="BJ31" i="11"/>
  <c r="BI31" i="11"/>
  <c r="BH31" i="11"/>
  <c r="BG31" i="11"/>
  <c r="BF31" i="11"/>
  <c r="BE31" i="11"/>
  <c r="BD31" i="11"/>
  <c r="BC31" i="11"/>
  <c r="BB31" i="11"/>
  <c r="BA31" i="11"/>
  <c r="AZ31" i="11"/>
  <c r="AY31" i="11"/>
  <c r="AX31" i="11"/>
  <c r="AW31" i="11"/>
  <c r="AV31" i="11"/>
  <c r="AU31" i="11"/>
  <c r="AT31" i="11"/>
  <c r="AS31" i="11"/>
  <c r="AR31" i="11"/>
  <c r="CI30" i="11"/>
  <c r="CE30" i="11"/>
  <c r="CD30" i="11"/>
  <c r="CC30" i="11"/>
  <c r="CB30" i="11"/>
  <c r="CA30" i="11"/>
  <c r="BZ30" i="11"/>
  <c r="BS30" i="11"/>
  <c r="BR30" i="11"/>
  <c r="BQ30" i="11"/>
  <c r="BO30" i="11"/>
  <c r="BN30" i="11"/>
  <c r="BM30" i="11"/>
  <c r="BL30" i="11"/>
  <c r="BJ30" i="11"/>
  <c r="BI30" i="11"/>
  <c r="BH30" i="11"/>
  <c r="BG30" i="11"/>
  <c r="BF30" i="11"/>
  <c r="BE30" i="11"/>
  <c r="BD30" i="11"/>
  <c r="BC30" i="11"/>
  <c r="BB30" i="11"/>
  <c r="BA30" i="11"/>
  <c r="AZ30" i="11"/>
  <c r="AY30" i="11"/>
  <c r="AX30" i="11"/>
  <c r="AW30" i="11"/>
  <c r="AV30" i="11"/>
  <c r="AU30" i="11"/>
  <c r="AT30" i="11"/>
  <c r="AS30" i="11"/>
  <c r="AR30" i="11"/>
  <c r="CI29" i="11"/>
  <c r="CE29" i="11"/>
  <c r="CD29" i="11"/>
  <c r="CB29" i="11"/>
  <c r="CA29" i="11"/>
  <c r="BZ29" i="11"/>
  <c r="BW29" i="11"/>
  <c r="BS29" i="11"/>
  <c r="BR29" i="11"/>
  <c r="BQ29" i="11"/>
  <c r="BO29" i="11"/>
  <c r="BN29" i="11"/>
  <c r="BM29" i="11"/>
  <c r="BL29" i="11"/>
  <c r="BJ29" i="11"/>
  <c r="BI29" i="11"/>
  <c r="BH29" i="11"/>
  <c r="BG29" i="11"/>
  <c r="BF29" i="11"/>
  <c r="BE29" i="11"/>
  <c r="BD29" i="11"/>
  <c r="BC29" i="11"/>
  <c r="BB29" i="11"/>
  <c r="BA29" i="11"/>
  <c r="AZ29" i="11"/>
  <c r="AY29" i="11"/>
  <c r="AX29" i="11"/>
  <c r="AW29" i="11"/>
  <c r="AV29" i="11"/>
  <c r="AU29" i="11"/>
  <c r="AT29" i="11"/>
  <c r="AS29" i="11"/>
  <c r="AR29" i="11"/>
  <c r="CI28" i="11"/>
  <c r="CE28" i="11"/>
  <c r="CD28" i="11"/>
  <c r="CC28" i="11"/>
  <c r="CB28" i="11"/>
  <c r="CA28" i="11"/>
  <c r="BZ28" i="11"/>
  <c r="BW28" i="11"/>
  <c r="BS28" i="11"/>
  <c r="BR28" i="11"/>
  <c r="BQ28" i="11"/>
  <c r="BO28" i="11"/>
  <c r="BN28" i="11"/>
  <c r="BM28" i="11"/>
  <c r="BL28" i="11"/>
  <c r="BJ28" i="11"/>
  <c r="BI28" i="11"/>
  <c r="BH28" i="11"/>
  <c r="BG28" i="11"/>
  <c r="BF28" i="11"/>
  <c r="BE28" i="11"/>
  <c r="BD28" i="11"/>
  <c r="BC28" i="11"/>
  <c r="BB28" i="11"/>
  <c r="BA28" i="11"/>
  <c r="AZ28" i="11"/>
  <c r="AY28" i="11"/>
  <c r="AX28" i="11"/>
  <c r="AW28" i="11"/>
  <c r="AV28" i="11"/>
  <c r="AU28" i="11"/>
  <c r="AT28" i="11"/>
  <c r="AS28" i="11"/>
  <c r="AR28" i="11"/>
  <c r="CI27" i="11"/>
  <c r="CE27" i="11"/>
  <c r="CD27" i="11"/>
  <c r="CB27" i="11"/>
  <c r="CA27" i="11"/>
  <c r="BZ27" i="11"/>
  <c r="BW27" i="11"/>
  <c r="BS27" i="11"/>
  <c r="BR27" i="11"/>
  <c r="BQ27" i="11"/>
  <c r="BO27" i="11"/>
  <c r="BN27" i="11"/>
  <c r="BM27" i="11"/>
  <c r="BL27" i="11"/>
  <c r="BJ27" i="11"/>
  <c r="BI27" i="11"/>
  <c r="BH27" i="11"/>
  <c r="BG27" i="11"/>
  <c r="BF27" i="11"/>
  <c r="BE27" i="11"/>
  <c r="BD27" i="11"/>
  <c r="BC27" i="11"/>
  <c r="BB27" i="11"/>
  <c r="BA27" i="11"/>
  <c r="AZ27" i="11"/>
  <c r="AY27" i="11"/>
  <c r="AX27" i="11"/>
  <c r="AW27" i="11"/>
  <c r="AV27" i="11"/>
  <c r="AU27" i="11"/>
  <c r="AT27" i="11"/>
  <c r="AS27" i="11"/>
  <c r="AR27" i="11"/>
  <c r="CI26" i="11"/>
  <c r="CB26" i="11"/>
  <c r="CA26" i="11"/>
  <c r="BZ26" i="11"/>
  <c r="BS26" i="11"/>
  <c r="BR26" i="11"/>
  <c r="BQ26" i="11"/>
  <c r="BO26" i="11"/>
  <c r="BN26" i="11"/>
  <c r="BM26" i="11"/>
  <c r="BL26" i="11"/>
  <c r="BJ26" i="11"/>
  <c r="BI26" i="11"/>
  <c r="BH26" i="11"/>
  <c r="BG26" i="11"/>
  <c r="BF26" i="11"/>
  <c r="BE26" i="11"/>
  <c r="BD26" i="11"/>
  <c r="BC26" i="11"/>
  <c r="BB26" i="11"/>
  <c r="BA26" i="11"/>
  <c r="AZ26" i="11"/>
  <c r="AY26" i="11"/>
  <c r="AX26" i="11"/>
  <c r="AW26" i="11"/>
  <c r="AV26" i="11"/>
  <c r="AU26" i="11"/>
  <c r="AT26" i="11"/>
  <c r="AS26" i="11"/>
  <c r="AR26" i="11"/>
  <c r="CI25" i="11"/>
  <c r="CE25" i="11"/>
  <c r="CD25" i="11"/>
  <c r="CC25" i="11"/>
  <c r="CB25" i="11"/>
  <c r="CA25" i="11"/>
  <c r="BZ25" i="11"/>
  <c r="BW25" i="11"/>
  <c r="BS25" i="11"/>
  <c r="BR25" i="11"/>
  <c r="BQ25" i="11"/>
  <c r="BO25" i="11"/>
  <c r="BN25" i="11"/>
  <c r="BM25" i="11"/>
  <c r="BL25" i="11"/>
  <c r="BJ25" i="11"/>
  <c r="BI25" i="11"/>
  <c r="BH25" i="11"/>
  <c r="BG25" i="11"/>
  <c r="BF25" i="11"/>
  <c r="BE25" i="11"/>
  <c r="BD25" i="11"/>
  <c r="BC25" i="11"/>
  <c r="BB25" i="11"/>
  <c r="BA25" i="11"/>
  <c r="AZ25" i="11"/>
  <c r="AY25" i="11"/>
  <c r="AX25" i="11"/>
  <c r="AW25" i="11"/>
  <c r="AV25" i="11"/>
  <c r="AU25" i="11"/>
  <c r="AT25" i="11"/>
  <c r="AS25" i="11"/>
  <c r="AR25" i="11"/>
  <c r="CI24" i="11"/>
  <c r="CE24" i="11"/>
  <c r="CD24" i="11"/>
  <c r="CC24" i="11"/>
  <c r="CB24" i="11"/>
  <c r="CA24" i="11"/>
  <c r="BZ24" i="11"/>
  <c r="BS24" i="11"/>
  <c r="BR24" i="11"/>
  <c r="BQ24" i="11"/>
  <c r="BO24" i="11"/>
  <c r="BN24" i="11"/>
  <c r="BM24" i="11"/>
  <c r="BL24" i="11"/>
  <c r="BJ24" i="11"/>
  <c r="BI24" i="11"/>
  <c r="BH24" i="11"/>
  <c r="BG24" i="11"/>
  <c r="BF24" i="11"/>
  <c r="BE24" i="11"/>
  <c r="BD24" i="11"/>
  <c r="BC24" i="11"/>
  <c r="BB24" i="11"/>
  <c r="BA24" i="11"/>
  <c r="AZ24" i="11"/>
  <c r="AY24" i="11"/>
  <c r="AX24" i="11"/>
  <c r="AW24" i="11"/>
  <c r="AV24" i="11"/>
  <c r="AU24" i="11"/>
  <c r="AT24" i="11"/>
  <c r="AS24" i="11"/>
  <c r="AR24" i="11"/>
  <c r="CI23" i="11"/>
  <c r="CE23" i="11"/>
  <c r="CD23" i="11"/>
  <c r="CC23" i="11"/>
  <c r="CB23" i="11"/>
  <c r="CA23" i="11"/>
  <c r="BZ23" i="11"/>
  <c r="BS23" i="11"/>
  <c r="BR23" i="11"/>
  <c r="BQ23" i="11"/>
  <c r="BO23" i="11"/>
  <c r="BN23" i="11"/>
  <c r="BM23" i="11"/>
  <c r="BL23" i="11"/>
  <c r="BJ23" i="11"/>
  <c r="BI23" i="11"/>
  <c r="BH23" i="11"/>
  <c r="BG23" i="11"/>
  <c r="BF23" i="11"/>
  <c r="BE23" i="11"/>
  <c r="BD23" i="11"/>
  <c r="BC23" i="11"/>
  <c r="BB23" i="11"/>
  <c r="BA23" i="11"/>
  <c r="AZ23" i="11"/>
  <c r="AY23" i="11"/>
  <c r="AX23" i="11"/>
  <c r="AW23" i="11"/>
  <c r="AV23" i="11"/>
  <c r="AU23" i="11"/>
  <c r="AT23" i="11"/>
  <c r="AS23" i="11"/>
  <c r="AR23" i="11"/>
  <c r="CI22" i="11"/>
  <c r="CE22" i="11"/>
  <c r="CD22" i="11"/>
  <c r="CB22" i="11"/>
  <c r="CA22" i="11"/>
  <c r="BZ22" i="11"/>
  <c r="BS22" i="11"/>
  <c r="BR22" i="11"/>
  <c r="BQ22" i="11"/>
  <c r="BO22" i="11"/>
  <c r="BN22" i="11"/>
  <c r="BM22" i="11"/>
  <c r="BL22" i="11"/>
  <c r="BJ22" i="11"/>
  <c r="BI22" i="11"/>
  <c r="BH22" i="11"/>
  <c r="BG22" i="11"/>
  <c r="BF22" i="11"/>
  <c r="BE22" i="11"/>
  <c r="BD22" i="11"/>
  <c r="BC22" i="11"/>
  <c r="BB22" i="11"/>
  <c r="BA22" i="11"/>
  <c r="AZ22" i="11"/>
  <c r="AY22" i="11"/>
  <c r="AX22" i="11"/>
  <c r="AW22" i="11"/>
  <c r="AV22" i="11"/>
  <c r="AU22" i="11"/>
  <c r="AT22" i="11"/>
  <c r="AS22" i="11"/>
  <c r="AR22" i="11"/>
  <c r="CI21" i="11"/>
  <c r="CE21" i="11"/>
  <c r="CD21" i="11"/>
  <c r="CC21" i="11"/>
  <c r="CB21" i="11"/>
  <c r="CA21" i="11"/>
  <c r="BZ21" i="11"/>
  <c r="BW21" i="11"/>
  <c r="BS21" i="11"/>
  <c r="BR21" i="11"/>
  <c r="BQ21" i="11"/>
  <c r="BO21" i="11"/>
  <c r="BN21" i="11"/>
  <c r="BM21" i="11"/>
  <c r="BL21" i="11"/>
  <c r="BJ21" i="11"/>
  <c r="BI21" i="11"/>
  <c r="BH21" i="11"/>
  <c r="BG21" i="11"/>
  <c r="BF21" i="11"/>
  <c r="BE21" i="11"/>
  <c r="BD21" i="11"/>
  <c r="BC21" i="11"/>
  <c r="BB21" i="11"/>
  <c r="BA21" i="11"/>
  <c r="AZ21" i="11"/>
  <c r="AY21" i="11"/>
  <c r="AX21" i="11"/>
  <c r="AW21" i="11"/>
  <c r="AV21" i="11"/>
  <c r="AU21" i="11"/>
  <c r="AT21" i="11"/>
  <c r="AS21" i="11"/>
  <c r="AR21" i="11"/>
  <c r="CI20" i="11"/>
  <c r="CE20" i="11"/>
  <c r="CD20" i="11"/>
  <c r="CC20" i="11"/>
  <c r="CB20" i="11"/>
  <c r="CA20" i="11"/>
  <c r="BZ20" i="11"/>
  <c r="BW20" i="11"/>
  <c r="BS20" i="11"/>
  <c r="BR20" i="11"/>
  <c r="BQ20" i="11"/>
  <c r="BO20" i="11"/>
  <c r="BN20" i="11"/>
  <c r="BM20" i="11"/>
  <c r="BL20" i="11"/>
  <c r="BJ20" i="11"/>
  <c r="BI20" i="11"/>
  <c r="BH20" i="11"/>
  <c r="BG20" i="11"/>
  <c r="BF20" i="11"/>
  <c r="BE20" i="11"/>
  <c r="BD20" i="11"/>
  <c r="BC20" i="11"/>
  <c r="BB20" i="11"/>
  <c r="BA20" i="11"/>
  <c r="AZ20" i="11"/>
  <c r="AY20" i="11"/>
  <c r="AX20" i="11"/>
  <c r="AW20" i="11"/>
  <c r="AV20" i="11"/>
  <c r="AU20" i="11"/>
  <c r="AT20" i="11"/>
  <c r="AS20" i="11"/>
  <c r="AR20" i="11"/>
  <c r="CI19" i="11"/>
  <c r="CE19" i="11"/>
  <c r="CD19" i="11"/>
  <c r="CC19" i="11"/>
  <c r="CB19" i="11"/>
  <c r="CA19" i="11"/>
  <c r="BZ19" i="11"/>
  <c r="BS19" i="11"/>
  <c r="BR19" i="11"/>
  <c r="BQ19" i="11"/>
  <c r="BO19" i="11"/>
  <c r="BN19" i="11"/>
  <c r="BM19" i="11"/>
  <c r="BL19" i="11"/>
  <c r="BJ19" i="11"/>
  <c r="BI19" i="11"/>
  <c r="BH19" i="11"/>
  <c r="BG19" i="11"/>
  <c r="BF19" i="11"/>
  <c r="BE19" i="11"/>
  <c r="BD19" i="11"/>
  <c r="BC19" i="11"/>
  <c r="BB19" i="11"/>
  <c r="BA19" i="11"/>
  <c r="AZ19" i="11"/>
  <c r="AY19" i="11"/>
  <c r="AX19" i="11"/>
  <c r="AW19" i="11"/>
  <c r="AV19" i="11"/>
  <c r="AU19" i="11"/>
  <c r="AT19" i="11"/>
  <c r="AS19" i="11"/>
  <c r="AR19" i="11"/>
  <c r="CI18" i="11"/>
  <c r="CE18" i="11"/>
  <c r="CD18" i="11"/>
  <c r="CC18" i="11"/>
  <c r="CB18" i="11"/>
  <c r="CA18" i="11"/>
  <c r="BZ18" i="11"/>
  <c r="BS18" i="11"/>
  <c r="BR18" i="11"/>
  <c r="BQ18" i="11"/>
  <c r="BO18" i="11"/>
  <c r="BN18" i="11"/>
  <c r="BM18" i="11"/>
  <c r="BL18" i="11"/>
  <c r="BJ18" i="11"/>
  <c r="BI18" i="11"/>
  <c r="BH18" i="11"/>
  <c r="BG18" i="11"/>
  <c r="BF18" i="11"/>
  <c r="BE18" i="11"/>
  <c r="BD18" i="11"/>
  <c r="BC18" i="11"/>
  <c r="BB18" i="11"/>
  <c r="BA18" i="11"/>
  <c r="AZ18" i="11"/>
  <c r="AY18" i="11"/>
  <c r="AX18" i="11"/>
  <c r="AW18" i="11"/>
  <c r="AV18" i="11"/>
  <c r="AU18" i="11"/>
  <c r="AT18" i="11"/>
  <c r="AS18" i="11"/>
  <c r="AR18" i="11"/>
  <c r="CI17" i="11"/>
  <c r="CE17" i="11"/>
  <c r="CD17" i="11"/>
  <c r="CC17" i="11"/>
  <c r="CB17" i="11"/>
  <c r="CA17" i="11"/>
  <c r="BZ17" i="11"/>
  <c r="BS17" i="11"/>
  <c r="BR17" i="11"/>
  <c r="BQ17" i="11"/>
  <c r="BO17" i="11"/>
  <c r="BN17" i="11"/>
  <c r="BM17" i="11"/>
  <c r="BL17" i="11"/>
  <c r="BJ17" i="11"/>
  <c r="BI17" i="11"/>
  <c r="BH17" i="11"/>
  <c r="BG17" i="11"/>
  <c r="BF17" i="11"/>
  <c r="BE17" i="11"/>
  <c r="BD17" i="11"/>
  <c r="BC17" i="11"/>
  <c r="BB17" i="11"/>
  <c r="BA17" i="11"/>
  <c r="AZ17" i="11"/>
  <c r="AY17" i="11"/>
  <c r="AX17" i="11"/>
  <c r="AW17" i="11"/>
  <c r="AV17" i="11"/>
  <c r="AU17" i="11"/>
  <c r="AT17" i="11"/>
  <c r="AS17" i="11"/>
  <c r="AR17" i="11"/>
  <c r="CI16" i="11"/>
  <c r="CE16" i="11"/>
  <c r="CD16" i="11"/>
  <c r="CC16" i="11"/>
  <c r="CB16" i="11"/>
  <c r="CA16" i="11"/>
  <c r="BZ16" i="11"/>
  <c r="BW16" i="11"/>
  <c r="BS16" i="11"/>
  <c r="BR16" i="11"/>
  <c r="BQ16" i="11"/>
  <c r="BO16" i="11"/>
  <c r="BN16" i="11"/>
  <c r="BM16" i="11"/>
  <c r="BL16" i="11"/>
  <c r="BJ16" i="11"/>
  <c r="BI16" i="11"/>
  <c r="BH16" i="11"/>
  <c r="BG16" i="11"/>
  <c r="BF16" i="11"/>
  <c r="BE16" i="11"/>
  <c r="BD16" i="11"/>
  <c r="BC16" i="11"/>
  <c r="BB16" i="11"/>
  <c r="BA16" i="11"/>
  <c r="AZ16" i="11"/>
  <c r="AY16" i="11"/>
  <c r="AX16" i="11"/>
  <c r="AW16" i="11"/>
  <c r="AV16" i="11"/>
  <c r="AU16" i="11"/>
  <c r="AT16" i="11"/>
  <c r="AS16" i="11"/>
  <c r="AR16" i="11"/>
  <c r="CI15" i="11"/>
  <c r="CE15" i="11"/>
  <c r="CB15" i="11"/>
  <c r="CA15" i="11"/>
  <c r="BZ15" i="11"/>
  <c r="BS15" i="11"/>
  <c r="BR15" i="11"/>
  <c r="BQ15" i="11"/>
  <c r="BO15" i="11"/>
  <c r="BN15" i="11"/>
  <c r="BM15" i="11"/>
  <c r="BL15" i="11"/>
  <c r="BJ15" i="11"/>
  <c r="BI15" i="11"/>
  <c r="BH15" i="11"/>
  <c r="BG15" i="11"/>
  <c r="BF15" i="11"/>
  <c r="BE15" i="11"/>
  <c r="BD15" i="11"/>
  <c r="BC15" i="11"/>
  <c r="BB15" i="11"/>
  <c r="BA15" i="11"/>
  <c r="AZ15" i="11"/>
  <c r="AY15" i="11"/>
  <c r="AX15" i="11"/>
  <c r="AW15" i="11"/>
  <c r="AV15" i="11"/>
  <c r="AU15" i="11"/>
  <c r="AT15" i="11"/>
  <c r="AS15" i="11"/>
  <c r="AR15" i="11"/>
  <c r="CI14" i="11"/>
  <c r="CE14" i="11"/>
  <c r="CD14" i="11"/>
  <c r="CC14" i="11"/>
  <c r="CB14" i="11"/>
  <c r="CA14" i="11"/>
  <c r="BZ14" i="11"/>
  <c r="BW14" i="11"/>
  <c r="BS14" i="11"/>
  <c r="BR14" i="11"/>
  <c r="BQ14" i="11"/>
  <c r="BO14" i="11"/>
  <c r="BN14" i="11"/>
  <c r="BM14" i="11"/>
  <c r="BL14" i="11"/>
  <c r="BJ14" i="11"/>
  <c r="BI14" i="11"/>
  <c r="BH14" i="11"/>
  <c r="BG14" i="11"/>
  <c r="BF14" i="11"/>
  <c r="BE14" i="11"/>
  <c r="BD14" i="11"/>
  <c r="BC14" i="11"/>
  <c r="BB14" i="11"/>
  <c r="BA14" i="11"/>
  <c r="AZ14" i="11"/>
  <c r="AY14" i="11"/>
  <c r="AX14" i="11"/>
  <c r="AW14" i="11"/>
  <c r="AV14" i="11"/>
  <c r="AU14" i="11"/>
  <c r="AT14" i="11"/>
  <c r="AS14" i="11"/>
  <c r="AR14" i="11"/>
  <c r="CI13" i="11"/>
  <c r="CE13" i="11"/>
  <c r="CD13" i="11"/>
  <c r="CC13" i="11"/>
  <c r="CB13" i="11"/>
  <c r="CA13" i="11"/>
  <c r="BZ13" i="11"/>
  <c r="BW13" i="11"/>
  <c r="BS13" i="11"/>
  <c r="BR13" i="11"/>
  <c r="BQ13" i="11"/>
  <c r="BO13" i="11"/>
  <c r="BN13" i="11"/>
  <c r="BM13" i="11"/>
  <c r="BL13" i="11"/>
  <c r="BJ13" i="11"/>
  <c r="BI13" i="11"/>
  <c r="BH13" i="11"/>
  <c r="BG13" i="11"/>
  <c r="BF13" i="11"/>
  <c r="BE13" i="11"/>
  <c r="BD13" i="11"/>
  <c r="BC13" i="11"/>
  <c r="BB13" i="11"/>
  <c r="BA13" i="11"/>
  <c r="AZ13" i="11"/>
  <c r="AY13" i="11"/>
  <c r="AX13" i="11"/>
  <c r="AW13" i="11"/>
  <c r="AV13" i="11"/>
  <c r="AU13" i="11"/>
  <c r="AT13" i="11"/>
  <c r="AS13" i="11"/>
  <c r="AR13" i="11"/>
  <c r="CI12" i="11"/>
  <c r="CE12" i="11"/>
  <c r="CD12" i="11"/>
  <c r="CB12" i="11"/>
  <c r="CA12" i="11"/>
  <c r="BZ12" i="11"/>
  <c r="BW12" i="11"/>
  <c r="BS12" i="11"/>
  <c r="BR12" i="11"/>
  <c r="BQ12" i="11"/>
  <c r="BO12" i="11"/>
  <c r="BN12" i="11"/>
  <c r="BM12" i="11"/>
  <c r="BL12" i="11"/>
  <c r="BJ12" i="11"/>
  <c r="BI12" i="11"/>
  <c r="BH12" i="11"/>
  <c r="BG12" i="11"/>
  <c r="BF12" i="11"/>
  <c r="BE12" i="11"/>
  <c r="BD12" i="11"/>
  <c r="BC12" i="11"/>
  <c r="BB12" i="11"/>
  <c r="BA12" i="11"/>
  <c r="AZ12" i="11"/>
  <c r="AY12" i="11"/>
  <c r="AX12" i="11"/>
  <c r="AW12" i="11"/>
  <c r="AV12" i="11"/>
  <c r="AU12" i="11"/>
  <c r="AT12" i="11"/>
  <c r="AS12" i="11"/>
  <c r="AR12" i="11"/>
  <c r="CI11" i="11"/>
  <c r="CE11" i="11"/>
  <c r="CD11" i="11"/>
  <c r="CC11" i="11"/>
  <c r="CB11" i="11"/>
  <c r="CA11" i="11"/>
  <c r="BZ11" i="11"/>
  <c r="BS11" i="11"/>
  <c r="BR11" i="11"/>
  <c r="BQ11" i="11"/>
  <c r="BO11" i="11"/>
  <c r="BN11" i="11"/>
  <c r="BM11" i="11"/>
  <c r="BL11" i="11"/>
  <c r="BJ11" i="11"/>
  <c r="BI11" i="11"/>
  <c r="BH11" i="11"/>
  <c r="BG11" i="11"/>
  <c r="BF11" i="11"/>
  <c r="BE11" i="11"/>
  <c r="BD11" i="11"/>
  <c r="BC11" i="11"/>
  <c r="BB11" i="11"/>
  <c r="BA11" i="11"/>
  <c r="AZ11" i="11"/>
  <c r="AY11" i="11"/>
  <c r="AX11" i="11"/>
  <c r="AW11" i="11"/>
  <c r="AV11" i="11"/>
  <c r="AU11" i="11"/>
  <c r="AT11" i="11"/>
  <c r="AS11" i="11"/>
  <c r="AR11" i="11"/>
  <c r="CI10" i="11"/>
  <c r="CE10" i="11"/>
  <c r="CD10" i="11"/>
  <c r="CB10" i="11"/>
  <c r="CA10" i="11"/>
  <c r="BZ10" i="11"/>
  <c r="BS10" i="11"/>
  <c r="BR10" i="11"/>
  <c r="BQ10" i="11"/>
  <c r="BO10" i="11"/>
  <c r="BN10" i="11"/>
  <c r="BM10" i="11"/>
  <c r="BL10" i="11"/>
  <c r="BJ10" i="11"/>
  <c r="BI10" i="11"/>
  <c r="BH10" i="11"/>
  <c r="BG10" i="11"/>
  <c r="BF10" i="11"/>
  <c r="BE10" i="11"/>
  <c r="BD10" i="11"/>
  <c r="BC10" i="11"/>
  <c r="BB10" i="11"/>
  <c r="BA10" i="11"/>
  <c r="AZ10" i="11"/>
  <c r="AY10" i="11"/>
  <c r="AX10" i="11"/>
  <c r="AW10" i="11"/>
  <c r="AV10" i="11"/>
  <c r="AU10" i="11"/>
  <c r="AT10" i="11"/>
  <c r="AS10" i="11"/>
  <c r="AR10" i="11"/>
  <c r="CI9" i="11"/>
  <c r="CE9" i="11"/>
  <c r="CD9" i="11"/>
  <c r="CC9" i="11"/>
  <c r="CB9" i="11"/>
  <c r="CA9" i="11"/>
  <c r="BZ9" i="11"/>
  <c r="BW9" i="11"/>
  <c r="BS9" i="11"/>
  <c r="BR9" i="11"/>
  <c r="BQ9" i="11"/>
  <c r="BO9" i="11"/>
  <c r="BN9" i="11"/>
  <c r="BM9" i="11"/>
  <c r="BL9" i="11"/>
  <c r="BJ9" i="11"/>
  <c r="BI9" i="11"/>
  <c r="BH9" i="11"/>
  <c r="BG9" i="11"/>
  <c r="BF9" i="11"/>
  <c r="BE9" i="11"/>
  <c r="BD9" i="11"/>
  <c r="BC9" i="11"/>
  <c r="BB9" i="11"/>
  <c r="BA9" i="11"/>
  <c r="AZ9" i="11"/>
  <c r="AY9" i="11"/>
  <c r="AX9" i="11"/>
  <c r="AW9" i="11"/>
  <c r="AV9" i="11"/>
  <c r="AU9" i="11"/>
  <c r="AT9" i="11"/>
  <c r="AS9" i="11"/>
  <c r="AR9" i="11"/>
  <c r="CI8" i="11"/>
  <c r="CE8" i="11"/>
  <c r="CD8" i="11"/>
  <c r="CC8" i="11"/>
  <c r="CB8" i="11"/>
  <c r="CA8" i="11"/>
  <c r="BZ8" i="11"/>
  <c r="BS8" i="11"/>
  <c r="BR8" i="11"/>
  <c r="BQ8" i="11"/>
  <c r="BO8" i="11"/>
  <c r="BN8" i="11"/>
  <c r="BM8" i="11"/>
  <c r="BL8" i="11"/>
  <c r="BJ8" i="11"/>
  <c r="BI8" i="11"/>
  <c r="BH8" i="11"/>
  <c r="BG8" i="11"/>
  <c r="BF8" i="11"/>
  <c r="BE8" i="11"/>
  <c r="BD8" i="11"/>
  <c r="BC8" i="11"/>
  <c r="BB8" i="11"/>
  <c r="BA8" i="11"/>
  <c r="AZ8" i="11"/>
  <c r="AY8" i="11"/>
  <c r="AX8" i="11"/>
  <c r="AW8" i="11"/>
  <c r="AV8" i="11"/>
  <c r="AU8" i="11"/>
  <c r="AT8" i="11"/>
  <c r="AS8" i="11"/>
  <c r="AR8" i="11"/>
  <c r="CI7" i="11"/>
  <c r="CE7" i="11"/>
  <c r="CD7" i="11"/>
  <c r="CC7" i="11"/>
  <c r="CB7" i="11"/>
  <c r="CA7" i="11"/>
  <c r="BZ7" i="11"/>
  <c r="BW7" i="11"/>
  <c r="BS7" i="11"/>
  <c r="BR7" i="11"/>
  <c r="BQ7" i="11"/>
  <c r="BO7" i="11"/>
  <c r="BN7" i="11"/>
  <c r="BM7" i="11"/>
  <c r="BL7" i="11"/>
  <c r="BJ7" i="11"/>
  <c r="BI7" i="11"/>
  <c r="BH7" i="11"/>
  <c r="BG7" i="11"/>
  <c r="BF7" i="11"/>
  <c r="BE7" i="11"/>
  <c r="BD7" i="11"/>
  <c r="BC7" i="11"/>
  <c r="BB7" i="11"/>
  <c r="BA7" i="11"/>
  <c r="AZ7" i="11"/>
  <c r="AY7" i="11"/>
  <c r="AX7" i="11"/>
  <c r="AW7" i="11"/>
  <c r="AV7" i="11"/>
  <c r="AU7" i="11"/>
  <c r="AT7" i="11"/>
  <c r="AS7" i="11"/>
  <c r="AR7" i="11"/>
  <c r="CI6" i="11"/>
  <c r="CE6" i="11"/>
  <c r="CD6" i="11"/>
  <c r="CC6" i="11"/>
  <c r="CB6" i="11"/>
  <c r="CA6" i="11"/>
  <c r="BZ6" i="11"/>
  <c r="BW6" i="11"/>
  <c r="BS6" i="11"/>
  <c r="BR6" i="11"/>
  <c r="BQ6" i="11"/>
  <c r="BO6" i="11"/>
  <c r="BN6" i="11"/>
  <c r="BM6" i="11"/>
  <c r="BL6" i="11"/>
  <c r="BJ6" i="11"/>
  <c r="BI6" i="11"/>
  <c r="BH6" i="11"/>
  <c r="BG6" i="11"/>
  <c r="BF6" i="11"/>
  <c r="BE6" i="11"/>
  <c r="BD6" i="11"/>
  <c r="BC6" i="11"/>
  <c r="BB6" i="11"/>
  <c r="BA6" i="11"/>
  <c r="AZ6" i="11"/>
  <c r="AY6" i="11"/>
  <c r="AX6" i="11"/>
  <c r="AW6" i="11"/>
  <c r="AV6" i="11"/>
  <c r="AU6" i="11"/>
  <c r="AT6" i="11"/>
  <c r="AS6" i="11"/>
  <c r="AR6" i="11"/>
  <c r="CI5" i="11"/>
  <c r="CE5" i="11"/>
  <c r="CD5" i="11"/>
  <c r="CB5" i="11"/>
  <c r="CA5" i="11"/>
  <c r="BZ5" i="11"/>
  <c r="BW5" i="11"/>
  <c r="BS5" i="11"/>
  <c r="BR5" i="11"/>
  <c r="BQ5" i="11"/>
  <c r="BO5" i="11"/>
  <c r="BN5" i="11"/>
  <c r="BM5" i="11"/>
  <c r="BL5" i="11"/>
  <c r="BJ5" i="11"/>
  <c r="BI5" i="11"/>
  <c r="BH5" i="11"/>
  <c r="BG5" i="11"/>
  <c r="BF5" i="11"/>
  <c r="BE5" i="11"/>
  <c r="BD5" i="11"/>
  <c r="BC5" i="11"/>
  <c r="BB5" i="11"/>
  <c r="BA5" i="11"/>
  <c r="AZ5" i="11"/>
  <c r="AY5" i="11"/>
  <c r="AX5" i="11"/>
  <c r="AW5" i="11"/>
  <c r="AV5" i="11"/>
  <c r="AU5" i="11"/>
  <c r="AT5" i="11"/>
  <c r="AS5" i="11"/>
  <c r="AR5" i="11"/>
  <c r="CI4" i="11"/>
  <c r="CE4" i="11"/>
  <c r="CD4" i="11"/>
  <c r="CB4" i="11"/>
  <c r="CA4" i="11"/>
  <c r="BZ4" i="11"/>
  <c r="BW4" i="11"/>
  <c r="BS4" i="11"/>
  <c r="BR4" i="11"/>
  <c r="BQ4" i="11"/>
  <c r="BO4" i="11"/>
  <c r="BN4" i="11"/>
  <c r="BM4" i="11"/>
  <c r="BL4" i="11"/>
  <c r="BJ4" i="11"/>
  <c r="BI4" i="11"/>
  <c r="BH4" i="11"/>
  <c r="BG4" i="11"/>
  <c r="BF4" i="11"/>
  <c r="BE4" i="11"/>
  <c r="BD4" i="11"/>
  <c r="BC4" i="11"/>
  <c r="BB4" i="11"/>
  <c r="BA4" i="11"/>
  <c r="AZ4" i="11"/>
  <c r="AY4" i="11"/>
  <c r="AX4" i="11"/>
  <c r="AW4" i="11"/>
  <c r="AV4" i="11"/>
  <c r="AU4" i="11"/>
  <c r="AT4" i="11"/>
  <c r="AS4" i="11"/>
  <c r="AR4" i="11"/>
  <c r="CI3" i="11"/>
  <c r="CE3" i="11"/>
  <c r="CD3" i="11"/>
  <c r="CB3" i="11"/>
  <c r="CA3" i="11"/>
  <c r="BZ3" i="11"/>
  <c r="BW3" i="11"/>
  <c r="BS3" i="11"/>
  <c r="BR3" i="11"/>
  <c r="BQ3" i="11"/>
  <c r="BO3" i="11"/>
  <c r="BN3" i="11"/>
  <c r="BM3" i="11"/>
  <c r="BL3" i="11"/>
  <c r="BJ3" i="11"/>
  <c r="BI3" i="11"/>
  <c r="BH3" i="11"/>
  <c r="BG3" i="11"/>
  <c r="BF3" i="11"/>
  <c r="BE3" i="11"/>
  <c r="BD3" i="11"/>
  <c r="BC3" i="11"/>
  <c r="BB3" i="11"/>
  <c r="BA3" i="11"/>
  <c r="AZ3" i="11"/>
  <c r="AY3" i="11"/>
  <c r="AX3" i="11"/>
  <c r="AW3" i="11"/>
  <c r="AV3" i="11"/>
  <c r="AU3" i="11"/>
  <c r="AT3" i="11"/>
  <c r="AS3" i="11"/>
  <c r="AR3" i="11"/>
  <c r="CI2" i="11"/>
  <c r="CE2" i="11"/>
  <c r="CD2" i="11"/>
  <c r="CB2" i="11"/>
  <c r="CA2" i="11"/>
  <c r="BZ2" i="11"/>
  <c r="BS2" i="11"/>
  <c r="BR2" i="11"/>
  <c r="BQ2" i="11"/>
  <c r="BO2" i="11"/>
  <c r="BN2" i="11"/>
  <c r="BM2" i="11"/>
  <c r="BL2" i="11"/>
  <c r="BJ2" i="11"/>
  <c r="BI2" i="11"/>
  <c r="BH2" i="11"/>
  <c r="BG2" i="11"/>
  <c r="BF2" i="11"/>
  <c r="BE2" i="11"/>
  <c r="BD2" i="11"/>
  <c r="BC2" i="11"/>
  <c r="BB2" i="11"/>
  <c r="BA2" i="11"/>
  <c r="AZ2" i="11"/>
  <c r="AY2" i="11"/>
  <c r="AX2" i="11"/>
  <c r="AW2" i="11"/>
  <c r="AV2" i="11"/>
  <c r="AU2" i="11"/>
  <c r="AT2" i="11"/>
  <c r="AS2" i="11"/>
  <c r="AR2" i="11"/>
  <c r="A154" i="8"/>
  <c r="A152" i="8"/>
  <c r="A151" i="8"/>
  <c r="A149" i="8"/>
  <c r="D149" i="8" s="1"/>
  <c r="A148" i="8"/>
  <c r="A147" i="8"/>
  <c r="A146" i="8"/>
  <c r="A145" i="8"/>
  <c r="D145" i="8" s="1"/>
  <c r="A144" i="8"/>
  <c r="A143" i="8"/>
  <c r="A142" i="8"/>
  <c r="A141" i="8"/>
  <c r="A140" i="8"/>
  <c r="A139" i="8"/>
  <c r="A138" i="8"/>
  <c r="A137" i="8"/>
  <c r="D137" i="8" s="1"/>
  <c r="A134" i="8"/>
  <c r="A133" i="8"/>
  <c r="A132" i="8"/>
  <c r="A131" i="8"/>
  <c r="D131" i="8" s="1"/>
  <c r="A129" i="8"/>
  <c r="A128" i="8"/>
  <c r="A127" i="8"/>
  <c r="A126" i="8"/>
  <c r="D126" i="8" s="1"/>
  <c r="A123" i="8"/>
  <c r="A122" i="8"/>
  <c r="A121" i="8"/>
  <c r="A118" i="8"/>
  <c r="D118" i="8" s="1"/>
  <c r="A117" i="8"/>
  <c r="A115" i="8"/>
  <c r="A114" i="8"/>
  <c r="A109" i="8"/>
  <c r="D109" i="8" s="1"/>
  <c r="A108" i="8"/>
  <c r="A107" i="8"/>
  <c r="A106" i="8"/>
  <c r="A105" i="8"/>
  <c r="A104" i="8"/>
  <c r="A103" i="8"/>
  <c r="A102" i="8"/>
  <c r="A101" i="8"/>
  <c r="D101" i="8" s="1"/>
  <c r="A100" i="8"/>
  <c r="A99" i="8"/>
  <c r="A98" i="8"/>
  <c r="A97" i="8"/>
  <c r="D97" i="8" s="1"/>
  <c r="A95" i="8"/>
  <c r="A94" i="8"/>
  <c r="A93" i="8"/>
  <c r="A92" i="8"/>
  <c r="D92" i="8" s="1"/>
  <c r="A91" i="8"/>
  <c r="A90" i="8"/>
  <c r="A89" i="8"/>
  <c r="A88" i="8"/>
  <c r="A87" i="8"/>
  <c r="A86" i="8"/>
  <c r="A84" i="8"/>
  <c r="A83" i="8"/>
  <c r="D83" i="8" s="1"/>
  <c r="A82" i="8"/>
  <c r="A81" i="8"/>
  <c r="A80" i="8"/>
  <c r="A79" i="8"/>
  <c r="D79" i="8" s="1"/>
  <c r="A78" i="8"/>
  <c r="A77" i="8"/>
  <c r="A76" i="8"/>
  <c r="A75" i="8"/>
  <c r="D75" i="8" s="1"/>
  <c r="A74" i="8"/>
  <c r="A72" i="8"/>
  <c r="A71" i="8"/>
  <c r="A70" i="8"/>
  <c r="D70" i="8" s="1"/>
  <c r="A69" i="8"/>
  <c r="A68" i="8"/>
  <c r="A67" i="8"/>
  <c r="A66" i="8"/>
  <c r="D66" i="8" s="1"/>
  <c r="A65" i="8"/>
  <c r="A64" i="8"/>
  <c r="A63" i="8"/>
  <c r="A62" i="8"/>
  <c r="D62" i="8" s="1"/>
  <c r="A61" i="8"/>
  <c r="A59" i="8"/>
  <c r="A58" i="8"/>
  <c r="A57" i="8"/>
  <c r="A56" i="8"/>
  <c r="A55" i="8"/>
  <c r="A54" i="8"/>
  <c r="A53" i="8"/>
  <c r="D53" i="8" s="1"/>
  <c r="A52" i="8"/>
  <c r="A51" i="8"/>
  <c r="A50" i="8"/>
  <c r="A49" i="8"/>
  <c r="D49" i="8" s="1"/>
  <c r="A48" i="8"/>
  <c r="A47" i="8"/>
  <c r="A46" i="8"/>
  <c r="A45" i="8"/>
  <c r="D45" i="8" s="1"/>
  <c r="A44" i="8"/>
  <c r="A43" i="8"/>
  <c r="A42" i="8"/>
  <c r="A41" i="8"/>
  <c r="A40" i="8"/>
  <c r="A39" i="8"/>
  <c r="A38" i="8"/>
  <c r="A37" i="8"/>
  <c r="D37" i="8" s="1"/>
  <c r="A36" i="8"/>
  <c r="A35" i="8"/>
  <c r="A34" i="8"/>
  <c r="A33" i="8"/>
  <c r="D33" i="8" s="1"/>
  <c r="A32" i="8"/>
  <c r="A31" i="8"/>
  <c r="A30" i="8"/>
  <c r="A29" i="8"/>
  <c r="D29" i="8" s="1"/>
  <c r="A28" i="8"/>
  <c r="A27" i="8"/>
  <c r="A26" i="8"/>
  <c r="A25" i="8"/>
  <c r="A24" i="8"/>
  <c r="A23" i="8"/>
  <c r="A22" i="8"/>
  <c r="A21" i="8"/>
  <c r="D21" i="8" s="1"/>
  <c r="A20" i="8"/>
  <c r="A19" i="8"/>
  <c r="A18" i="8"/>
  <c r="A17" i="8"/>
  <c r="D17" i="8" s="1"/>
  <c r="A16" i="8"/>
  <c r="A15" i="8"/>
  <c r="A14" i="8"/>
  <c r="A13" i="8"/>
  <c r="D13" i="8" s="1"/>
  <c r="A12" i="8"/>
  <c r="A11" i="8"/>
  <c r="A10" i="8"/>
  <c r="A9" i="8"/>
  <c r="A8" i="8"/>
  <c r="A7" i="8"/>
  <c r="A6" i="8"/>
  <c r="A5" i="8"/>
  <c r="D5" i="8" s="1"/>
  <c r="A3" i="8"/>
  <c r="D141" i="8"/>
  <c r="D105" i="8"/>
  <c r="D88" i="8"/>
  <c r="D57" i="8"/>
  <c r="D41" i="8"/>
  <c r="D25" i="8"/>
  <c r="D9" i="8"/>
  <c r="B154" i="8"/>
  <c r="B152" i="8"/>
  <c r="B151" i="8"/>
  <c r="B149" i="8"/>
  <c r="B148" i="8"/>
  <c r="B147" i="8"/>
  <c r="B146" i="8"/>
  <c r="B145" i="8"/>
  <c r="B144" i="8"/>
  <c r="B143" i="8"/>
  <c r="B142" i="8"/>
  <c r="B141" i="8"/>
  <c r="B140" i="8"/>
  <c r="B139" i="8"/>
  <c r="B138" i="8"/>
  <c r="B137" i="8"/>
  <c r="B134" i="8"/>
  <c r="B133" i="8"/>
  <c r="B132" i="8"/>
  <c r="B131" i="8"/>
  <c r="B129" i="8"/>
  <c r="B128" i="8"/>
  <c r="B127" i="8"/>
  <c r="B126" i="8"/>
  <c r="B123" i="8"/>
  <c r="B122" i="8"/>
  <c r="B121" i="8"/>
  <c r="B118" i="8"/>
  <c r="B117" i="8"/>
  <c r="B115" i="8"/>
  <c r="B114" i="8"/>
  <c r="B109" i="8"/>
  <c r="B108" i="8"/>
  <c r="B107" i="8"/>
  <c r="B106" i="8"/>
  <c r="B105" i="8"/>
  <c r="B103" i="8"/>
  <c r="B102" i="8"/>
  <c r="B101" i="8"/>
  <c r="B100" i="8"/>
  <c r="B99" i="8"/>
  <c r="B98" i="8"/>
  <c r="B97" i="8"/>
  <c r="B95" i="8"/>
  <c r="B94" i="8"/>
  <c r="B93" i="8"/>
  <c r="B92" i="8"/>
  <c r="B91" i="8"/>
  <c r="B90" i="8"/>
  <c r="B89" i="8"/>
  <c r="B88" i="8"/>
  <c r="B87" i="8"/>
  <c r="B86" i="8"/>
  <c r="B84" i="8"/>
  <c r="B83" i="8"/>
  <c r="B82" i="8"/>
  <c r="B81" i="8"/>
  <c r="B80" i="8"/>
  <c r="B79" i="8"/>
  <c r="B78" i="8"/>
  <c r="B77" i="8"/>
  <c r="B76" i="8"/>
  <c r="B75" i="8"/>
  <c r="B74" i="8"/>
  <c r="B72" i="8"/>
  <c r="B71" i="8"/>
  <c r="B70" i="8"/>
  <c r="B69" i="8"/>
  <c r="B68" i="8"/>
  <c r="B67" i="8"/>
  <c r="B66" i="8"/>
  <c r="B65" i="8"/>
  <c r="B64" i="8"/>
  <c r="B63" i="8"/>
  <c r="B62" i="8"/>
  <c r="B61" i="8"/>
  <c r="B59" i="8"/>
  <c r="B58" i="8"/>
  <c r="B57" i="8"/>
  <c r="B56" i="8"/>
  <c r="B55" i="8"/>
  <c r="B54" i="8"/>
  <c r="B53" i="8"/>
  <c r="B52" i="8"/>
  <c r="B51" i="8"/>
  <c r="B50" i="8"/>
  <c r="B49" i="8"/>
  <c r="B48" i="8"/>
  <c r="B47" i="8"/>
  <c r="B46" i="8"/>
  <c r="B45" i="8"/>
  <c r="B44" i="8"/>
  <c r="B43" i="8"/>
  <c r="B42" i="8"/>
  <c r="B41" i="8"/>
  <c r="B40" i="8"/>
  <c r="B39" i="8"/>
  <c r="B38" i="8"/>
  <c r="B37" i="8"/>
  <c r="B36" i="8"/>
  <c r="B35" i="8"/>
  <c r="B34" i="8"/>
  <c r="B33" i="8"/>
  <c r="B32" i="8"/>
  <c r="B31" i="8"/>
  <c r="B30" i="8"/>
  <c r="B29" i="8"/>
  <c r="B28" i="8"/>
  <c r="B27" i="8"/>
  <c r="B26" i="8"/>
  <c r="B25" i="8"/>
  <c r="B24" i="8"/>
  <c r="B23" i="8"/>
  <c r="B22" i="8"/>
  <c r="B21" i="8"/>
  <c r="B20" i="8"/>
  <c r="B19" i="8"/>
  <c r="B17" i="8"/>
  <c r="B16" i="8"/>
  <c r="B15" i="8"/>
  <c r="B14" i="8"/>
  <c r="B13" i="8"/>
  <c r="B12" i="8"/>
  <c r="B11" i="8"/>
  <c r="B10" i="8"/>
  <c r="B9" i="8"/>
  <c r="B8" i="8"/>
  <c r="B7" i="8"/>
  <c r="B6" i="8"/>
  <c r="B5" i="8"/>
  <c r="B3" i="8"/>
  <c r="D3" i="8"/>
  <c r="D4" i="8"/>
  <c r="D6" i="8"/>
  <c r="D7" i="8"/>
  <c r="D8" i="8"/>
  <c r="D10" i="8"/>
  <c r="D11" i="8"/>
  <c r="D12" i="8"/>
  <c r="D14" i="8"/>
  <c r="D15" i="8"/>
  <c r="D16" i="8"/>
  <c r="D18" i="8"/>
  <c r="D19" i="8"/>
  <c r="D20" i="8"/>
  <c r="D22" i="8"/>
  <c r="D23" i="8"/>
  <c r="D24" i="8"/>
  <c r="D26" i="8"/>
  <c r="D27" i="8"/>
  <c r="D28" i="8"/>
  <c r="D30" i="8"/>
  <c r="D31" i="8"/>
  <c r="D32" i="8"/>
  <c r="D34" i="8"/>
  <c r="D35" i="8"/>
  <c r="D36" i="8"/>
  <c r="D38" i="8"/>
  <c r="D39" i="8"/>
  <c r="D40" i="8"/>
  <c r="D42" i="8"/>
  <c r="D43" i="8"/>
  <c r="D44" i="8"/>
  <c r="D46" i="8"/>
  <c r="D47" i="8"/>
  <c r="D48" i="8"/>
  <c r="D50" i="8"/>
  <c r="D51" i="8"/>
  <c r="D52" i="8"/>
  <c r="D54" i="8"/>
  <c r="D55" i="8"/>
  <c r="D56" i="8"/>
  <c r="D58" i="8"/>
  <c r="D59" i="8"/>
  <c r="D60" i="8"/>
  <c r="D61" i="8"/>
  <c r="D63" i="8"/>
  <c r="D64" i="8"/>
  <c r="D65" i="8"/>
  <c r="D67" i="8"/>
  <c r="D68" i="8"/>
  <c r="D69" i="8"/>
  <c r="D71" i="8"/>
  <c r="D72" i="8"/>
  <c r="D73" i="8"/>
  <c r="D74" i="8"/>
  <c r="D76" i="8"/>
  <c r="D77" i="8"/>
  <c r="D78" i="8"/>
  <c r="D80" i="8"/>
  <c r="D81" i="8"/>
  <c r="D82" i="8"/>
  <c r="D84" i="8"/>
  <c r="D85" i="8"/>
  <c r="D86" i="8"/>
  <c r="D87" i="8"/>
  <c r="D89" i="8"/>
  <c r="D90" i="8"/>
  <c r="D91" i="8"/>
  <c r="D93" i="8"/>
  <c r="D94" i="8"/>
  <c r="D95" i="8"/>
  <c r="D96" i="8"/>
  <c r="D98" i="8"/>
  <c r="D99" i="8"/>
  <c r="D100" i="8"/>
  <c r="D102" i="8"/>
  <c r="D103" i="8"/>
  <c r="D104" i="8"/>
  <c r="D106" i="8"/>
  <c r="D107" i="8"/>
  <c r="D108" i="8"/>
  <c r="D110" i="8"/>
  <c r="D111" i="8"/>
  <c r="D112" i="8"/>
  <c r="D113" i="8"/>
  <c r="D114" i="8"/>
  <c r="D115" i="8"/>
  <c r="D116" i="8"/>
  <c r="D117" i="8"/>
  <c r="D119" i="8"/>
  <c r="D120" i="8"/>
  <c r="D121" i="8"/>
  <c r="D122" i="8"/>
  <c r="D123" i="8"/>
  <c r="D124" i="8"/>
  <c r="D125" i="8"/>
  <c r="D127" i="8"/>
  <c r="D128" i="8"/>
  <c r="D129" i="8"/>
  <c r="D130" i="8"/>
  <c r="D132" i="8"/>
  <c r="D133" i="8"/>
  <c r="D134" i="8"/>
  <c r="D135" i="8"/>
  <c r="D136" i="8"/>
  <c r="D138" i="8"/>
  <c r="D139" i="8"/>
  <c r="D140" i="8"/>
  <c r="D142" i="8"/>
  <c r="D143" i="8"/>
  <c r="D144" i="8"/>
  <c r="D146" i="8"/>
  <c r="D147" i="8"/>
  <c r="D148" i="8"/>
  <c r="D150" i="8"/>
  <c r="D151" i="8"/>
  <c r="D152" i="8"/>
  <c r="D153" i="8"/>
  <c r="D154" i="8"/>
  <c r="D2" i="8"/>
  <c r="CC80" i="11"/>
  <c r="CC71" i="11"/>
  <c r="CE71" i="11"/>
  <c r="CD71" i="11"/>
  <c r="CC69" i="11"/>
  <c r="BW62" i="11"/>
  <c r="BW53" i="11"/>
  <c r="CD53" i="11"/>
  <c r="CE50" i="11"/>
  <c r="CD50" i="11"/>
  <c r="CD49" i="11"/>
  <c r="CE49" i="11"/>
  <c r="BW48" i="11"/>
  <c r="BV3" i="11"/>
  <c r="BV7" i="11"/>
  <c r="BV11" i="11"/>
  <c r="BV15" i="11"/>
  <c r="BV19" i="11"/>
  <c r="BV23" i="11"/>
  <c r="BV27" i="11"/>
  <c r="BV31" i="11"/>
  <c r="BV35" i="11"/>
  <c r="BV39" i="11"/>
  <c r="BV43" i="11"/>
  <c r="BV47" i="11"/>
  <c r="BV51" i="11"/>
  <c r="BV55" i="11"/>
  <c r="BV63" i="11"/>
  <c r="BV67" i="11"/>
  <c r="BV71" i="11"/>
  <c r="BV75" i="11"/>
  <c r="BV79" i="11"/>
  <c r="BV83" i="11"/>
  <c r="BV91" i="11"/>
  <c r="BV95" i="11"/>
  <c r="BV99" i="11"/>
  <c r="BV107" i="11"/>
  <c r="BV14" i="11"/>
  <c r="BV26" i="11"/>
  <c r="BV34" i="11"/>
  <c r="BV42" i="11"/>
  <c r="BV70" i="11"/>
  <c r="BV78" i="11"/>
  <c r="BV90" i="11"/>
  <c r="BV98" i="11"/>
  <c r="BV106" i="11"/>
  <c r="BV4" i="11"/>
  <c r="BV8" i="11"/>
  <c r="BV12" i="11"/>
  <c r="BV16" i="11"/>
  <c r="BV20" i="11"/>
  <c r="BV24" i="11"/>
  <c r="BV28" i="11"/>
  <c r="BV32" i="11"/>
  <c r="BV36" i="11"/>
  <c r="BV40" i="11"/>
  <c r="BV44" i="11"/>
  <c r="BV48" i="11"/>
  <c r="BV64" i="11"/>
  <c r="BV68" i="11"/>
  <c r="BV72" i="11"/>
  <c r="BV76" i="11"/>
  <c r="BV80" i="11"/>
  <c r="BV84" i="11"/>
  <c r="BV96" i="11"/>
  <c r="BV100" i="11"/>
  <c r="BV10" i="11"/>
  <c r="BV5" i="11"/>
  <c r="BV9" i="11"/>
  <c r="BV13" i="11"/>
  <c r="BV17" i="11"/>
  <c r="BV21" i="11"/>
  <c r="BV25" i="11"/>
  <c r="BV29" i="11"/>
  <c r="BV33" i="11"/>
  <c r="BV37" i="11"/>
  <c r="BV41" i="11"/>
  <c r="BV45" i="11"/>
  <c r="BV49" i="11"/>
  <c r="BV65" i="11"/>
  <c r="BV69" i="11"/>
  <c r="BV73" i="11"/>
  <c r="BV77" i="11"/>
  <c r="BV81" i="11"/>
  <c r="BV85" i="11"/>
  <c r="BV89" i="11"/>
  <c r="BV93" i="11"/>
  <c r="BV97" i="11"/>
  <c r="BV101" i="11"/>
  <c r="BV105" i="11"/>
  <c r="BV6" i="11"/>
  <c r="BV18" i="11"/>
  <c r="BV22" i="11"/>
  <c r="BV30" i="11"/>
  <c r="BV38" i="11"/>
  <c r="BV46" i="11"/>
  <c r="BV66" i="11"/>
  <c r="BV74" i="11"/>
  <c r="BV82" i="11"/>
  <c r="BV94" i="11"/>
  <c r="BV102" i="11"/>
  <c r="BV2" i="11"/>
  <c r="CC107" i="11"/>
  <c r="BT107" i="11"/>
  <c r="CD107" i="11"/>
  <c r="CE107" i="11"/>
  <c r="BK107" i="11"/>
  <c r="CH107" i="11"/>
  <c r="BT106" i="11"/>
  <c r="CC106" i="11"/>
  <c r="CE106" i="11"/>
  <c r="BK106" i="11"/>
  <c r="CD106" i="11"/>
  <c r="BT105" i="11"/>
  <c r="CE105" i="11"/>
  <c r="BW105" i="11"/>
  <c r="BK105" i="11"/>
  <c r="CH105" i="11"/>
  <c r="CD105" i="11"/>
  <c r="CC105" i="11"/>
  <c r="BW104" i="11"/>
  <c r="CC104" i="11"/>
  <c r="BT104" i="11"/>
  <c r="CD104" i="11"/>
  <c r="CE104" i="11"/>
  <c r="BK104" i="11"/>
  <c r="CH104" i="11"/>
  <c r="CC103" i="11"/>
  <c r="BT103" i="11"/>
  <c r="CD103" i="11"/>
  <c r="CE103" i="11"/>
  <c r="BK103" i="11"/>
  <c r="CH103" i="11"/>
  <c r="CE82" i="11"/>
  <c r="CE102" i="11"/>
  <c r="CD102" i="11"/>
  <c r="CC102" i="11"/>
  <c r="BT102" i="11"/>
  <c r="BK102" i="11"/>
  <c r="CH102" i="11"/>
  <c r="CE100" i="11"/>
  <c r="BW100" i="11"/>
  <c r="BK100" i="11"/>
  <c r="CC99" i="11"/>
  <c r="CE98" i="11"/>
  <c r="BW98" i="11"/>
  <c r="BK98" i="11"/>
  <c r="CC97" i="11"/>
  <c r="CE96" i="11"/>
  <c r="BK96" i="11"/>
  <c r="CC95" i="11"/>
  <c r="CE94" i="11"/>
  <c r="BK94" i="11"/>
  <c r="CC93" i="11"/>
  <c r="CE92" i="11"/>
  <c r="BK92" i="11"/>
  <c r="CC91" i="11"/>
  <c r="CE90" i="11"/>
  <c r="BK90" i="11"/>
  <c r="CC89" i="11"/>
  <c r="CE88" i="11"/>
  <c r="BK88" i="11"/>
  <c r="CC87" i="11"/>
  <c r="CE86" i="11"/>
  <c r="BK86" i="11"/>
  <c r="CC85" i="11"/>
  <c r="CE84" i="11"/>
  <c r="BK84" i="11"/>
  <c r="CC83" i="11"/>
  <c r="BK82" i="11"/>
  <c r="BT85" i="11"/>
  <c r="CH84" i="11"/>
  <c r="BT83" i="11"/>
  <c r="CD82" i="11"/>
  <c r="CC82" i="11"/>
  <c r="BT101" i="11"/>
  <c r="CH100" i="11"/>
  <c r="CD100" i="11"/>
  <c r="BT99" i="11"/>
  <c r="CH98" i="11"/>
  <c r="CD98" i="11"/>
  <c r="BT97" i="11"/>
  <c r="CH96" i="11"/>
  <c r="CD96" i="11"/>
  <c r="BT95" i="11"/>
  <c r="CH94" i="11"/>
  <c r="CD94" i="11"/>
  <c r="BT93" i="11"/>
  <c r="CH92" i="11"/>
  <c r="CD92" i="11"/>
  <c r="BT91" i="11"/>
  <c r="CH90" i="11"/>
  <c r="CD90" i="11"/>
  <c r="BT89" i="11"/>
  <c r="CH88" i="11"/>
  <c r="CD88" i="11"/>
  <c r="BT87" i="11"/>
  <c r="CH86" i="11"/>
  <c r="CD84" i="11"/>
  <c r="BK89" i="11"/>
  <c r="CE87" i="11"/>
  <c r="CC84" i="11"/>
  <c r="CE83" i="11"/>
  <c r="BK83" i="11"/>
  <c r="BK101" i="11"/>
  <c r="CC100" i="11"/>
  <c r="CE99" i="11"/>
  <c r="BK99" i="11"/>
  <c r="CC98" i="11"/>
  <c r="CE97" i="11"/>
  <c r="BK97" i="11"/>
  <c r="CC96" i="11"/>
  <c r="CE95" i="11"/>
  <c r="BK95" i="11"/>
  <c r="CC94" i="11"/>
  <c r="CE93" i="11"/>
  <c r="BK93" i="11"/>
  <c r="CC92" i="11"/>
  <c r="CE91" i="11"/>
  <c r="BK91" i="11"/>
  <c r="CC90" i="11"/>
  <c r="CE89" i="11"/>
  <c r="CC88" i="11"/>
  <c r="BT100" i="11"/>
  <c r="CD99" i="11"/>
  <c r="BT98" i="11"/>
  <c r="CD97" i="11"/>
  <c r="BT96" i="11"/>
  <c r="CD95" i="11"/>
  <c r="BT94" i="11"/>
  <c r="CD93" i="11"/>
  <c r="BT92" i="11"/>
  <c r="CD91" i="11"/>
  <c r="BT90" i="11"/>
  <c r="CD89" i="11"/>
  <c r="BT88" i="11"/>
  <c r="CD87" i="11"/>
  <c r="BT86" i="11"/>
  <c r="CD85" i="11"/>
  <c r="BT84" i="11"/>
  <c r="CD83" i="11"/>
  <c r="BT82" i="11"/>
  <c r="CD86" i="11"/>
  <c r="CH82" i="11"/>
  <c r="BK87" i="11"/>
  <c r="CC86" i="11"/>
  <c r="CE85" i="11"/>
  <c r="BK85" i="11"/>
  <c r="BW72" i="11"/>
  <c r="BK75" i="11"/>
  <c r="BT76" i="11"/>
  <c r="CH78" i="11"/>
  <c r="BK79" i="11"/>
  <c r="BK72" i="11"/>
  <c r="BT73" i="11"/>
  <c r="CH75" i="11"/>
  <c r="BT71" i="11"/>
  <c r="BT68" i="11"/>
  <c r="CH67" i="11"/>
  <c r="BT65" i="11"/>
  <c r="BK64" i="11"/>
  <c r="BT62" i="11"/>
  <c r="BT61" i="11"/>
  <c r="BW60" i="11"/>
  <c r="BT59" i="11"/>
  <c r="BK56" i="11"/>
  <c r="BK57" i="11"/>
  <c r="BT54" i="11"/>
  <c r="CH52" i="11"/>
  <c r="BK51" i="11"/>
  <c r="BT48" i="11"/>
  <c r="BT47" i="11"/>
  <c r="BW46" i="11"/>
  <c r="BK41" i="11"/>
  <c r="BW44" i="11"/>
  <c r="BW40" i="11"/>
  <c r="BK37" i="11"/>
  <c r="BT43" i="11"/>
  <c r="BT36" i="11"/>
  <c r="CH34" i="11"/>
  <c r="BK25" i="11"/>
  <c r="BK23" i="11"/>
  <c r="BW17" i="11"/>
  <c r="CH35" i="11"/>
  <c r="BK33" i="11"/>
  <c r="BK28" i="11"/>
  <c r="BW19" i="11"/>
  <c r="BK16" i="11"/>
  <c r="BT38" i="11"/>
  <c r="BT24" i="11"/>
  <c r="BT29" i="11"/>
  <c r="BU24" i="11"/>
  <c r="BT30" i="11"/>
  <c r="BT20" i="11"/>
  <c r="CH17" i="11"/>
  <c r="BT26" i="11"/>
  <c r="BK8" i="11"/>
  <c r="BT16" i="11"/>
  <c r="BT10" i="11"/>
  <c r="BW10" i="11"/>
  <c r="BK4" i="11"/>
  <c r="CH19" i="11"/>
  <c r="BT3" i="11"/>
  <c r="BT14" i="11"/>
  <c r="BT7" i="11"/>
  <c r="BT81" i="11"/>
  <c r="BT75" i="11"/>
  <c r="CH73" i="11"/>
  <c r="BT69" i="11"/>
  <c r="BT64" i="11"/>
  <c r="CH62" i="11"/>
  <c r="CH60" i="11"/>
  <c r="BW51" i="11"/>
  <c r="BT49" i="11"/>
  <c r="CH48" i="11"/>
  <c r="BK38" i="11"/>
  <c r="BT34" i="11"/>
  <c r="BK20" i="11"/>
  <c r="BK18" i="11"/>
  <c r="BK13" i="11"/>
  <c r="BU34" i="11"/>
  <c r="BT21" i="11"/>
  <c r="BW8" i="11"/>
  <c r="CH21" i="11"/>
  <c r="BK11" i="11"/>
  <c r="BK6" i="11"/>
  <c r="CH24" i="11"/>
  <c r="BK81" i="11"/>
  <c r="BK73" i="11"/>
  <c r="BT74" i="11"/>
  <c r="BT77" i="11"/>
  <c r="BK78" i="11"/>
  <c r="CH79" i="11"/>
  <c r="CH72" i="11"/>
  <c r="CH80" i="11"/>
  <c r="CH71" i="11"/>
  <c r="BT70" i="11"/>
  <c r="BK69" i="11"/>
  <c r="BK68" i="11"/>
  <c r="BK67" i="11"/>
  <c r="CH65" i="11"/>
  <c r="BT63" i="11"/>
  <c r="BW61" i="11"/>
  <c r="BT60" i="11"/>
  <c r="BK59" i="11"/>
  <c r="BK54" i="11"/>
  <c r="BK55" i="11"/>
  <c r="CH58" i="11"/>
  <c r="BK53" i="11"/>
  <c r="BT52" i="11"/>
  <c r="CH51" i="11"/>
  <c r="BK50" i="11"/>
  <c r="BW47" i="11"/>
  <c r="CH46" i="11"/>
  <c r="BK39" i="11"/>
  <c r="BK44" i="11"/>
  <c r="BK40" i="11"/>
  <c r="BK36" i="11"/>
  <c r="BT42" i="11"/>
  <c r="BU42" i="11" s="1"/>
  <c r="BT33" i="11"/>
  <c r="BK31" i="11"/>
  <c r="BW24" i="11"/>
  <c r="BW22" i="11"/>
  <c r="BK17" i="11"/>
  <c r="BW34" i="11"/>
  <c r="BU33" i="11"/>
  <c r="BK32" i="11"/>
  <c r="BW26" i="11"/>
  <c r="BK19" i="11"/>
  <c r="BW15" i="11"/>
  <c r="BT32" i="11"/>
  <c r="BU32" i="11" s="1"/>
  <c r="BT18" i="11"/>
  <c r="BT23" i="11"/>
  <c r="BU38" i="11"/>
  <c r="BU29" i="11"/>
  <c r="BU18" i="11"/>
  <c r="CH29" i="11"/>
  <c r="BT19" i="11"/>
  <c r="BT15" i="11"/>
  <c r="BT22" i="11"/>
  <c r="BK5" i="11"/>
  <c r="BT12" i="11"/>
  <c r="BT13" i="11"/>
  <c r="BK10" i="11"/>
  <c r="BW2" i="11"/>
  <c r="BT6" i="11"/>
  <c r="BW11" i="11"/>
  <c r="CH12" i="11"/>
  <c r="BT2" i="11"/>
  <c r="BT39" i="11"/>
  <c r="BK29" i="11"/>
  <c r="BK22" i="11"/>
  <c r="BU43" i="11"/>
  <c r="BW30" i="11"/>
  <c r="BW18" i="11"/>
  <c r="BT17" i="11"/>
  <c r="BU17" i="11" s="1"/>
  <c r="BT40" i="11"/>
  <c r="BT25" i="11"/>
  <c r="CH27" i="11"/>
  <c r="CH14" i="11"/>
  <c r="BK2" i="11"/>
  <c r="BT8" i="11"/>
  <c r="CH5" i="11"/>
  <c r="BT78" i="11"/>
  <c r="BK74" i="11"/>
  <c r="BK71" i="11"/>
  <c r="CH70" i="11"/>
  <c r="CH63" i="11"/>
  <c r="BT53" i="11"/>
  <c r="BK52" i="11"/>
  <c r="BT50" i="11"/>
  <c r="CH49" i="11"/>
  <c r="BK45" i="11"/>
  <c r="BT44" i="11"/>
  <c r="BU44" i="11" s="1"/>
  <c r="BK27" i="11"/>
  <c r="BT41" i="11"/>
  <c r="BU41" i="11" s="1"/>
  <c r="BU36" i="11"/>
  <c r="BK21" i="11"/>
  <c r="BT27" i="11"/>
  <c r="BU27" i="11" s="1"/>
  <c r="BU23" i="11"/>
  <c r="BT31" i="11"/>
  <c r="CH26" i="11"/>
  <c r="CH11" i="11"/>
  <c r="BT4" i="11"/>
  <c r="BT9" i="11"/>
  <c r="CH7" i="11"/>
  <c r="BK80" i="11"/>
  <c r="BT79" i="11"/>
  <c r="BT72" i="11"/>
  <c r="CH76" i="11"/>
  <c r="BK76" i="11"/>
  <c r="BT80" i="11"/>
  <c r="CH81" i="11"/>
  <c r="CH77" i="11"/>
  <c r="BK70" i="11"/>
  <c r="CH69" i="11"/>
  <c r="CH68" i="11"/>
  <c r="BT66" i="11"/>
  <c r="BK65" i="11"/>
  <c r="BK63" i="11"/>
  <c r="BK62" i="11"/>
  <c r="BK61" i="11"/>
  <c r="BK60" i="11"/>
  <c r="CH59" i="11"/>
  <c r="BT57" i="11"/>
  <c r="BT58" i="11"/>
  <c r="CH56" i="11"/>
  <c r="CH53" i="11"/>
  <c r="BW52" i="11"/>
  <c r="BT51" i="11"/>
  <c r="BW50" i="11"/>
  <c r="BK49" i="11"/>
  <c r="BK48" i="11"/>
  <c r="BK47" i="11"/>
  <c r="BK46" i="11"/>
  <c r="BT45" i="11"/>
  <c r="BU45" i="11" s="1"/>
  <c r="BW43" i="11"/>
  <c r="BW38" i="11"/>
  <c r="BK35" i="11"/>
  <c r="BT35" i="11"/>
  <c r="BU35" i="11" s="1"/>
  <c r="BK24" i="11"/>
  <c r="BK34" i="11"/>
  <c r="BU39" i="11"/>
  <c r="BK26" i="11"/>
  <c r="BK15" i="11"/>
  <c r="BT28" i="11"/>
  <c r="BU28" i="11"/>
  <c r="CH33" i="11"/>
  <c r="BK9" i="11"/>
  <c r="BK3" i="11"/>
  <c r="BT11" i="11"/>
  <c r="BK12" i="11"/>
  <c r="BK7" i="11"/>
  <c r="BT5" i="11"/>
  <c r="CH10" i="11"/>
  <c r="BK77" i="11"/>
  <c r="CH74" i="11"/>
  <c r="BT67" i="11"/>
  <c r="BK66" i="11"/>
  <c r="CH61" i="11"/>
  <c r="BK58" i="11"/>
  <c r="BT55" i="11"/>
  <c r="BT56" i="11"/>
  <c r="CH54" i="11"/>
  <c r="BT46" i="11"/>
  <c r="BK42" i="11"/>
  <c r="BK43" i="11"/>
  <c r="BT37" i="11"/>
  <c r="BU37" i="11" s="1"/>
  <c r="BW23" i="11"/>
  <c r="BK30" i="11"/>
  <c r="BK14" i="11"/>
  <c r="BU40" i="11"/>
  <c r="CH23" i="11"/>
  <c r="CC74" i="11"/>
  <c r="CC78" i="11"/>
  <c r="CD59" i="11"/>
  <c r="CD70" i="11"/>
  <c r="CC65" i="11"/>
  <c r="CC61" i="11"/>
  <c r="CC53" i="11"/>
  <c r="CC51" i="11"/>
  <c r="CC44" i="11"/>
  <c r="CC38" i="11"/>
  <c r="CE44" i="11"/>
  <c r="CC15" i="11"/>
  <c r="CC29" i="11"/>
  <c r="CC12" i="11"/>
  <c r="CC10" i="11"/>
  <c r="CC3" i="11"/>
  <c r="CC79" i="11"/>
  <c r="CC73" i="11"/>
  <c r="CC70" i="11"/>
  <c r="CC68" i="11"/>
  <c r="CC67" i="11"/>
  <c r="CC66" i="11"/>
  <c r="CC55" i="11"/>
  <c r="CC58" i="11"/>
  <c r="CC54" i="11"/>
  <c r="CE52" i="11"/>
  <c r="CC50" i="11"/>
  <c r="CC37" i="11"/>
  <c r="CD44" i="11"/>
  <c r="CD42" i="11"/>
  <c r="CD35" i="11"/>
  <c r="CC4" i="11"/>
  <c r="CC75" i="11"/>
  <c r="CC76" i="11"/>
  <c r="CD61" i="11"/>
  <c r="CC64" i="11"/>
  <c r="CC60" i="11"/>
  <c r="CC59" i="11"/>
  <c r="CC52" i="11"/>
  <c r="CE51" i="11"/>
  <c r="CD48" i="11"/>
  <c r="CC35" i="11"/>
  <c r="CC27" i="11"/>
  <c r="CC22" i="11"/>
  <c r="CD15" i="11"/>
  <c r="CC5" i="11"/>
  <c r="CD60" i="11"/>
  <c r="CE70" i="11"/>
  <c r="CC63" i="11"/>
  <c r="CC62" i="11"/>
  <c r="CC57" i="11"/>
  <c r="CC56" i="11"/>
  <c r="CD52" i="11"/>
  <c r="CD51" i="11"/>
  <c r="CC49" i="11"/>
  <c r="CC48" i="11"/>
  <c r="CC45" i="11"/>
  <c r="CE26" i="11"/>
  <c r="CC2" i="11"/>
  <c r="CE48" i="11"/>
  <c r="CC42" i="11"/>
  <c r="CC26" i="11"/>
  <c r="CD26" i="11"/>
  <c r="CC77" i="11"/>
  <c r="BP107" i="11" l="1"/>
  <c r="BY106" i="11"/>
  <c r="CG106" i="11" s="1"/>
  <c r="CF107" i="11"/>
  <c r="BY107" i="11"/>
  <c r="CG107" i="11" s="1"/>
  <c r="CF106" i="11"/>
  <c r="CJ105" i="11"/>
  <c r="CF105" i="11"/>
  <c r="CF104" i="11"/>
  <c r="BY104" i="11"/>
  <c r="CJ104" i="11" s="1"/>
  <c r="BY86" i="11"/>
  <c r="CG86" i="11" s="1"/>
  <c r="BP87" i="11"/>
  <c r="BP88" i="11"/>
  <c r="BY94" i="11"/>
  <c r="CG94" i="11" s="1"/>
  <c r="BP95" i="11"/>
  <c r="BP96" i="11"/>
  <c r="BP82" i="11"/>
  <c r="BY88" i="11"/>
  <c r="CG88" i="11" s="1"/>
  <c r="BP89" i="11"/>
  <c r="BP90" i="11"/>
  <c r="BY96" i="11"/>
  <c r="CG96" i="11" s="1"/>
  <c r="BP97" i="11"/>
  <c r="BP98" i="11"/>
  <c r="BP99" i="11"/>
  <c r="BP100" i="11"/>
  <c r="BY82" i="11"/>
  <c r="CG82" i="11" s="1"/>
  <c r="BP83" i="11"/>
  <c r="BP84" i="11"/>
  <c r="BY90" i="11"/>
  <c r="CG90" i="11" s="1"/>
  <c r="BP91" i="11"/>
  <c r="BP92" i="11"/>
  <c r="CJ98" i="11"/>
  <c r="CK98" i="11" s="1"/>
  <c r="BY84" i="11"/>
  <c r="CG84" i="11" s="1"/>
  <c r="CJ92" i="11"/>
  <c r="CK92" i="11" s="1"/>
  <c r="BY92" i="11"/>
  <c r="CG92" i="11" s="1"/>
  <c r="BP102" i="11"/>
  <c r="BP103" i="11"/>
  <c r="CF103" i="11"/>
  <c r="BY103" i="11"/>
  <c r="CG103" i="11" s="1"/>
  <c r="BP85" i="11"/>
  <c r="CF101" i="11"/>
  <c r="CF102" i="11"/>
  <c r="BY102" i="11"/>
  <c r="CG102" i="11" s="1"/>
  <c r="CF86" i="11"/>
  <c r="CF88" i="11"/>
  <c r="CF90" i="11"/>
  <c r="CF92" i="11"/>
  <c r="CF94" i="11"/>
  <c r="CF96" i="11"/>
  <c r="CF98" i="11"/>
  <c r="CF100" i="11"/>
  <c r="CF84" i="11"/>
  <c r="CF82" i="11"/>
  <c r="CF83" i="11"/>
  <c r="CF85" i="11"/>
  <c r="CF87" i="11"/>
  <c r="CF89" i="11"/>
  <c r="CF91" i="11"/>
  <c r="CF93" i="11"/>
  <c r="CF95" i="11"/>
  <c r="CF97" i="11"/>
  <c r="CF99" i="11"/>
  <c r="BY100" i="11"/>
  <c r="CG100" i="11" s="1"/>
  <c r="BY83" i="11"/>
  <c r="CJ83" i="11" s="1"/>
  <c r="BY85" i="11"/>
  <c r="CG85" i="11" s="1"/>
  <c r="BY87" i="11"/>
  <c r="CG87" i="11" s="1"/>
  <c r="BY89" i="11"/>
  <c r="CG89" i="11" s="1"/>
  <c r="BY91" i="11"/>
  <c r="CJ91" i="11" s="1"/>
  <c r="BY93" i="11"/>
  <c r="CG93" i="11" s="1"/>
  <c r="BY95" i="11"/>
  <c r="CJ95" i="11" s="1"/>
  <c r="BY97" i="11"/>
  <c r="CG97" i="11" s="1"/>
  <c r="BY99" i="11"/>
  <c r="CJ99" i="11" s="1"/>
  <c r="BY101" i="11"/>
  <c r="CG101" i="11" s="1"/>
  <c r="BU59" i="11"/>
  <c r="BP52" i="11"/>
  <c r="BP81" i="11"/>
  <c r="BP77" i="11"/>
  <c r="BP62" i="11"/>
  <c r="BP49" i="11"/>
  <c r="BP50" i="11"/>
  <c r="BP51" i="11"/>
  <c r="BP55" i="11"/>
  <c r="BP57" i="11"/>
  <c r="BP59" i="11"/>
  <c r="BP67" i="11"/>
  <c r="BP76" i="11"/>
  <c r="BP79" i="11"/>
  <c r="BP48" i="11"/>
  <c r="BP60" i="11"/>
  <c r="BP64" i="11"/>
  <c r="BP75" i="11"/>
  <c r="BP80" i="11"/>
  <c r="BP47" i="11"/>
  <c r="BP53" i="11"/>
  <c r="BP54" i="11"/>
  <c r="BP56" i="11"/>
  <c r="BP58" i="11"/>
  <c r="BP61" i="11"/>
  <c r="BP70" i="11"/>
  <c r="BP72" i="11"/>
  <c r="BP74" i="11"/>
  <c r="CF75" i="11"/>
  <c r="BP78" i="11"/>
  <c r="CF80" i="11"/>
  <c r="CF72" i="11"/>
  <c r="CF77" i="11"/>
  <c r="CF81" i="11"/>
  <c r="CF76" i="11"/>
  <c r="CF79" i="11"/>
  <c r="CF74" i="11"/>
  <c r="CF78" i="11"/>
  <c r="CF73" i="11"/>
  <c r="BP73" i="11"/>
  <c r="BY73" i="11"/>
  <c r="CJ73" i="11" s="1"/>
  <c r="BY75" i="11"/>
  <c r="CJ75" i="11" s="1"/>
  <c r="BY77" i="11"/>
  <c r="CJ77" i="11" s="1"/>
  <c r="BY80" i="11"/>
  <c r="CG80" i="11" s="1"/>
  <c r="BY81" i="11"/>
  <c r="CJ81" i="11" s="1"/>
  <c r="BY72" i="11"/>
  <c r="CG72" i="11" s="1"/>
  <c r="BY74" i="11"/>
  <c r="CG74" i="11" s="1"/>
  <c r="BY76" i="11"/>
  <c r="CJ76" i="11" s="1"/>
  <c r="BY78" i="11"/>
  <c r="CG78" i="11" s="1"/>
  <c r="BY79" i="11"/>
  <c r="CG79" i="11" s="1"/>
  <c r="BP71" i="11"/>
  <c r="CF71" i="11"/>
  <c r="BY71" i="11"/>
  <c r="CG71" i="11" s="1"/>
  <c r="CF70" i="11"/>
  <c r="BY70" i="11"/>
  <c r="CG70" i="11" s="1"/>
  <c r="BP69" i="11"/>
  <c r="CF69" i="11"/>
  <c r="BY69" i="11"/>
  <c r="CG69" i="11" s="1"/>
  <c r="BP68" i="11"/>
  <c r="CF68" i="11"/>
  <c r="BY68" i="11"/>
  <c r="CJ68" i="11" s="1"/>
  <c r="CF67" i="11"/>
  <c r="BY67" i="11"/>
  <c r="CG67" i="11" s="1"/>
  <c r="BP65" i="11"/>
  <c r="BP66" i="11"/>
  <c r="CF66" i="11"/>
  <c r="BY66" i="11"/>
  <c r="CJ66" i="11" s="1"/>
  <c r="CF65" i="11"/>
  <c r="BY65" i="11"/>
  <c r="CG65" i="11" s="1"/>
  <c r="CJ64" i="11"/>
  <c r="CF64" i="11"/>
  <c r="BP63" i="11"/>
  <c r="CF63" i="11"/>
  <c r="BY63" i="11"/>
  <c r="CG63" i="11" s="1"/>
  <c r="CF62" i="11"/>
  <c r="BY62" i="11"/>
  <c r="CG62" i="11" s="1"/>
  <c r="CF61" i="11"/>
  <c r="BY61" i="11"/>
  <c r="CG61" i="11" s="1"/>
  <c r="CF60" i="11"/>
  <c r="BY60" i="11"/>
  <c r="CG60" i="11" s="1"/>
  <c r="CF59" i="11"/>
  <c r="BY59" i="11"/>
  <c r="CJ59" i="11" s="1"/>
  <c r="CF54" i="11"/>
  <c r="CF56" i="11"/>
  <c r="CF58" i="11"/>
  <c r="CF55" i="11"/>
  <c r="CF57" i="11"/>
  <c r="BY54" i="11"/>
  <c r="CJ54" i="11" s="1"/>
  <c r="BY56" i="11"/>
  <c r="CG56" i="11" s="1"/>
  <c r="BY58" i="11"/>
  <c r="CJ58" i="11" s="1"/>
  <c r="BY55" i="11"/>
  <c r="CJ55" i="11" s="1"/>
  <c r="BY57" i="11"/>
  <c r="CG57" i="11" s="1"/>
  <c r="CF53" i="11"/>
  <c r="BY53" i="11"/>
  <c r="CG53" i="11" s="1"/>
  <c r="CF52" i="11"/>
  <c r="BY52" i="11"/>
  <c r="CG52" i="11" s="1"/>
  <c r="CF51" i="11"/>
  <c r="BY51" i="11"/>
  <c r="CG51" i="11" s="1"/>
  <c r="CJ50" i="11"/>
  <c r="CF50" i="11"/>
  <c r="CF49" i="11"/>
  <c r="BY49" i="11"/>
  <c r="CG49" i="11" s="1"/>
  <c r="CF46" i="11"/>
  <c r="CF47" i="11"/>
  <c r="CF48" i="11"/>
  <c r="BY48" i="11"/>
  <c r="CG48" i="11" s="1"/>
  <c r="CJ46" i="11"/>
  <c r="BP46" i="11"/>
  <c r="CJ47" i="11"/>
  <c r="CF30" i="11"/>
  <c r="CF39" i="11"/>
  <c r="CF16" i="11"/>
  <c r="CF8" i="11"/>
  <c r="BP20" i="11"/>
  <c r="BP23" i="11"/>
  <c r="CF43" i="11"/>
  <c r="BP5" i="11"/>
  <c r="CF7" i="11"/>
  <c r="CF36" i="11"/>
  <c r="BP35" i="11"/>
  <c r="BP14" i="11"/>
  <c r="CF19" i="11"/>
  <c r="CF34" i="11"/>
  <c r="CF9" i="11"/>
  <c r="BP32" i="11"/>
  <c r="CF32" i="11"/>
  <c r="CF40" i="11"/>
  <c r="BP9" i="11"/>
  <c r="BP13" i="11"/>
  <c r="CF20" i="11"/>
  <c r="CF24" i="11"/>
  <c r="CF28" i="11"/>
  <c r="BP6" i="11"/>
  <c r="CF6" i="11"/>
  <c r="BP12" i="11"/>
  <c r="CF13" i="11"/>
  <c r="BP2" i="11"/>
  <c r="BP3" i="11"/>
  <c r="BP11" i="11"/>
  <c r="BP4" i="11"/>
  <c r="BP7" i="11"/>
  <c r="BP8" i="11"/>
  <c r="CF14" i="11"/>
  <c r="CF17" i="11"/>
  <c r="CF18" i="11"/>
  <c r="BP22" i="11"/>
  <c r="BP26" i="11"/>
  <c r="BP31" i="11"/>
  <c r="CF31" i="11"/>
  <c r="BP40" i="11"/>
  <c r="BP44" i="11"/>
  <c r="BP16" i="11"/>
  <c r="BP24" i="11"/>
  <c r="BP29" i="11"/>
  <c r="BP34" i="11"/>
  <c r="BP36" i="11"/>
  <c r="BP37" i="11"/>
  <c r="BP38" i="11"/>
  <c r="BP39" i="11"/>
  <c r="BP45" i="11"/>
  <c r="BP21" i="11"/>
  <c r="CF21" i="11"/>
  <c r="CF23" i="11"/>
  <c r="BP25" i="11"/>
  <c r="CF25" i="11"/>
  <c r="BP27" i="11"/>
  <c r="BP30" i="11"/>
  <c r="CF33" i="11"/>
  <c r="BP41" i="11"/>
  <c r="CF41" i="11"/>
  <c r="BP42" i="11"/>
  <c r="BP43" i="11"/>
  <c r="CF3" i="11"/>
  <c r="CF5" i="11"/>
  <c r="CF2" i="11"/>
  <c r="CF4" i="11"/>
  <c r="CF10" i="11"/>
  <c r="CF12" i="11"/>
  <c r="CF22" i="11"/>
  <c r="CF27" i="11"/>
  <c r="CF29" i="11"/>
  <c r="CF15" i="11"/>
  <c r="CF26" i="11"/>
  <c r="CF35" i="11"/>
  <c r="CF42" i="11"/>
  <c r="CF37" i="11"/>
  <c r="CF38" i="11"/>
  <c r="CF44" i="11"/>
  <c r="CF45" i="11"/>
  <c r="BY3" i="11"/>
  <c r="CG3" i="11" s="1"/>
  <c r="BY4" i="11"/>
  <c r="CG4" i="11" s="1"/>
  <c r="BY6" i="11"/>
  <c r="CG6" i="11" s="1"/>
  <c r="BY2" i="11"/>
  <c r="CJ2" i="11" s="1"/>
  <c r="BY8" i="11"/>
  <c r="CG8" i="11" s="1"/>
  <c r="BP10" i="11"/>
  <c r="BY20" i="11"/>
  <c r="CG20" i="11" s="1"/>
  <c r="BY5" i="11"/>
  <c r="CG5" i="11" s="1"/>
  <c r="BY7" i="11"/>
  <c r="CG7" i="11" s="1"/>
  <c r="CF11" i="11"/>
  <c r="BY9" i="11"/>
  <c r="CJ9" i="11" s="1"/>
  <c r="BY18" i="11"/>
  <c r="CG18" i="11" s="1"/>
  <c r="BY11" i="11"/>
  <c r="CJ11" i="11" s="1"/>
  <c r="BY12" i="11"/>
  <c r="CJ12" i="11" s="1"/>
  <c r="BY13" i="11"/>
  <c r="CG13" i="11" s="1"/>
  <c r="BP15" i="11"/>
  <c r="BP19" i="11"/>
  <c r="BY10" i="11"/>
  <c r="CG10" i="11" s="1"/>
  <c r="BY16" i="11"/>
  <c r="CG16" i="11" s="1"/>
  <c r="BY19" i="11"/>
  <c r="CG19" i="11" s="1"/>
  <c r="BY25" i="11"/>
  <c r="CJ25" i="11" s="1"/>
  <c r="BP17" i="11"/>
  <c r="BY31" i="11"/>
  <c r="CG31" i="11" s="1"/>
  <c r="BY15" i="11"/>
  <c r="CJ15" i="11" s="1"/>
  <c r="BY17" i="11"/>
  <c r="CJ17" i="11" s="1"/>
  <c r="BP18" i="11"/>
  <c r="BY21" i="11"/>
  <c r="CJ21" i="11" s="1"/>
  <c r="BP28" i="11"/>
  <c r="BY30" i="11"/>
  <c r="CG30" i="11" s="1"/>
  <c r="BY24" i="11"/>
  <c r="CG24" i="11" s="1"/>
  <c r="BY27" i="11"/>
  <c r="CG27" i="11" s="1"/>
  <c r="BY28" i="11"/>
  <c r="CG28" i="11" s="1"/>
  <c r="CG32" i="11"/>
  <c r="BY26" i="11"/>
  <c r="CG26" i="11" s="1"/>
  <c r="BY39" i="11"/>
  <c r="CJ39" i="11" s="1"/>
  <c r="BY42" i="11"/>
  <c r="CG42" i="11" s="1"/>
  <c r="BY44" i="11"/>
  <c r="CJ44" i="11" s="1"/>
  <c r="BY14" i="11"/>
  <c r="CJ14" i="11" s="1"/>
  <c r="BY22" i="11"/>
  <c r="CJ22" i="11" s="1"/>
  <c r="BY23" i="11"/>
  <c r="CJ23" i="11" s="1"/>
  <c r="BY29" i="11"/>
  <c r="CJ29" i="11" s="1"/>
  <c r="BY37" i="11"/>
  <c r="CJ37" i="11" s="1"/>
  <c r="CJ33" i="11"/>
  <c r="BP33" i="11"/>
  <c r="BY43" i="11"/>
  <c r="BY34" i="11"/>
  <c r="CJ34" i="11" s="1"/>
  <c r="BY36" i="11"/>
  <c r="CJ36" i="11" s="1"/>
  <c r="BY35" i="11"/>
  <c r="CJ35" i="11" s="1"/>
  <c r="BY38" i="11"/>
  <c r="CG38" i="11" s="1"/>
  <c r="BY40" i="11"/>
  <c r="CJ40" i="11" s="1"/>
  <c r="BY41" i="11"/>
  <c r="BY45" i="11"/>
  <c r="CG45" i="11" s="1"/>
  <c r="J4" i="4"/>
  <c r="J5" i="4"/>
  <c r="J6" i="4"/>
  <c r="J7" i="4"/>
  <c r="J8" i="4"/>
  <c r="J9" i="4"/>
  <c r="J10" i="4"/>
  <c r="J11" i="4"/>
  <c r="J12" i="4"/>
  <c r="J13" i="4"/>
  <c r="J14" i="4"/>
  <c r="J15" i="4"/>
  <c r="J16" i="4"/>
  <c r="J17" i="4"/>
  <c r="J18" i="4"/>
  <c r="J19" i="4"/>
  <c r="J20" i="4"/>
  <c r="J21" i="4"/>
  <c r="J22" i="4"/>
  <c r="J23" i="4"/>
  <c r="BX107" i="11"/>
  <c r="CH106" i="11"/>
  <c r="BX106" i="11"/>
  <c r="BX105" i="11"/>
  <c r="BX104" i="11"/>
  <c r="BX103" i="11"/>
  <c r="BX102" i="11"/>
  <c r="BX82" i="11"/>
  <c r="BX86" i="11"/>
  <c r="BX90" i="11"/>
  <c r="BX94" i="11"/>
  <c r="BX98" i="11"/>
  <c r="CH101" i="11"/>
  <c r="BX87" i="11"/>
  <c r="BX85" i="11"/>
  <c r="BX101" i="11"/>
  <c r="CH83" i="11"/>
  <c r="CH87" i="11"/>
  <c r="CH91" i="11"/>
  <c r="CH95" i="11"/>
  <c r="CH99" i="11"/>
  <c r="BX89" i="11"/>
  <c r="BX97" i="11"/>
  <c r="BX84" i="11"/>
  <c r="BX88" i="11"/>
  <c r="BX92" i="11"/>
  <c r="BX96" i="11"/>
  <c r="BX100" i="11"/>
  <c r="BX93" i="11"/>
  <c r="CH85" i="11"/>
  <c r="CH89" i="11"/>
  <c r="CH93" i="11"/>
  <c r="CH97" i="11"/>
  <c r="BX91" i="11"/>
  <c r="BX95" i="11"/>
  <c r="BX99" i="11"/>
  <c r="BX83" i="11"/>
  <c r="BU2" i="11"/>
  <c r="BX76" i="11"/>
  <c r="BX67" i="11"/>
  <c r="CH66" i="11"/>
  <c r="BX62" i="11"/>
  <c r="BX59" i="11"/>
  <c r="BX58" i="11"/>
  <c r="BX57" i="11"/>
  <c r="BX50" i="11"/>
  <c r="BU3" i="11"/>
  <c r="BU30" i="11"/>
  <c r="BU22" i="11"/>
  <c r="BU5" i="11"/>
  <c r="BU9" i="11"/>
  <c r="BU25" i="11"/>
  <c r="CH22" i="11"/>
  <c r="CH45" i="11"/>
  <c r="CH31" i="11"/>
  <c r="BX40" i="11"/>
  <c r="CH30" i="11"/>
  <c r="BX42" i="11"/>
  <c r="CH36" i="11"/>
  <c r="CH41" i="11"/>
  <c r="CH2" i="11"/>
  <c r="CH44" i="11"/>
  <c r="BX56" i="11"/>
  <c r="CH55" i="11"/>
  <c r="BU31" i="11"/>
  <c r="BU12" i="11"/>
  <c r="BX44" i="11"/>
  <c r="CH15" i="11"/>
  <c r="BX66" i="11"/>
  <c r="CH57" i="11"/>
  <c r="BU14" i="11"/>
  <c r="BU15" i="11"/>
  <c r="CH42" i="11"/>
  <c r="CH16" i="11"/>
  <c r="CH20" i="11"/>
  <c r="BX39" i="11"/>
  <c r="CH43" i="11"/>
  <c r="BX80" i="11"/>
  <c r="BX79" i="11"/>
  <c r="BX65" i="11"/>
  <c r="BX61" i="11"/>
  <c r="BX54" i="11"/>
  <c r="BX53" i="11"/>
  <c r="CH50" i="11"/>
  <c r="CH47" i="11"/>
  <c r="BU13" i="11"/>
  <c r="BU8" i="11"/>
  <c r="BU19" i="11"/>
  <c r="BU11" i="11"/>
  <c r="BU6" i="11"/>
  <c r="CH3" i="11"/>
  <c r="CH18" i="11"/>
  <c r="CH32" i="11"/>
  <c r="CH28" i="11"/>
  <c r="CH39" i="11"/>
  <c r="BX27" i="11"/>
  <c r="CH38" i="11"/>
  <c r="BX78" i="11"/>
  <c r="BX74" i="11"/>
  <c r="BX72" i="11"/>
  <c r="CH64" i="11"/>
  <c r="BX37" i="11"/>
  <c r="CH37" i="11"/>
  <c r="BX55" i="11"/>
  <c r="BX51" i="11"/>
  <c r="BX48" i="11"/>
  <c r="BU7" i="11"/>
  <c r="BU21" i="11"/>
  <c r="BU10" i="11"/>
  <c r="BU20" i="11"/>
  <c r="CH6" i="11"/>
  <c r="CH4" i="11"/>
  <c r="CH9" i="11"/>
  <c r="CH13" i="11"/>
  <c r="BX60" i="11"/>
  <c r="BX52" i="11"/>
  <c r="BX49" i="11"/>
  <c r="BX47" i="11"/>
  <c r="BU16" i="11"/>
  <c r="BU4" i="11"/>
  <c r="BU26" i="11"/>
  <c r="CH25" i="11"/>
  <c r="CH8" i="11"/>
  <c r="BX77" i="11"/>
  <c r="BX73" i="11"/>
  <c r="BX71" i="11"/>
  <c r="BX64" i="11"/>
  <c r="CH40" i="11"/>
  <c r="BX81" i="11"/>
  <c r="BX75" i="11"/>
  <c r="BX32" i="11"/>
  <c r="BX33" i="11"/>
  <c r="BX63" i="11"/>
  <c r="BX70" i="11"/>
  <c r="BX69" i="11"/>
  <c r="BX68" i="11"/>
  <c r="CG104" i="11" l="1"/>
  <c r="CK104" i="11" s="1"/>
  <c r="CJ106" i="11"/>
  <c r="CJ107" i="11"/>
  <c r="CK107" i="11" s="1"/>
  <c r="CK106" i="11"/>
  <c r="CK105" i="11"/>
  <c r="CJ85" i="11"/>
  <c r="CJ90" i="11"/>
  <c r="CK90" i="11" s="1"/>
  <c r="CJ82" i="11"/>
  <c r="CK82" i="11" s="1"/>
  <c r="CJ96" i="11"/>
  <c r="CK96" i="11" s="1"/>
  <c r="CJ88" i="11"/>
  <c r="CK88" i="11" s="1"/>
  <c r="CK94" i="11"/>
  <c r="CJ84" i="11"/>
  <c r="CK84" i="11" s="1"/>
  <c r="CJ94" i="11"/>
  <c r="CJ86" i="11"/>
  <c r="CK86" i="11" s="1"/>
  <c r="CJ103" i="11"/>
  <c r="CK103" i="11" s="1"/>
  <c r="CJ102" i="11"/>
  <c r="CK102" i="11" s="1"/>
  <c r="CK85" i="11"/>
  <c r="CJ100" i="11"/>
  <c r="CK100" i="11" s="1"/>
  <c r="CJ87" i="11"/>
  <c r="CK87" i="11" s="1"/>
  <c r="CG83" i="11"/>
  <c r="CK83" i="11" s="1"/>
  <c r="CJ101" i="11"/>
  <c r="CK101" i="11" s="1"/>
  <c r="CJ97" i="11"/>
  <c r="CK97" i="11" s="1"/>
  <c r="CJ93" i="11"/>
  <c r="CK93" i="11" s="1"/>
  <c r="CJ89" i="11"/>
  <c r="CK89" i="11" s="1"/>
  <c r="CG95" i="11"/>
  <c r="CK95" i="11" s="1"/>
  <c r="CG91" i="11"/>
  <c r="CK91" i="11" s="1"/>
  <c r="CG99" i="11"/>
  <c r="CK99" i="11" s="1"/>
  <c r="CJ74" i="11"/>
  <c r="CK74" i="11" s="1"/>
  <c r="CG81" i="11"/>
  <c r="CK81" i="11" s="1"/>
  <c r="CG76" i="11"/>
  <c r="CK76" i="11" s="1"/>
  <c r="CJ80" i="11"/>
  <c r="CK80" i="11" s="1"/>
  <c r="CG77" i="11"/>
  <c r="CK77" i="11" s="1"/>
  <c r="CG73" i="11"/>
  <c r="CK73" i="11" s="1"/>
  <c r="CJ78" i="11"/>
  <c r="CK78" i="11" s="1"/>
  <c r="CJ79" i="11"/>
  <c r="CK79" i="11" s="1"/>
  <c r="CJ72" i="11"/>
  <c r="CK72" i="11" s="1"/>
  <c r="CG75" i="11"/>
  <c r="CK75" i="11" s="1"/>
  <c r="CJ71" i="11"/>
  <c r="CK71" i="11" s="1"/>
  <c r="CJ70" i="11"/>
  <c r="CK70" i="11" s="1"/>
  <c r="CJ69" i="11"/>
  <c r="CK69" i="11" s="1"/>
  <c r="CG68" i="11"/>
  <c r="CK68" i="11" s="1"/>
  <c r="CJ67" i="11"/>
  <c r="CK67" i="11" s="1"/>
  <c r="CG66" i="11"/>
  <c r="CK66" i="11" s="1"/>
  <c r="CJ65" i="11"/>
  <c r="CK65" i="11" s="1"/>
  <c r="CK64" i="11"/>
  <c r="CJ63" i="11"/>
  <c r="CK63" i="11" s="1"/>
  <c r="CJ62" i="11"/>
  <c r="CK62" i="11" s="1"/>
  <c r="CJ61" i="11"/>
  <c r="CK61" i="11" s="1"/>
  <c r="CJ60" i="11"/>
  <c r="CK60" i="11" s="1"/>
  <c r="CG59" i="11"/>
  <c r="CK59" i="11" s="1"/>
  <c r="CJ57" i="11"/>
  <c r="CK57" i="11" s="1"/>
  <c r="CG58" i="11"/>
  <c r="CK58" i="11" s="1"/>
  <c r="CG54" i="11"/>
  <c r="CK54" i="11" s="1"/>
  <c r="CG55" i="11"/>
  <c r="CK55" i="11" s="1"/>
  <c r="CJ56" i="11"/>
  <c r="CK56" i="11" s="1"/>
  <c r="CJ53" i="11"/>
  <c r="CK53" i="11" s="1"/>
  <c r="CJ52" i="11"/>
  <c r="CK52" i="11" s="1"/>
  <c r="CK46" i="11"/>
  <c r="CJ51" i="11"/>
  <c r="CK51" i="11" s="1"/>
  <c r="CK50" i="11"/>
  <c r="CJ49" i="11"/>
  <c r="CK49" i="11" s="1"/>
  <c r="CJ48" i="11"/>
  <c r="CK48" i="11" s="1"/>
  <c r="CK47" i="11"/>
  <c r="CJ27" i="11"/>
  <c r="CJ28" i="11"/>
  <c r="CK28" i="11" s="1"/>
  <c r="CJ4" i="11"/>
  <c r="CK4" i="11" s="1"/>
  <c r="CJ26" i="11"/>
  <c r="CK26" i="11" s="1"/>
  <c r="CJ3" i="11"/>
  <c r="CK3" i="11" s="1"/>
  <c r="CG9" i="11"/>
  <c r="CK9" i="11" s="1"/>
  <c r="CJ24" i="11"/>
  <c r="CK24" i="11" s="1"/>
  <c r="CJ5" i="11"/>
  <c r="CK5" i="11" s="1"/>
  <c r="CJ8" i="11"/>
  <c r="CK8" i="11" s="1"/>
  <c r="CG34" i="11"/>
  <c r="CK34" i="11" s="1"/>
  <c r="CG15" i="11"/>
  <c r="CK15" i="11" s="1"/>
  <c r="CK33" i="11"/>
  <c r="CK27" i="11"/>
  <c r="CG17" i="11"/>
  <c r="CK17" i="11" s="1"/>
  <c r="CJ6" i="11"/>
  <c r="CK6" i="11" s="1"/>
  <c r="CJ38" i="11"/>
  <c r="CJ42" i="11"/>
  <c r="CK42" i="11" s="1"/>
  <c r="CG21" i="11"/>
  <c r="CK21" i="11" s="1"/>
  <c r="CG12" i="11"/>
  <c r="CK12" i="11" s="1"/>
  <c r="CG35" i="11"/>
  <c r="CK35" i="11" s="1"/>
  <c r="CG25" i="11"/>
  <c r="CK25" i="11" s="1"/>
  <c r="CG22" i="11"/>
  <c r="CK22" i="11" s="1"/>
  <c r="CG39" i="11"/>
  <c r="CK39" i="11" s="1"/>
  <c r="CG29" i="11"/>
  <c r="CK29" i="11" s="1"/>
  <c r="CJ31" i="11"/>
  <c r="CK31" i="11" s="1"/>
  <c r="CJ45" i="11"/>
  <c r="CK45" i="11" s="1"/>
  <c r="CG41" i="11"/>
  <c r="CJ41" i="11"/>
  <c r="CJ43" i="11"/>
  <c r="CG43" i="11"/>
  <c r="CG40" i="11"/>
  <c r="CK40" i="11" s="1"/>
  <c r="CG36" i="11"/>
  <c r="CK36" i="11" s="1"/>
  <c r="CG37" i="11"/>
  <c r="CK37" i="11" s="1"/>
  <c r="CG23" i="11"/>
  <c r="CK23" i="11" s="1"/>
  <c r="CG14" i="11"/>
  <c r="CK14" i="11" s="1"/>
  <c r="CJ19" i="11"/>
  <c r="CK19" i="11" s="1"/>
  <c r="CJ16" i="11"/>
  <c r="CK16" i="11" s="1"/>
  <c r="CG11" i="11"/>
  <c r="CK11" i="11" s="1"/>
  <c r="CJ10" i="11"/>
  <c r="CK10" i="11" s="1"/>
  <c r="CJ18" i="11"/>
  <c r="CK18" i="11" s="1"/>
  <c r="CJ7" i="11"/>
  <c r="CK7" i="11" s="1"/>
  <c r="CG44" i="11"/>
  <c r="CK44" i="11" s="1"/>
  <c r="CK32" i="11"/>
  <c r="CJ30" i="11"/>
  <c r="CK30" i="11" s="1"/>
  <c r="CJ13" i="11"/>
  <c r="CK13" i="11" s="1"/>
  <c r="CJ20" i="11"/>
  <c r="CK20" i="11" s="1"/>
  <c r="CG2" i="11"/>
  <c r="CK2" i="11" s="1"/>
  <c r="CK38" i="11"/>
  <c r="BX41" i="11"/>
  <c r="BX36" i="11"/>
  <c r="BX38" i="11"/>
  <c r="BX19" i="11"/>
  <c r="BX35" i="11"/>
  <c r="BX31" i="11"/>
  <c r="BX13" i="11"/>
  <c r="BX34" i="11"/>
  <c r="BX29" i="11"/>
  <c r="BX23" i="11"/>
  <c r="BX45" i="11"/>
  <c r="BX46" i="11"/>
  <c r="BX6" i="11"/>
  <c r="BX4" i="11"/>
  <c r="BX18" i="11"/>
  <c r="BX28" i="11"/>
  <c r="BX24" i="11"/>
  <c r="BX17" i="11"/>
  <c r="BX2" i="11"/>
  <c r="BX16" i="11"/>
  <c r="BX10" i="11"/>
  <c r="BX43" i="11"/>
  <c r="BX12" i="11"/>
  <c r="CK41" i="11" l="1"/>
  <c r="CK43" i="11"/>
  <c r="BX21" i="11"/>
  <c r="BX14" i="11"/>
  <c r="BX8" i="11"/>
  <c r="BX9" i="11"/>
  <c r="BX25" i="11"/>
  <c r="BX20" i="11"/>
  <c r="BX7" i="11"/>
  <c r="BX30" i="11"/>
  <c r="BX22" i="11"/>
  <c r="BX26" i="11"/>
  <c r="BX15" i="11"/>
  <c r="BX11" i="11"/>
  <c r="BX5" i="11"/>
  <c r="BX3" i="11"/>
</calcChain>
</file>

<file path=xl/sharedStrings.xml><?xml version="1.0" encoding="utf-8"?>
<sst xmlns="http://schemas.openxmlformats.org/spreadsheetml/2006/main" count="4880" uniqueCount="2298">
  <si>
    <t>ca. 48</t>
  </si>
  <si>
    <t>Ephesus, Asia Minor (Turkey)</t>
  </si>
  <si>
    <t>India</t>
  </si>
  <si>
    <t>Patmos (Greece)</t>
  </si>
  <si>
    <t>Kuravilangad (India)</t>
  </si>
  <si>
    <t>Neocaesarea (Asia Minor)</t>
  </si>
  <si>
    <t>ca. 250</t>
  </si>
  <si>
    <t>Lenola (Italy)</t>
  </si>
  <si>
    <t>Rome (Italy)</t>
  </si>
  <si>
    <t>ca. 300</t>
  </si>
  <si>
    <t>Edessa</t>
  </si>
  <si>
    <t>Italy</t>
  </si>
  <si>
    <t>Alexandria</t>
  </si>
  <si>
    <t>Myra, Lycia (Asia Minor)</t>
  </si>
  <si>
    <t>ca. 350</t>
  </si>
  <si>
    <t>Island of St. Nicholas (Italy)</t>
  </si>
  <si>
    <t>Caesarea (Asia Minor)</t>
  </si>
  <si>
    <t>Tours (France)</t>
  </si>
  <si>
    <t>Tagaste (Algeria)</t>
  </si>
  <si>
    <t>ca. 400</t>
  </si>
  <si>
    <t>Constantinople</t>
  </si>
  <si>
    <t>Egypt</t>
  </si>
  <si>
    <t>Behuard (France)</t>
  </si>
  <si>
    <t>450?</t>
  </si>
  <si>
    <t>Agde, Hérault, diocese of Montpelier (France)</t>
  </si>
  <si>
    <t>ca. 490</t>
  </si>
  <si>
    <t>Gargano, Naples (Italy)</t>
  </si>
  <si>
    <t>500?</t>
  </si>
  <si>
    <t>Sicea, Galatia (Turkey)</t>
  </si>
  <si>
    <t>Adana (Cilicia</t>
  </si>
  <si>
    <t>c. 550</t>
  </si>
  <si>
    <t>Spoleto (Italy)</t>
  </si>
  <si>
    <t>In 552 the Madonna would have appeared to a child jew to motivate, successfully, to shy away from the ill-treatment of his father. The child and his mother were expected to baptize after the event.</t>
  </si>
  <si>
    <t>Gualdo Tadino (Italy)</t>
  </si>
  <si>
    <t>Genoa (Italy)</t>
  </si>
  <si>
    <t>5th century</t>
  </si>
  <si>
    <t>Evesham, Worcestershire, England, UK</t>
  </si>
  <si>
    <t>In the 600s, a swineherd named Eoves saw an apparition of three women singing psalms and heavenly melodies. He told Bishop Egwin, who went the next day to the same place and saw the same vision. Bishop Egwin knew that the woman holding an open book and golden cross was the blessed Virgin. She made a sign of blessing with the cross and then her two maids disappeared. Egwin promised to build a shrine to Our Lady on the site of his vision. The shrine, destroyed under Henry VIII, has been revived, and a pilgrimage established on the second Sunday in June.</t>
  </si>
  <si>
    <t>6th century</t>
  </si>
  <si>
    <t>Saydnaya, Syria</t>
  </si>
  <si>
    <t>According to tradition, the Our Lady of Saydnaya Patriarchal Monastery was built by the Emperor Justinian I (527-65).  Legend relates that while the emperor was hunting in the Qalamoun region, he saw a vision of the Virgin Mary, who ordered him to build a convent on the high rock upon which she was standing.  The next day, Justinian began work on the foundations of the convent of Saydnaya, and when it was completed, the emperor’s sister Theodosia became its first superior.</t>
  </si>
  <si>
    <t>Constantinople (Turkey)</t>
  </si>
  <si>
    <t>Boulogne (France)</t>
  </si>
  <si>
    <t>Hainault, Flanders</t>
  </si>
  <si>
    <t>August 15, 660</t>
  </si>
  <si>
    <t>Toledo (Spain)</t>
  </si>
  <si>
    <t>Benevento (Italy)</t>
  </si>
  <si>
    <t>Clermont-Ferramd (France)</t>
  </si>
  <si>
    <t>6th c.</t>
  </si>
  <si>
    <t>Bonito (Italy)</t>
  </si>
  <si>
    <t>Evesham (England)</t>
  </si>
  <si>
    <t>Propezzano (Italy)</t>
  </si>
  <si>
    <t>Farfa (Italy)</t>
  </si>
  <si>
    <t>Maastricht (Germany)</t>
  </si>
  <si>
    <t>Savoy</t>
  </si>
  <si>
    <t>Mainz (Germany)</t>
  </si>
  <si>
    <t>Montreuil (France)</t>
  </si>
  <si>
    <t>c. 800</t>
  </si>
  <si>
    <t>Rosenthal (Germany)</t>
  </si>
  <si>
    <t>c. 810</t>
  </si>
  <si>
    <t>Corbie (France)</t>
  </si>
  <si>
    <t>Toulouse (France)</t>
  </si>
  <si>
    <t>ca. 900</t>
  </si>
  <si>
    <t>Blacherne (Istanbul)</t>
  </si>
  <si>
    <t>Reims (France)</t>
  </si>
  <si>
    <t>September 13, 948</t>
  </si>
  <si>
    <t>Einsiedeln (Switzerland)</t>
  </si>
  <si>
    <t>c. 950</t>
  </si>
  <si>
    <t>Herford (Germany)</t>
  </si>
  <si>
    <t>Mt. Athos (Greece)</t>
  </si>
  <si>
    <t>Cologne (Germany)</t>
  </si>
  <si>
    <t>Sion Les Saintos (France)</t>
  </si>
  <si>
    <t>Canterbury (England)</t>
  </si>
  <si>
    <t>PICCIANO (Italy)</t>
  </si>
  <si>
    <t>Visionary: Corentin</t>
  </si>
  <si>
    <t>Visionary: Pope Gelasio I</t>
  </si>
  <si>
    <t>Visionary: Pope John I</t>
  </si>
  <si>
    <t>Visionary: St. Dosithée</t>
  </si>
  <si>
    <t>Visionary: St. Melaine</t>
  </si>
  <si>
    <t>Visionary: St. Galla</t>
  </si>
  <si>
    <t>Visionary: St. Gregory of Tours (ca. 538 - v. 594)</t>
  </si>
  <si>
    <t>Visionary: Narsete</t>
  </si>
  <si>
    <t>Visionary: Patriarch Sergius</t>
  </si>
  <si>
    <t>Visionary: St. Giudicaele</t>
  </si>
  <si>
    <t>Visionary: Audrade of Sens</t>
  </si>
  <si>
    <t>Visionary: Fr. Gerhard</t>
  </si>
  <si>
    <t>https://it.wikipedia.org/wiki/Madonna_di_Costantinopoli</t>
  </si>
  <si>
    <t>http://www.wherewewalked.info</t>
  </si>
  <si>
    <t>http://www.teramonews.com/</t>
  </si>
  <si>
    <t>http://www.salvemariaregina.info</t>
  </si>
  <si>
    <t>Visionaries: The Apostles
According to some legends, the Holy Virgin Mary appeared to the apostles, three days after her Assumption into heaven. Clad in a bright light than the sun, she turned to them that they had begged for his help and protection from heaven: "I'll stay with you in eternity." Whether Mary rested in Ephesus or Jerusalem remains a controversial issue.</t>
  </si>
  <si>
    <t>https://www.miraclehunter.com/marian_apparitions/approved_apparitions/zaragoza/index.html</t>
  </si>
  <si>
    <t>Visionary: St. Thomas (Apostle)
According to some legends, the Holy Virgin Mary appeared to the St. Thomas in India, after her Assumption into heaven.</t>
  </si>
  <si>
    <t>Visionary: St. John the Evangelist
Title: The Woman Clothed in the Sun
According to some legends, St. John the Evengelist received a vision of the Virgin Mary before he composed the Book of Revelation.</t>
  </si>
  <si>
    <t>https://www.miraclehunter.com/marian_apparitions/approved_apparitions/neocaesarea/index.html</t>
  </si>
  <si>
    <t>https://www.miraclehunter.com/marian_apparitions/approved_apparitions/lepuy/index.html</t>
  </si>
  <si>
    <t>Visionary: St. Paterno (an Egyptian monk)
While passing through on the way to visit the graves of St. Peter and Paul, an Egyptian monk St. Paterno was brought to a secret community of persecuted Christians to help them bury those who died in a massacre at the hands of Emperor Decius. That night, Our Lady and Child appeared to him in a vision.</t>
  </si>
  <si>
    <t>https://www.miraclehunter.com/marian_apparitions/approved_apparitions/lenola/index.html</t>
  </si>
  <si>
    <t>https://www.miraclehunter.com/marian_apparitions/approved_apparitions/alexandria/index.html</t>
  </si>
  <si>
    <t>Visionary: St. Nicholas of Bari (the Miracle Worker) (c.270 - 345)
One of the most revered Orthodox saints, the healer Nicholas, Bishop of Myra, in Lycia (Asia Minor) in the first half of the fourth century, also known in Italy as Nicholas of Bari.
He would receive, according to tradition, two apparitions of the Virgin Mary, the first prior to his ordination, and the second during the celebration of a Holy Mass at the end of the Council of Nicaea. The two appearances urged him to fulfill his spiritual mission. In this council he was very committed to support the doctrine of the divinity of Christ.</t>
  </si>
  <si>
    <t>https://www.miraclehunter.com/marian_apparitions/approved_apparitions/myra/index.html</t>
  </si>
  <si>
    <t>http://kuravilangadpally.com/</t>
  </si>
  <si>
    <t>Visionary: a pious hermit
Title: Santa Maria a Mare
Towards the middle of the fourth century the Holy Virgin appeared to a pious hermit who had retired to the island to show him the place where he had buried a treasure with which he had to build him a church. The hermit, fearing a demonic temptation, did not obey. The Virgin appeared to him again, ordering him to obey. The hermit then dug at the place indicated and found a jeweled crown and vessels containing pieces of silver and gold. With the coins, he built the church, and crowned with a diadem found a statue of Madonna made raised above the altar.</t>
  </si>
  <si>
    <t>https://www.miraclehunter.com/marian_apparitions/approved_apparitions/rome/index.html</t>
  </si>
  <si>
    <t>Visionary: St. Basil (Bishop) (330 - 379)
Title: Sovereign Mediatrix of her Son Jesus
The Roman emperor Julian the Apostate, had decided to destroy, as soon as he returned from the war against the Persians, the Church of St. Basil, one of the leading bishops and theologians of the time. Then the Virgin Mary appeared to Basil, as "sovereign mediator of His Son Jesus," promising to protect him from the anger of the Roman emperor.The emperor was not able to implement his plans for he died on the battlefield in the third year of his reign.</t>
  </si>
  <si>
    <t>https://www.miraclehunter.com/marian_apparitions/approved_apparitions/caesarea/index.html</t>
  </si>
  <si>
    <t>Visionary: St. Martin of Tours
Sulpicius Severus (+ ca. 420), and inspired writer, columnist, in his biography of St. Martin of Tours (316/7-397), reports that he would often receive the grace of the apparitions of the Blessed Virgin Mary, especially by when it had become, in 371, bishop of Tours. The biographer says that Mary was acting against St. Martin in a dual capacity: as a queen and as a real mother.</t>
  </si>
  <si>
    <t>https://www.miraclehunter.com/marian_apparitions/approved_apparitions/tours/index.html</t>
  </si>
  <si>
    <t>Visionary: St. Monica (332-387)
The Virgin appeared to St. Monica (332-387), the mother of St. Augustine, consoling in her afflictions, and noted that she had to dress in her state of widowhood.</t>
  </si>
  <si>
    <t>https://www.miraclehunter.com/marian_apparitions/approved_apparitions/tagaste/index.html</t>
  </si>
  <si>
    <t>Title: Hodegetria
Visionaries: two blind people
The Hodegetria takes its name from the miracle of the blind and the monastery of Hodegium in Constantinople. According to legend, the Blessed Mother appeared to two blind people in Constantinople, took them by the hand and showed them the way or guided them to the monastery of Hodegium where she restored their sight. Since that time, the blind and all those who suffer eye disorders have come to wash their eyes in the waters from a spring near the church. Although distinctly Eastern, the Virgin Hodegetria has been and remains one of the preferred images of the West.</t>
  </si>
  <si>
    <t>Visionary: St. Mary of Egypt
According to her Life (not verified) written by the Palestinian hermit St. Zosima (V century), quoted by Alfonso Liguori, 52-53, she would have lived at the court of Alexandria working as an actress. At age thirty, she went to Jerusalem, where she converted during the feast of the Holy Cross. A irresistible force prevented the four times in a row to enter the Church of the Holy Sepulchre. An interior light touched her: she realized that she was rejected by the Lord for her sins. "I look up towards an image of the Virgin and began to pray: O Mother of God! Have pity on a poor sinner! You are the refuge of sinners, for the love of Jesus, your Son, help me! Immediately you hear an inner voice say: Well, since you turned to me and I want to convert, enter the church: the door will no longer closed for you. She did penance in church then return before the image of Mary. "My sovereign, here I am at your orders; where you want me to do penance? - depart, cross the Jordan, and find the place of your rest," She retired to the desert of Transjordan, which was found by two disciples of St. Cyriac.</t>
  </si>
  <si>
    <t>Visionary: St. Maurilius (364 - 435)
On the tiny island of Behuard, not far from the city of Angers lived Maurilio the hermit, who later became also bishop of this city. Around the year 431, he had an apparition of the Virgin Mary who showed him the spiritual path to follow. In gratitude Maurilio built on the spot a church dedicated to Mary, which has since become the destination of many pilgrimages.
Source: http://www.latheotokos.it</t>
  </si>
  <si>
    <t>http://www.latheotokos.it</t>
  </si>
  <si>
    <t>Visionary: monk
Title: Notre Dame de l’Agenouillade (Our Lady of the Kneeling)
With dating uncertain (around 450) the Virgin appeared on top of a rock to a monk of Saint-Severe from Syria, after an earthquake. According to the legend, the rock retained traces of the knees of the apparition. Hundreds of faithful venerate Our Lady of the Genuflection. In 1583, a convent of cappuchins was constructed at the location. But the sanctuary was destroyed in 1789, then it was taken over by the White Penitents in the 18th century.</t>
  </si>
  <si>
    <t>https://www.miraclehunter.com/marian_apparitions/approved_apparitions/agde/index.html</t>
  </si>
  <si>
    <t>Visionary: Emperor Leo I
Title: Our Lady of the Golden Fountain
According to legend, Emperor Leo I (457-474) one day while still a soldier, was leading a blind man walking around of town, when suddenly he heard a voice coming from above and saw the Holy Virgin. She predicted that he would become emperor and that the blind man regained his sight. She also asked him to erect a shrine in her honor. As the Holy Virgin had predicted, he became emperor and the blind man regained his sight. Leo I, to honor the promise made to the Mother of God, immediately built a large church on the site of the apparition.
In 455 , according to legend, the future emperor Leo I , as a soldier , was accompanying a blind person in a walk out of town, when he first heard a voice calling from above, then saw the Virgin Mary. The appearance would have predicted his future election to the imperial throne and the healing of the blind from their disability, and he urged the erection of a sanctuary in his name. After the fulfillment of prophecies , Leo built a church on the site of the reported Mariophany.</t>
  </si>
  <si>
    <t>Visionary: St. Theodore of Sicea (Bishop)
A native of Galatia, son of an imperial official, became a monk in Jerusalem. He was the victim of a poisoning attempt. The Virgin appears to him in a dream, reveals the name of the guilty man, puts in his hands three pills for him to reject the poison and then disappears. He was consecrated bishop in 590 of Anastasiopolis. He was canonized in 613.</t>
  </si>
  <si>
    <t>Visionary: St. Theophilus of Adana (The Penitent)
Saint Theophilus the Penitent, or Theophilus of Adana (died ca. 538), was a cleric in the sixth century Church who is said to have made a deal with the devil to gain an ecclesiastical position as bishop.
Years later, fearful for his soul, Theophilus repented and prayed to the Virgin for forgiveness. After forty days of fasting, the Virgin appeared to him and verbally chastised him. Theophilus begged forgiveness and Mary promised to intercede with God. He then fasted a further thirty days, at which time Mary appeared to him again, and granted him Absolution. However, Satan was unwilling to relinquish his hold over Theophilus, and it was a further three days before Theophilus awoke to find the damning contract on his chest. He then took the contract to the legitimate bishop and confessed all that he had done. The bishop burned the document, and Theophilus expired, out of sheer joy to be free from the burden of his contract.</t>
  </si>
  <si>
    <t>Visionary: St. Isaac of Spoleto
Isaac fled to Italy from his native Syria to escape life under the Monophysite heretics who denied that Christ had two natures (divine and human). Upon arriving in Spoleto, he obtained permission to remain in one of the city’s churches after dark in order to pray in the quiet of the night. He continued thus in prayer for three days and nights until a sacristan of the church, jealous of his piety, accused him of hypocrisy, struck him, and drove him away. The ill-tempered sacristan then fell under demonic possession. St. Isaac had stretched himself upon the body of his assailant. "Isaac is driving me out !" exclaimed the evil spirit, thus disclosing to the inhabitants of Spoleto the identity of the stranger. It was only through Isaac’s prayers that the demon was finally expelled. The townsfolk, convinced that they had in their midst a very holy man, offered him presents and would have built him a monastery, but he refused all gifts and retired to a cave on Monte Luco to live as a hermit. In his solitude he experienced a vision of the Blessed Virgin Mary, who instructed him to begin accepting followers to be trained in the religious life. Isaac subsequently established at Mount Luco a laura, a community of hermits, each living in his own cell, but regularly assembling for divine worship. He served as the community’s abbot. Saint Gregory the Great speaks of Isaac’s penchant for humor in sometimes yielding to “extreme joviality.”
All that we know of St. Isaac is derived from the third book of the Dialogues of St. Gregory.</t>
  </si>
  <si>
    <t>Catholic.org</t>
  </si>
  <si>
    <t>Title: Our Lady of the Vineyards
Visionary: Arghenta
Formerly outside the city walls of Genoa, the majestic "Santuario delle Santa Maria delle Vigne" takes its name from vineyards in the midst of which was first erected a chapel to the Virgin, with her appearance to a certain Lady Argenta in the sixth century. The seer, built a small chapel, the first step towards the current sanctuary.</t>
  </si>
  <si>
    <t>https://www.miraclehunter.com/marian_apparitions/approved_apparitions/genoa/index.html</t>
  </si>
  <si>
    <t>http://antiochpatriarchate.org/en/page/our-lady-of-saydnaya-patriarchal-monastery/146/</t>
  </si>
  <si>
    <t>Visionaries: St. Leo the Great
Title: Life-Giving Spring of the Most Holy Theotokos
Feast Day: May 10
There once was a beautiful church in Constantinople dedicated to the Mother of God, which had been built in the fifth century by the holy Emper...or Leo the Great (January 20) in the Seven Towers district.
Before becoming emperor, Leo was walking in a wooded area where he met a blind man who was thirsty and asked Leo to help him find water. Though he agreed to search for water, he was unable to find any. Suddenly, he heard a voice telling him that there was water nearby. He looked again, but still could not find the water. Then he heard the voice saying “Emperor Leo, go into the deepest part of the woods, and you will find water there. Take some of the cloudy water in your hands and give it to the blind man to drink.Then take the clay and put it on his eyes. Then you shall know who I am.” Leo obeyed these instructions, and the blind man regained his sight. Later, St Leo became emperor, just as the Theotokos had prophesied.
Leo built a church over the site at his own expense, and the water continued to work miraculous cures. Therefore, it was called “The Life-Giving Spring.”
After the Fall of Constantinople in 1453, the church was torn down by the Moslems, and the stones were used to build a mosque. Only a small chapel remained at the site of the church. Twenty-five steps led down into the chapel, which had a window in the roof to let the light in. The holy Spring was still there, surrounded by a railing.
After the Greek Revolution in 1821, even this little chapel was destroyed and the Spring was buried under the rubble. Christians later obtained permission to rebuild the chapel, and work began in July of 1833. While workmen were clearing the ground, they uncovered the foundations of the earlier church. The Sultan allowed them to build not just a chapel, but a new and beautiful church on the foundations of the old one.
Construction began on September 14, 1833, and was completed on December 30, 1834. Patriarch Constantine II consecrated the church on February 2, 1835, dedicating it to the Most Holy Theotokos.
The Turks desecrated and destroyed the church again on September 6, 1955. A smaller church now stands on the site, and the waters of the Life-Giving Spring continue to work miracles.
There is also a Life-Giving Spring Icon of the Most Holy Theotokos which is commemorated on April 4.
KONTAKION Tone 8
O most favored by God, you confer on me the healing of your grace from your inexhaustible Spring. Therefore, since you gave birth incomprehensibly to the Word, I implore you to refresh me with the dew of your grace that I might cry to you: Hail, O Water of salvation.</t>
  </si>
  <si>
    <t>https://www.miraclehunter.com/marian_apparitions/approved_apparitions/boulogne/index.html</t>
  </si>
  <si>
    <t>Visionaries: A crowd
Title: Our Lady of Boulogne (statue)
Feast: February 23
A rudderless ship without a crew was carrying a statue of the Virgin Mary and Child Jesus and landed at Boulogne, France. According to the legend, Mary appeared to the people gathered near the ship and announced that she had chosen the city as a place of grace. Pilgrimage to Our Lady of Boulogne is also related to the Marian devotion of Godfrey of Bouillon who, having gone on pilgrimage to Boulogne, he offered his crown of Jerusalem to the Mother of God. The ancient miraculous statue was destroyed during the French Revolution, only a hand of Mary was saved but it was still venerated. In 1866 a new cathedral was erected where it a copy of the statue of Mary was placed, revered as the "Star of the Sea."</t>
  </si>
  <si>
    <t>Visionary: St. Aldegonde of Maubeuge (c. 639–684)
La Vita prima Aldegundis (published and translated by Michel Rouche, Maubeuge, 1989) contains messages and visions of the Virgin that insist on her taking the role of the holy bride of Christ: "Thou shalt have no other husband but the Lord... The Lord has been married for eternity so that you receive this incorruptible crown: Then she saw Him adorned with wedding robes" (quoted by Jean Heuclin "The Marian cult in Gaul during the The High Middle Ages" La Devotion mariale de l'an mil a nos jous. Etudes reunies par Bruno Bethouart et Alain Lottin, artois Presses Universite, 2005, 70)</t>
  </si>
  <si>
    <t>https://www.miraclehunter.com/marian_apparitions/approved_apparitions/toledo/index.html</t>
  </si>
  <si>
    <t>Visionary: St. Ildefonso (607 - January 23, 667), Archbishop of Toledo (657-667)
Ildefonso, Archbishop of Toledo (657-667), had a strong Marian devotion and was a staunch defender of the true Christian faith. On the feast day of the Assumption of the Virgin Mary, in the early morning Ildefonso came in with some priests in the Cathedral of Toledo, and found it was, surprisingly, lit up. On the gate of the chapel, Mary praised the religious fervor of the bishop and handed him a valuable garment as a symbol of his protection. For a long time in the diocese of Toledo a special celebration was held to commemorate this apparition.</t>
  </si>
  <si>
    <t>Visionary: St. Barabatus (+682)
In 1663, the Virgin appeared to him under the walls of the besieged city of Constantine II, Eastern Roman Emperor (641-668), according to unverified sources, taken from the legend, 1999, 266.</t>
  </si>
  <si>
    <t>https://www.miraclehunter.com/marian_apparitions/approved_apparitions/benevento/index.html</t>
  </si>
  <si>
    <t>Title: Our Lady of the Snow
Visionary: St. Bonitus, bishop of Clermont-Ferrand
St. Bonitus, a devotee to the Blessed Virgin Mary, succeeded his elder brother in the episcopal office of Clermont. One morning after a night spent in prayer vigil, he saw the Mother of God with a large throng of angels and saints in his presence to celebrate the Sacrifice of the Mass. Two years later the bishop of Clermont retired permanently in the abbey of Manlieu, where he died in 710.
According to some uplifting stories of the thirteenth century, St.. Bonet saw the Virgin in 684 or 700, while praying alone in a church dedicated to St Michael. Sausseret reprints the facts reported in the bottom of a letter: "the guards closed the doors. St. Bonit, full of joy for a chance to give free rein to his mercy from that moment, lay prostrate on the floor of the bathroom of the temple with his tears. But as soon as he had been in this position, you feel suddenly come down from heaven and filled with the sounds of harmony. He saw, at the same time, all heavenly choirs fill the sacred area with this light and enter a multitude that his faith had blessed him with. There were, in fact, legions of angels and saints, who composed a the procession for their Queen, mother of Jesus Christ, who appeared after them, seated on a throne carried by seraphim and similar to a queen that a large honor guard precedes and accompanies [...] All these immortal beings continued along the main nave and when they came in front of 'main altar, some of them asked who among them would say the mass. Then the Blessed Virgin spoke up and said, 'Here Bonit, we seek you my faithful servant and excellent bishop, and worthy of fulfilling this holy function "
Some blessed then, obeying the order that she had just given detachment from others and went to the holy bishop who was trembling. Taken by the hand,he accompanied the choir. The saints clothed him in a pontifical ornaments and then he began to say mass with glorified beings as assistants [...] When Mass was over, the Holy Virgin, left him.&gt;&gt; (I, 118-120). Reliable historical sources are almost non-existent: Sausseret cites the reports of Surius, which in turn is based on oral testimony of two successor to Bonet.</t>
  </si>
  <si>
    <t>https://www.miraclehunter.com/marian_apparitions/approved_apparitions/bonito/index.html</t>
  </si>
  <si>
    <t>Visionaries: Some farmers
The modern shrine of the Blessed Mary of the Snow stands on the site where according to tradition in the late sixth century she had appeared to some farmers as a sweet female figure holding a baby. On her appearance, the oxen knelt. The figure, suspended in the air, was bathed in bright light and was accompanied by angels and archangels who sang sweet music. It was the Madonna. Since then devotion to the apparitions have continued.</t>
  </si>
  <si>
    <t>Visionary: St. Egwin (of Rochester), bishop of Worcester
The Bishop of Worcester, Saint Egwin, loved to retire to prayer in the quiet solitude of Evesham. One day, while the Bishop was drawing near to meditation, he saw the Blessed Virgin Mary with a court of angels, with a book in her left hand and a cross in her right hand. Bishop Egwin gratitude founded a convent in Evesham, on the site of the apparition and consecrated the church to the Immaculate Conception, Mother of God and Ever-Virgin Mary. In this place the Marian cult is still alive.
Charged with being overly strict by his clergy, Egwin went to Rome. Upon his return to England, he founded Eversham Monastery with the aid of the kingdom of Mercia. A vision of Mary prompted this founding. In 709, Egwin returned to Rome, accompanied by King Cenred of Mercia and King Offa of the East Saxons.</t>
  </si>
  <si>
    <t>Visionary: Mother of St. Stephen the Younger
in the early years of their marriage, the parents of St. Stephen the Younger (+ 764) had no children. The mother of Stephen decided to turn to the Mother of God and begged to be blessed with this great joy. With the hope to obtain this grace, the woman, animated by sincere fervor within, frequently went to pray in a church in Constantinople. One day, the Mother of God, moved with compassion, appeared to her and told her: "Your suffering is over, your prayer will be answered." In fact, the same year she gave birth to a son, Stephen, and consecrated him to God. He became a priest and a staunch defender of the faith. Stephen was especially active in the controversy concerning images under the Emperor Constantine The Iconoclast. He suffered martyrdom in 764.</t>
  </si>
  <si>
    <t>Visionary: Three Archbishops on the way back from the Holy Land
The legend is that three archbishop returning from the Holy Land stopped to rest, hanging their bags on a dogwood. When they tried to take them back to continue the journey the tree grew enormously and prevented them from taking their luggage. Fallen into a deep sleep, all three had the same dream: the Virgin showed them a model of a chapel and begged them to build one in her honor that place. So it was that they decided to build the altar in a church setting where the dogwood grew. Hearing about the miracle, Pope Gregory II went there and May 10 of that year, and consecrated the altar of the church.
Source: Article by Sergio Scacchia - 5.18.2007 - http://www.teramonews.com/</t>
  </si>
  <si>
    <t>Visionary: St. Thomas of Farfa
A native of Maurienne in Savoy, he went to Jerusalem with two companions. One night, he prayed at the Holy Sepulchre. The Virgin appears and tells him to return to the West. He then went to Italy where he became a hermit. The sources of this tale are not verifiable.</t>
  </si>
  <si>
    <t>Visionary: St. Hubert of Maastricht
Hubert of Maastricht (the saint, bishop of Maastricht, 727) In the 705-706 or so, the Virgin would appear, when the bishop's seat moved from Maastricht to Liege, according to unverified sources reported by Gamba, 1999, 267. According to legends that have spread from the end of the fourteenth century, he would have converted after a miraculous vision of a deer wearing a light cross between its horns. This story, in fact, comes from an early Christian text from the second century, told by a Roman officer, Eucstachio, who was martyred under the Emperor Trajan (23-117). The legend of the animal "Crucifer" was adapted from John of Damascus in the seventh century, then taken up by Jacopo da Varazze, in his Golden Legend (1261-1266).</t>
  </si>
  <si>
    <t>Visionary: St. Marino
Marino (saint, blessed, martyr, +731). A native of Savoy, became a hermit and attracted many followers. He thought about retiring to a secret location. One night, the Virgin, accompanied by the twelve apostles, appeared in his sleep, to help him survive his extreme loneliness. He died under the blows of the Saracens.</t>
  </si>
  <si>
    <t>Visionary: St. Boniface, Archbishop of Mainz
St. Boniface, "the apostle of the Germans" (672-754), was born in Windfrid at Crediton, in Devonshire, ordained to be a priest in 710, the metropolitan of the Beyond-Rhine (723), legate of Pope (738) Archbishop of Mainz (747), founder of the Abbey of Fulda, and regarded as the apostle of Germany. while he was absorbed in contemplation of a miraculous icon of the Mother of God hanging from an oak tree, heard Mary's voice say: "The trunk of this oak tree is to remain forever my portrait. " The circumstances of the occurrence and other details remain unknown.</t>
  </si>
  <si>
    <t>Visionary: St. Opportuna
Opportuna (saint, blessed, abbess of Ameneches, +766). Of Norman origin, the sister of St. Crodegando, bishop of Sees, heard her childhood God's call to renounce the world. Seeking her parents' permission to become religious, "Let me now follow the ways of my holy Lord and Mary, Mother of God. I refuse to join the children of other mothers, except that the Virgin conceived, growth remains Virgen: (AASS t. II-III, 222, n. 3) Shortly before her death, at the Norman monastery Montreuil, of which she was abbess, " St. Cecilia and St. Lucia appeared " Mary, Virgin most pure, wait your arrival so that you be united in heaven with her Son that you loved with all your heart in the world. Crowned with a crown of glory, your lamp access, you must come to the meeting of the Bridegroom [...]&gt;&gt; Iibid. 230 n.19) During her agony, she said: "Here is my Lord, the Blessed Virgin Mary, to whom I entrust you, that you will not see again for a long time in this world ". And stretching out her arms as if she wanted to embrace the Mother of God, herholy soul was freed from the flesh" (ibid. 230-231 n. 20) This story is dated to the first half of the ninth century.</t>
  </si>
  <si>
    <t>Visionary: Luciano Cerna and others
During the Saxon wars, a general of Charlemagne pitched camp near Ostro. In this place stood a woman in royal robes that wandered around the camp. Even after the departure of the soldiers were repeatedly observed its presence in the surrounding fields and meadows. The lady was seen once even by the noble Luciano Cerna during the chase, chased the man rode up to a linden tree where he discovered, full of surprise, a statue of the Blessed Virgin. In this place he built a chapel and placed it inside the statue that was revered. The image shows Mary with Child, in her right hand while holding a pear, the Child, in turn, holds an apple. The statue of the Virgin Mary has a golden royal robe interwoven with flowers, wearing a purple-red cape trimmed with gold and decorated with lilies on her head a beautiful crown of roses. The monastery of Maria Stella cirstercense became famous thanks to direct asset pilgrimage to "our beloved Lady of lime. The healings and answered prayers attest to the vitality of faith in this place.</t>
  </si>
  <si>
    <t>Visionary: St. Anscario, monk of Corbie, archbishop of Hamburg then bishop of Bremen (801-865)
St. Anscario was born in 801 in Picardy, near Corbie. In his youth the Blessed Virgin Mary appeared to him, urging him to devote his earthly life in the service of Catholicism. Anscario actively was engaged in apostolate, especially in Scandinavian countries. He was a teacher at the monastery school of Corvey, Monaco Benedictine, bishop of Hamburg (from 831) and Bremen (from 845). He was among the first evangelizers of Sweden and Denmark and, since 827, was known as "the apostle of the North." In 852, Anscario converted King Olaf of Sweden to the Catholic faith, thus promoting the spread of Catholicism in these lands. Pope Gregory IV appointed him legate of the Holy See for the whole of Scandinavia. He often retired to the monastary to meditate, but was also was very active in charitable and spiritual work. He died in Bremen in 865.</t>
  </si>
  <si>
    <t>Visionary: Gondislave
The holy archbishop of Toulouse, Gondisalve, received the grace of some of the apparitions of the Virgin Mary. Once, during the celebration of Holy Mass, the Mother of God appeared to him and expressed the desire of spreading the doctrine of the Immaculate Conception and the institution of a party concerned. Gondisalve dedicated to this task the rest of his life.</t>
  </si>
  <si>
    <t>http://amdn.vps1.spikly.com/qui-est-marie/1-octobre-orthodoxe-pokrov-protection-de-la-mere-de-dieu</t>
  </si>
  <si>
    <t>Visionary: Andrew and Epiphanius
The Russians attacked Blacherne in the year 860 but fled before the relic of Mary's cloak and they asked the missionaries for their country. 
In the next century (X century), to Blacherne, the Virgin appeared to Andrew, a Foolishness for Christ of Slavic origin, and his disciple Epiphanius. 
Hence the Orthodox feast of the "Protection of the Mother of God" celebrated on 1 October (14 per schedule Julian used by the Orthodox Churches of Slavic rite).  For a long time, the two seers saw the veil shine above the crowd, to which refers the Slavonic liturgy from 1 October (Pokrov).</t>
  </si>
  <si>
    <t xml:space="preserve">Visionary: St. Konrad, Bishop of Konstanz
Title: Our Lady of Einsiedeln
In 934, St. Eberhard of Strasbourg, arrived and set about building a large monastery and Church, the latter enclosing and protecting the hermit and martyr Meinrad's holy little chapel, which was only eight and a half yards long by six yards wide. When this work was completed in the summer of 948, Eberhard, having become the first Abbot of Einsiedeln, invited St. Konrad, the Bishop of Konstanz, to consecrate and dedicate the Chapel of Our Lady of the Hermits. St. Konrad's party, which included the Bishop of Augsburg and many princes and knights of the German Empire, arrived at the hermitage in the Dark Wood, on the eve of the Feast of the Exaltation of the Holy Cross. The holy Bishop of Konstanz retired to his room early in the evening in order to rest after the trip. However, despite his fatigue, he did not fail to get up, as was his custom, before midnight, and to go with several religious to pray in the chapel which he was due to consecrate the next morning. While he was fervently beseeching the Blessed Virgin to accept this holy shrine and to make it henceforth a center of pilgrimages where for centuries and centuries she would heal and help her suffering children, suddenly, at exactly midnight, St. Konrad and those with him began to hear the sound of many harmonious voices, chanting a melody of heavenly beauty. Looking up, he saw with amazement that the sanctuary of the chapel was filled with a brilliant light that made everything clearer than the brightest noonday sun, and that the altar was completely illuminated as for a solemn festival. Then he saw coming down from Heaven a magnificent procession of Angels under the leadership of St. Michael the Archangel. Some of them formed the choir and were chanting celestial psalms, while others bearing swinging golden censers took their places before the altar.
After the angels came St. Peter, St. Matthew, St. Mark, St. Luke, and St. John, St. Gregory, St. Augustine and St. Ambrose. Then came, vested as deacon and subdeacon, the Martyr-Saints Lawrence and Stephen. And finally, as High Priest, arrayed in pontifical vestments and wearing a violet chasuble, there appeared in all the splendor of His Divinity, Our Lord and Savior Jesus Christ. Then, as a breathtaking climax, just before God the Son began the Mass that was to consecrate this holy shrine forever to His Immaculate Mother, Mary herself took her place above the altar of her chapel, radiant with dazzling glory and attended by her train of angelic spirits! In speechless awe, St. Konrad followed every detail of this extraordinary Mass. He observed with rapt attention that the solemn ceremony was performed in the minutest particulars according to the ritual prescribed by the Church for the consecration of a temple, except that, at the Sanctus, the angels sang: "Holy God, have mercy on us in the court of the Glorious Virgin! Blessed be the Son of Mary Who has come to this place and Who is to reign for ages of ages!" More than an hour later, having formally dedicated the shrine to His Blessed Mother under the title of Our Lady of the Hermits, the King of Kings returned in all His majesty to Heaven with His distinguished company of Saints and Angels. The beautiful living Virgin vanished too, leaving in her place the lovely statue. The singing ceased. The bright light was magically extinguished. And soon the newly consecrated shrine was, to all outward appearances, exactly as it had been before. The saintly Bishop of Konstanz, however, remained kneeling for hours in ecstatic meditation over the marvels which he had just witnessed. Later that morning, when all the dignitaries had assembled, and after he had kept them waiting quite a while, he was politely informed that it was time for him to begin the dedication ceremony. Still deeply moved, he firmly declared that the chapel had already been miraculously consecrated by God Himself during the night. But when the Abbot Eberhard and the other officials refused to accept this story, and insisted that the ceremony for which so many persons had come together should start at once, St. Konrad yielded. Then another striking supernatural intervention took place: as the Bishop put his foot on the first altar step, the great Church was suddenly filled with a strong and impressive voice which everyone present heard exclaim three times: "Stop! Stop, Brother! This Chapel has been Divinely consecrated!"
Later on, a full investigation of these extraordinary events was undertaken by the highest civil and ecclesiastical authorities, and in the year 964, in the presence of the German Emperor Otto and of St. Konrad the Bishop, His Holiness Pope Leo VIII issued a bull confirming the miraculous dedication.
</t>
  </si>
  <si>
    <t>Visionaries: Cantelnovese townsperson
Title: Madonna delle Colture (Our Lady of the Crops)
Commemorated: January 15th
Santa Maria della Petrara is the mother church of the town of Castelnuovo di Conza in the province of Salerno in the region of Campania in southwest Italy.* It succeeded the Church of San Nicola around the tenth century. The site of present-day Castelnuovo dates back to antiquity. The name “Petrara” stems from an ancient village perched on a promontory with caverns and caves. The legend of Castelnuovo recounts that the Blessed Mother appeared to a Cantelnovese man or woman on the path and asked for a piece of ‘unfit’ bread. It is said the person went to his/her house and took a piece of leaven dough ‘smeared with oil or paste’ and offered it to the Madonna. It is said that the Lady asked that an image of her be placed in a church built on the spot. A statue was crafted depicting the Madonna with a piece of bread in her hand, a genuine product of the earth. So was born the image of Madonna delle Colture and the church of Santa Maria della Petrara, a title by which Our Lady is also known, as well as Maria della Petrara. The title is also quite popular in Syria where she is commemorated annually on January 15th. *Not far from Castelnuovo is the Benedictine monastery of St. Menna that plays prominently in the town’s early history. Castelnuovo was hit by the earthquake of January 14, 1466, and was at the epicenter of the earthquake of November 23, 1980.</t>
  </si>
  <si>
    <t>https://www.miraclehunter.com/marian_apparitions/approved_apparitions/herford/index.html</t>
  </si>
  <si>
    <t>Visionary: A beggar
Title: Our Lady of the Cross
A beggar who passed a convent suddenly heard someone call his name, turned and saw, to his great emotion, the Blessed Virgin Mary! The Mother of God reassured him with the sign of the cross after a blessing and then gave him the task of going to the monastery with a message of repentance and conversion. Madonna also sent the proof to say that this appearance would be seen a white dove on the wooden cross erected by the beggar in front of the convent. The abbess and nuns were convinced of the authenticity of the message when they saw the white dove perched on the cross. On the site of the apparition a church was later built, consecrated in 1011 by the Bishop of Paderborn, with the name of Our Lady of the Cross. Herford became a famous place of pilgrimage.</t>
  </si>
  <si>
    <t>Visionaries: St. Peter the Anthonite (Hermits on Mt. Athos)
Peter the Hesychast Aghiorita settled on the holy mountain in 681. Peter was a greek who was a soldier in the imperial court in Constantinople. After being a prisoner of the Arabs voted for the monastic life and went to Rome. One night he dreamed the Blessed Virgin Mary who told him that Mount Athos would become a monastic center. Guided by the mystical force of this vision, Peter went on the holy mountain where he lived for fifty years, until his death in a cave.
Abraham, who in 952 took the name of Athanasius, is considered the founder of monasticism cenobite on Mount Athos, was born in 925-30. in Trabzon on the Black Sea coast in his long stay in Constantinople, he had the opportunity to make friends with the brothers Leo and Nicephorus Phocas.
In 957, under a pseudonym, Athanasius settled on Mount Athos with an old hermit. He lived as a hermit in a first time and faced heavy temptations. One day the Virgin appeared to him and lifted him from these difficulties, consoling him and exhorting him not to leave the Mount and not fail in his monastic vocation. Inspired by this apparition, Athanasius devoted himself with greater zeal to understand the significance of its spiritual mission. Some time later, supported by the emperor,he beca,e the first superior of this monastery, which was established according to the Benedictine rule.</t>
  </si>
  <si>
    <t>Visionary: Herman I - Archbishop of Cologne
The Holy Virgin Mary appeared to the deacon Hermann von Bonn. In this apparition, he was inspired to become archbishop of Cologne, succeeding Bruno I. Unfortunately he fell astray and was deposed.</t>
  </si>
  <si>
    <t>http://www.catholic-hierarchy.org/diocese/dt520.html</t>
  </si>
  <si>
    <t>Visionary: St. Geraud (935-April 23, 994)
The Blessed Virgin Mary appeared on a hill to St. Geraud, Bishop of Toul, and manifest a desire to see that place in a church dedicated to her veneration. Saint Geraud fulfilled the desire of Mary as he built a Marian shrine on the site. The Bishop of Toul showed a tireless charitable and apostolic zeal; was canonized in 1050 by Pope Leo IX.</t>
  </si>
  <si>
    <t>Visionary: St. Dustin (909-988)
One night, while St. Dustin (909-988), archbishop of Canterbury since 960, visited the cathedral to pray, the Virgin Mary appeared to him with a heavenly choir. The Angels and the Saints sang hymns of praise and accompanied the bishop to the entrance of the cathedral, then disappeared. Dustano belonged to the Benedictine Order, devoted himself to the reform of the Church of England and to the renewal of monastic life.</t>
  </si>
  <si>
    <t>Visionary: A shepherd
Title: Our Lady of Picciano
Shortly before the year 1000, the Holy Virgin appeared on the branches of an oak to a shepherd of Abruzzo, looking for his lost cow found her kneeling at the foot of the tree. The church was built to commemorate the event in 1200, although there is evidence dating back to that time.</t>
  </si>
  <si>
    <t>MH</t>
  </si>
  <si>
    <t>Source</t>
  </si>
  <si>
    <r>
      <t>684</t>
    </r>
    <r>
      <rPr>
        <sz val="10"/>
        <color rgb="FF000000"/>
        <rFont val="Arial"/>
        <family val="2"/>
      </rPr>
      <t> </t>
    </r>
    <r>
      <rPr>
        <b/>
        <sz val="10"/>
        <color rgb="FF000000"/>
        <rFont val="Arial"/>
        <family val="2"/>
      </rPr>
      <t>or 700</t>
    </r>
  </si>
  <si>
    <r>
      <t>708</t>
    </r>
    <r>
      <rPr>
        <sz val="10"/>
        <color rgb="FF000000"/>
        <rFont val="Arial"/>
        <family val="2"/>
      </rPr>
      <t> </t>
    </r>
    <r>
      <rPr>
        <b/>
        <sz val="10"/>
        <color rgb="FF000000"/>
        <rFont val="Arial"/>
        <family val="2"/>
      </rPr>
      <t>or 717</t>
    </r>
  </si>
  <si>
    <r>
      <t>Castelnuovo di Conza</t>
    </r>
    <r>
      <rPr>
        <sz val="10"/>
        <color rgb="FF000000"/>
        <rFont val="Arial"/>
        <family val="2"/>
      </rPr>
      <t>,</t>
    </r>
    <r>
      <rPr>
        <b/>
        <sz val="10"/>
        <color rgb="FF000000"/>
        <rFont val="Arial"/>
        <family val="2"/>
      </rPr>
      <t> Salerno, Campania (Italy)</t>
    </r>
  </si>
  <si>
    <t>Year</t>
  </si>
  <si>
    <t>Location</t>
  </si>
  <si>
    <t>Description</t>
  </si>
  <si>
    <t>MH Description</t>
  </si>
  <si>
    <t>X</t>
  </si>
  <si>
    <t>?</t>
  </si>
  <si>
    <t>Visionary: St. Gregory the Wonder-Worker (213 ca.- 270)
The Virgin Mary and the Apostle John would appeared to St. Gregory the Wonderworker (213-270), before he was ordained bishop of Neocaesarea. The apostle, at the urging of Mary, would provide all the necessary clarifications to the Saint around the theological issues, particularly on the mystery of the Trinity, then the subject of strong controversy.</t>
  </si>
  <si>
    <t>Visionary: St. Alessio
According to an unverifiable medieval legend, Alessio, born in Rome around 350, in a senatorial family, received an apparition of the Virgin in a church in Edessa. The apparition called his name and prclaimed him a "man of God". The first account of the life and miracle of Alessio appeared in the west in the 10th century. The cult of St. Alessio was supressed in 1969.</t>
  </si>
  <si>
    <t>Visionary: St. Julian of Antioch, the "Poor Man", the Hospitaller (Martyr)
A personality of historic uncertainty, he promised on his wedding day to live in virginity with the future saint Basilissa. Being "both in prayer, their room trembled, then an overwhelming light appeared. Two choirs then appeared in the room, one of a great multitude of saints, manned by our Lord and Savior Jesus Christ, the other of innumerable virgins who had in their midst the Virgin of Virgins, Mother of God" according to Ribadeneira (according to Legende Doree of Jacopo da Varazze). This legendary tale has no trustworthy historical foundation.</t>
  </si>
  <si>
    <t>Visionary: St. Catherine of Alexandria
Legend says that St. Catherine of Alexandria studied philosophy when she was young as was fashionable in Alexandria's high society. During the course of her studies she learned about Christ. Then Catherine was converted by a vision of Our Lady and the Holy Child. She refused marriage to an emperor because Christ had already appeared to her in person and placed his gold ring on her finger (like St. Catherine of Siena). She later received a vision of Christ in prison.</t>
  </si>
  <si>
    <t>Title</t>
  </si>
  <si>
    <t>Found</t>
  </si>
  <si>
    <t>Santa Maria Maggiore (Our Lady of the Snows)</t>
  </si>
  <si>
    <t>https://www.vatican.va/various/basiliche/sm_maggiore/index_en.html</t>
  </si>
  <si>
    <t>https://www.marypages.com/our-lady-of-the-snows-en.html</t>
  </si>
  <si>
    <t>Site</t>
  </si>
  <si>
    <t>http://www.therealpresence.org/eucharst/misc/BVM/09_ZARAGOZA_60x96.pdf</t>
  </si>
  <si>
    <t>http://www.therealpresence.org/eucharst/misc/BVM/68_LE_PUY_60x96.pdf</t>
  </si>
  <si>
    <t>http://www.therealpresence.org/eucharst/misc/BVM/117_ROMA_60x96.pdf</t>
  </si>
  <si>
    <t>http://www.therealpresence.org/eucharst/misc/BVM/90_TINDARI_60x96.pdf</t>
  </si>
  <si>
    <t>http://www.therealpresence.org/eucharst/misc/BVM/121_MONTSERRAT_60x96.pdf</t>
  </si>
  <si>
    <t>http://www.therealpresence.org/eucharst/misc/BVM/153_WALSINGHAM_60x96.pdf</t>
  </si>
  <si>
    <t>http://www.therealpresence.org/eucharst/misc/BVM/80_MONTEFORTINO_60x96.pdf</t>
  </si>
  <si>
    <t>http://www.therealpresence.org/eucharst/misc/BVM/86_FOGGIA_60x96.pdf</t>
  </si>
  <si>
    <t>http://www.therealpresence.org/eucharst/misc/BVM/37_ARRAS_60x96.pdf</t>
  </si>
  <si>
    <t>http://www.therealpresence.org/eucharst/misc/BVM/123_NAZARE_96x96.pdf</t>
  </si>
  <si>
    <t>http://www.therealpresence.org/eucharst/misc/BVM/138_SWIETA_LIPKA_60x96.pdf</t>
  </si>
  <si>
    <t>http://www.therealpresence.org/eucharst/misc/BVM/38_ASSISI_60x96.pdf</t>
  </si>
  <si>
    <t>http://www.therealpresence.org/eucharst/misc/BVM/136_ARCOS_60x96.pdf</t>
  </si>
  <si>
    <t>http://www.therealpresence.org/eucharst/misc/BVM/35_CORTES_60x96.pdf</t>
  </si>
  <si>
    <t>http://www.therealpresence.org/eucharst/misc/BVM/18_FIRENZE_60x96.pdf</t>
  </si>
  <si>
    <t>http://www.therealpresence.org/eucharst/misc/BVM/05_AYLESFORD_60x96.pdf</t>
  </si>
  <si>
    <t>http://www.therealpresence.org/eucharst/misc/BVM/133_ROMA_POZZO_60x96.pdf</t>
  </si>
  <si>
    <t>http://www.therealpresence.org/eucharst/misc/BVM/148_LORETO_140x96.pdf</t>
  </si>
  <si>
    <t>http://www.therealpresence.org/eucharst/misc/BVM/44_BRA_60x96.pdf</t>
  </si>
  <si>
    <t>http://www.therealpresence.org/eucharst/misc/BVM/74_ROVERANO_60x96.pdf</t>
  </si>
  <si>
    <t>http://www.therealpresence.org/eucharst/misc/BVM/13_VALVERDE_60x96.pdf</t>
  </si>
  <si>
    <t>http://www.therealpresence.org/eucharst/misc/BVM/43_CASTEL_GODEGO_60x96.pdf</t>
  </si>
  <si>
    <t>http://www.therealpresence.org/eucharst/misc/BVM/100_CORDOBA_60x96.pdf</t>
  </si>
  <si>
    <t>http://www.therealpresence.org/eucharst/misc/BVM/58_MONTE_BERICO_60x96.pdf</t>
  </si>
  <si>
    <t>http://www.therealpresence.org/eucharst/misc/BVM/15_CARAVAGGIO_60x96.pdf</t>
  </si>
  <si>
    <t>http://www.therealpresence.org/eucharst/misc/BVM/50_DESENZANO_DI_ALBINO_60x96.pd.pdf</t>
  </si>
  <si>
    <t>http://www.therealpresence.org/eucharst/misc/BVM/105_FUERTEVENTURA_60x96.pdf</t>
  </si>
  <si>
    <t>http://www.therealpresence.org/eucharst/misc/BVM/115_S_ANASTASIA_96x96.pdf</t>
  </si>
  <si>
    <t>http://www.therealpresence.org/eucharst/misc/BVM/45_GHISALBA_60x96.pdf</t>
  </si>
  <si>
    <t>http://www.therealpresence.org/eucharst/misc/BVM/72_GARLASCO_60x96.pdf</t>
  </si>
  <si>
    <t>http://www.therealpresence.org/eucharst/misc/BVM/71_GENAZZANO_60x96.pdf</t>
  </si>
  <si>
    <t>http://www.therealpresence.org/eucharst/misc/BVM/75_BADIA_DI_CAVA_60x96.pdf</t>
  </si>
  <si>
    <t>http://www.therealpresence.org/eucharst/misc/BVM/42_BOCCADIRIO_60x96.pdf</t>
  </si>
  <si>
    <t>http://www.therealpresence.org/eucharst/misc/BVM/106_TEROR_60x96.pdf</t>
  </si>
  <si>
    <t>http://www.therealpresence.org/eucharst/misc/BVM/49_IMOLA_60x96.pdf</t>
  </si>
  <si>
    <t>http://www.therealpresence.org/eucharst/misc/BVM/67_AGRES_60x96.pdf</t>
  </si>
  <si>
    <t>http://www.therealpresence.org/eucharst/misc/BVM/55_MADONNA_DEL_SASSO_60x96.pdf</t>
  </si>
  <si>
    <t>http://www.therealpresence.org/eucharst/misc/BVM/64_GENOVA_60x96.pdf</t>
  </si>
  <si>
    <t>http://www.therealpresence.org/eucharst/misc/BVM/24_TROIS_EPIS_60x96.pdf</t>
  </si>
  <si>
    <t>http://www.therealpresence.org/eucharst/misc/BVM/51_GALLIVAGGIO_60x96.pdf</t>
  </si>
  <si>
    <t>http://www.therealpresence.org/eucharst/misc/BVM/87_RE_60x96.pdf</t>
  </si>
  <si>
    <t>http://www.therealpresence.org/eucharst/misc/BVM/47_BETTOLA_60x96.pdf</t>
  </si>
  <si>
    <t>http://www.therealpresence.org/eucharst/misc/BVM/65_MOLARE_60x96.pdf</t>
  </si>
  <si>
    <t>http://www.therealpresence.org/eucharst/misc/BVM/32_VAILANKANNI_60x96.pdf</t>
  </si>
  <si>
    <t>http://www.therealpresence.org/eucharst/misc/BVM/98_ANDACOLLO_CILE_60x96.pdf</t>
  </si>
  <si>
    <t>http://www.therealpresence.org/eucharst/misc/BVM/111_LUGGAU_60x96.pdf</t>
  </si>
  <si>
    <t>http://www.therealpresence.org/eucharst/misc/BVM/79_TIRANO_96x96.pdf</t>
  </si>
  <si>
    <t>http://www.therealpresence.org/eucharst/misc/BVM/122_MOTTA_DI_LIV_96x96.pdf</t>
  </si>
  <si>
    <t>http://www.therealpresence.org/eucharst/misc/BVM/66_PESCHIERA_S-GARDA_60x96.pdf</t>
  </si>
  <si>
    <t>http://www.therealpresence.org/eucharst/misc/BVM/41_BERGAMO_60x96.pdf</t>
  </si>
  <si>
    <t>http://www.therealpresence.org/eucharst/misc/BVM/134_RZESZOW_96x96.pdf</t>
  </si>
  <si>
    <t>http://www.therealpresence.org/eucharst/misc/BVM/84_GARAISON_60x96.pdf</t>
  </si>
  <si>
    <t>http://www.therealpresence.org/eucharst/misc/BVM/34_ADRO_60x96.pdf</t>
  </si>
  <si>
    <t>http://www.therealpresence.org/eucharst/misc/BVM/83_COTIGNAC_60x96.pdf</t>
  </si>
  <si>
    <t>http://www.therealpresence.org/eucharst/misc/BVM/114_CORI_60x96.pdf</t>
  </si>
  <si>
    <t>http://www.therealpresence.org/eucharst/misc/BVM/48_CUSSANIO_60x96.pdf</t>
  </si>
  <si>
    <t>http://www.therealpresence.org/eucharst/misc/BVM/53_CRESCENTINO_60x96.pdf</t>
  </si>
  <si>
    <t>http://www.therealpresence.org/eucharst/misc/BVM/81_ORNAVASSO_60x96.pdf</t>
  </si>
  <si>
    <t>http://www.therealpresence.org/eucharst/misc/BVM/70_GUADALUPE_96x96.pdf</t>
  </si>
  <si>
    <t>http://www.therealpresence.org/eucharst/misc/BVM/29_SAVONA_60x96.pdf</t>
  </si>
  <si>
    <t>http://www.therealpresence.org/eucharst/misc/BVM/137_SVETA_GORA_60x96.pdf</t>
  </si>
  <si>
    <t>http://www.therealpresence.org/eucharst/misc/BVM/127_OCOTLAN_96x96.pdf</t>
  </si>
  <si>
    <t>http://www.therealpresence.org/eucharst/misc/BVM/116_VACCIAGO_60x96.pdf</t>
  </si>
  <si>
    <t>http://www.therealpresence.org/eucharst/misc/BVM/60_PIETRALBA_96x96.pdf</t>
  </si>
  <si>
    <t>http://www.therealpresence.org/eucharst/misc/BVM/10_CORBETTA_60x96.pdf</t>
  </si>
  <si>
    <t>http://www.therealpresence.org/eucharst/misc/BVM/02_ARCOLA_60x96.pdf</t>
  </si>
  <si>
    <t>http://www.therealpresence.org/eucharst/misc/BVM/56_GIULIANOVA_96x96.pdf</t>
  </si>
  <si>
    <t>http://www.therealpresence.org/eucharst/misc/BVM/62_GEROSA_60x96.pdf</t>
  </si>
  <si>
    <t>http://www.therealpresence.org/eucharst/misc/BVM/141_MONCRIVELLO_60x96.pdf</t>
  </si>
  <si>
    <t>http://www.therealpresence.org/eucharst/misc/BVM/140_GOZO_60x96.pdf</t>
  </si>
  <si>
    <t>http://www.therealpresence.org/eucharst/misc/BVM/52_CASALBORDINO_60x96.pdf</t>
  </si>
  <si>
    <t>http://www.therealpresence.org/eucharst/misc/BVM/129_LUMARZO_60x96.pdf</t>
  </si>
  <si>
    <t>http://www.therealpresence.org/eucharst/misc/BVM/97_CHIQUINQUIRA_96x96.pdf</t>
  </si>
  <si>
    <t>http://www.therealpresence.org/eucharst/misc/BVM/131_QUINCHE_60x96.pdf</t>
  </si>
  <si>
    <t>http://www.therealpresence.org/eucharst/misc/BVM/132_QUITO_96x96.pdf</t>
  </si>
  <si>
    <t>http://www.therealpresence.org/eucharst/misc/BVM/120_RAPALLO_60x96.pdf</t>
  </si>
  <si>
    <t>http://www.therealpresence.org/eucharst/misc/BVM/61_BETHARRAM_60x96.pdf</t>
  </si>
  <si>
    <t>http://www.therealpresence.org/eucharst/misc/BVM/112_LUJAN_96x96.pdf</t>
  </si>
  <si>
    <t>http://www.therealpresence.org/eucharst/misc/BVM/92_CAACUPE_96x96.pdf</t>
  </si>
  <si>
    <t>http://www.therealpresence.org/eucharst/misc/BVM/94_CAYSASAY_60x96.pdf</t>
  </si>
  <si>
    <t>http://www.therealpresence.org/eucharst/misc/BVM/104_DOROSZLO_60x96.pdf</t>
  </si>
  <si>
    <t>http://www.therealpresence.org/eucharst/misc/BVM/36_ARDESIO_60x96.pdf</t>
  </si>
  <si>
    <t>http://www.therealpresence.org/eucharst/misc/BVM/57_SILUVA_96x96.pdf</t>
  </si>
  <si>
    <t>http://www.therealpresence.org/eucharst/misc/BVM/88_MANAOAG_60x96.pdf</t>
  </si>
  <si>
    <t>http://www.therealpresence.org/eucharst/misc/BVM/102_CUBA_96x96.pdf</t>
  </si>
  <si>
    <t>http://www.therealpresence.org/eucharst/misc/BVM/22_MONFERRATO_60x96.pdf</t>
  </si>
  <si>
    <t>http://www.therealpresence.org/eucharst/misc/BVM/118_MARBACH_60x96.pdf</t>
  </si>
  <si>
    <t>http://www.therealpresence.org/eucharst/misc/BVM/101_CARTAGO_60x96.pdf</t>
  </si>
  <si>
    <t>http://www.therealpresence.org/eucharst/misc/BVM/107_KEVELAER_96x96.pdf</t>
  </si>
  <si>
    <t>http://www.therealpresence.org/eucharst/misc/BVM/125_PLANTEES_60x96.pdf</t>
  </si>
  <si>
    <t>http://www.therealpresence.org/eucharst/misc/BVM/14_GUANARE_60x96.pdf</t>
  </si>
  <si>
    <t>http://www.therealpresence.org/eucharst/misc/BVM/108_LA_PRENESSAYE_60x96.pdf</t>
  </si>
  <si>
    <t>http://www.therealpresence.org/eucharst/misc/BVM/08_PIEVE_DI_TAGLIAM_60x96.pdf</t>
  </si>
  <si>
    <t>http://www.therealpresence.org/eucharst/misc/BVM/69_LAUS_140x96.pdf</t>
  </si>
  <si>
    <t>http://www.therealpresence.org/eucharst/misc/BVM/54_SAN_BARTOLOMEO_60x96.pdf</t>
  </si>
  <si>
    <t>http://www.therealpresence.org/eucharst/misc/BVM/145_GYOR_96x96.pdf</t>
  </si>
  <si>
    <t>http://www.therealpresence.org/eucharst/misc/BVM/73_COTOCA_60x96.pdf</t>
  </si>
  <si>
    <t>http://www.therealpresence.org/eucharst/misc/BVM/142_QUILLACOLLO_60x96.pdf</t>
  </si>
  <si>
    <t>http://www.therealpresence.org/eucharst/misc/BVM/130_PELLESTRINA_96x96.pdf</t>
  </si>
  <si>
    <t>http://www.therealpresence.org/eucharst/misc/BVM/77_VALE_DO_PARAIBA_60x96.pdf</t>
  </si>
  <si>
    <t>http://www.therealpresence.org/eucharst/misc/BVM/59_MONTAGNAGA_96x96.pdf</t>
  </si>
  <si>
    <t>http://www.therealpresence.org/eucharst/misc/BVM/17_DIVINO_AMORE_60x96.pdf</t>
  </si>
  <si>
    <t>http://www.therealpresence.org/eucharst/misc/BVM/95_CHAGUAYA_60x96.pdf</t>
  </si>
  <si>
    <t>http://www.therealpresence.org/eucharst/misc/BVM/109_LAJAS_96x96.pdf</t>
  </si>
  <si>
    <t>http://www.therealpresence.org/eucharst/misc/BVM/33_ABSAM_60x96.pdf</t>
  </si>
  <si>
    <t>http://www.therealpresence.org/eucharst/misc/BVM/21_LAVANG_60x96.pdf</t>
  </si>
  <si>
    <t>http://www.therealpresence.org/eucharst/misc/BVM/126_ORNANS_60x96.pdf</t>
  </si>
  <si>
    <t>http://www.therealpresence.org/eucharst/misc/BVM/110_LICHEN_96x96.pdf</t>
  </si>
  <si>
    <t>http://www.therealpresence.org/eucharst/misc/BVM/06_PARIGI_60x96.pdf</t>
  </si>
  <si>
    <t>http://www.therealpresence.org/eucharst/misc/BVM/23_ROMA_60x96.pdf</t>
  </si>
  <si>
    <t>http://www.therealpresence.org/eucharst/misc/BVM/30_LA_SALETTE_96x96.pdf</t>
  </si>
  <si>
    <t>http://www.therealpresence.org/eucharst/misc/BVM/03_BORGO_CERRETO_60x96.pdf</t>
  </si>
  <si>
    <t>http://www.therealpresence.org/eucharst/misc/BVM/27_PORZUS_60x96.pdf</t>
  </si>
  <si>
    <t>http://www.therealpresence.org/eucharst/misc/BVM/40_LOURDES_140x96.pdf</t>
  </si>
  <si>
    <t>http://www.therealpresence.org/eucharst/misc/BVM/96_CHAMPION_140x96.pdf</t>
  </si>
  <si>
    <t>http://www.therealpresence.org/eucharst/misc/BVM/12_MONTEFALCO_60x96.pdf</t>
  </si>
  <si>
    <t>http://www.therealpresence.org/eucharst/misc/BVM/89_FILIPOV_96x96.pdf</t>
  </si>
  <si>
    <t>http://www.therealpresence.org/eucharst/misc/BVM/26_PONTMAIN_60x96.pdf</t>
  </si>
  <si>
    <t>http://www.therealpresence.org/eucharst/misc/BVM/135_S_BAUZILLE_96x96.pdf</t>
  </si>
  <si>
    <t>http://www.therealpresence.org/eucharst/misc/BVM/25_POMPEI_96x96.pdf</t>
  </si>
  <si>
    <t>http://www.therealpresence.org/eucharst/misc/BVM/07_PELLEVOISIN_60x96.pdf</t>
  </si>
  <si>
    <t>http://www.therealpresence.org/eucharst/misc/BVM/85_GIETRZALD_96x96.pdf</t>
  </si>
  <si>
    <t>http://www.therealpresence.org/eucharst/misc/BVM/63_KNOCK_60x96.pdf</t>
  </si>
  <si>
    <t>http://www.therealpresence.org/eucharst/misc/BVM/82_CASTELPETROSO_60x96.pdf</t>
  </si>
  <si>
    <t>http://www.therealpresence.org/eucharst/misc/BVM/139_SZCZYRK_60x96.pdf</t>
  </si>
  <si>
    <t>http://www.therealpresence.org/eucharst/misc/BVM/91_BETANIA_96x96.pdf</t>
  </si>
  <si>
    <t>http://www.therealpresence.org/eucharst/misc/BVM/103_DONG_LU_96x96.pdf</t>
  </si>
  <si>
    <t>http://www.therealpresence.org/eucharst/misc/BVM/154_FATIMA_96x96_1.pdf</t>
  </si>
  <si>
    <t>http://www.therealpresence.org/eucharst/misc/BVM/46_TORINO_60x96.pdf</t>
  </si>
  <si>
    <t>http://www.therealpresence.org/eucharst/misc/BVM/04_CERNUSCO_60x96.pdf</t>
  </si>
  <si>
    <t>http://www.therealpresence.org/eucharst/misc/BVM/31_PONTEVEDRA_96x96.pdf</t>
  </si>
  <si>
    <t>http://www.therealpresence.org/eucharst/misc/BVM/93_CAMPINAS_140x96.pdf</t>
  </si>
  <si>
    <t>http://www.therealpresence.org/eucharst/misc/BVM/11_BEAURAING_60x96.pdf</t>
  </si>
  <si>
    <t>http://www.therealpresence.org/eucharst/misc/BVM/39_BANNEAUX_96x96.pdf</t>
  </si>
  <si>
    <t>http://www.therealpresence.org/eucharst/misc/BVM/151_PESQUEIRA_140x96.pdf</t>
  </si>
  <si>
    <t>http://www.therealpresence.org/eucharst/misc/BVM/146_HEEDE_140x96.pdf</t>
  </si>
  <si>
    <t>http://www.therealpresence.org/eucharst/misc/BVM/119_MILANO_96x96.pdf</t>
  </si>
  <si>
    <t>http://www.therealpresence.org/eucharst/misc/BVM/128_KALLIKULAM_60x96.pdf</t>
  </si>
  <si>
    <t>http://www.therealpresence.org/eucharst/misc/BVM/149_MARIENFRIED_140x96.pdf</t>
  </si>
  <si>
    <t>http://www.therealpresence.org/eucharst/misc/BVM/152_SIEKIERKI_96x96.pdf</t>
  </si>
  <si>
    <t>http://www.therealpresence.org/eucharst/misc/BVM/99_CODOSERA_140x96.pdf</t>
  </si>
  <si>
    <t>http://www.therealpresence.org/eucharst/misc/BVM/19_ILE_BOUCHARD_96x96.pdf</t>
  </si>
  <si>
    <t>http://www.therealpresence.org/eucharst/misc/BVM/147_HEROLDSBACH_140x96.pdf</t>
  </si>
  <si>
    <t>http://www.therealpresence.org/eucharst/misc/BVM/113_ROGOROTTO_60x96.pdf</t>
  </si>
  <si>
    <t>http://www.therealpresence.org/eucharst/misc/BVM/28_SIRACUSA_60x96.pdf</t>
  </si>
  <si>
    <t>http://www.therealpresence.org/eucharst/misc/BVM/124_NGOME_140x96.pdf</t>
  </si>
  <si>
    <t>http://www.therealpresence.org/eucharst/misc/BVM/150_FOSTORIA_140x96.pdf</t>
  </si>
  <si>
    <t>http://www.therealpresence.org/eucharst/misc/BVM/144_ZEITUN_96x96.pdf</t>
  </si>
  <si>
    <t>http://www.therealpresence.org/eucharst/misc/BVM/01_AKITA_60x96.pdf</t>
  </si>
  <si>
    <t>http://www.therealpresence.org/eucharst/misc/BVM/16_CUAPA_60x96.pdf</t>
  </si>
  <si>
    <t>http://www.therealpresence.org/eucharst/misc/BVM/20_KIBEHO_96x96.pdf</t>
  </si>
  <si>
    <t>http://www.therealpresence.org/eucharst/misc/BVM/143_NAMYANG_96x96.pdf</t>
  </si>
  <si>
    <t>http://www.therealpresence.org/eucharst/misc/BVM/76_AOKPE_140x96.pdf</t>
  </si>
  <si>
    <t>http://www.therealpresence.org/eucharst/misc/BVM/78_BECHWAT_60x96.pdf</t>
  </si>
  <si>
    <t>The Real Presence</t>
  </si>
  <si>
    <t>Basilica of Our Lady of Walsingham</t>
  </si>
  <si>
    <t>Miracle Hunter</t>
  </si>
  <si>
    <t/>
  </si>
  <si>
    <t>In 47 AD, Our Lady appeared to a recent Christian convert, in a chapel built few years before on a high mountain. This woman was plagued by a serious illness and no doctor had been able to help.  The Blessed Mother, during her appearance, completely cured her.</t>
  </si>
  <si>
    <t>A wealthy but childless Christian Roman couple wanted to appoint the Virgin Mary as heiress of their property. On the night of August 4, Mary appeared simultaneously to the couple and Pope Liberius, expressing the wish that a church be erected on Esquiline Hill.  The morning of August 5, miraculous snow fell on a narrow piece of land, upon which the Church of Liberius was constructed.  This Marian shrine was replaced in the fifth century with a great church named Santa Maria Maggiore, which is now one of the four papal basilicas.</t>
  </si>
  <si>
    <t>Tags</t>
  </si>
  <si>
    <t>https://kibeho-sanctuary.com/</t>
  </si>
  <si>
    <t>Lat</t>
  </si>
  <si>
    <t>Lng</t>
  </si>
  <si>
    <t>Our Lady of Banneux, Virgin of the Poor</t>
  </si>
  <si>
    <t>https://banneux-nd.be/</t>
  </si>
  <si>
    <t>Our Lady of Kibeho, Mother of the Word</t>
  </si>
  <si>
    <t>The Virgin with the Golden Heart</t>
  </si>
  <si>
    <t>https://sanctuairedebeauraing.be/</t>
  </si>
  <si>
    <t>Knock Shrine (Our Lady of Knock)</t>
  </si>
  <si>
    <t>https://www.knockshrine.ie/</t>
  </si>
  <si>
    <t>MaryPages</t>
  </si>
  <si>
    <t>http://www.miraclehunter.com/marian_apparitions/approved_apparitions/knock/index.html</t>
  </si>
  <si>
    <t>https://www.marypages.com/knock-(ireland)-en.html</t>
  </si>
  <si>
    <t>Our Lady of Gietrzwald</t>
  </si>
  <si>
    <t>In 1877, Our Lady appeared to Justyna Szafrynska (13) just before receiving her First Holy Communion.  The next day, Barbara Samulowska (12) also saw the "Bright Lady" sitting on the throne with Infant Christ among angels.  The Blessed Mother's ask of the girls was for them to pray the rosary daily.</t>
  </si>
  <si>
    <t>https://www.marypages.com/giertzwald-(poland)-en.html</t>
  </si>
  <si>
    <t>http://www.miraclehunter.com/marian_apparitions/approved_apparitions/gietrzwald/index.html</t>
  </si>
  <si>
    <t>https://sanktuariummaryjne.pl/</t>
  </si>
  <si>
    <t>Between 1981 and 1989, the Virgin Mary appeared to several girls in Rwanda.  She appeared to them with the name "Nyina wa Jambo" ("Mother of the Word"), synonymous with "Umubyeyl W'iamna" ("Mother of God").  Mary emphasized the call to pray the rosary and asked for penance and fasting.  The three girls reported a vision foreshadowing the Rwandan Genocide which would occur just 13 years later, which would claim one of their lives.</t>
  </si>
  <si>
    <t>https://www.miraclehunter.com/marian_apparitions/approved_apparitions/kibeho_rwanda/index.html</t>
  </si>
  <si>
    <t>https://www.marypages.com/kibeho-(rwanda)-en.html</t>
  </si>
  <si>
    <t>In 1871, during the Franco-Prussian War, Mary appeared on a farm to students at the nearby convent school.  Her message was written on a banner that unfurled from her feet: "But pray my children. God will hear you in a short time. My Son allows Himself to be moved by compassion."</t>
  </si>
  <si>
    <t>https://www.miraclehunter.com/marian_apparitions/approved_apparitions/pontmain/index.html)</t>
  </si>
  <si>
    <t>https://www.marypages.com/pontmain-(france)-en.html</t>
  </si>
  <si>
    <t>https://sanctuaire-pontmain.com/</t>
  </si>
  <si>
    <t>In 1866, Magdalene Kade, an orphaned 31 year woman bedridden due to many illnesses, received a vision of the Blessed Virgin Mary, who immediately cured her.  A bishop's commission examined the miraculous event and recognized the healing and supernatural character.  A church was built by 1885 and elevated to a minor basilica by Pope Leo XIII, who officially consecrated it and dedicated to Mary, "Help of Christians."</t>
  </si>
  <si>
    <t>https://www.miraclehunter.com/marian_apparitions/approved_apparitions/filippsdorf/index.html</t>
  </si>
  <si>
    <t>http://cz.poutni-mista-sluknovsko.cz/bazilika-minor-panny-marie-pomocnice-krestanu-filipov.html</t>
  </si>
  <si>
    <t>Basilica of Our Lady Help of Christians</t>
  </si>
  <si>
    <t>Author's Note</t>
  </si>
  <si>
    <t>Our Lady of Zion</t>
  </si>
  <si>
    <t>Our Lady of the Miraculous Medal</t>
  </si>
  <si>
    <t>Our Lady of La Salette</t>
  </si>
  <si>
    <t>Our Lady of Lourdes</t>
  </si>
  <si>
    <t>Our Lady of Siluva</t>
  </si>
  <si>
    <t>Our Lady of Consolation</t>
  </si>
  <si>
    <t>Our Lady of Licheń</t>
  </si>
  <si>
    <t>https://www.lichen.pl/</t>
  </si>
  <si>
    <t>a:2:{s:10:"hover_icon";s:74:"//orbisdei.org/wp-content/plugins/wp-google-maps/images/spotlight-poi3.png";s:12:"hover_retina";s:1:"0";}</t>
  </si>
  <si>
    <t>2, 3</t>
  </si>
  <si>
    <t>Blessed Stanley Rother Shrine</t>
  </si>
  <si>
    <t>https://www.rothershrine.org/</t>
  </si>
  <si>
    <t>The shrine was dedicated on February 17, 2023 with the Most Rev. Paul S. Coakley, Archbishop of Oklahoma City presiding.  The service was attended by 37 bishops, 147 priests, and hundreds of other religious and pilgrims.</t>
  </si>
  <si>
    <t>Blessed Stanley Rother Shrine, Southeast 89th Street, Oklahoma City, OK, USA</t>
  </si>
  <si>
    <t>St. James the Apostle Church</t>
  </si>
  <si>
    <t>Bl. Stanley Rother ministered to the native Tzâ€™utujil people of Guatemala for years at St. James the Apostle church, on the shores of Lake Atitlan.  This is where he was martyred on July 28, 1981.</t>
  </si>
  <si>
    <t>IGLESIA CATÃ“LICA SANTIAGO APÃ“STOL, Santiago AtitlÃ¡n, Guatemala</t>
  </si>
  <si>
    <t>Mount St. Mary's Seminary</t>
  </si>
  <si>
    <t>https://seminary.msmary.edu/</t>
  </si>
  <si>
    <t>Bl. Stanley Rother completed his studies at Mount Saint Maryâ€™s Seminary and was ordained a priest on May 25, 1963.</t>
  </si>
  <si>
    <t>Mount St. Maryâ€™s Seminary, Old Emmitsburg Road, Emmitsburg, MD, USA</t>
  </si>
  <si>
    <t>Assumption Seminary</t>
  </si>
  <si>
    <t>https://assumptionseminary.org/</t>
  </si>
  <si>
    <t>Bl. Stanley Rother was accepted as a seminarian and began his studies at Assumption Seminary.</t>
  </si>
  <si>
    <t>Assumption Seminary, West Woodlawn Avenue, San Antonio, TX, USA</t>
  </si>
  <si>
    <t>Holy Trinity Catholic Church</t>
  </si>
  <si>
    <t>https://www.holytrinityok.org/</t>
  </si>
  <si>
    <t>Bl. Stanley Rother was a parishioner at Holy Trinity Catholic Church, where he received his sacraments and studied at Holy Trinity Catholic School.</t>
  </si>
  <si>
    <t>Holy Trinity Catholic Church, Missouri Avenue, Okarche, OK, USA</t>
  </si>
  <si>
    <t>1, 3</t>
  </si>
  <si>
    <t>Shrine of Our Lady of Kibeho</t>
  </si>
  <si>
    <t>Sanctuaire de Notre-Dame de Banneux / Vierge des Pauvres</t>
  </si>
  <si>
    <t>Sanctuaire Notre-Dame de Beauraing / Vierge au CÅ“ur d'Or</t>
  </si>
  <si>
    <t>Our Lady of Knock</t>
  </si>
  <si>
    <t>Knock Shrine</t>
  </si>
  <si>
    <t>Bazylika Narodzenia NMP w GietrzwaÅ‚dzie</t>
  </si>
  <si>
    <t>Our Lady of Hope, Madonna of the Crucifix</t>
  </si>
  <si>
    <t>https://www.sanctuaire-pontmain.com/</t>
  </si>
  <si>
    <t>Sanctuaire Notre-Dame de Pontmain</t>
  </si>
  <si>
    <t>Our Lady Help of Christians</t>
  </si>
  <si>
    <t>https://cz.poutni-mista-sluknovsko.cz/</t>
  </si>
  <si>
    <t>Bazilika Panny Marie Pomocnice kÅ™esÅ¥anÅ¯</t>
  </si>
  <si>
    <t>https://lasalette.cef.fr/</t>
  </si>
  <si>
    <t>Sanctuaire Notre-Dame de la Salette</t>
  </si>
  <si>
    <t>https://www.madonnadelmiracolo.it/</t>
  </si>
  <si>
    <t>Basilica di Sant'Andrea delle Fratte</t>
  </si>
  <si>
    <t>https://www.chapellenotredamedelamedaillemiraculeuse.com/</t>
  </si>
  <si>
    <t>Chapelle Notre-Dame-de-la-MÃ©daille-Miraculeuse</t>
  </si>
  <si>
    <t>Our Lady of Laus, Our Lady of Happy Meetings</t>
  </si>
  <si>
    <t>https://www.sanctuaire-notredamedulaus.com/</t>
  </si>
  <si>
    <t>Sanctuaire Notre-Dame du Laus</t>
  </si>
  <si>
    <t>https://www.ourladyofsiluva.org/</t>
  </si>
  <si>
    <t>Å iluvos Å vÄ. MergelÄ—s Marijos ApsireiÅ¡kimo koplyÄia</t>
  </si>
  <si>
    <t>https://lezajsk.bernardyni.pl/</t>
  </si>
  <si>
    <t>Bazylika Zwiastowania NajÅ›wiÄ™tszej Maryi Panny w LeÅ¼ajsku</t>
  </si>
  <si>
    <t>Our Lady of Fatima</t>
  </si>
  <si>
    <t>https://www.fatima.pt/</t>
  </si>
  <si>
    <t>SantuÃ¡rio de FÃ¡tima</t>
  </si>
  <si>
    <t>https://www.lourdes-france.org/</t>
  </si>
  <si>
    <t>Basilique Notre Dame du Rosaire</t>
  </si>
  <si>
    <t>Our Lady of Guadalupe</t>
  </si>
  <si>
    <t>https://virgendeguadalupe.org.mx/</t>
  </si>
  <si>
    <t>Basilica of Our Lady of Guadalupe</t>
  </si>
  <si>
    <t>layergroup</t>
  </si>
  <si>
    <t>other_data</t>
  </si>
  <si>
    <t>sticky</t>
  </si>
  <si>
    <t>did</t>
  </si>
  <si>
    <t>type</t>
  </si>
  <si>
    <t>retina</t>
  </si>
  <si>
    <t>approved</t>
  </si>
  <si>
    <t>category</t>
  </si>
  <si>
    <t>infoopen</t>
  </si>
  <si>
    <t>title</t>
  </si>
  <si>
    <t>anim</t>
  </si>
  <si>
    <t>lng</t>
  </si>
  <si>
    <t>lat</t>
  </si>
  <si>
    <t>icon</t>
  </si>
  <si>
    <t>link</t>
  </si>
  <si>
    <t>pic</t>
  </si>
  <si>
    <t>description</t>
  </si>
  <si>
    <t>address</t>
  </si>
  <si>
    <t>map_id</t>
  </si>
  <si>
    <t>id</t>
  </si>
  <si>
    <t>In December 1531, the Virgin Mary appeared to St. Juan Diego and his uncle.  The miraculous image imprinted on Juan Diego's tilma is on display at the Basilica of Our Lady of Guadalupe, which is the most-visited Catholic shrine in the world.</t>
  </si>
  <si>
    <t>https://www.miraclehunter.com/marian_apparitions/approved_apparitions/guadalupe/index.html</t>
  </si>
  <si>
    <t>https://www.marypages.com/guadalupe-(mexico).html</t>
  </si>
  <si>
    <t>https://www.miraclehunter.com/marian_apparitions/approved_apparitions/lejask/index.html</t>
  </si>
  <si>
    <t>https://www.miraclehunter.com/marian_apparitions/approved_apparitions/rome1842/index.html</t>
  </si>
  <si>
    <t>https://www.marypages.com/rome-(itali%C3%AB).html</t>
  </si>
  <si>
    <t>Chapel of Our Lady of the Miraculous Medal</t>
  </si>
  <si>
    <t>https://www.marypages.com/paris-(france)-en.html</t>
  </si>
  <si>
    <t>https://www.miraclehunter.com/marian_apparitions/approved_apparitions/ruedubac/index.html</t>
  </si>
  <si>
    <t>One summer day, in 1608, a number of children were playing while tending their sheep in a field on the outskirts of the village of Siluva.  They beheld a beautiful young woman standing on the rock holding a baby in her arms and weeping bitterly.  The town which had lost its Catholic identity to the Calvinists over the course of 80 years was restored to the Faith.</t>
  </si>
  <si>
    <t>https://www.marypages.com/our-lady-of-siluva-en.html</t>
  </si>
  <si>
    <t>https://www.miraclehunter.com/marian_apparitions/approved_apparitions/siluva/index.html</t>
  </si>
  <si>
    <t>In a series of apparitions in 1858, the Virgin Mary appeared to St. Bernadette Soubirous.  The stream of holy water which St. Bernadette uncovered has become a well-known source of healing, and Lourdes is now a major pilgrimage destination.</t>
  </si>
  <si>
    <t>https://www.miraclehunter.com/marian_apparitions/approved_apparitions/lourdes/index.html</t>
  </si>
  <si>
    <t>https://www.marypages.com/lourdes-(frankrijk)-1858/</t>
  </si>
  <si>
    <t>Benoite Rencurel, a poor shepherdess, received apparitions from the Virgin Mary from 1664 until her death in 1718.  During the apparitions, the Blessed Mother asked for a church and a house for priests to be built, with the intent of drawing people to greater conversion, especially through the sacrament of penance.  The holy site now draws 120,000 pilgrims annually, and is associated with numerous physical healings.</t>
  </si>
  <si>
    <t>https://www.miraclehunter.com/marian_apparitions/approved_apparitions/laus/index.html</t>
  </si>
  <si>
    <t>https://www.marypages.com/laus-(france)-en.html</t>
  </si>
  <si>
    <t>While tending sheep in a field called the Cova de Iria, Lucia de Santos (aged 10) and her two cousins, Francisco and Jacinta Marto, reported six apparitions of Mary, who identified herself as "Our Lady of the Rosary."  Mary urged prayer of the rosary, penance for the conversion of sinners and consecration of Russia to her Immaculate Heart.</t>
  </si>
  <si>
    <t>https://www.miraclehunter.com/marian_apparitions/approved_apparitions/fatima/index.html</t>
  </si>
  <si>
    <t>https://www.marypages.com/fatima-(portugal)-1917.html</t>
  </si>
  <si>
    <t>Sanctuary of Our Lady of Gietrzwałd</t>
  </si>
  <si>
    <t>In 1846, the Blessed Virgin Mary appeared to 11-year-old Maximin Giraud and 14-year-old Melanie Calvat-Mathieu while they tended sheep in a small French Alpine village.  Her appearance in sorrow and tears called for conversion and repentance.</t>
  </si>
  <si>
    <t>https://www.miraclehunter.com/marian_apparitions/approved_apparitions/lasalette/index.html</t>
  </si>
  <si>
    <t>https://www.marypages.com/la-salette-(france)-en.html</t>
  </si>
  <si>
    <t>Sanctuary of Pontmain (Mother of Hope)</t>
  </si>
  <si>
    <t>According to legend, the Virgin Mary appeared in Licheń, Poland to Tomasz Klossowski, a wounded soldier, in 1813 who was healed and discovered a miraculous portrait of Our Lady.  She then appeared to a poor shepherd, Mikolaj Sikatka, in 1850 who promoted her devotion.  She foretold of a cholera epidemic and interceded for the healing of many who sought her help.</t>
  </si>
  <si>
    <t>https://www.marypages.com/lichen-(poland)-holy-mother-of-sorrow-en.html</t>
  </si>
  <si>
    <t>Shrine of Our Lady of Kibeho (Mother of the Word)</t>
  </si>
  <si>
    <t>Rwanda</t>
  </si>
  <si>
    <t>Lebanon</t>
  </si>
  <si>
    <t>Kibeho</t>
  </si>
  <si>
    <t>Country</t>
  </si>
  <si>
    <t>juan-diego</t>
  </si>
  <si>
    <t>benoite-rencurel</t>
  </si>
  <si>
    <t>catherine-laboure</t>
  </si>
  <si>
    <t>marie-alphonse-ratisbonne</t>
  </si>
  <si>
    <t>bernadette-soubirous</t>
  </si>
  <si>
    <t>Andorra</t>
  </si>
  <si>
    <t>United Arab Emirates</t>
  </si>
  <si>
    <t>Afghanistan</t>
  </si>
  <si>
    <t>Antigua and Barbuda</t>
  </si>
  <si>
    <t>Anguilla</t>
  </si>
  <si>
    <t>Albania</t>
  </si>
  <si>
    <t>Armenia</t>
  </si>
  <si>
    <t>Angola</t>
  </si>
  <si>
    <t>Antarctica</t>
  </si>
  <si>
    <t>Argentina</t>
  </si>
  <si>
    <t>American Samoa</t>
  </si>
  <si>
    <t>Austria</t>
  </si>
  <si>
    <t>Australia</t>
  </si>
  <si>
    <t>Aruba</t>
  </si>
  <si>
    <t>Azerbaijan</t>
  </si>
  <si>
    <t>Bosnia and Herzegovina</t>
  </si>
  <si>
    <t>Barbados</t>
  </si>
  <si>
    <t>Bangladesh</t>
  </si>
  <si>
    <t>Belgium</t>
  </si>
  <si>
    <t>Burkina Faso</t>
  </si>
  <si>
    <t>Bulgaria</t>
  </si>
  <si>
    <t>Bahrain</t>
  </si>
  <si>
    <t>Burundi</t>
  </si>
  <si>
    <t>Benin</t>
  </si>
  <si>
    <t>Bermuda</t>
  </si>
  <si>
    <t>Brunei Darussalam</t>
  </si>
  <si>
    <t>Bonaire, Sint Eustatius and Saba</t>
  </si>
  <si>
    <t>Brazil</t>
  </si>
  <si>
    <t>Bahamas</t>
  </si>
  <si>
    <t>Bhutan</t>
  </si>
  <si>
    <t>Bouvet Island</t>
  </si>
  <si>
    <t>Botswana</t>
  </si>
  <si>
    <t>Belarus</t>
  </si>
  <si>
    <t>Belize</t>
  </si>
  <si>
    <t>Canada</t>
  </si>
  <si>
    <t>Cocos (Keeling) Islands</t>
  </si>
  <si>
    <t>Central African Republic</t>
  </si>
  <si>
    <t>Congo</t>
  </si>
  <si>
    <t>Switzerland</t>
  </si>
  <si>
    <t>Cook Islands</t>
  </si>
  <si>
    <t>Chile</t>
  </si>
  <si>
    <t>Cameroon</t>
  </si>
  <si>
    <t>China</t>
  </si>
  <si>
    <t>Colombia</t>
  </si>
  <si>
    <t>Costa Rica</t>
  </si>
  <si>
    <t>Cuba</t>
  </si>
  <si>
    <t>Cabo Verde</t>
  </si>
  <si>
    <t>Curaçao</t>
  </si>
  <si>
    <t>Christmas Island</t>
  </si>
  <si>
    <t>Cyprus</t>
  </si>
  <si>
    <t>Czechia</t>
  </si>
  <si>
    <t>Germany</t>
  </si>
  <si>
    <t>Djibouti</t>
  </si>
  <si>
    <t>Denmark</t>
  </si>
  <si>
    <t>Dominica</t>
  </si>
  <si>
    <t>Dominican Republic</t>
  </si>
  <si>
    <t>Algeria</t>
  </si>
  <si>
    <t>Ecuador</t>
  </si>
  <si>
    <t>Estonia</t>
  </si>
  <si>
    <t>Western Sahara</t>
  </si>
  <si>
    <t>Eritrea</t>
  </si>
  <si>
    <t>Spain</t>
  </si>
  <si>
    <t>Ethiopia</t>
  </si>
  <si>
    <t>Finland</t>
  </si>
  <si>
    <t>Fiji</t>
  </si>
  <si>
    <t>Faroe Islands</t>
  </si>
  <si>
    <t>France</t>
  </si>
  <si>
    <t>Gabon</t>
  </si>
  <si>
    <t>Grenada</t>
  </si>
  <si>
    <t>Georgia</t>
  </si>
  <si>
    <t>French Guiana</t>
  </si>
  <si>
    <t>Guernsey</t>
  </si>
  <si>
    <t>Ghana</t>
  </si>
  <si>
    <t>Gibraltar</t>
  </si>
  <si>
    <t>Greenland</t>
  </si>
  <si>
    <t>Gambia</t>
  </si>
  <si>
    <t>Guinea</t>
  </si>
  <si>
    <t>Guadeloupe</t>
  </si>
  <si>
    <t>Equatorial Guinea</t>
  </si>
  <si>
    <t>Greece</t>
  </si>
  <si>
    <t>South Georgia and the South Sandwich Islands</t>
  </si>
  <si>
    <t>Guatemala</t>
  </si>
  <si>
    <t>Guam</t>
  </si>
  <si>
    <t>Guinea-Bissau</t>
  </si>
  <si>
    <t>Guyana</t>
  </si>
  <si>
    <t>Hong Kong</t>
  </si>
  <si>
    <t>Heard Island and McDonald Islands</t>
  </si>
  <si>
    <t>Honduras</t>
  </si>
  <si>
    <t>Croatia</t>
  </si>
  <si>
    <t>Haiti</t>
  </si>
  <si>
    <t>Hungary</t>
  </si>
  <si>
    <t>Indonesia</t>
  </si>
  <si>
    <t>Ireland</t>
  </si>
  <si>
    <t>Israel</t>
  </si>
  <si>
    <t>Isle of Man</t>
  </si>
  <si>
    <t>British Indian Ocean Territory</t>
  </si>
  <si>
    <t>Iraq</t>
  </si>
  <si>
    <t>Iceland</t>
  </si>
  <si>
    <t>Jersey</t>
  </si>
  <si>
    <t>Jamaica</t>
  </si>
  <si>
    <t>Jordan</t>
  </si>
  <si>
    <t>Japan</t>
  </si>
  <si>
    <t>Kenya</t>
  </si>
  <si>
    <t>Kyrgyzstan</t>
  </si>
  <si>
    <t>Cambodia</t>
  </si>
  <si>
    <t>Kiribati</t>
  </si>
  <si>
    <t>Comoros</t>
  </si>
  <si>
    <t>Saint Kitts and Nevis</t>
  </si>
  <si>
    <t>Kuwait</t>
  </si>
  <si>
    <t>Cayman Islands</t>
  </si>
  <si>
    <t>Kazakhstan</t>
  </si>
  <si>
    <t>Saint Lucia</t>
  </si>
  <si>
    <t>Liechtenstein</t>
  </si>
  <si>
    <t>Sri Lanka</t>
  </si>
  <si>
    <t>Liberia</t>
  </si>
  <si>
    <t>Lesotho</t>
  </si>
  <si>
    <t>Lithuania</t>
  </si>
  <si>
    <t>Luxembourg</t>
  </si>
  <si>
    <t>Latvia</t>
  </si>
  <si>
    <t>Libya</t>
  </si>
  <si>
    <t>Morocco</t>
  </si>
  <si>
    <t>Monaco</t>
  </si>
  <si>
    <t>Montenegro</t>
  </si>
  <si>
    <t>Madagascar</t>
  </si>
  <si>
    <t>Marshall Islands</t>
  </si>
  <si>
    <t>North Macedonia</t>
  </si>
  <si>
    <t>Mali</t>
  </si>
  <si>
    <t>Myanmar</t>
  </si>
  <si>
    <t>Mongolia</t>
  </si>
  <si>
    <t>Macao</t>
  </si>
  <si>
    <t>MP</t>
  </si>
  <si>
    <t>Northern Mariana Islands</t>
  </si>
  <si>
    <t>Martinique</t>
  </si>
  <si>
    <t>Mauritania</t>
  </si>
  <si>
    <t>Montserrat</t>
  </si>
  <si>
    <t>Malta</t>
  </si>
  <si>
    <t>Mauritius</t>
  </si>
  <si>
    <t>Maldives</t>
  </si>
  <si>
    <t>Malawi</t>
  </si>
  <si>
    <t>Mexico</t>
  </si>
  <si>
    <t>Malaysia</t>
  </si>
  <si>
    <t>Mozambique</t>
  </si>
  <si>
    <t>Namibia</t>
  </si>
  <si>
    <t>New Caledonia</t>
  </si>
  <si>
    <t>Niger</t>
  </si>
  <si>
    <t>Norfolk Island</t>
  </si>
  <si>
    <t>Nigeria</t>
  </si>
  <si>
    <t>Nicaragua</t>
  </si>
  <si>
    <t>Norway</t>
  </si>
  <si>
    <t>Nepal</t>
  </si>
  <si>
    <t>Nauru</t>
  </si>
  <si>
    <t>Niue</t>
  </si>
  <si>
    <t>New Zealand</t>
  </si>
  <si>
    <t>Oman</t>
  </si>
  <si>
    <t>Panama</t>
  </si>
  <si>
    <t>Peru</t>
  </si>
  <si>
    <t>French Polynesia</t>
  </si>
  <si>
    <t>Papua New Guinea</t>
  </si>
  <si>
    <t>Philippines</t>
  </si>
  <si>
    <t>Pakistan</t>
  </si>
  <si>
    <t>Poland</t>
  </si>
  <si>
    <t>Saint Pierre and Miquelon</t>
  </si>
  <si>
    <t>Pitcairn</t>
  </si>
  <si>
    <t>Puerto Rico</t>
  </si>
  <si>
    <t>Portugal</t>
  </si>
  <si>
    <t>Palau</t>
  </si>
  <si>
    <t>Paraguay</t>
  </si>
  <si>
    <t>Qatar</t>
  </si>
  <si>
    <t>Réunion</t>
  </si>
  <si>
    <t>Romania</t>
  </si>
  <si>
    <t>Serbia</t>
  </si>
  <si>
    <t>Saudi Arabia</t>
  </si>
  <si>
    <t>Solomon Islands</t>
  </si>
  <si>
    <t>Seychelles</t>
  </si>
  <si>
    <t>Sudan</t>
  </si>
  <si>
    <t>Sweden</t>
  </si>
  <si>
    <t>Singapore</t>
  </si>
  <si>
    <t>Saint Helena, Ascension and Tristan da Cunha</t>
  </si>
  <si>
    <t>Slovenia</t>
  </si>
  <si>
    <t>Svalbard and Jan Mayen</t>
  </si>
  <si>
    <t>Slovakia</t>
  </si>
  <si>
    <t>Sierra Leone</t>
  </si>
  <si>
    <t>San Marino</t>
  </si>
  <si>
    <t>Senegal</t>
  </si>
  <si>
    <t>Somalia</t>
  </si>
  <si>
    <t>Suriname</t>
  </si>
  <si>
    <t>South Sudan</t>
  </si>
  <si>
    <t>Sao Tome and Principe</t>
  </si>
  <si>
    <t>El Salvador</t>
  </si>
  <si>
    <t>Eswatini</t>
  </si>
  <si>
    <t>Chad</t>
  </si>
  <si>
    <t>French Southern Territories</t>
  </si>
  <si>
    <t>Togo</t>
  </si>
  <si>
    <t>Thailand</t>
  </si>
  <si>
    <t>Tajikistan</t>
  </si>
  <si>
    <t>Tokelau</t>
  </si>
  <si>
    <t>Timor-Leste</t>
  </si>
  <si>
    <t>Turkmenistan</t>
  </si>
  <si>
    <t>Tunisia</t>
  </si>
  <si>
    <t>Tonga</t>
  </si>
  <si>
    <t>Türkiye</t>
  </si>
  <si>
    <t>Trinidad and Tobago</t>
  </si>
  <si>
    <t>Tuvalu</t>
  </si>
  <si>
    <t>Ukraine</t>
  </si>
  <si>
    <t>Uganda</t>
  </si>
  <si>
    <t>United States Minor Outlying Islands</t>
  </si>
  <si>
    <t>United States of America</t>
  </si>
  <si>
    <t>Uruguay</t>
  </si>
  <si>
    <t>Uzbekistan</t>
  </si>
  <si>
    <t>Saint Vincent and the Grenadines</t>
  </si>
  <si>
    <t>Vanuatu</t>
  </si>
  <si>
    <t>Wallis and Futuna</t>
  </si>
  <si>
    <t>Samoa</t>
  </si>
  <si>
    <t>Yemen</t>
  </si>
  <si>
    <t>Mayotte</t>
  </si>
  <si>
    <t>South Africa</t>
  </si>
  <si>
    <t>Zambia</t>
  </si>
  <si>
    <t>Zimbabwe</t>
  </si>
  <si>
    <t>Bolivia</t>
  </si>
  <si>
    <t>Democratic Republic of the Congo</t>
  </si>
  <si>
    <t>Falkland Islands</t>
  </si>
  <si>
    <t>Micronesia</t>
  </si>
  <si>
    <t>Iran</t>
  </si>
  <si>
    <t>North Korea</t>
  </si>
  <si>
    <t>Saint Martin</t>
  </si>
  <si>
    <t>Sint Maarten</t>
  </si>
  <si>
    <t>Venezuela</t>
  </si>
  <si>
    <t>British Virgin Islands</t>
  </si>
  <si>
    <t>US Virgin Islands</t>
  </si>
  <si>
    <t>South Korea</t>
  </si>
  <si>
    <t>Moldova</t>
  </si>
  <si>
    <t>Netherlands</t>
  </si>
  <si>
    <t>Palestine</t>
  </si>
  <si>
    <t>Taiwan</t>
  </si>
  <si>
    <t>Tanzania</t>
  </si>
  <si>
    <t>Fatima</t>
  </si>
  <si>
    <t>Shrine of Fatima</t>
  </si>
  <si>
    <t>Full Title</t>
  </si>
  <si>
    <t>Short Title</t>
  </si>
  <si>
    <t>S Maria Maggiore</t>
  </si>
  <si>
    <t>Italy-Rome</t>
  </si>
  <si>
    <t>France-Paris</t>
  </si>
  <si>
    <t>Cote d'Ivoire</t>
  </si>
  <si>
    <t>Saint Barthelemy</t>
  </si>
  <si>
    <t>Aland Islands</t>
  </si>
  <si>
    <t>United Kingdom</t>
  </si>
  <si>
    <t>Laos</t>
  </si>
  <si>
    <t>Russia</t>
  </si>
  <si>
    <t>Syria</t>
  </si>
  <si>
    <t>Turks and Caicos</t>
  </si>
  <si>
    <t>Vatican</t>
  </si>
  <si>
    <t>Vietnam</t>
  </si>
  <si>
    <t>ad</t>
  </si>
  <si>
    <t>ae</t>
  </si>
  <si>
    <t>af</t>
  </si>
  <si>
    <t>ag</t>
  </si>
  <si>
    <t>ai</t>
  </si>
  <si>
    <t>al</t>
  </si>
  <si>
    <t>am</t>
  </si>
  <si>
    <t>ao</t>
  </si>
  <si>
    <t>aq</t>
  </si>
  <si>
    <t>ar</t>
  </si>
  <si>
    <t>as</t>
  </si>
  <si>
    <t>at</t>
  </si>
  <si>
    <t>au</t>
  </si>
  <si>
    <t>aw</t>
  </si>
  <si>
    <t>ax</t>
  </si>
  <si>
    <t>az</t>
  </si>
  <si>
    <t>ba</t>
  </si>
  <si>
    <t>bb</t>
  </si>
  <si>
    <t>bd</t>
  </si>
  <si>
    <t>be</t>
  </si>
  <si>
    <t>bf</t>
  </si>
  <si>
    <t>bg</t>
  </si>
  <si>
    <t>bh</t>
  </si>
  <si>
    <t>bi</t>
  </si>
  <si>
    <t>bj</t>
  </si>
  <si>
    <t>bl</t>
  </si>
  <si>
    <t>bm</t>
  </si>
  <si>
    <t>bn</t>
  </si>
  <si>
    <t>bo</t>
  </si>
  <si>
    <t>bq</t>
  </si>
  <si>
    <t>br</t>
  </si>
  <si>
    <t>bs</t>
  </si>
  <si>
    <t>bt</t>
  </si>
  <si>
    <t>bv</t>
  </si>
  <si>
    <t>bw</t>
  </si>
  <si>
    <t>by</t>
  </si>
  <si>
    <t>bz</t>
  </si>
  <si>
    <t>ca</t>
  </si>
  <si>
    <t>cc</t>
  </si>
  <si>
    <t>cd</t>
  </si>
  <si>
    <t>cf</t>
  </si>
  <si>
    <t>cg</t>
  </si>
  <si>
    <t>ch</t>
  </si>
  <si>
    <t>ci</t>
  </si>
  <si>
    <t>ck</t>
  </si>
  <si>
    <t>cl</t>
  </si>
  <si>
    <t>cm</t>
  </si>
  <si>
    <t>cn</t>
  </si>
  <si>
    <t>co</t>
  </si>
  <si>
    <t>cr</t>
  </si>
  <si>
    <t>cu</t>
  </si>
  <si>
    <t>cv</t>
  </si>
  <si>
    <t>cw</t>
  </si>
  <si>
    <t>cx</t>
  </si>
  <si>
    <t>cy</t>
  </si>
  <si>
    <t>cz</t>
  </si>
  <si>
    <t>de</t>
  </si>
  <si>
    <t>dj</t>
  </si>
  <si>
    <t>dk</t>
  </si>
  <si>
    <t>dm</t>
  </si>
  <si>
    <t>do</t>
  </si>
  <si>
    <t>dz</t>
  </si>
  <si>
    <t>ec</t>
  </si>
  <si>
    <t>ee</t>
  </si>
  <si>
    <t>eg</t>
  </si>
  <si>
    <t>eh</t>
  </si>
  <si>
    <t>er</t>
  </si>
  <si>
    <t>es</t>
  </si>
  <si>
    <t>et</t>
  </si>
  <si>
    <t>fi</t>
  </si>
  <si>
    <t>fj</t>
  </si>
  <si>
    <t>fk</t>
  </si>
  <si>
    <t>fm</t>
  </si>
  <si>
    <t>fo</t>
  </si>
  <si>
    <t>fr</t>
  </si>
  <si>
    <t>ga</t>
  </si>
  <si>
    <t>gb</t>
  </si>
  <si>
    <t>gd</t>
  </si>
  <si>
    <t>ge</t>
  </si>
  <si>
    <t>gf</t>
  </si>
  <si>
    <t>gg</t>
  </si>
  <si>
    <t>gh</t>
  </si>
  <si>
    <t>gi</t>
  </si>
  <si>
    <t>gl</t>
  </si>
  <si>
    <t>gm</t>
  </si>
  <si>
    <t>gn</t>
  </si>
  <si>
    <t>gp</t>
  </si>
  <si>
    <t>gq</t>
  </si>
  <si>
    <t>gr</t>
  </si>
  <si>
    <t>gs</t>
  </si>
  <si>
    <t>gt</t>
  </si>
  <si>
    <t>gu</t>
  </si>
  <si>
    <t>gw</t>
  </si>
  <si>
    <t>gy</t>
  </si>
  <si>
    <t>hk</t>
  </si>
  <si>
    <t>hm</t>
  </si>
  <si>
    <t>hn</t>
  </si>
  <si>
    <t>hr</t>
  </si>
  <si>
    <t>ht</t>
  </si>
  <si>
    <t>hu</t>
  </si>
  <si>
    <t>ie</t>
  </si>
  <si>
    <t>il</t>
  </si>
  <si>
    <t>im</t>
  </si>
  <si>
    <t>in</t>
  </si>
  <si>
    <t>io</t>
  </si>
  <si>
    <t>iq</t>
  </si>
  <si>
    <t>ir</t>
  </si>
  <si>
    <t>is</t>
  </si>
  <si>
    <t>it</t>
  </si>
  <si>
    <t>je</t>
  </si>
  <si>
    <t>jm</t>
  </si>
  <si>
    <t>jo</t>
  </si>
  <si>
    <t>jp</t>
  </si>
  <si>
    <t>ke</t>
  </si>
  <si>
    <t>kg</t>
  </si>
  <si>
    <t>kh</t>
  </si>
  <si>
    <t>ki</t>
  </si>
  <si>
    <t>km</t>
  </si>
  <si>
    <t>kn</t>
  </si>
  <si>
    <t>kp</t>
  </si>
  <si>
    <t>kr</t>
  </si>
  <si>
    <t>kw</t>
  </si>
  <si>
    <t>ky</t>
  </si>
  <si>
    <t>kz</t>
  </si>
  <si>
    <t>la</t>
  </si>
  <si>
    <t>lb</t>
  </si>
  <si>
    <t>lc</t>
  </si>
  <si>
    <t>li</t>
  </si>
  <si>
    <t>lk</t>
  </si>
  <si>
    <t>lr</t>
  </si>
  <si>
    <t>ls</t>
  </si>
  <si>
    <t>lt</t>
  </si>
  <si>
    <t>lu</t>
  </si>
  <si>
    <t>lv</t>
  </si>
  <si>
    <t>ly</t>
  </si>
  <si>
    <t>ma</t>
  </si>
  <si>
    <t>mc</t>
  </si>
  <si>
    <t>md</t>
  </si>
  <si>
    <t>me</t>
  </si>
  <si>
    <t>mf</t>
  </si>
  <si>
    <t>mg</t>
  </si>
  <si>
    <t>mh</t>
  </si>
  <si>
    <t>mk</t>
  </si>
  <si>
    <t>ml</t>
  </si>
  <si>
    <t>mm</t>
  </si>
  <si>
    <t>mn</t>
  </si>
  <si>
    <t>mo</t>
  </si>
  <si>
    <t>mp</t>
  </si>
  <si>
    <t>mq</t>
  </si>
  <si>
    <t>mr</t>
  </si>
  <si>
    <t>ms</t>
  </si>
  <si>
    <t>mt</t>
  </si>
  <si>
    <t>mu</t>
  </si>
  <si>
    <t>mv</t>
  </si>
  <si>
    <t>mw</t>
  </si>
  <si>
    <t>mx</t>
  </si>
  <si>
    <t>my</t>
  </si>
  <si>
    <t>mz</t>
  </si>
  <si>
    <t>na</t>
  </si>
  <si>
    <t>nc</t>
  </si>
  <si>
    <t>ne</t>
  </si>
  <si>
    <t>nf</t>
  </si>
  <si>
    <t>ng</t>
  </si>
  <si>
    <t>ni</t>
  </si>
  <si>
    <t>nl</t>
  </si>
  <si>
    <t>no</t>
  </si>
  <si>
    <t>np</t>
  </si>
  <si>
    <t>nr</t>
  </si>
  <si>
    <t>nu</t>
  </si>
  <si>
    <t>nz</t>
  </si>
  <si>
    <t>om</t>
  </si>
  <si>
    <t>pa</t>
  </si>
  <si>
    <t>pe</t>
  </si>
  <si>
    <t>pf</t>
  </si>
  <si>
    <t>pg</t>
  </si>
  <si>
    <t>ph</t>
  </si>
  <si>
    <t>pk</t>
  </si>
  <si>
    <t>pl</t>
  </si>
  <si>
    <t>pm</t>
  </si>
  <si>
    <t>pn</t>
  </si>
  <si>
    <t>pr</t>
  </si>
  <si>
    <t>ps</t>
  </si>
  <si>
    <t>pt</t>
  </si>
  <si>
    <t>pw</t>
  </si>
  <si>
    <t>py</t>
  </si>
  <si>
    <t>qa</t>
  </si>
  <si>
    <t>re</t>
  </si>
  <si>
    <t>ro</t>
  </si>
  <si>
    <t>rs</t>
  </si>
  <si>
    <t>ru</t>
  </si>
  <si>
    <t>rw</t>
  </si>
  <si>
    <t>sa</t>
  </si>
  <si>
    <t>sb</t>
  </si>
  <si>
    <t>sc</t>
  </si>
  <si>
    <t>sd</t>
  </si>
  <si>
    <t>se</t>
  </si>
  <si>
    <t>sg</t>
  </si>
  <si>
    <t>sh</t>
  </si>
  <si>
    <t>si</t>
  </si>
  <si>
    <t>sj</t>
  </si>
  <si>
    <t>sk</t>
  </si>
  <si>
    <t>sl</t>
  </si>
  <si>
    <t>sm</t>
  </si>
  <si>
    <t>sn</t>
  </si>
  <si>
    <t>so</t>
  </si>
  <si>
    <t>sr</t>
  </si>
  <si>
    <t>ss</t>
  </si>
  <si>
    <t>st</t>
  </si>
  <si>
    <t>sv</t>
  </si>
  <si>
    <t>sx</t>
  </si>
  <si>
    <t>sy</t>
  </si>
  <si>
    <t>sz</t>
  </si>
  <si>
    <t>tc</t>
  </si>
  <si>
    <t>td</t>
  </si>
  <si>
    <t>tf</t>
  </si>
  <si>
    <t>tg</t>
  </si>
  <si>
    <t>th</t>
  </si>
  <si>
    <t>tj</t>
  </si>
  <si>
    <t>tk</t>
  </si>
  <si>
    <t>tl</t>
  </si>
  <si>
    <t>tm</t>
  </si>
  <si>
    <t>tn</t>
  </si>
  <si>
    <t>to</t>
  </si>
  <si>
    <t>tr</t>
  </si>
  <si>
    <t>tt</t>
  </si>
  <si>
    <t>tv</t>
  </si>
  <si>
    <t>tw</t>
  </si>
  <si>
    <t>tz</t>
  </si>
  <si>
    <t>ua</t>
  </si>
  <si>
    <t>ug</t>
  </si>
  <si>
    <t>um</t>
  </si>
  <si>
    <t>us</t>
  </si>
  <si>
    <t>uy</t>
  </si>
  <si>
    <t>uz</t>
  </si>
  <si>
    <t>va</t>
  </si>
  <si>
    <t>vc</t>
  </si>
  <si>
    <t>ve</t>
  </si>
  <si>
    <t>vg</t>
  </si>
  <si>
    <t>vi</t>
  </si>
  <si>
    <t>vn</t>
  </si>
  <si>
    <t>vu</t>
  </si>
  <si>
    <t>wf</t>
  </si>
  <si>
    <t>ws</t>
  </si>
  <si>
    <t>ye</t>
  </si>
  <si>
    <t>yt</t>
  </si>
  <si>
    <t>za</t>
  </si>
  <si>
    <t>zm</t>
  </si>
  <si>
    <t>zw</t>
  </si>
  <si>
    <t>Filename</t>
  </si>
  <si>
    <t>Sanctuary of Pontmain</t>
  </si>
  <si>
    <t>Banneux</t>
  </si>
  <si>
    <t>Beauraing</t>
  </si>
  <si>
    <t>Knock</t>
  </si>
  <si>
    <t>Gietrzwald</t>
  </si>
  <si>
    <t>Filipov</t>
  </si>
  <si>
    <t>Pontmain</t>
  </si>
  <si>
    <t>Lourdes</t>
  </si>
  <si>
    <t>papal-basilicas</t>
  </si>
  <si>
    <t>Page Title</t>
  </si>
  <si>
    <t>In 1879, 15 individuals witnessed the figures of Mary, Joseph, John the Evangelist, and a lamb and cross atop an altar, all enveloped in a bright light outside the local church.  The imagery is unique to Knock and holds eschatological significance for Catholics.</t>
  </si>
  <si>
    <t>OS</t>
  </si>
  <si>
    <t>Rome</t>
  </si>
  <si>
    <t>Guadalupe</t>
  </si>
  <si>
    <t>Šiluva</t>
  </si>
  <si>
    <t>Basilica of the Nativity of the Blessed Virgin Mary</t>
  </si>
  <si>
    <t>https://siluva.lt/</t>
  </si>
  <si>
    <t>Laus</t>
  </si>
  <si>
    <t>Sanctuary of Our Lady of Laus</t>
  </si>
  <si>
    <t>Sanctuary of Our Lady of Lourdes</t>
  </si>
  <si>
    <t>1664-1718</t>
  </si>
  <si>
    <t>1968-1970</t>
  </si>
  <si>
    <t>Virgin Mary Church in Zeitoun</t>
  </si>
  <si>
    <t>Virgin Mary Church in Zeitoun (Our Lady of Zeitoun, Our Lady of Light)</t>
  </si>
  <si>
    <t>In 1968 Our Lady began appearing over St. Mary's Coptic Orthodox church in Zeitoun, Egypt.  The church lies on the Matariya Road through which the Holy Family is traditionally known to have passed during their stay in Egypt.
For three years Our Lady appeared on many occasions, taking many forms and sometimes accompanied by doves and other phenomena. It is estimated that 40 million people across a variety of faiths witnessed these events.
The apparitions have been verified by both the Coptic Orthodox Church and the Roman Catholic Church through the Papal Residence in Cairo.</t>
  </si>
  <si>
    <t>https://www.miraclehunter.com/marian_apparitions/approved_apparitions/zeitun/index.html</t>
  </si>
  <si>
    <t>https://www.marypages.com/zeitoen-ca%C3%AFro-(egypt)-en.html</t>
  </si>
  <si>
    <t>https://www.stmaryztn.org/saintmary/en/</t>
  </si>
  <si>
    <t>coptic</t>
  </si>
  <si>
    <t>Licheń</t>
  </si>
  <si>
    <t>1813-1850</t>
  </si>
  <si>
    <t>Basilica of Our Lady of Licheń (Holy Mother of Sorrows, Queen of Poland)</t>
  </si>
  <si>
    <t>Basilica of Our Lady of Lichen</t>
  </si>
  <si>
    <t>Paris</t>
  </si>
  <si>
    <t>La Salette</t>
  </si>
  <si>
    <t>Sanctuary of Our Lady of La Salette</t>
  </si>
  <si>
    <t>Sant'Andrea delle Fratte (Shrine of Our Lady of the Miracle, Our Lady of Zion)</t>
  </si>
  <si>
    <t>Sant Andrea delle Fratte</t>
  </si>
  <si>
    <t>Zeitoun</t>
  </si>
  <si>
    <t>Basilica of the Nativity of the Blessed Virgin Mary (Our Lady of Siluva)</t>
  </si>
  <si>
    <t>Sanctuary of Our Lady of the Rosary of Fatima</t>
  </si>
  <si>
    <t>Cathedral-Basilica of Our Lady of the Pillar</t>
  </si>
  <si>
    <t>Cathedral Basilica of Our Lady of the Pillar</t>
  </si>
  <si>
    <t>https://catedraldezaragoza.es/basilica/</t>
  </si>
  <si>
    <t>https://www.marypages.com/our-lady-of-the-pillar.html</t>
  </si>
  <si>
    <t>james-greater</t>
  </si>
  <si>
    <t>Zaragoza</t>
  </si>
  <si>
    <t>Our Lady of Vladimir</t>
  </si>
  <si>
    <t>Our Lady of Altötting</t>
  </si>
  <si>
    <t>Our Lady of Noorieh Monastery</t>
  </si>
  <si>
    <t>Sanctuary of Our Lady of Bechouat</t>
  </si>
  <si>
    <t>https://www.ourladyofaokpe.com/</t>
  </si>
  <si>
    <t>Shrine of Our Lady of Aokpe (Mediatrix of all Graces)</t>
  </si>
  <si>
    <t>Shrine of Our Lady of Aokpe</t>
  </si>
  <si>
    <t>http://www.miraclehunter.com/marian_apparitions/approved_apparitions/aokpe/index.html</t>
  </si>
  <si>
    <t>The Virgin Mary began appearing in October 1992 to a twelve-year-old girl Christiana Agbo in Aokpe located in the small village in a remote area of Nigeria.  Over the years, visible miracles such as solar phenomena and a Eucharistic miracle took place at the site.</t>
  </si>
  <si>
    <t>1992-2004</t>
  </si>
  <si>
    <t>Aokpe</t>
  </si>
  <si>
    <t>Bechouat</t>
  </si>
  <si>
    <t>In Progress</t>
  </si>
  <si>
    <t>Leżajsk</t>
  </si>
  <si>
    <t>Basilica of the Annunciation of the Blessed Virgin Mary</t>
  </si>
  <si>
    <t>In 1578, a pious woodcutter named Tomasz Michałek saw a bright light in the forest.  The Virgin asked him to alert the authorities to build a church.  Thomas, scared, did nothing.  The Virgin appeared again, asking him to take action and ending his silence.  Thomas approached the authorities but was not believed.  Under a subsequent priest, a small chapel was built, then a larger shrine in 1606.  Today the shrine is part of a larger Bernardine monastery, and contains the image of Our Lady of Consolation.</t>
  </si>
  <si>
    <t>Czestochowa</t>
  </si>
  <si>
    <t>Unknown</t>
  </si>
  <si>
    <t>Jasna Gora Monastery (Our Lady of Czestochowa)</t>
  </si>
  <si>
    <t>Jasna Gora Monastery</t>
  </si>
  <si>
    <t>https://jasnagora.pl/</t>
  </si>
  <si>
    <t>https://www.miraclehunter.com/marian_apparitions/approved_apparitions/czestochowa/</t>
  </si>
  <si>
    <t>https://www.marypages.com/czestochowa-(poland)-en.html</t>
  </si>
  <si>
    <t>The Monastery of Jasna Gora in Częstochowa, Poland, is the third-largest Catholic pilgrimage site in the world.  Home to the beloved miraculous icon of Our Lady of Częstochowa, the monastery is also the national shrine of Poland and a pillar of Polish Catholicism.</t>
  </si>
  <si>
    <t>5th and 6th Centuries</t>
  </si>
  <si>
    <t>9th Century</t>
  </si>
  <si>
    <t>11th Century</t>
  </si>
  <si>
    <t>1000</t>
  </si>
  <si>
    <t>1001</t>
  </si>
  <si>
    <t>1105</t>
  </si>
  <si>
    <t>1182</t>
  </si>
  <si>
    <t>13th Century</t>
  </si>
  <si>
    <t>1216</t>
  </si>
  <si>
    <t>1220</t>
  </si>
  <si>
    <t>1222</t>
  </si>
  <si>
    <t>1233</t>
  </si>
  <si>
    <t>1251</t>
  </si>
  <si>
    <t>1256</t>
  </si>
  <si>
    <t>1310</t>
  </si>
  <si>
    <t>1336</t>
  </si>
  <si>
    <t>1350</t>
  </si>
  <si>
    <t>1420</t>
  </si>
  <si>
    <t>1426-1428</t>
  </si>
  <si>
    <t>1432</t>
  </si>
  <si>
    <t>1440</t>
  </si>
  <si>
    <t>1443</t>
  </si>
  <si>
    <t>1453</t>
  </si>
  <si>
    <t>1462</t>
  </si>
  <si>
    <t>1467</t>
  </si>
  <si>
    <t>1470</t>
  </si>
  <si>
    <t>1480</t>
  </si>
  <si>
    <t>1481</t>
  </si>
  <si>
    <t>1483</t>
  </si>
  <si>
    <t>1484</t>
  </si>
  <si>
    <t>1490</t>
  </si>
  <si>
    <t>1491</t>
  </si>
  <si>
    <t>1492</t>
  </si>
  <si>
    <t>1494</t>
  </si>
  <si>
    <t>1496</t>
  </si>
  <si>
    <t>16th Century</t>
  </si>
  <si>
    <t>1504</t>
  </si>
  <si>
    <t>1510</t>
  </si>
  <si>
    <t>1513</t>
  </si>
  <si>
    <t>1515</t>
  </si>
  <si>
    <t>1519</t>
  </si>
  <si>
    <t>1519-1637</t>
  </si>
  <si>
    <t>1521</t>
  </si>
  <si>
    <t>1525</t>
  </si>
  <si>
    <t>1528</t>
  </si>
  <si>
    <t>1536</t>
  </si>
  <si>
    <t>1539</t>
  </si>
  <si>
    <t>1541</t>
  </si>
  <si>
    <t>1543</t>
  </si>
  <si>
    <t>1553</t>
  </si>
  <si>
    <t>1555</t>
  </si>
  <si>
    <t>1556</t>
  </si>
  <si>
    <t>1557</t>
  </si>
  <si>
    <t>1558</t>
  </si>
  <si>
    <t>1562</t>
  </si>
  <si>
    <t>1575</t>
  </si>
  <si>
    <t>1576</t>
  </si>
  <si>
    <t>1583</t>
  </si>
  <si>
    <t>1586</t>
  </si>
  <si>
    <t>1594-1634</t>
  </si>
  <si>
    <t>1597</t>
  </si>
  <si>
    <t>about the 17th Century</t>
  </si>
  <si>
    <t>17th Century</t>
  </si>
  <si>
    <t>1603</t>
  </si>
  <si>
    <t>1607</t>
  </si>
  <si>
    <t>1610</t>
  </si>
  <si>
    <t>1612</t>
  </si>
  <si>
    <t>1616</t>
  </si>
  <si>
    <t>1633</t>
  </si>
  <si>
    <t>1635</t>
  </si>
  <si>
    <t>1641</t>
  </si>
  <si>
    <t>1649</t>
  </si>
  <si>
    <t>1651</t>
  </si>
  <si>
    <t>1652</t>
  </si>
  <si>
    <t>1655</t>
  </si>
  <si>
    <t>1671</t>
  </si>
  <si>
    <t>1696-1697</t>
  </si>
  <si>
    <t>Late 18th Century</t>
  </si>
  <si>
    <t>circa 1700</t>
  </si>
  <si>
    <t>1716</t>
  </si>
  <si>
    <t>1717</t>
  </si>
  <si>
    <t>1729-1730</t>
  </si>
  <si>
    <t>1740</t>
  </si>
  <si>
    <t>1750</t>
  </si>
  <si>
    <t>1754</t>
  </si>
  <si>
    <t>1797</t>
  </si>
  <si>
    <t>1798</t>
  </si>
  <si>
    <t>1803</t>
  </si>
  <si>
    <t>1853</t>
  </si>
  <si>
    <t>1855-1856</t>
  </si>
  <si>
    <t>1859</t>
  </si>
  <si>
    <t>1861</t>
  </si>
  <si>
    <t>1873</t>
  </si>
  <si>
    <t>1875</t>
  </si>
  <si>
    <t>1876</t>
  </si>
  <si>
    <t>1888</t>
  </si>
  <si>
    <t>1894</t>
  </si>
  <si>
    <t>20th and 21st Centuries</t>
  </si>
  <si>
    <t>1900 and 1995</t>
  </si>
  <si>
    <t>1918</t>
  </si>
  <si>
    <t>1924</t>
  </si>
  <si>
    <t>1925-1926-1929</t>
  </si>
  <si>
    <t>1929</t>
  </si>
  <si>
    <t>1936</t>
  </si>
  <si>
    <t>1937-1940</t>
  </si>
  <si>
    <t>1938-1945</t>
  </si>
  <si>
    <t>1939</t>
  </si>
  <si>
    <t>1940-1946</t>
  </si>
  <si>
    <t>1943</t>
  </si>
  <si>
    <t>1945</t>
  </si>
  <si>
    <t>1947</t>
  </si>
  <si>
    <t>1949-1952</t>
  </si>
  <si>
    <t>1951</t>
  </si>
  <si>
    <t>1953</t>
  </si>
  <si>
    <t>1955-1971</t>
  </si>
  <si>
    <t>1956-1959</t>
  </si>
  <si>
    <t>1973</t>
  </si>
  <si>
    <t>1980</t>
  </si>
  <si>
    <t>1984</t>
  </si>
  <si>
    <t>Le Puy En Velay</t>
  </si>
  <si>
    <t>Tindari</t>
  </si>
  <si>
    <t>Walsingham</t>
  </si>
  <si>
    <t>Montefortino</t>
  </si>
  <si>
    <t>Foggia</t>
  </si>
  <si>
    <t>Arras</t>
  </si>
  <si>
    <t>Nazaré</t>
  </si>
  <si>
    <t>Swieta Lipka</t>
  </si>
  <si>
    <t>Assisi</t>
  </si>
  <si>
    <t>Arcos de Valdevez</t>
  </si>
  <si>
    <t>Cortes</t>
  </si>
  <si>
    <t>Florence</t>
  </si>
  <si>
    <t>Aylesford</t>
  </si>
  <si>
    <t>The Holy House of Nazareth at Loreto </t>
  </si>
  <si>
    <t>Bra</t>
  </si>
  <si>
    <t>Roverano</t>
  </si>
  <si>
    <t>Valverdo Di Rezzato</t>
  </si>
  <si>
    <t>Castel Godego</t>
  </si>
  <si>
    <t>Cordoba</t>
  </si>
  <si>
    <t>Monte Berico</t>
  </si>
  <si>
    <t>Caravaggio</t>
  </si>
  <si>
    <t>Desenzano Di Albino</t>
  </si>
  <si>
    <t>Fuerteventura</t>
  </si>
  <si>
    <t>Ghisalba</t>
  </si>
  <si>
    <t>Garlasco</t>
  </si>
  <si>
    <t>Genazzano</t>
  </si>
  <si>
    <t>Badia Di Cava</t>
  </si>
  <si>
    <t>Boccadirio</t>
  </si>
  <si>
    <t>Teror</t>
  </si>
  <si>
    <t>Imola</t>
  </si>
  <si>
    <t>Agres</t>
  </si>
  <si>
    <t>Pontassieve</t>
  </si>
  <si>
    <t>Genoa</t>
  </si>
  <si>
    <t>Trois-Epis</t>
  </si>
  <si>
    <t>Gallivaggio</t>
  </si>
  <si>
    <t>Re</t>
  </si>
  <si>
    <t>Bettola</t>
  </si>
  <si>
    <t>Molare</t>
  </si>
  <si>
    <t>Vailankanni</t>
  </si>
  <si>
    <t>Andacollo</t>
  </si>
  <si>
    <t>Luggau</t>
  </si>
  <si>
    <t>Tirano</t>
  </si>
  <si>
    <t>Motta Di Livenza</t>
  </si>
  <si>
    <t>Peschiera Sul Garda</t>
  </si>
  <si>
    <t>Bergamo</t>
  </si>
  <si>
    <t>Rzeszów</t>
  </si>
  <si>
    <t>Garaison</t>
  </si>
  <si>
    <t>Adro</t>
  </si>
  <si>
    <t>Cotignac</t>
  </si>
  <si>
    <t>Cori</t>
  </si>
  <si>
    <t>Cussanio</t>
  </si>
  <si>
    <t>Crescentino</t>
  </si>
  <si>
    <t>Ornavasso</t>
  </si>
  <si>
    <t>Savona</t>
  </si>
  <si>
    <t>Sveta Gora</t>
  </si>
  <si>
    <t>Ocotlán</t>
  </si>
  <si>
    <t>Vacciago</t>
  </si>
  <si>
    <t>Pietralba</t>
  </si>
  <si>
    <t>Corbetta</t>
  </si>
  <si>
    <t>Arcola</t>
  </si>
  <si>
    <t>Giulianova</t>
  </si>
  <si>
    <t>Gerosa</t>
  </si>
  <si>
    <t>Moncrivello</t>
  </si>
  <si>
    <t>Gozo</t>
  </si>
  <si>
    <t>Casalbordino</t>
  </si>
  <si>
    <t>Lumarzo</t>
  </si>
  <si>
    <t>Chiquinquirá</t>
  </si>
  <si>
    <t>Quinche</t>
  </si>
  <si>
    <t>Quito</t>
  </si>
  <si>
    <t>Rapallo</t>
  </si>
  <si>
    <t>Bétharram</t>
  </si>
  <si>
    <t>Luján</t>
  </si>
  <si>
    <t>Caacupé</t>
  </si>
  <si>
    <t>Caysasay</t>
  </si>
  <si>
    <t>Doroszló</t>
  </si>
  <si>
    <t>Ardesio</t>
  </si>
  <si>
    <t>Manaoag</t>
  </si>
  <si>
    <t>San Salvatore Monferrato</t>
  </si>
  <si>
    <t>Marbach</t>
  </si>
  <si>
    <t>Cartago</t>
  </si>
  <si>
    <t>Kevelaer</t>
  </si>
  <si>
    <t>Plantées</t>
  </si>
  <si>
    <t>Guanare</t>
  </si>
  <si>
    <t>La Prenessaye</t>
  </si>
  <si>
    <t>Pieve Di Tagliamento</t>
  </si>
  <si>
    <t>San Bartolomeo Al Mare</t>
  </si>
  <si>
    <t>Máriapócs and Gyõr</t>
  </si>
  <si>
    <t>Cotoca</t>
  </si>
  <si>
    <t>Quillacollo</t>
  </si>
  <si>
    <t>Pellestrina</t>
  </si>
  <si>
    <t>Vale Do Paraíba</t>
  </si>
  <si>
    <t>Montagnaga Di Pine’</t>
  </si>
  <si>
    <t>Chaguaya</t>
  </si>
  <si>
    <t>Las Lajas</t>
  </si>
  <si>
    <t>Absam</t>
  </si>
  <si>
    <t>La Vang</t>
  </si>
  <si>
    <t>Ornans</t>
  </si>
  <si>
    <t>Cerreto Di Sorano</t>
  </si>
  <si>
    <t>Porzus Degli Slavi</t>
  </si>
  <si>
    <t>Champion</t>
  </si>
  <si>
    <t>Montefalco</t>
  </si>
  <si>
    <t>Saint Bauzille de la Sylve</t>
  </si>
  <si>
    <t>Pompei</t>
  </si>
  <si>
    <t>Pellovoisin</t>
  </si>
  <si>
    <t>Castelpetroso</t>
  </si>
  <si>
    <t>Szczyrk</t>
  </si>
  <si>
    <t>Betania</t>
  </si>
  <si>
    <t>Dong Lu</t>
  </si>
  <si>
    <t>Turin</t>
  </si>
  <si>
    <t>Cernusco Sul Naviglio</t>
  </si>
  <si>
    <t>Pontevedra and Tuy</t>
  </si>
  <si>
    <t>Campiñas</t>
  </si>
  <si>
    <t>Pesqueira</t>
  </si>
  <si>
    <t>Heede</t>
  </si>
  <si>
    <t>Milan</t>
  </si>
  <si>
    <t>Kallikulam</t>
  </si>
  <si>
    <t>Pfaffenhofen Marienfried</t>
  </si>
  <si>
    <t>Siekierki</t>
  </si>
  <si>
    <t>La Codosera</t>
  </si>
  <si>
    <t>Île-Bouchard</t>
  </si>
  <si>
    <t>Heroldsbach</t>
  </si>
  <si>
    <t>Rogorotto</t>
  </si>
  <si>
    <t>Syracuse</t>
  </si>
  <si>
    <t>Ngome</t>
  </si>
  <si>
    <t>Fostoria</t>
  </si>
  <si>
    <t>Akita</t>
  </si>
  <si>
    <t>Cuapa</t>
  </si>
  <si>
    <t>Namyang</t>
  </si>
  <si>
    <t>Rome (Santa Maria in Via)</t>
  </si>
  <si>
    <t>Rome (Santa Maria Maggiore)</t>
  </si>
  <si>
    <t>Rome (Our Lady of Divine Love)</t>
  </si>
  <si>
    <t>1399, 1711</t>
  </si>
  <si>
    <t>1450, 1589</t>
  </si>
  <si>
    <t>Sant'Anastasia</t>
  </si>
  <si>
    <t>El Cobre</t>
  </si>
  <si>
    <t>Swieta Lipka Sanctuary</t>
  </si>
  <si>
    <t>Basilica of Our Lady of Charity of El Cobre</t>
  </si>
  <si>
    <t>Basilica of El Cobre</t>
  </si>
  <si>
    <t>Ngome Marian Shrine</t>
  </si>
  <si>
    <t>reinolda-may</t>
  </si>
  <si>
    <t>Done</t>
  </si>
  <si>
    <t>Status</t>
  </si>
  <si>
    <t>Blocked</t>
  </si>
  <si>
    <t>https://www.swlipka.pl/</t>
  </si>
  <si>
    <t>http://www.miraclehunter.com/marian_apparitions/approved_apparitions/apparitions_1200-1299.html</t>
  </si>
  <si>
    <t>The Real Presence Supplement</t>
  </si>
  <si>
    <t>Miracle Hunter Supplement</t>
  </si>
  <si>
    <t>MaryPages Supplement</t>
  </si>
  <si>
    <t>, [Link](http://www.therealpresence.org/eucharst/misc/BVM/154_FATIMA_140x96_2.pdf), [Link](http://www.therealpresence.org/eucharst/misc/BVM/154_FATIMA_96x96_3.pdf)</t>
  </si>
  <si>
    <t>http://www.miraclehunter.com/marian_apparitions/approved_apparitions/guaitara/index.html</t>
  </si>
  <si>
    <t>National Shrine Basilica of Our Lady of Las Lajas</t>
  </si>
  <si>
    <t>Basilica of Our Lady of Las Lajas</t>
  </si>
  <si>
    <t>https://www.laslajas.org/</t>
  </si>
  <si>
    <t>_Research in progress_</t>
  </si>
  <si>
    <t>http://www.ngome.co.za/</t>
  </si>
  <si>
    <t>https://santuariotindari.it/</t>
  </si>
  <si>
    <t xml:space="preserve"> (Search for "Swieta Lipka")</t>
  </si>
  <si>
    <t>Sanctuary of Tindari</t>
  </si>
  <si>
    <t>Sanctuary of Holy Mary of Tindari</t>
  </si>
  <si>
    <t>Cathedral of Our Lady of Puy</t>
  </si>
  <si>
    <t>https://www.cathedraledupuy.org/</t>
  </si>
  <si>
    <t>5th or 6th Century</t>
  </si>
  <si>
    <t>In 1754, an Indian mother and her deaf-mute daughter Rosa were caught in a strong storm and sought refuge in a canyon between the lajas.  Rosa exclaimed with her first words "the mestiza is calling me," describing the figures of a woman and child.  When returning later, the mother saw an apparition of Our Lady and Child.
Some months later, Rosa died but returned to life when her mother prayed again at the cave. When the townspeople came to see, a miraculous image was burned into the rocks.
In the image, the Madonna presents a rosary to St. Dominic, keeling at her right.  Jesus gives a cord to St. Francis, kneeling to his left.
Testing has shown the image to be of indeterminate origin. Geologists from Germany bored core samples from several spots in the image.  There is no paint, no dye, nor any other pigment on the surface of the rock.  The colors are the colors of the rock itself and run uniformly to a depth of several feet.</t>
  </si>
  <si>
    <t>https://www.marypages.com/our-lady-of-cuapa-also-known-as-our-lady-of-nicaragua-en.html</t>
  </si>
  <si>
    <t>http://www.miraclehunter.com/marian_apparitions/approved_apparitions/cuapa/index.html</t>
  </si>
  <si>
    <t>Sanctuary of Our Lady of Cuapa</t>
  </si>
  <si>
    <t>National Sanctuary of Our Lady of Cuapa</t>
  </si>
  <si>
    <t>https://www.facebook.com/SDVirgendeCuapa</t>
  </si>
  <si>
    <t>https://www.marypages.com/akita-(japan)-en.html</t>
  </si>
  <si>
    <t>https://www.miraclehunter.com/marian_apparitions/approved_apparitions/akita/index.html</t>
  </si>
  <si>
    <t>https://www.miraclehunter.com/marian_apparitions/approved_apparitions/walsingham/index.html</t>
  </si>
  <si>
    <t>In 1061, Our Lady appeared to Richeldis de Faverches, a Catholic English noblewoman in the village of Walsingham in Norfolk, England.
Our Lady of Walsingham presented her with the plans of the Holy House of the Holy Family in Nazareth and asked that she build the house as a shrine and place of pilgrimage.</t>
  </si>
  <si>
    <t>https://www.walsingham.org.uk/</t>
  </si>
  <si>
    <t>Catholic National Shrine and Basilica of Our Lady of Walsingham</t>
  </si>
  <si>
    <t>https://www.marypages.com/our-lady-of-walsingham-en.html</t>
  </si>
  <si>
    <t>Seitai Hoshikai (Our Lady of Akita)</t>
  </si>
  <si>
    <t>Seitai Hoshikai</t>
  </si>
  <si>
    <t>https://www.seitaihoshikai.com/</t>
  </si>
  <si>
    <t>The Shrine of Our Lady of Valverde dates back to 1399, when Our Lady appeared to a farmer plowing his field.  During the summer of 1711, when the province was hit by a severe epidemic, the inhabitants of Rezzato prayed to Our Lady of Valverde.  On October 1, Our Lady appeared a second time to Paul Ogna, 8, and Francesco Pelizzari, 11, who went to collect chestnuts near the Sanctuary pond.  Our Lady promised the end of the epidemic.</t>
  </si>
  <si>
    <t>https://www.miraclehunter.com/marian_apparitions/approved_apparitions/apparitions_1700-1799.html</t>
  </si>
  <si>
    <t xml:space="preserve"> (Search for "Valverde")</t>
  </si>
  <si>
    <t>Valverde Di Rezzato</t>
  </si>
  <si>
    <t>https://www.uprezzatovirle.it/santuario-valverde</t>
  </si>
  <si>
    <t>http://www.tapinu.org/</t>
  </si>
  <si>
    <t>http://www.miraclehunter.com/marian_apparitions/approved_apparitions/tapinu/</t>
  </si>
  <si>
    <t>https://www.marypages.com/ta-pinu-malta-en.html</t>
  </si>
  <si>
    <t>Basilica of the Blessed Virgin of Ta' Pinu</t>
  </si>
  <si>
    <t>http://www.miraclehunter.com/marian_apparitions/approved_apparitions/lavang/index.html</t>
  </si>
  <si>
    <t>In 1798, many Christians took refuge in the Vietnamese jungle and prepared themselves for martyrdom.  At night, they often gathered in small groups to pray the rosary.  Unexpectedly, one night they were visited by an apparition of Our Blessed Mother in a long cape, holding a child in her arms, with two angels at her sides.  She comforted them and told them to boil the leaves from the surrounding trees to use as medicine.  She also told them that from that day on, all those who came to this place to pray, would have their prayers heard and answered.  All those who were present witnessed this miracle.</t>
  </si>
  <si>
    <t>Basilica of Our Lady of La Vang</t>
  </si>
  <si>
    <t>https://www.marypages.com/la-vang-vietnam-en.html</t>
  </si>
  <si>
    <t>Sister Agnes Sasagawa received visions of an angel and messages emanating from a wooden statue of Our Lady which wept 101 times, including one instance which was broadcast on Japanese national television in December 1973.</t>
  </si>
  <si>
    <t>Archdiocesan Shrine of Our Lady of Caysasay</t>
  </si>
  <si>
    <t>Shrine of Our Lady of Caysasay</t>
  </si>
  <si>
    <t>http://www.miraclehunter.com/marian_apparitions/approved_apparitions/caysasay/index.html</t>
  </si>
  <si>
    <t>https://www.facebook.com/CaysasayTaal</t>
  </si>
  <si>
    <t>Minor Basilica of Our Lady of the Rosary of Manaoag</t>
  </si>
  <si>
    <t>Tradition dicates that the Blessed Mother showed herself to a middle-aged farmer and gave him a message on where she wanted her church to be built, appearing to him on a tree amidst a heavenly glow.  Today the center of devotion is the miraculous image of Our Lady of the Holy Rosary (Nuestra Señora de Manaoag, or Apo Baket as known to the local townspeople).</t>
  </si>
  <si>
    <t>Basilica of Our Lady of the Rosary of Manaoag</t>
  </si>
  <si>
    <t>https://www.manaoagminorbasilica.org/</t>
  </si>
  <si>
    <t>https://www.miraclehunter.com/marian_apparitions/approved_apparitions/manaoag/index.html</t>
  </si>
  <si>
    <t>Basilica of the Holy Mother of God</t>
  </si>
  <si>
    <t>https://svetagora.si/</t>
  </si>
  <si>
    <t>In 1539, Our Blessed Mother appeared to a shepherdess on Mt. Skalnica, now called the Holy Mountain (Sveta Gora), and instructed her: "Tell the people, let them build me a house here and ask me for mercy." The shepherdess was imprisoned by the unbelieving secular authorities several times, but was always miraculously rescued.</t>
  </si>
  <si>
    <t>https://www.miraclehunter.com/marian_apparitions/approved_apparitions/apparitions_1500-1599.html</t>
  </si>
  <si>
    <t xml:space="preserve"> (Search "Sveta Gora")</t>
  </si>
  <si>
    <t xml:space="preserve"> (Search "Doroszlo")</t>
  </si>
  <si>
    <t>Diocesan Shrine of Mary, Help of Christians</t>
  </si>
  <si>
    <t>Shrine of Mary Help of Christians</t>
  </si>
  <si>
    <t>In 1792, the Virgin Mary appeared to a blind man, advising him to bathe his eyes in a miraculous fountain.  Upon his healing, a chapel was built and was eventually expanded to a larger church.</t>
  </si>
  <si>
    <t>https://szentkut.eu/</t>
  </si>
  <si>
    <t>https://marija.si/</t>
  </si>
  <si>
    <t>National Shrine of Mary Help of Christians at Brezje</t>
  </si>
  <si>
    <t>"1863 After several miraculous healings, pilgrimage to Brezje becomes widely popular making the church too small to welcome all the pilgrims"</t>
  </si>
  <si>
    <t>Shrine of Our Lady of the Rosary of Namyang</t>
  </si>
  <si>
    <t>https://en.wikipedia.org/wiki/Santa_Maria_della_Pace</t>
  </si>
  <si>
    <t>Santa Maria della Pace</t>
  </si>
  <si>
    <t>According to tradition, Our Lady appeared to a few shepherd children at Kuravilangad as they were tending their flock.  She asked them to build a church at the place from where a miraculous perpetual spring sprouted, which exists even today.  The children reported this matter to the elders and a church was built there.</t>
  </si>
  <si>
    <t>Kuravilangad</t>
  </si>
  <si>
    <t>Major Archiepiscopal Marth Mariam Archdeacon Pilgrim Church at Kuravilangad</t>
  </si>
  <si>
    <t>Marth Mariam Archdeacon Pilgrim Church at Kuravilangad</t>
  </si>
  <si>
    <t>https://www.miraclehunter.com/marian_apparitions/approved_apparitions/apparitions_0040-0999.html</t>
  </si>
  <si>
    <t xml:space="preserve"> (Search "Kuravilangad")</t>
  </si>
  <si>
    <t>syro-malabar</t>
  </si>
  <si>
    <t>Basilica of Our Lady of Lujan</t>
  </si>
  <si>
    <t>https://santuariodelujan.org.ar/</t>
  </si>
  <si>
    <t>http://www.miraclehunter.com/miraculous_images/icons_1600-1699.html</t>
  </si>
  <si>
    <t xml:space="preserve"> (Search "Lujan")</t>
  </si>
  <si>
    <t>Our Lady of Grace and St. Maria Goretti</t>
  </si>
  <si>
    <t>c. 1700</t>
  </si>
  <si>
    <t>c. 17th Century</t>
  </si>
  <si>
    <t>20th-21st Centuries</t>
  </si>
  <si>
    <t>Ludzmierz</t>
  </si>
  <si>
    <t>c. 1400</t>
  </si>
  <si>
    <t>Sanctuary of Our Lady Queen of Podhale</t>
  </si>
  <si>
    <t>This church was originally founded in the 13th century by Cistercians from France.  According to legend, around the year 1400, a merchant lost in the nearby swamps was led to the church by a figure he discerned to be Mary.  Out of gratitude, he commissioned a statue which can be found in the church today.
A regular visitor to the shrine was Karol Wojtyła, the future Pope St. John Paul II.  In August 1963, in his capacity as Archbishop of Kraków, the statue slipped during a ceremony and the future pontiff caught the scepter which had fallen out of the statue's grasp.  This scene was interpreted by many as a prophecy of his upcoming papacy.</t>
  </si>
  <si>
    <t>ps://www.mbludzm.pl/</t>
  </si>
  <si>
    <t>john-paul-ii</t>
  </si>
  <si>
    <t>Additional Tag 1</t>
  </si>
  <si>
    <t>AT1 Name</t>
  </si>
  <si>
    <t>Additional Tag 2</t>
  </si>
  <si>
    <t>AT2 Name</t>
  </si>
  <si>
    <t>Additional Tag 3</t>
  </si>
  <si>
    <t>AT3 Name</t>
  </si>
  <si>
    <t>communities</t>
  </si>
  <si>
    <t>lucia-dos-santos</t>
  </si>
  <si>
    <t>francisco-and-jacinta-marto</t>
  </si>
  <si>
    <t>Tag</t>
  </si>
  <si>
    <t>Name</t>
  </si>
  <si>
    <t>St. James the Greater</t>
  </si>
  <si>
    <t>Camino de Santiago</t>
  </si>
  <si>
    <t>Syro-Malabar Church</t>
  </si>
  <si>
    <t>Papal Basilicas</t>
  </si>
  <si>
    <t>Sicily</t>
  </si>
  <si>
    <t>Pope St. John Paul II</t>
  </si>
  <si>
    <t>St. Juan Diego</t>
  </si>
  <si>
    <t>St. Catherine Laboure</t>
  </si>
  <si>
    <t>Religious Communities</t>
  </si>
  <si>
    <t>Fr. Marie-Alphonse Ratisbonne</t>
  </si>
  <si>
    <t>St. Bernadette of Lourdes</t>
  </si>
  <si>
    <t>Bl. Lucia dos Santos</t>
  </si>
  <si>
    <t>Sts. Francisco and Jacinta Marto</t>
  </si>
  <si>
    <t>Coptic Church</t>
  </si>
  <si>
    <t>uk</t>
  </si>
  <si>
    <t>italy</t>
  </si>
  <si>
    <t>france</t>
  </si>
  <si>
    <t>portugal</t>
  </si>
  <si>
    <t>poland</t>
  </si>
  <si>
    <t>AT Pages</t>
  </si>
  <si>
    <t>AT1 Page</t>
  </si>
  <si>
    <t>AT2 Page</t>
  </si>
  <si>
    <t>AT3 Page</t>
  </si>
  <si>
    <t>All Cols</t>
  </si>
  <si>
    <t>S</t>
  </si>
  <si>
    <t>C</t>
  </si>
  <si>
    <t>Ready</t>
  </si>
  <si>
    <t>Y</t>
  </si>
  <si>
    <t>OD</t>
  </si>
  <si>
    <t>andorra</t>
  </si>
  <si>
    <t>uae</t>
  </si>
  <si>
    <t>afghanistan</t>
  </si>
  <si>
    <t>antigua-barbuda</t>
  </si>
  <si>
    <t>anguilla</t>
  </si>
  <si>
    <t>albania</t>
  </si>
  <si>
    <t>armenia</t>
  </si>
  <si>
    <t>angola</t>
  </si>
  <si>
    <t>antarctica</t>
  </si>
  <si>
    <t>argentina</t>
  </si>
  <si>
    <t>american-samoa</t>
  </si>
  <si>
    <t>austria</t>
  </si>
  <si>
    <t>australia</t>
  </si>
  <si>
    <t>aruba</t>
  </si>
  <si>
    <t>aland-islands</t>
  </si>
  <si>
    <t>azerbaijan</t>
  </si>
  <si>
    <t>bosnia-herzegovina</t>
  </si>
  <si>
    <t>barbados</t>
  </si>
  <si>
    <t>bangladesh</t>
  </si>
  <si>
    <t>belgium</t>
  </si>
  <si>
    <t>burkina-faso</t>
  </si>
  <si>
    <t>bulgaria</t>
  </si>
  <si>
    <t>bahrain</t>
  </si>
  <si>
    <t>burundi</t>
  </si>
  <si>
    <t>benin</t>
  </si>
  <si>
    <t>saint-barthelemy</t>
  </si>
  <si>
    <t>bermuda</t>
  </si>
  <si>
    <t>brunei</t>
  </si>
  <si>
    <t>bolivia</t>
  </si>
  <si>
    <t>bonaire</t>
  </si>
  <si>
    <t>brazil</t>
  </si>
  <si>
    <t>bahamas</t>
  </si>
  <si>
    <t>bhutan</t>
  </si>
  <si>
    <t>bouvet-island</t>
  </si>
  <si>
    <t>botswana</t>
  </si>
  <si>
    <t>belarus</t>
  </si>
  <si>
    <t>belize</t>
  </si>
  <si>
    <t>canada</t>
  </si>
  <si>
    <t>cocos-islands</t>
  </si>
  <si>
    <t>drc</t>
  </si>
  <si>
    <t>central-african-republic</t>
  </si>
  <si>
    <t>congo</t>
  </si>
  <si>
    <t>switzerland</t>
  </si>
  <si>
    <t>ivory-coast</t>
  </si>
  <si>
    <t>cook-islands</t>
  </si>
  <si>
    <t>chile</t>
  </si>
  <si>
    <t>cameroon</t>
  </si>
  <si>
    <t>china</t>
  </si>
  <si>
    <t>colombia</t>
  </si>
  <si>
    <t>costa-rica</t>
  </si>
  <si>
    <t>cuba</t>
  </si>
  <si>
    <t>cabo-verde</t>
  </si>
  <si>
    <t>curaçao</t>
  </si>
  <si>
    <t>christmas-island</t>
  </si>
  <si>
    <t>cyprus</t>
  </si>
  <si>
    <t>czechia</t>
  </si>
  <si>
    <t>germany</t>
  </si>
  <si>
    <t>djibouti</t>
  </si>
  <si>
    <t>denmark</t>
  </si>
  <si>
    <t>dominica</t>
  </si>
  <si>
    <t>dominican-republic</t>
  </si>
  <si>
    <t>algeria</t>
  </si>
  <si>
    <t>ecuador</t>
  </si>
  <si>
    <t>estonia</t>
  </si>
  <si>
    <t>egypt</t>
  </si>
  <si>
    <t>western-sahara</t>
  </si>
  <si>
    <t>eritrea</t>
  </si>
  <si>
    <t>spain</t>
  </si>
  <si>
    <t>ethiopia</t>
  </si>
  <si>
    <t>finland</t>
  </si>
  <si>
    <t>fiji</t>
  </si>
  <si>
    <t>falkland-islands</t>
  </si>
  <si>
    <t>micronesia</t>
  </si>
  <si>
    <t>faroe-islands</t>
  </si>
  <si>
    <t>gabon</t>
  </si>
  <si>
    <t>grenada</t>
  </si>
  <si>
    <t>georgia</t>
  </si>
  <si>
    <t>french-guiana</t>
  </si>
  <si>
    <t>guernsey</t>
  </si>
  <si>
    <t>ghana</t>
  </si>
  <si>
    <t>gibraltar</t>
  </si>
  <si>
    <t>greenland</t>
  </si>
  <si>
    <t>gambia</t>
  </si>
  <si>
    <t>guinea</t>
  </si>
  <si>
    <t>guadeloupe</t>
  </si>
  <si>
    <t>equatorial-guinea</t>
  </si>
  <si>
    <t>greece</t>
  </si>
  <si>
    <t>south-georgia</t>
  </si>
  <si>
    <t>guatemala</t>
  </si>
  <si>
    <t>guam</t>
  </si>
  <si>
    <t>guinea-bissau</t>
  </si>
  <si>
    <t>guyana</t>
  </si>
  <si>
    <t>hong-kong</t>
  </si>
  <si>
    <t>heard-island</t>
  </si>
  <si>
    <t>honduras</t>
  </si>
  <si>
    <t>croatia</t>
  </si>
  <si>
    <t>haiti</t>
  </si>
  <si>
    <t>hungary</t>
  </si>
  <si>
    <t>indonesia</t>
  </si>
  <si>
    <t>ireland</t>
  </si>
  <si>
    <t>israel</t>
  </si>
  <si>
    <t>isle-of-man</t>
  </si>
  <si>
    <t>india</t>
  </si>
  <si>
    <t>biot</t>
  </si>
  <si>
    <t>iraq</t>
  </si>
  <si>
    <t>iran</t>
  </si>
  <si>
    <t>iceland</t>
  </si>
  <si>
    <t>jersey</t>
  </si>
  <si>
    <t>jamaica</t>
  </si>
  <si>
    <t>jordan</t>
  </si>
  <si>
    <t>japan</t>
  </si>
  <si>
    <t>kenya</t>
  </si>
  <si>
    <t>kyrgyzstan</t>
  </si>
  <si>
    <t>cambodia</t>
  </si>
  <si>
    <t>kiribati</t>
  </si>
  <si>
    <t>comoros</t>
  </si>
  <si>
    <t>kitts-nevis</t>
  </si>
  <si>
    <t>north-korea</t>
  </si>
  <si>
    <t>south-korea</t>
  </si>
  <si>
    <t>kuwait</t>
  </si>
  <si>
    <t>cayman-islands</t>
  </si>
  <si>
    <t>kazakhstan</t>
  </si>
  <si>
    <t>laos</t>
  </si>
  <si>
    <t>lebanon</t>
  </si>
  <si>
    <t>saint-lucia</t>
  </si>
  <si>
    <t>liechtenstein</t>
  </si>
  <si>
    <t>sri-lanka</t>
  </si>
  <si>
    <t>liberia</t>
  </si>
  <si>
    <t>lesotho</t>
  </si>
  <si>
    <t>lithuania</t>
  </si>
  <si>
    <t>luxembourg</t>
  </si>
  <si>
    <t>latvia</t>
  </si>
  <si>
    <t>libya</t>
  </si>
  <si>
    <t>morocco</t>
  </si>
  <si>
    <t>monaco</t>
  </si>
  <si>
    <t>moldova</t>
  </si>
  <si>
    <t>montenegro</t>
  </si>
  <si>
    <t>saint-martin</t>
  </si>
  <si>
    <t>madagascar</t>
  </si>
  <si>
    <t>marshall-islands</t>
  </si>
  <si>
    <t>north-macedonia</t>
  </si>
  <si>
    <t>mali</t>
  </si>
  <si>
    <t>myanmar</t>
  </si>
  <si>
    <t>mongolia</t>
  </si>
  <si>
    <t>macao</t>
  </si>
  <si>
    <t>northern-mariana-islands</t>
  </si>
  <si>
    <t>martinique</t>
  </si>
  <si>
    <t>mauritania</t>
  </si>
  <si>
    <t>montserrat</t>
  </si>
  <si>
    <t>malta</t>
  </si>
  <si>
    <t>mauritius</t>
  </si>
  <si>
    <t>maldives</t>
  </si>
  <si>
    <t>malawi</t>
  </si>
  <si>
    <t>mexico</t>
  </si>
  <si>
    <t>malaysia</t>
  </si>
  <si>
    <t>mozambique</t>
  </si>
  <si>
    <t>namibia</t>
  </si>
  <si>
    <t>new-caledonia</t>
  </si>
  <si>
    <t>niger</t>
  </si>
  <si>
    <t>norfolk-island</t>
  </si>
  <si>
    <t>nigeria</t>
  </si>
  <si>
    <t>nicaragua</t>
  </si>
  <si>
    <t>netherlands</t>
  </si>
  <si>
    <t>norway</t>
  </si>
  <si>
    <t>nepal</t>
  </si>
  <si>
    <t>nauru</t>
  </si>
  <si>
    <t>niue</t>
  </si>
  <si>
    <t>new-zealand</t>
  </si>
  <si>
    <t>oman</t>
  </si>
  <si>
    <t>panama</t>
  </si>
  <si>
    <t>peru</t>
  </si>
  <si>
    <t>french-polynesia</t>
  </si>
  <si>
    <t>png</t>
  </si>
  <si>
    <t>philippines</t>
  </si>
  <si>
    <t>pakistan</t>
  </si>
  <si>
    <t>saint-pierre-miquelon</t>
  </si>
  <si>
    <t>pitcairn</t>
  </si>
  <si>
    <t>puerto-rico</t>
  </si>
  <si>
    <t>palestine</t>
  </si>
  <si>
    <t>palau</t>
  </si>
  <si>
    <t>paraguay</t>
  </si>
  <si>
    <t>qatar</t>
  </si>
  <si>
    <t>réunion</t>
  </si>
  <si>
    <t>romania</t>
  </si>
  <si>
    <t>serbia</t>
  </si>
  <si>
    <t>russia</t>
  </si>
  <si>
    <t>rwanda</t>
  </si>
  <si>
    <t>saudi-arabia</t>
  </si>
  <si>
    <t>solomon-islands</t>
  </si>
  <si>
    <t>seychelles</t>
  </si>
  <si>
    <t>sudan</t>
  </si>
  <si>
    <t>sweden</t>
  </si>
  <si>
    <t>singapore</t>
  </si>
  <si>
    <t>saint-helena</t>
  </si>
  <si>
    <t>slovenia</t>
  </si>
  <si>
    <t>svalbard</t>
  </si>
  <si>
    <t>slovakia</t>
  </si>
  <si>
    <t>sierra-leone</t>
  </si>
  <si>
    <t>san-marino</t>
  </si>
  <si>
    <t>senegal</t>
  </si>
  <si>
    <t>somalia</t>
  </si>
  <si>
    <t>suriname</t>
  </si>
  <si>
    <t>south-sudan</t>
  </si>
  <si>
    <t>sao-tome-principe</t>
  </si>
  <si>
    <t>el-salvador</t>
  </si>
  <si>
    <t>sint-maarten</t>
  </si>
  <si>
    <t>syria</t>
  </si>
  <si>
    <t>eswatini</t>
  </si>
  <si>
    <t>turks-caicos</t>
  </si>
  <si>
    <t>chad</t>
  </si>
  <si>
    <t>french-southern-territories</t>
  </si>
  <si>
    <t>togo</t>
  </si>
  <si>
    <t>thailand</t>
  </si>
  <si>
    <t>tajikistan</t>
  </si>
  <si>
    <t>tokelau</t>
  </si>
  <si>
    <t>timor-leste</t>
  </si>
  <si>
    <t>turkmenistan</t>
  </si>
  <si>
    <t>tunisia</t>
  </si>
  <si>
    <t>tonga</t>
  </si>
  <si>
    <t>türkiye</t>
  </si>
  <si>
    <t>trinidad-tobago</t>
  </si>
  <si>
    <t>tuvalu</t>
  </si>
  <si>
    <t>taiwan</t>
  </si>
  <si>
    <t>tanzania</t>
  </si>
  <si>
    <t>ukraine</t>
  </si>
  <si>
    <t>uganda</t>
  </si>
  <si>
    <t>us-minor-outlying-islands</t>
  </si>
  <si>
    <t>usa</t>
  </si>
  <si>
    <t>uruguay</t>
  </si>
  <si>
    <t>uzbekistan</t>
  </si>
  <si>
    <t>saint-vincent-grenadines</t>
  </si>
  <si>
    <t>venezuela</t>
  </si>
  <si>
    <t>bvi</t>
  </si>
  <si>
    <t>usvi</t>
  </si>
  <si>
    <t>vietnam</t>
  </si>
  <si>
    <t>vanuatu</t>
  </si>
  <si>
    <t>wallis-futuna</t>
  </si>
  <si>
    <t>samoa</t>
  </si>
  <si>
    <t>yemen</t>
  </si>
  <si>
    <t>mayotte</t>
  </si>
  <si>
    <t>south-africa</t>
  </si>
  <si>
    <t>zambia</t>
  </si>
  <si>
    <t>zimbabwe</t>
  </si>
  <si>
    <t>Sanctuary of Pellevoisin</t>
  </si>
  <si>
    <t>https://www.pellevoisin.net/</t>
  </si>
  <si>
    <t>https://www.miraclehunter.com/marian_apparitions/approved_apparitions/pellevoisin/index.html</t>
  </si>
  <si>
    <t>https://www.marypages.com/pellevoisin-france-en.html</t>
  </si>
  <si>
    <t>vincent-de-paul</t>
  </si>
  <si>
    <t>St. Vincent de Paul</t>
  </si>
  <si>
    <t>Basilica of Our Lady of Good Health</t>
  </si>
  <si>
    <t>Our Lady of the Good Event</t>
  </si>
  <si>
    <t>https://www.velankannichurch.com/</t>
  </si>
  <si>
    <t>https://en.wikipedia.org/wiki/Our_Lady_of_the_Good_Event</t>
  </si>
  <si>
    <t>https://www.miraclehunter.com/marian_apparitions/approved_apparitions/vailankanni/</t>
  </si>
  <si>
    <t>According to tradition, there have been multiple apparitions of the Blessed Virgin Mary at Velankanni, also known as Our Lady of Good Health.  As tradition would have it, the first of many apparitions occured to a young boy who was delivering buttermilk.</t>
  </si>
  <si>
    <t>https://www.marypages.com/vailankanni-(india)-en.html</t>
  </si>
  <si>
    <t>Basilica of Our Lady of Good Health (Our Lady of Velankanni)</t>
  </si>
  <si>
    <t>In the 13th century, Our Blessed Mother appeared to a condemned innocent person in his prison cell. Bringing him a piece of wood and a knife, she told him to carve an image of the Blessed Mother with Child.  When he had done so, the jailers and judge were so moved they gave him back his freedom.  In gratitude for the divine assistance, the man sought to place the sculpture near a linden tree along the road, as Mary had suggested.  The present-day basilica was built next to this great linden tree, which was the site of many miracles and healings over the centuries.
With the Prussian occupation of Poland, the sanctuary was defiled and the linden tree cut down.  Upon Poland's independence, Jesuits were invited to renew the sanctuary, and it remains in beautiful condition to this day.</t>
  </si>
  <si>
    <t>Basilica of Ta Pinu</t>
  </si>
  <si>
    <t>Level</t>
  </si>
  <si>
    <t>global</t>
  </si>
  <si>
    <t>Athisaya Panimatha Shrine</t>
  </si>
  <si>
    <t>https://www.athisayapanimatha.com/</t>
  </si>
  <si>
    <t>Athisaya Panimatha (Our Lady of Snows) Shrine, Kallikulam</t>
  </si>
  <si>
    <t>Catherine Laboure, a novitiate in the order of the Sisters of Charity, received various visions of St. Vincent de Paul and of Jesus present in the Eucharist, before also experiencing two apparitions of the Blessed Virgin Mary.  In the first vision, 1830, Catherine was told of the impending travails of France and of an unspecified future mission.  Several months later she received a message detailing the designs for a medal, later known as the Miraculous Medal, now reproduced over a billion times and distributed around the world.  The apparition was investigated in 1836 and later approved.  St. Catherine worked for 46 more years in hospices of her Order tending to the aged and infirmed, and is now known as the patroness of seniors.  Her body currently lies incorrupt at the site of the apparition in Paris (immediate right side of the altar), alongside St. Louise de Marillac (left of the altar) and the heart of St. Vincent de Paul (furthest right).</t>
  </si>
  <si>
    <t>louise-de-marillac</t>
  </si>
  <si>
    <t>St. Louise de Marillac</t>
  </si>
  <si>
    <t>St. Jean-Gabriel Perboyre</t>
  </si>
  <si>
    <t>jean-gabriel-perboyre</t>
  </si>
  <si>
    <t>Region/City</t>
  </si>
  <si>
    <t>Augsberg</t>
  </si>
  <si>
    <t>St. Peter am Perlach (Mary Undoer of Knots)</t>
  </si>
  <si>
    <t>St Peter am Perlach</t>
  </si>
  <si>
    <t>https://www.marypages.com/mary-undoer-of-knots.html</t>
  </si>
  <si>
    <t>https://www.miraclehunter.com/news/francis/francis-marian-devotion.html</t>
  </si>
  <si>
    <t>https://sankt-peter-am-perlach.de</t>
  </si>
  <si>
    <t>Home of the image Our Lady Undoer of Knots.</t>
  </si>
  <si>
    <t>Unfortunately many modern visitors to the cathedral are more interested in its rooftop views, so it's important to be specific when asking for accurate information about services.  The cathedral website lists their service schedule [here](https://catedraldezaragoza.es/culto/).
-JMM</t>
  </si>
  <si>
    <t>Because of the Jesuit influence, there are noticeable similarities to the Chiesa del Gesù in Rome, both in decoration and function.  The image of Our Blessed Mother behind the altar is covered after each mass, similar to some Jesuit churches in Rome.
-JMM</t>
  </si>
  <si>
    <t>Some good information on [Catholic Shrine Basilica](https://catholicshrinebasilica.com/sanctuary-of-our-lady-of-ludzmierz-poland/).
-JMM</t>
  </si>
  <si>
    <t>The monastery has published an excellent history of the shrine [here](https://lezajsk.bernardyni.pl/historia/) (in Polish).
-JMM</t>
  </si>
  <si>
    <t>The Facebook page appears to be the official site.
-JMM</t>
  </si>
  <si>
    <t>At the time of this miracle the land belonged to Hungary; a few sources still refer to the site as Hungarian.  The two potential official pages listed may not be accurate; please [contact us](/contact) if you have any better information.
-JMM</t>
  </si>
  <si>
    <t>Additional info and a good history [here](https://www.ourladyofsiluva.org/our_lady/).
-JMM</t>
  </si>
  <si>
    <t>One of the most picturesque apparition sites to visit!  The road between Laus and nearby [La Salette](/places/fr-sanctuary-of-our-lady-of-la-salette) winds through the French Alpine countryside.
-JMM</t>
  </si>
  <si>
    <t>We can't find an official website or other social media page for the basilica.  If you know of one, please [contact us](/contact).
-JMM</t>
  </si>
  <si>
    <t>It has been extremely difficult to find information on this pilgrimage site.  The "official site" above seems to reference several pilgrimage destinations in the area, and its worship times are outdated at time of writing.  We'd recommend checking the Facebook site for more up-to-date information.
-JMM</t>
  </si>
  <si>
    <t>Thanks to the testimonies of the visionaries, pilgrims today can experience a very accurate representation of the original apparition.  The statues have been placed in the same place as the apparition, in front of the church wall and slightly above ground level.
-JMM</t>
  </si>
  <si>
    <t>You can read the statement issued by the Papal Residence in Cairo [here](https://www.stmaryztn.org/saintmary/en/apparition-story/papal-statment).
-JMM</t>
  </si>
  <si>
    <t>We can't find an official website for the parish; their Facebook page has been listed for now.
-JMM</t>
  </si>
  <si>
    <t>We were unable to find an official page which is still live; there is an unofficial Facebook page [here](https://www.facebook.com/pages/The-Shrine-of-Our-Lady-of-the-Rosary-of-Namyang/243668322481803).  Please [contact us](/contact) if you know the correct link!
-JMM</t>
  </si>
  <si>
    <t>Pope Francis has a special devotion to this image, explained in the Miracle Hunter link.
-JPY</t>
  </si>
  <si>
    <t>An Indonesian parish of the same name also has a [good history](https://velangkanni.com/en/about-annai-velangkanni/) of the apparition.
-NDS</t>
  </si>
  <si>
    <t>Mass intentions requested at the gift shop will be prayed for at the very next mass.  Similar to the custom at [Our Lady of the Miraculous Medal](/places/fr-paris-chapel-of-our-lady-of-the-miraculous-medal), grateful pilgrims have given thanks for answered prayers in the form of plaques lining the stairway down to the shrine.
-JMM</t>
  </si>
  <si>
    <t>Located in central Paris, OLMM is one of the more easily accessible Marian apparition sites, and often draws large crowds of pilgrims.  The nearby [St. Vincent de Paul Chapel](fr-paris-st-vincent-de-paul-chapel) is a short walk away and is often more peaceful.
OLMM is also a rare apparition site where the exact location of Our Blessed Mother is documented in precise detail.  The giftshop sells postcards detailing where in the chapel Mary appeared in each apparition to St. Catherine Laboure.
See also the related apparition of [Our Lady of Zion](/places/it-rome-sant-andrea-delle-fratte) in Rome.
-JMM</t>
  </si>
  <si>
    <t>Marie Alphonse Ratisbonne, an anti-Catholic Jew, befriended a baron in Rome and began wearing the [Miraculous Medal](/places/fr-paris-chapel-of-our-lady-of-the-miraculous-medal) as a simple test.  On January 20, 1842, after entering the church of Sant'Andrea delle Fratte, Ratisbonne experienced a vision of the Blessed Virgin Mary.  He converted to Catholicism, joined the priesthood, and began a ministry for the conversion of Jews.</t>
  </si>
  <si>
    <t>In Italian, Santuario di Nostra Signora delle Grazie e Santa Maria Goretti.  The church houses the remains of St. Maria Goretti, and what is believed to be the statue of Our Lady of Grace.
The remains of St. Maria Goretti lie in the crypt beneath the basilica.  The bones are encased in a wax statue; she is not incorrupt.
The church contains a statue called Our Lady of Grace, which may be the original statue from Ipswich.  Our Lady of Ipswich, along with Our Lady of Walsingham, was one of the largest pilgrimage sites in England up until the Reformation.  During this period, Our Lady of Grace may have been smuggled to Italy.  In modern times, the faithful hold a procession with the statue on the first Saturday each May.</t>
  </si>
  <si>
    <t xml:space="preserve"> (Search "Ipswich")</t>
  </si>
  <si>
    <t>http://www.santuarionettuno.it/</t>
  </si>
  <si>
    <t>On the basilica grounds, to the left of the main nave is a gift shop.  The people there can help you get to St. Maria Goretti's home in La Ferriere.
-JPY
The statue is credited with at least one historic miracle by St. Thomas More, but details are lacking; Miracle Hunter's page references the associated [Wikipedia article](https://en.wikipedia.org/wiki/Our_Lady_of_Ipswich).
-JMM</t>
  </si>
  <si>
    <t>maria-goretti</t>
  </si>
  <si>
    <t>St. Maria Goretti</t>
  </si>
  <si>
    <t>Holy Persons</t>
  </si>
  <si>
    <t>our-lady-of-ipswich</t>
  </si>
  <si>
    <t>our-lady-of-grace</t>
  </si>
  <si>
    <t>Our Lady of Grace</t>
  </si>
  <si>
    <t>Our Lady of Ipswich</t>
  </si>
  <si>
    <t>regional</t>
  </si>
  <si>
    <t>Mexico City</t>
  </si>
  <si>
    <t>Sanctuary of Oropa</t>
  </si>
  <si>
    <t>Sanctuary of Oropa (Black Madonna of Oropa)</t>
  </si>
  <si>
    <t>https://www.santuariodioropa.it/en/</t>
  </si>
  <si>
    <t>pier-giorgio-frassati</t>
  </si>
  <si>
    <t>Bl. Pier Giorgio Frassati</t>
  </si>
  <si>
    <t>According to tradition, this statue was brought to Italy from the Holy Land by Bishop Eusebius of Vercelli in the fourth century A.D.
Bl. Pier Giorgio Frassati would also hike in this area.  His family villa was nearby, and he would visit the shrine regularly.
![Santuario di Oropa](https://www.santuariodioropa.it/wp-content/uploads/2022/05/panoramica-oropa-foto-Tracanna-1024x576.jpg)</t>
  </si>
  <si>
    <t>Marian Site</t>
  </si>
  <si>
    <t>Additional Tag 4</t>
  </si>
  <si>
    <t>Additional Tag 5</t>
  </si>
  <si>
    <t>Additional Tag 6</t>
  </si>
  <si>
    <t>Additional Tag 7</t>
  </si>
  <si>
    <t>Additional Tag 8</t>
  </si>
  <si>
    <t>Additional Tag 9</t>
  </si>
  <si>
    <t>Additional Tag 10</t>
  </si>
  <si>
    <t>Official Site Comment</t>
  </si>
  <si>
    <t>Link 1 Name</t>
  </si>
  <si>
    <t>Link 1 URL</t>
  </si>
  <si>
    <t>Official Site URL</t>
  </si>
  <si>
    <t>Link 1 Description</t>
  </si>
  <si>
    <t>Link 2 Name</t>
  </si>
  <si>
    <t>Link 2 URL</t>
  </si>
  <si>
    <t>Link 2 Description</t>
  </si>
  <si>
    <t>Link 3 Name</t>
  </si>
  <si>
    <t>Link 3 URL</t>
  </si>
  <si>
    <t>Link 3 Description</t>
  </si>
  <si>
    <t>AT1</t>
  </si>
  <si>
    <t>AT2</t>
  </si>
  <si>
    <t>AT3</t>
  </si>
  <si>
    <t>AT4</t>
  </si>
  <si>
    <t>AT5</t>
  </si>
  <si>
    <t>AT6</t>
  </si>
  <si>
    <t>AT7</t>
  </si>
  <si>
    <t>AT8</t>
  </si>
  <si>
    <t>AT9</t>
  </si>
  <si>
    <t>AT10</t>
  </si>
  <si>
    <t>Church</t>
  </si>
  <si>
    <t>MS</t>
  </si>
  <si>
    <t>HP</t>
  </si>
  <si>
    <t>Ch</t>
  </si>
  <si>
    <t>Co</t>
  </si>
  <si>
    <t>Ci</t>
  </si>
  <si>
    <t>AN</t>
  </si>
  <si>
    <t>MST</t>
  </si>
  <si>
    <t>RP</t>
  </si>
  <si>
    <t>AL1</t>
  </si>
  <si>
    <t>AL2</t>
  </si>
  <si>
    <t>AL3</t>
  </si>
  <si>
    <t>MSL</t>
  </si>
  <si>
    <t>Page Content</t>
  </si>
  <si>
    <t>According to ancient Christian tradition, Mary appeared to the apostle James the Greater as he was preaching in Spain.  In 40 AD, while facing severe discouragement, St. James was praying on the banks of the Ebro River when the Blessed Mother appeared to him on a column, encouraging him to persevere in his missionary efforts.  This apparition is unique because Mary would have bilocated while still alive in Jerusalem or Ephesus.</t>
  </si>
  <si>
    <t>In 1630, a statue of the Immaculate Conception was being transported inland when its couriers overnighted near the Lujan River.  The following morning, the wagon become unexplainably heavy and immovable until the statue was unloaded.  Interpreting this as a sign, the patron and drivers left the statue there, where a chapel was built for pilgrims.  Over time and with many healings, Lujan has become one of the most frequented pilgrimage destinations in the world.</t>
  </si>
  <si>
    <t>ALL</t>
  </si>
  <si>
    <t>https://doroszlo.net/</t>
  </si>
  <si>
    <t>Additional site</t>
  </si>
  <si>
    <t>https://www.facebook.com/poutnimistofilipov</t>
  </si>
  <si>
    <t>https://www.facebook.com/ngomemarianshrine/</t>
  </si>
  <si>
    <t>https://www.facebook.com/profile.php?id=100069705631532</t>
  </si>
  <si>
    <t>(note: website not active at time of writing)</t>
  </si>
  <si>
    <t>Official Facebook page</t>
  </si>
  <si>
    <t>Basilica of the Annunciation of the Blessed Virgin Mary (Our Lady of Lezajsk, Lady of Consolation)</t>
  </si>
  <si>
    <t>St. Michael and St. Gudula Cathedral (Brussels Cathedral)</t>
  </si>
  <si>
    <t>This church has the most awesome pulpit I have ever seen.
-JPY</t>
  </si>
  <si>
    <t>https://www.cathedralisbruxellensis.be/</t>
  </si>
  <si>
    <t>Brussels</t>
  </si>
  <si>
    <t>St. Catherine's Church</t>
  </si>
  <si>
    <t>St Catherine</t>
  </si>
  <si>
    <t>local</t>
  </si>
  <si>
    <t>Historic church in the former Port of Brussels, before the docks were covered over.</t>
  </si>
  <si>
    <t>As of 2023, this church has tons of confession times.
-JPY</t>
  </si>
  <si>
    <t>Cathedral</t>
  </si>
  <si>
    <t>National church of Belgium.  St. Gudula's relics were kept here until they were destroyed during the Reformation.</t>
  </si>
  <si>
    <t>Diocesan Museum of St. Afra</t>
  </si>
  <si>
    <t>Diocesan Museum</t>
  </si>
  <si>
    <t>https://www.museum-st-afra.de/en/</t>
  </si>
  <si>
    <t>ulrich</t>
  </si>
  <si>
    <t>afra</t>
  </si>
  <si>
    <t>St. Ulrich</t>
  </si>
  <si>
    <t>St. Afra</t>
  </si>
  <si>
    <t>simpert</t>
  </si>
  <si>
    <t>St. Simpert</t>
  </si>
  <si>
    <t>Museum of the Diocese of Augsburg, featuring vestments and other items owned by St. Ulrich.  Also presents history of Sts. Afra and Simpert, also of the Diocese of Augsburg.</t>
  </si>
  <si>
    <t>Cathedral of the Diocese of Augsburg.  St. Peter Canisius was appointed the "cathedral preacher" here in 1559.</t>
  </si>
  <si>
    <t>Augsburg Cathedral (Augsburgur Dom)</t>
  </si>
  <si>
    <t>https://bistum-augsburg.de/Bistum/Unser-Bistum/Kathedrale/Hoher-Dom</t>
  </si>
  <si>
    <t>peter-canisius</t>
  </si>
  <si>
    <t>St. Peter Canisius</t>
  </si>
  <si>
    <t>Former Residence of the Prince-Bishop of Augsburg</t>
  </si>
  <si>
    <t>Prince-Bishop Residence</t>
  </si>
  <si>
    <t>This building is on the site where the Diet of Augsburg in 1530 took place, where the Augsburg Confession was presented.</t>
  </si>
  <si>
    <t>Let us pray for Christian unity and for our Protestant brethern to come to the True Faith.
-JPY</t>
  </si>
  <si>
    <t>Basilica of Sts. Ulrich and Afra</t>
  </si>
  <si>
    <t>Basilica of Sts Ulrich and Afra</t>
  </si>
  <si>
    <t>Site of the martyrdom of St. Afra and burial place of Sts. Afra, Ulrich (the first canonized saint) and Simpert (778-807).</t>
  </si>
  <si>
    <t>Sts. Ulrich and Afra are buried in the crypt beneath the high altar.  You can reach them with some steep stairs on either side of the high altar.  St. Simpert's tomb is in a chapel along the right side of the nave.
-JPY</t>
  </si>
  <si>
    <t>https://ulrich-afra-anton.de</t>
  </si>
  <si>
    <t>Augsburg</t>
  </si>
  <si>
    <t>reformation</t>
  </si>
  <si>
    <t>Protestant Reformation</t>
  </si>
  <si>
    <t>St. Vincent De Paul Chapel</t>
  </si>
  <si>
    <t>St Vincent De Paul Chapel</t>
  </si>
  <si>
    <t>Vincentian church housing the relics of Sts. Vincent de Paul and Jean-Gabriel Perboyre.  St. Vincent de Paul's heart is nearby at the more famous [Miraculous Medal Chapel](/places/fr-paris-chapel-of-our-lady-of-the-miraculous-medal).</t>
  </si>
  <si>
    <t>An incredibly beautiful sanctuary of prayer, just a short walk from the often crowded Miraculous Medal Chapel.
-JMM</t>
  </si>
  <si>
    <t>Church of St. James the Apostle (Iglesia Santiago Apostol)</t>
  </si>
  <si>
    <t>Iglesia Santiago Apostol</t>
  </si>
  <si>
    <t>Atitlan</t>
  </si>
  <si>
    <t>stanley-rother</t>
  </si>
  <si>
    <t>Bl. Stanley Rother</t>
  </si>
  <si>
    <t>Bl. Stanley Rother ministered to the native Tz'utujil people of Guatemala for years at St. James the Apostle church, on the shores of Lake Atitlan.  He was martyred in the rectory on July 28, 1981.</t>
  </si>
  <si>
    <t>Corinaldo</t>
  </si>
  <si>
    <t>Church of St. Francis, Corinaldo</t>
  </si>
  <si>
    <t>Church of St Francis</t>
  </si>
  <si>
    <t>This was the Gorettis' parish church when they lived in Corinaldo.  Here Luigi and Assunta Goretti were married and St. Maria Goretti baptized.  The font where she was baptized is still preserved in the church.</t>
  </si>
  <si>
    <t>Birthplace of St. Maria Goretti</t>
  </si>
  <si>
    <t>Birthplace of St Maria Goretti</t>
  </si>
  <si>
    <t>Here St. Maria Goretti was born on October 16, 1890.</t>
  </si>
  <si>
    <t>Sanctuary of St Maria Goretti</t>
  </si>
  <si>
    <t>https://www.santamariagoretti.it/home/</t>
  </si>
  <si>
    <t>Diocesan Sanctuary of St. Maria Goretti</t>
  </si>
  <si>
    <t>This church is the final resting place for St. Maria Goretti's mother, Assunta, and her repentant murderer, Alessandro Serenelli.  There is also a relic of Maria's arm here.</t>
  </si>
  <si>
    <t>La Ferriere</t>
  </si>
  <si>
    <t>Goretti House</t>
  </si>
  <si>
    <t>Here St. Maria Goretti lived with her family and where she was martyred, stabbed by Alessandro Serenelli.  She died the next day in a hospital in Nettuno.  Today it is a museum.</t>
  </si>
  <si>
    <t>Nettuno</t>
  </si>
  <si>
    <t>Statue of St. Maria Goretti</t>
  </si>
  <si>
    <t>Basilica of Our Lady of Graces and St. Maria Goretti</t>
  </si>
  <si>
    <t>Basilica of Our Lady of Graces</t>
  </si>
  <si>
    <t>Statue of St Maria Goretti</t>
  </si>
  <si>
    <t>A statue of St. Maria Goretti in Nettuno, the town where she died.</t>
  </si>
  <si>
    <t>St Maria Goretti Tent of Pardon</t>
  </si>
  <si>
    <t>The "Tent of Pardon" is the site where, [according to the National Catholic Register](https://www.ncregister.com/blog/in-the-footsteps-of-st-maria-goretti), St. Maria Goretti lay dying in Nettuno.  It was here that she forgave her murderer, and may also be the place of her death.</t>
  </si>
  <si>
    <t>Sanctuary of Our Lady of Valverde</t>
  </si>
  <si>
    <t>Church of the Holy Family (La Sagrada Familia), Mexico City</t>
  </si>
  <si>
    <t>La Sagrada Familia</t>
  </si>
  <si>
    <t>This church, aside from being incredibly beautiful, is where Bl. Miguel Pro's remains are kept, to the right of the main altar.  His funeral procession passed in front of this church, though we are not sure if he had a funeral here.</t>
  </si>
  <si>
    <t>miguel-pro</t>
  </si>
  <si>
    <t>Bl. Miguel Pro, SJ</t>
  </si>
  <si>
    <t>Miguel Pro Martyrdom Site</t>
  </si>
  <si>
    <t>At this site, where an outdoor short stairway stands on the lottery building, is the site where Bl. Miguel Pro was martyred by firing squad.  These buildings were all built since that time.</t>
  </si>
  <si>
    <t>Across the street, a bit above head level, is a commemerative plaque on the restaurant.  The restaurant is owned by a Catholic family who provide information on Bl. Miguel Pro.
-JPY</t>
  </si>
  <si>
    <t>Site of Bl. Miguel Pro's Martyrdom</t>
  </si>
  <si>
    <t>Museum of Bl. Miguel Agustin Pro</t>
  </si>
  <si>
    <t>Miguel Pro Museum</t>
  </si>
  <si>
    <t>This museum contains many of Bl. Miguel Pro's personal belongings, including cassocks, vestments, the suit he was shot in, and the cot where he slept the night before his martyrdom.
The location of Fr. Pro's arrest appears to be unknown, but the location of his martyrdom is known.</t>
  </si>
  <si>
    <t>The hours are rather strange: certain days of the week in the middle of the day.  The entrance is to the left of the entrance to La Sagrada Familia.  The gift shop is also excellent.
-JPY</t>
  </si>
  <si>
    <t>St. Maria Goretti Tent of Pardon (Tenda del Perdono)</t>
  </si>
  <si>
    <t>St. Mary Catholic Church, Pine Bluff, AR</t>
  </si>
  <si>
    <t>St Mary</t>
  </si>
  <si>
    <t>US Arkansas</t>
  </si>
  <si>
    <t>vatican</t>
  </si>
  <si>
    <t>US Alabama</t>
  </si>
  <si>
    <t>US Alaska</t>
  </si>
  <si>
    <t>US Arizona</t>
  </si>
  <si>
    <t>US California</t>
  </si>
  <si>
    <t>US Colorado</t>
  </si>
  <si>
    <t>US Connecticut</t>
  </si>
  <si>
    <t>US Delaware</t>
  </si>
  <si>
    <t>US DC</t>
  </si>
  <si>
    <t>US Florida</t>
  </si>
  <si>
    <t>US Georgia</t>
  </si>
  <si>
    <t>US Hawaii</t>
  </si>
  <si>
    <t>US Idaho</t>
  </si>
  <si>
    <t>US Illinois</t>
  </si>
  <si>
    <t>US Indiana</t>
  </si>
  <si>
    <t>US Iowa</t>
  </si>
  <si>
    <t>US Kansas</t>
  </si>
  <si>
    <t>US Kentucky</t>
  </si>
  <si>
    <t>US Louisiana</t>
  </si>
  <si>
    <t>US Maine</t>
  </si>
  <si>
    <t>US Maryland</t>
  </si>
  <si>
    <t>US Massachusetts</t>
  </si>
  <si>
    <t>US Michigan</t>
  </si>
  <si>
    <t>US Minnesota</t>
  </si>
  <si>
    <t>US Mississippi</t>
  </si>
  <si>
    <t>US Missouri</t>
  </si>
  <si>
    <t>US Montana</t>
  </si>
  <si>
    <t>US Nebraska</t>
  </si>
  <si>
    <t>US Nevada</t>
  </si>
  <si>
    <t>US New Hampshire</t>
  </si>
  <si>
    <t>US New Jersey</t>
  </si>
  <si>
    <t>US New Mexico</t>
  </si>
  <si>
    <t>US New York</t>
  </si>
  <si>
    <t>US North Carolina</t>
  </si>
  <si>
    <t>US North Dakota</t>
  </si>
  <si>
    <t>US Ohio</t>
  </si>
  <si>
    <t>US Oklahoma</t>
  </si>
  <si>
    <t>US Oregon</t>
  </si>
  <si>
    <t>US Pennsylvania</t>
  </si>
  <si>
    <t>US Rhode Island</t>
  </si>
  <si>
    <t>US South Carolina</t>
  </si>
  <si>
    <t>US South Dakota</t>
  </si>
  <si>
    <t>US Tennessee</t>
  </si>
  <si>
    <t>US Texas</t>
  </si>
  <si>
    <t>US Utah</t>
  </si>
  <si>
    <t>US Vermont</t>
  </si>
  <si>
    <t>US Virginia</t>
  </si>
  <si>
    <t>US Washington</t>
  </si>
  <si>
    <t>US West Virginia</t>
  </si>
  <si>
    <t>US Wisconsin</t>
  </si>
  <si>
    <t>US Wyoming</t>
  </si>
  <si>
    <t>us_al</t>
  </si>
  <si>
    <t>us_ak</t>
  </si>
  <si>
    <t>us_az</t>
  </si>
  <si>
    <t>us_ar</t>
  </si>
  <si>
    <t>us_ca</t>
  </si>
  <si>
    <t>us_co</t>
  </si>
  <si>
    <t>us_ct</t>
  </si>
  <si>
    <t>us_de</t>
  </si>
  <si>
    <t>us_dc</t>
  </si>
  <si>
    <t>us_fl</t>
  </si>
  <si>
    <t>us_ga</t>
  </si>
  <si>
    <t>us_hi</t>
  </si>
  <si>
    <t>us_id</t>
  </si>
  <si>
    <t>us_il</t>
  </si>
  <si>
    <t>us_in</t>
  </si>
  <si>
    <t>us_ia</t>
  </si>
  <si>
    <t>us_ks</t>
  </si>
  <si>
    <t>us_ky</t>
  </si>
  <si>
    <t>us_la</t>
  </si>
  <si>
    <t>us_me</t>
  </si>
  <si>
    <t>us_md</t>
  </si>
  <si>
    <t>us_ma</t>
  </si>
  <si>
    <t>us_mi</t>
  </si>
  <si>
    <t>us_mn</t>
  </si>
  <si>
    <t>us_ms</t>
  </si>
  <si>
    <t>us_mo</t>
  </si>
  <si>
    <t>us_mt</t>
  </si>
  <si>
    <t>us_ne</t>
  </si>
  <si>
    <t>us_nv</t>
  </si>
  <si>
    <t>us_nh</t>
  </si>
  <si>
    <t>us_nj</t>
  </si>
  <si>
    <t>us_nm</t>
  </si>
  <si>
    <t>us_ny</t>
  </si>
  <si>
    <t>us_nc</t>
  </si>
  <si>
    <t>us_nd</t>
  </si>
  <si>
    <t>us_oh</t>
  </si>
  <si>
    <t>us_ok</t>
  </si>
  <si>
    <t>us_or</t>
  </si>
  <si>
    <t>us_pa</t>
  </si>
  <si>
    <t>us_ri</t>
  </si>
  <si>
    <t>us_sc</t>
  </si>
  <si>
    <t>us_sd</t>
  </si>
  <si>
    <t>us_tn</t>
  </si>
  <si>
    <t>us_tx</t>
  </si>
  <si>
    <t>us_ut</t>
  </si>
  <si>
    <t>us_vt</t>
  </si>
  <si>
    <t>us_va</t>
  </si>
  <si>
    <t>us_wa</t>
  </si>
  <si>
    <t>us_wv</t>
  </si>
  <si>
    <t>us_wi</t>
  </si>
  <si>
    <t>us_wy</t>
  </si>
  <si>
    <t>Pine Bluff</t>
  </si>
  <si>
    <t>Oldest Catholic church in Arkansas, originally built on a barge in the Arkansas River in 1782 to combat the threat of flooding by the river.  The cemetery behind the church is the final resting place for Mother Agnes Hart, a nun whose body was later found to be incorrupt.</t>
  </si>
  <si>
    <t>https://www.stjosephpinebluff.org/st-mary-catholic-church.html</t>
  </si>
  <si>
    <t>(now under the care of nearby St. Joseph Parish)</t>
  </si>
  <si>
    <t>https://americancatholichistory.org/old-st-mary-pine-bluff-arkansas/</t>
  </si>
  <si>
    <t>agnes-hart</t>
  </si>
  <si>
    <t>Mother Agnes Hart</t>
  </si>
  <si>
    <t>Emmitsburg</t>
  </si>
  <si>
    <t>Mount St Marys Seminary</t>
  </si>
  <si>
    <t>Holy Trinity Catholic Church, Okarche, OK</t>
  </si>
  <si>
    <t>Holy Trinity</t>
  </si>
  <si>
    <t>Okarche</t>
  </si>
  <si>
    <t>Stanley Rother Shrine</t>
  </si>
  <si>
    <t>Oklahoma City</t>
  </si>
  <si>
    <t>The shrine was dedicated on February 17, 2023 with the Most Rev. Paul S. Coakley, Archbishop of Oklahoma City presiding. The service was attended by 37 bishops, 147 priests, and hundreds of other religious and pilgrims.</t>
  </si>
  <si>
    <t>San Antonio</t>
  </si>
  <si>
    <t>Bl. Stanley Rother completed his studies at Mount Saint Mary's Seminary and was ordained a priest on May 25, 1963.</t>
  </si>
  <si>
    <t>Santa Fe</t>
  </si>
  <si>
    <t>Loretto Chapel, Santa Fe, NM</t>
  </si>
  <si>
    <t>Loretto Chapel</t>
  </si>
  <si>
    <t>According to tradition, when the architect failed to provide a way to get to the new choir loft, the architecturally-impressive spiral staircase was built by St. Joseph himself.</t>
  </si>
  <si>
    <t>https://www.lorettochapel.com</t>
  </si>
  <si>
    <t>https://thunderrock.org/story-extras/the-spiral-architect</t>
  </si>
  <si>
    <t>joseph</t>
  </si>
  <si>
    <t>St. Joseph</t>
  </si>
  <si>
    <t>A miraculous crucifix appearing in a field resulted in the construction of a chapel on this spot.  The hole where the crucifix appeared is said to contain dirt that has healing properties similar to the water at Lourdes.  Hundreds of thousands of pilgrims visit the shrine annually, which, according to Catholic World Report, makes it the most popular pilgrimage site in the United States.</t>
  </si>
  <si>
    <t>https://www.catholicworldreport.com/2023/04/07/visiting-el-santuario-de-chimayo-the-most-popular-pilgrimage-site-in-america/</t>
  </si>
  <si>
    <t>Article from Catholic World Report</t>
  </si>
  <si>
    <t>https://thunderrock.org/story-extras/take-the-hint</t>
  </si>
  <si>
    <t>Sanctuary of Chimayo (Santuario de Chimayo)</t>
  </si>
  <si>
    <t>Santuario de Chimayo</t>
  </si>
  <si>
    <t>Shrine of Our Lady of Martyrs</t>
  </si>
  <si>
    <t>kateri-tekakwitha</t>
  </si>
  <si>
    <t>isaac-jogues</t>
  </si>
  <si>
    <t>rene-goupil</t>
  </si>
  <si>
    <t>St. Kateri Tekakwitha</t>
  </si>
  <si>
    <t>St. Isaac Jogues, SJ</t>
  </si>
  <si>
    <t>canadian-martyrs</t>
  </si>
  <si>
    <t>Canadian Martyrs</t>
  </si>
  <si>
    <t>St. Rene Goupil, SJ</t>
  </si>
  <si>
    <t>St. Jean de Lalande, SJ</t>
  </si>
  <si>
    <t>Built on the site of the Mohawk village of Ossernenon, where Sts. Isaac Jogues, Rene Goupil, and Jean de Lalande were martyred, and where St. Kateri Tekakwitha was born.</t>
  </si>
  <si>
    <t>jean-de-lalande</t>
  </si>
  <si>
    <t>Shrine of Our Lady of Martyrs (National Shrine of the North American Martyrs)</t>
  </si>
  <si>
    <t>https://www.ourladyofmartyrsshrine.org/</t>
  </si>
  <si>
    <t>Dallas</t>
  </si>
  <si>
    <t>Blessed Sacrament Catholic Church, Dallas, TX</t>
  </si>
  <si>
    <t>Blessed Sacrament</t>
  </si>
  <si>
    <t>Second oldest parish in the city of Dallas, but established when Oak Cliff was a separate city.</t>
  </si>
  <si>
    <t>https://www.bsdallas.org/about-our-parish</t>
  </si>
  <si>
    <t>Originally dedicated to the Sacred Heart, this parish is the oldest in the city of Dallas.  The parish merged with Our Lady of Guadalupe in the Little Mexico neighborhood (now Harwood) in 1965, and in 1977 the Cathedral was renamed in honor of Our Lady of Guadalupe.
In 2023 the cathedral was elevated to a National Shrine by the US Conference fo Catholic Bishops.</t>
  </si>
  <si>
    <t>National Shrine Cathedral of Our Lady of Guadalupe, Dallas, TX</t>
  </si>
  <si>
    <t>Guadalupe Cathedral</t>
  </si>
  <si>
    <t>The original altarpiece appears to be lost forever.  It was removed in the 1960's by the Carmelite fathers who staffed the parish at the time.  The official story is that it was so badly damaged by termites that it had to be trashed.  Some say that it wasn't eaten by termites, but by Carmelites.
- JPY</t>
  </si>
  <si>
    <t>https://www.cathdal.org/cathedral</t>
  </si>
  <si>
    <t>Holy Trinity Catholic Church, Dallas, TX</t>
  </si>
  <si>
    <t>Founded and staffed by the Vincentians, who also staffed Trinity College/Dallas University across the street.</t>
  </si>
  <si>
    <t>https://htccd.org/</t>
  </si>
  <si>
    <t>https://htccd.org/history</t>
  </si>
  <si>
    <t>Parish history</t>
  </si>
  <si>
    <t>https://www.bsdallas.org/</t>
  </si>
  <si>
    <t>vincentians</t>
  </si>
  <si>
    <t>Congregation of the Mission (Vincentians)</t>
  </si>
  <si>
    <t>jesuits</t>
  </si>
  <si>
    <t>Society of Jesus (Jesuits)</t>
  </si>
  <si>
    <t>Old Our Lady of Guadalupe Catholic Church, Dallas, TX</t>
  </si>
  <si>
    <t>Old Guadalupe</t>
  </si>
  <si>
    <t>Established in 1914 in response to the flood of Mexican refugees fleeing the anti-Catholic dictatorship in Mexico, this parish was merged with the cathedral in 1965.  This gentrified neighborhood was once Little Mexico.  All that remains on the site is an image of Our Lady of Gudalaupe.
The church was first served by Vincentians, who staffed Holy Trinity, then by the Carmelites.
St. Ann's school was located next to the church, and the building still stands today, containing a restaurant and a Japanese samaurai collection.</t>
  </si>
  <si>
    <t>https://dallascityhall.com/departments/sustainabledevelopment/historicpreservation/HP%20Documents/Landmark%20Structures/St.%20Anns%20School%20Landmark%20Nomination.pdf</t>
  </si>
  <si>
    <t>https://www.saintanndallas.com/restaurant</t>
  </si>
  <si>
    <t>About St. Ann restauraunt</t>
  </si>
  <si>
    <t>Old St. Patrick Catholic Church, Dallas, TX</t>
  </si>
  <si>
    <t>Old St Patrick</t>
  </si>
  <si>
    <t>Part of the deal when the first parish in Dallas was named Sacred Heart was that the second church would be named in honor of St. Patrick.  This parish (which became the third oldest in the Dallas city limits once Oak Cliff was annexed) was located across from City Park.  The church was flattened by I-30, and where it once stood is now squarely in the middle of the Canyon.</t>
  </si>
  <si>
    <t>Article about St. Patrick</t>
  </si>
  <si>
    <t>https://cityofdallaspreservation.wordpress.com/2018/03/16/the-old-st-patrick-roman-catholic-church-in-dallas-gone-but-not-forgotten</t>
  </si>
  <si>
    <t>Old Ursuline Academy, Dallas, TX</t>
  </si>
  <si>
    <t>Old Ursuline</t>
  </si>
  <si>
    <t>Original site of Ursuline Academy and the Ursuline Convent.  It is unclear why this building was demolished.
![Ursuline academy](https://www.ursulinedallas.org/uploaded/images/mission/1882_OldUrsuline.jpg)
![Ursuline academy](https://www.tshaonline.org/images/handbook/entries/DD/Dallas%20ursuline%20aerial.jpg)</t>
  </si>
  <si>
    <t>Ursuline history article</t>
  </si>
  <si>
    <t>(includes pictures of this convent)</t>
  </si>
  <si>
    <t>St. Ann preservation application</t>
  </si>
  <si>
    <t>(including section on the church's history)</t>
  </si>
  <si>
    <t>https://www.ursulinedallas.org/mission/heritage</t>
  </si>
  <si>
    <t>Additional Ursuline history article</t>
  </si>
  <si>
    <t>https://www.tshaonline.org/handbook/entries/ursuline-academy-dallas</t>
  </si>
  <si>
    <t>(includes pictures)</t>
  </si>
  <si>
    <t>Convent in the 1922 Sanborn map</t>
  </si>
  <si>
    <t>https://maps.lib.utexas.edu/maps/sanborn/d-f/txu-sanborn-dallas-1922-315.jpg</t>
  </si>
  <si>
    <t>Old St. Paul Sanitarium, Dallas, TX</t>
  </si>
  <si>
    <t>Old St Paul</t>
  </si>
  <si>
    <t>Original site of St. Paul Sanitarium.  The hospital moved to its present location on Harry Hines Blvd in the 1960's, and the original building was razed.  The Daughters of Charity continued administration of the hospital until it was sold around the year 2000.  Today it is part of UT Southwestern.
![St. Paul Sanitarium](https://cityofdallaspreservation.files.wordpress.com/2020/04/st.-pauls-aerial.jpg)</t>
  </si>
  <si>
    <t>History of St. Paul Sanitarium</t>
  </si>
  <si>
    <t>https://cityofdallaspreservation.wordpress.com/2020/04/01/st-pauls-sanitarium-in-dallas-tx/</t>
  </si>
  <si>
    <t>https://www.utsouthwestern.edu/edumedia/edufiles/about_us/Giving/st-paul-mag-2015.pdf</t>
  </si>
  <si>
    <t>UT Southwestern pamphlet on St. Paul's history</t>
  </si>
  <si>
    <t>Sanitarium in the 1921 Sanborn map</t>
  </si>
  <si>
    <t>https://maps.lib.utexas.edu/maps/sanborn/d-f/txu-sanborn-dallas-1921-38.jpg</t>
  </si>
  <si>
    <t>Old Trinity College / Dallas University / Jesuit Dallas</t>
  </si>
  <si>
    <t>Old Trinity College</t>
  </si>
  <si>
    <t>Original site of Holy Trinity College, the Vincentian college.  The school was later renamed to Dallas University/University of Dallas.  The school closed in 1929 and its charter was reused for the current University of Dlalas.
The building later housed Jesuit Prepatory School until it moved next to St. Rita and this building was sadly razed.
![Holy Trinity College](http://www.thepastwhispers.com/sitebuilder/images/DALLAS_HolyTrinityCollege_1907.jpg)
![Dallas University](https://flashbackdallas.files.wordpress.com/2016/05/jesuit_legacies_fall-2005.jpg)</t>
  </si>
  <si>
    <t>School in the 1922 Sanborn map</t>
  </si>
  <si>
    <t>https://maps.lib.utexas.edu/maps/sanborn/d-f/txu-sanborn-dallas-1921-287.jpg</t>
  </si>
  <si>
    <t>St. Edward the Confessor Catholic Church, Dallas, TX</t>
  </si>
  <si>
    <t>Founded by the Rt. Rev. Edward Joseph Dunne, bishop of Dallas, on Oct. 13, 1903, as the fourth parish in Dallas (Oak Cliff had just been annexed, so Blessed Sacrament was now in the Dallas city limits).  The name of the parish and the name of the bishop are not coincidence.
The founding pastor was the Rev. Joseph P. Lynch, who had been a priest for just 3 years.  Within a few years he would become bishop of Dallas.</t>
  </si>
  <si>
    <t>St Edward</t>
  </si>
  <si>
    <t>https://stedwardparish.org/history-</t>
  </si>
  <si>
    <t>https://stedwardparish.org/</t>
  </si>
  <si>
    <t>Old St. Joseph Catholic Church, Dallas, TX</t>
  </si>
  <si>
    <t>Old St Joseph</t>
  </si>
  <si>
    <t>The school was founded in 1905 and the present church, the 5th church in Dallas and the 3rd oldest extant one, was built in 1910.  The original 1905 temporary church, later used as a parish hall, stood on the corner of Texas and Floyd and was extant in 2009, though it now appears to be gone.  The church was built by the Oblate fathers for the German population.
From 1977 to 2007, the buildings were used for St. Andrew Kim Korean parish, until that congregation moved to Farmers Branch.
This church is currently not in the possession of the Diocese of Dallas.</t>
  </si>
  <si>
    <t>Historical site nomination form</t>
  </si>
  <si>
    <t>https://dallascityhall.com/departments/sustainabledevelopment/historicpreservation/HP%20Documents/Landmark%20Structures/St%20Josephs%20Catholic%20Church%20Landmark%20Nomination.pdf</t>
  </si>
  <si>
    <t>Historical site page</t>
  </si>
  <si>
    <t>https://dallascityhall.com/departments/sustainabledevelopment/historicpreservation/Pages/St-Josephs-Catholic-Church-.aspx</t>
  </si>
  <si>
    <t>St. Peter Catholic Church, Dallas, TX</t>
  </si>
  <si>
    <t>St Peter</t>
  </si>
  <si>
    <t>The first black parish in Dallas, founded in 1905, is now home to the area's Polish community.</t>
  </si>
  <si>
    <t>https://stpeterdal.com/about/#History</t>
  </si>
  <si>
    <t>https://stpeterdal.com/</t>
  </si>
  <si>
    <t>closed</t>
  </si>
  <si>
    <t>Closed or Deconsecrated Sites</t>
  </si>
  <si>
    <t>Type</t>
  </si>
  <si>
    <t>camino</t>
  </si>
  <si>
    <t>Category</t>
  </si>
  <si>
    <t>Ven. Benoite Rencurel</t>
  </si>
  <si>
    <t>S.D. Reinolda May, OSB</t>
  </si>
  <si>
    <t>Order</t>
  </si>
  <si>
    <t>Religion</t>
  </si>
  <si>
    <t>Page Prefix</t>
  </si>
  <si>
    <t>Avila</t>
  </si>
  <si>
    <t>This 17th-century church, run by the Discalced Carmelites, marks the spot where St Teresa of Avila is believed to have been born. The church houses a museum dedicated to her life and works.</t>
  </si>
  <si>
    <t>https://www.teresadejesus.com/</t>
  </si>
  <si>
    <t>carmelites</t>
  </si>
  <si>
    <t>discalced-carmelites</t>
  </si>
  <si>
    <t>Discalced Carmelites (Order of Discalced Carmelites)</t>
  </si>
  <si>
    <t>Carmelites (Carmelites of the Ancient Observance)</t>
  </si>
  <si>
    <t>john-cross</t>
  </si>
  <si>
    <t>teresa-avila</t>
  </si>
  <si>
    <t>St. Teresa of Avila, OCD</t>
  </si>
  <si>
    <t>St. John of the Cross, OCD</t>
  </si>
  <si>
    <t>Avila tourism site</t>
  </si>
  <si>
    <t>https://www.avilaturismo.com/en/monatery-of-la-encarnacion</t>
  </si>
  <si>
    <t>Convento de San Jose</t>
  </si>
  <si>
    <t>Monasterio de La Encarnacion</t>
  </si>
  <si>
    <t>Monastery of the Incarnation (Monasterio de La Encarnacion)</t>
  </si>
  <si>
    <t>https://www.avilaturismo.com/en/convent-and-church-of-san-jose</t>
  </si>
  <si>
    <t>http://www.sanjosedeavila.es/</t>
  </si>
  <si>
    <t>Monasterio de las Batuecas</t>
  </si>
  <si>
    <t>https://monasteriodelasbatuecas.wordpress.com/</t>
  </si>
  <si>
    <t>Story of the staircase on the podcast *That's the Word*</t>
  </si>
  <si>
    <t>Story of the shrine on the podcast *That's the Word*</t>
  </si>
  <si>
    <t>*American Catholic History* podcast episode on St. Mary</t>
  </si>
  <si>
    <t>Convento de La Anunciacion</t>
  </si>
  <si>
    <t>Convent of the Anunciation in Alba de Tormes (Convento de La Anunciacion)</t>
  </si>
  <si>
    <t>Information in English</t>
  </si>
  <si>
    <t>https://www.carmelitasalba.org/wp-content/themes/Florida_child_theme/images/carmus-ingles-web.pdf</t>
  </si>
  <si>
    <t>https://carmelitasalba.org/</t>
  </si>
  <si>
    <t>Convento de San Jose, Avila</t>
  </si>
  <si>
    <t>Medina del Campo</t>
  </si>
  <si>
    <t>Convento de San Jose, Medina del Campo</t>
  </si>
  <si>
    <t>Malagon</t>
  </si>
  <si>
    <t>Convento de San Jose, Malagon</t>
  </si>
  <si>
    <t>Convento de Santa Teresa</t>
  </si>
  <si>
    <t>Valladolid</t>
  </si>
  <si>
    <t>Casa Natal Santa Teresa de Jesus</t>
  </si>
  <si>
    <t>Church and birthplace of St. Teresa of Jesus (Casa Natal Santa Teresa de Jesus)</t>
  </si>
  <si>
    <t>Toledo</t>
  </si>
  <si>
    <t>Convento de San Jose, Toledo</t>
  </si>
  <si>
    <t>Convento del Carmen</t>
  </si>
  <si>
    <t>Convento del Carmen, Pastrana</t>
  </si>
  <si>
    <t>Pastrana</t>
  </si>
  <si>
    <t>conceptionists</t>
  </si>
  <si>
    <t>Order of the Immaculate Conception (Conceptionists)</t>
  </si>
  <si>
    <t>Pastrana tourism site</t>
  </si>
  <si>
    <t>https://turismo.pastrana.org/destino-pastrana/monumentos-pastrana-visitas-culturales/convento-del-carmen/</t>
  </si>
  <si>
    <t>The third of 17 communities founded by St. Teresa of Avila, in 1568.</t>
  </si>
  <si>
    <t>The first of 17 communities founded by St. Teresa of Avila, in 1562. Visitors can explore the church, cloister, and St. Teresa's cell, now a chapel dedicated to prayer.</t>
  </si>
  <si>
    <t>The fourth of 17 communities founded by St. Teresa of Avila, in 1568.</t>
  </si>
  <si>
    <t>The fifth of 17 communities founded by St. Teresa of Avila, in 1569.</t>
  </si>
  <si>
    <t>The eigth of 17 communities founded by St. Teresa of Avila, in 1571, and also the place of her death in 1582.  Today the main altarpiece houses St. Teresa's incorrupt heart and arm.</t>
  </si>
  <si>
    <t>The seventh of 17 communities founded by St. Teresa of Avila in 1578.  Its secluded setting reflects her desire for a life dedicated to prayer and contemplation.  As noted on the official site - the Carmelite Desert, more than a geographical place, is an interior experience of solitude and contemplation.
The monastery accepts pilgrims looking for a contemplative retreat.  Guests are invited to participate in community prayers.</t>
  </si>
  <si>
    <t>Alba de Tormes</t>
  </si>
  <si>
    <t>Segovia</t>
  </si>
  <si>
    <t>Convento de San Jose, Segovia</t>
  </si>
  <si>
    <t>The ninth of 17 communities founded by St. Teresa of Avila, in 1574.</t>
  </si>
  <si>
    <t>Beas de Segura</t>
  </si>
  <si>
    <t>Monasterio de San Jose del Salvador</t>
  </si>
  <si>
    <t>Sierra de Segura tourism site</t>
  </si>
  <si>
    <t>https://lasierradesegura.org/parajes-naturales/convento-de-las-carmelitas-descalzas-de-san-jose-del-salvador/</t>
  </si>
  <si>
    <t>Wikipedia</t>
  </si>
  <si>
    <t>https://es.wikipedia.org/wiki/Convento_de_Carmelitas_Descalzas_(Beas_de_Segura)</t>
  </si>
  <si>
    <t>Significant amounts of information of the associated Wikipedia page</t>
  </si>
  <si>
    <t>The tenth of 17 communities founded by St. Teresa of Avila, in 1575.</t>
  </si>
  <si>
    <t>Seville</t>
  </si>
  <si>
    <t>Convento de San Jose del Carmen</t>
  </si>
  <si>
    <t>Convento de San Jose del Carmen (Las Teresas)</t>
  </si>
  <si>
    <t>The eleventh of 17 communities founded by St. Teresa of Avila, in 1575.  This convent does not appear open to the public.</t>
  </si>
  <si>
    <t>Seville tourism site</t>
  </si>
  <si>
    <t>https://www.turismosevilla.org/en/what-see-and-do/heritage/monuments/san-jose-conventual-church-las-teresas</t>
  </si>
  <si>
    <t>https://www.helpfellowship.org/map_of_foundations.htm</t>
  </si>
  <si>
    <t>Caravaca</t>
  </si>
  <si>
    <t>Convento de San Jose, Caravaca de la Cruz</t>
  </si>
  <si>
    <t>Article from Murcia Today</t>
  </si>
  <si>
    <t>https://murciatoday.com/the-convent_church-of-san-jose-in-caravaca-de-la-cruz_34175-a.html</t>
  </si>
  <si>
    <t>Caravaca tourism site</t>
  </si>
  <si>
    <t>https://www.turismocaravaca.com/blog/church-and-convent-san-jose-of-madres-carmelitas/</t>
  </si>
  <si>
    <t>The twelvth of 17 communities founded by St. Teresa of Avila, in 1576.</t>
  </si>
  <si>
    <t>Convento de Santa Ana</t>
  </si>
  <si>
    <t>Villanueva de la Jara</t>
  </si>
  <si>
    <t>The thirteenth of 17 communities founded by St. Teresa of Avila, in 1580.</t>
  </si>
  <si>
    <t>Villanueva de la Jara offical site</t>
  </si>
  <si>
    <t>https://www.villanuevadelajara.eu/english/the-footprints-of-st-teresa-of-jesus-in-villanueva-de-la-jara/</t>
  </si>
  <si>
    <t>Palencia</t>
  </si>
  <si>
    <t>The fourteenth of 17 communities founded by St. Teresa of Avila, in 1580.  It is likely the original convent is no longer in existence, though a church remains.</t>
  </si>
  <si>
    <t>Palencia tourism site</t>
  </si>
  <si>
    <t>https://turismo.aytopalencia.es/en/poi/church-san-bernardo</t>
  </si>
  <si>
    <t>Soria</t>
  </si>
  <si>
    <t>St. Bernard Church (Iglesia de San Bernardo)</t>
  </si>
  <si>
    <t>Iglesia de San Bernardo</t>
  </si>
  <si>
    <t>Convent of our Lady of Carmen (Convento de Nuestra Senora del Carmen)</t>
  </si>
  <si>
    <t>Convento de Nuestra Senora del Carmen</t>
  </si>
  <si>
    <t>Soria tourism site</t>
  </si>
  <si>
    <t>https://www.turismosoria.es/en/what-to-see/monuments/convent-of-el-carmen/</t>
  </si>
  <si>
    <t>It's unclear which church is associated with the original convent - the one pinpointed on this article, or the nearby Iglesia de Santa Maria la Mayor (as noted, possibly incorrectly, on Soria's tourism site).  Regardless, the convent is still actively functioning.
-JMM</t>
  </si>
  <si>
    <t>The fifteenth of 17 communities founded by St. Teresa of Avila, in 1581.</t>
  </si>
  <si>
    <t>Granada</t>
  </si>
  <si>
    <t>Convento de San Jose, Granada</t>
  </si>
  <si>
    <t>http://www.carmelitasdescalzasgranada.es/</t>
  </si>
  <si>
    <t>https://federacionvirgendelcarmen.wordpress.com/conventos/convento-de-san-jose-granada/</t>
  </si>
  <si>
    <t>Information from the Federacion Virgen del Carmen</t>
  </si>
  <si>
    <t>The sixteenth of 17 communities founded by St. Teresa of Avila, in 1582.  Co-founded with St. John of the Cross.</t>
  </si>
  <si>
    <t>Burgos</t>
  </si>
  <si>
    <t>Convento de San Jose y Santa Ana</t>
  </si>
  <si>
    <t>The last of 17 communities founded by St. Teresa of Avila, in 1582.</t>
  </si>
  <si>
    <t>Many of the websites associated with this site were not working at time of writing.
-JMM</t>
  </si>
  <si>
    <t>https://turismo.aytoburgos.es/cultura-y-patrimonio1/-/asset_publisher/PMC541iCzJ73/content/convento-de-san-jos%25C3%25A9-y-santa-ana</t>
  </si>
  <si>
    <t>Burgos tourism site</t>
  </si>
  <si>
    <t>https://catedralavila.es/</t>
  </si>
  <si>
    <t>Construction on the cathedral first began in the 12th century and continued up until the 17th century.  As part of the Old Town of Avila, it was inscribed as a UNESCO World Heritage site in 1985.</t>
  </si>
  <si>
    <t>Avila Cathedral (Catedral del Salvador)</t>
  </si>
  <si>
    <t>Basilica of Sts. Vincent, Sabina and Cristeta (San Vicente de Avila)</t>
  </si>
  <si>
    <t>San Vincente</t>
  </si>
  <si>
    <t>This basilica is built on traditional burial site of Saint Vincent, a young deacon martyred for his faith in the 4th century under the reign of Diocletian.  The church houses his relics and those of fellow martyrs Sts. Sabina and Cristeta.</t>
  </si>
  <si>
    <t>https://basilicasanvicente.es/</t>
  </si>
  <si>
    <t>vincent</t>
  </si>
  <si>
    <t>St. Vincent</t>
  </si>
  <si>
    <t>sabina</t>
  </si>
  <si>
    <t>St. Sabina</t>
  </si>
  <si>
    <t>cristeta</t>
  </si>
  <si>
    <t>St. Cristeta</t>
  </si>
  <si>
    <t>Castila y Leon tourism site</t>
  </si>
  <si>
    <t>https://www.turismocastillayleon.com/en/art-culture-heritage/museums/teresian-museum-san-jose-medina-del-campo-m-m-carmelitas</t>
  </si>
  <si>
    <t>Medina del Campo tourism site</t>
  </si>
  <si>
    <t>http://medinadelcampo.es/lo-indispensable/donde-la-historia-cobra-vida/23-lo-indispensable/donde-la-historia-cobra-vida/367-convento-san-juan-de-la-cruz-ruta-teresiana</t>
  </si>
  <si>
    <t>The second of 17 communities founded by St. Teresa of Avila, in 1567, and also where she met and influenced St. John of the Cross.
Now houses a museum.</t>
  </si>
  <si>
    <t>Duruelo</t>
  </si>
  <si>
    <t>Monastery of Duruelo</t>
  </si>
  <si>
    <t>Monastery</t>
  </si>
  <si>
    <t>The first monastery established by St. John of the Cross in 1568, using a small farmhouse which had been donated to St. Teresa of Avila.  Soon the community outgrew the building, and moved to Mancera de Abajo in 1570.</t>
  </si>
  <si>
    <t>The first monastery established by St. John of the Cross and Fr. Antonio of Jesus in 1568, using a small farmhouse which had been donated to St. Teresa of Avila.  Soon the community outgrew the building, and moved to Mancera de Abajo in 1570, then Avila in 1600.</t>
  </si>
  <si>
    <t>Additional history of the current monastery in Mancera de Abaio can be found [here](https://salamancartvaldia.es/noticia/2023-03-02-la-vida-en-el-monasterio-de-mancera-de-abajo-es-ilusionante-porque-cada-hora-es-la-de-amar-a-dios-316830), though it should be noted there is not a contiguous lineage back to the community founded by St. John of the Cross.
-JMM</t>
  </si>
  <si>
    <t>Convent of St. John of the Cross (Convento de San Juan de la Cruz)</t>
  </si>
  <si>
    <t>Convento de San Juan de la Cruz</t>
  </si>
  <si>
    <t>St. John of the Cross founded the convent in 1588 and led the community as prior until 1591.  His head and body are located in a side chapel.
Although no longer an active monastery, the site serves as a sanctuary for spiritual exercises.  Pope St. John Paul II visited the site in 1982.</t>
  </si>
  <si>
    <t>https://sanjuandelacruzsegovia.com/</t>
  </si>
  <si>
    <t>Ubeda</t>
  </si>
  <si>
    <t>Oratory of St. John of the Cross (Oratorio de San Juan de la Cruz)</t>
  </si>
  <si>
    <t>Oratorio de San Juan de la Cruz</t>
  </si>
  <si>
    <t>In 1591, St. John of the Cross died here, the site of a former monastery.  Today, there is a chapel housing his relics (a hand and leg) and a museum related to his life.</t>
  </si>
  <si>
    <t>https://www.sanjuandelacruzubeda.com/</t>
  </si>
  <si>
    <t>Fontiveros</t>
  </si>
  <si>
    <t>Church of the Birthplace of St. John of the Cross (Iglesia Casa Natal de San Juan de la Cruz)</t>
  </si>
  <si>
    <t>Iglesia Casa Natal de San Juan de la Cruz</t>
  </si>
  <si>
    <t>Church in the town of St. John of the Cross's birth</t>
  </si>
  <si>
    <t>https://www.turismocastillayleon.com/en/art-culture-heritage/monuments/churches-chapels/church-san-juan-de-la-cruz-house-natal</t>
  </si>
  <si>
    <t>Founded in 1478, this Carmelite convent in Avila was where Saint Teresa entered as a young woman and lived for 27 years. She took her vows here and began her journey as a mystic and reformer. The monastery features her cell, the Chapel of Transverberation and a museum dedicated to her life.
St. John of the Cross spent notable amounts of time here as well, and during one session of prayer, received a vision of Christ on the Cross from "above."  The saint's drawing remains at the museum.</t>
  </si>
  <si>
    <t>The sixth of 17 communities founded by St. Teresa of Avila, in 1569.  St. John of the Cross may have written his *Dark Night of the Soul* and *Ascent of Mount Carmel* here.
In 1836 the convent was confiscated by the Spanish government, but in 1855 was reoccupied by Conceptionist Franciscan nuns.  Today it serves as a Conceptionist convent and Teresan museum.</t>
  </si>
  <si>
    <t>MI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</si>
</sst>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3" x14ac:knownFonts="1">
    <font>
      <sz val="11"/>
      <color theme="1"/>
      <name val="Calibri"/>
      <family val="2"/>
      <scheme val="minor"/>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u/>
      <sz val="11"/>
      <color theme="10"/>
      <name val="Calibri"/>
      <family val="2"/>
      <scheme val="minor"/>
    </font>
    <font>
      <sz val="10"/>
      <color theme="1"/>
      <name val="Arial"/>
      <family val="2"/>
    </font>
    <font>
      <b/>
      <sz val="10"/>
      <color rgb="FF000000"/>
      <name val="Arial"/>
      <family val="2"/>
    </font>
    <font>
      <u/>
      <sz val="10"/>
      <color theme="10"/>
      <name val="Arial"/>
      <family val="2"/>
    </font>
    <font>
      <sz val="10"/>
      <color rgb="FF000000"/>
      <name val="Arial"/>
      <family val="2"/>
    </font>
    <font>
      <b/>
      <sz val="10"/>
      <color theme="1"/>
      <name val="Arial"/>
      <family val="2"/>
    </font>
    <font>
      <b/>
      <sz val="10"/>
      <color rgb="FF00B050"/>
      <name val="Arial"/>
      <family val="2"/>
    </font>
    <font>
      <sz val="10"/>
      <color rgb="FF00B050"/>
      <name val="Arial"/>
      <family val="2"/>
    </font>
    <font>
      <b/>
      <sz val="10"/>
      <color rgb="FF0070C0"/>
      <name val="Arial"/>
      <family val="2"/>
    </font>
    <font>
      <sz val="10"/>
      <color rgb="FF0070C0"/>
      <name val="Arial"/>
      <family val="2"/>
    </font>
    <font>
      <b/>
      <sz val="10"/>
      <name val="Arial"/>
      <family val="2"/>
    </font>
    <font>
      <sz val="8"/>
      <name val="Calibri"/>
      <family val="2"/>
      <scheme val="minor"/>
    </font>
    <font>
      <b/>
      <sz val="10"/>
      <color rgb="FFFF0000"/>
      <name val="Arial"/>
      <family val="2"/>
    </font>
    <font>
      <sz val="10"/>
      <name val="Arial"/>
      <family val="2"/>
    </font>
  </fonts>
  <fills count="4">
    <fill>
      <patternFill patternType="none"/>
    </fill>
    <fill>
      <patternFill patternType="gray125"/>
    </fill>
    <fill>
      <patternFill patternType="solid">
        <fgColor rgb="FFFFFF00"/>
        <bgColor indexed="64"/>
      </patternFill>
    </fill>
    <fill>
      <patternFill patternType="solid">
        <fgColor rgb="FF92D050"/>
        <bgColor indexed="64"/>
      </patternFill>
    </fill>
  </fills>
  <borders count="12">
    <border>
      <left/>
      <right/>
      <top/>
      <bottom/>
      <diagonal/>
    </border>
    <border>
      <left/>
      <right style="thin">
        <color auto="1"/>
      </right>
      <top/>
      <bottom/>
      <diagonal/>
    </border>
    <border>
      <left style="thin">
        <color auto="1"/>
      </left>
      <right/>
      <top/>
      <bottom/>
      <diagonal/>
    </border>
    <border>
      <left style="dashed">
        <color auto="1"/>
      </left>
      <right/>
      <top/>
      <bottom/>
      <diagonal/>
    </border>
    <border>
      <left/>
      <right style="dashed">
        <color auto="1"/>
      </right>
      <top/>
      <bottom/>
      <diagonal/>
    </border>
    <border>
      <left/>
      <right/>
      <top/>
      <bottom style="medium">
        <color auto="1"/>
      </bottom>
      <diagonal/>
    </border>
    <border>
      <left/>
      <right style="thin">
        <color auto="1"/>
      </right>
      <top/>
      <bottom style="medium">
        <color auto="1"/>
      </bottom>
      <diagonal/>
    </border>
    <border>
      <left style="dashed">
        <color auto="1"/>
      </left>
      <right/>
      <top/>
      <bottom style="medium">
        <color auto="1"/>
      </bottom>
      <diagonal/>
    </border>
    <border>
      <left/>
      <right style="dashed">
        <color auto="1"/>
      </right>
      <top/>
      <bottom style="medium">
        <color auto="1"/>
      </bottom>
      <diagonal/>
    </border>
    <border>
      <left style="thin">
        <color auto="1"/>
      </left>
      <right/>
      <top/>
      <bottom style="medium">
        <color auto="1"/>
      </bottom>
      <diagonal/>
    </border>
    <border>
      <left/>
      <right style="medium">
        <color auto="1"/>
      </right>
      <top/>
      <bottom/>
      <diagonal/>
    </border>
    <border>
      <left/>
      <right style="medium">
        <color auto="1"/>
      </right>
      <top/>
      <bottom style="medium">
        <color auto="1"/>
      </bottom>
      <diagonal/>
    </border>
  </borders>
  <cellStyleXfs count="2">
    <xf numFmtId="0" fontId="0" fillId="0" borderId="0"/>
    <xf numFmtId="0" fontId="9" fillId="0" borderId="0" applyNumberFormat="0" applyFill="0" applyBorder="0" applyAlignment="0" applyProtection="0"/>
  </cellStyleXfs>
  <cellXfs count="123">
    <xf numFmtId="0" fontId="0" fillId="0" borderId="0" xfId="0"/>
    <xf numFmtId="0" fontId="10" fillId="0" borderId="0" xfId="0" applyFont="1"/>
    <xf numFmtId="0" fontId="14" fillId="0" borderId="0" xfId="0" applyFont="1" applyAlignment="1">
      <alignment vertical="top"/>
    </xf>
    <xf numFmtId="0" fontId="14" fillId="0" borderId="0" xfId="0" applyFont="1" applyAlignment="1">
      <alignment horizontal="left" vertical="top"/>
    </xf>
    <xf numFmtId="0" fontId="14" fillId="0" borderId="0" xfId="0" applyFont="1" applyAlignment="1">
      <alignment vertical="top" wrapText="1"/>
    </xf>
    <xf numFmtId="0" fontId="10" fillId="0" borderId="0" xfId="0" applyFont="1" applyAlignment="1">
      <alignment vertical="top"/>
    </xf>
    <xf numFmtId="0" fontId="11" fillId="0" borderId="0" xfId="0" applyFont="1" applyAlignment="1">
      <alignment horizontal="left" vertical="top"/>
    </xf>
    <xf numFmtId="0" fontId="12" fillId="0" borderId="0" xfId="1" applyFont="1" applyFill="1" applyAlignment="1">
      <alignment vertical="top"/>
    </xf>
    <xf numFmtId="0" fontId="13" fillId="0" borderId="0" xfId="0" applyFont="1" applyAlignment="1">
      <alignment vertical="top" wrapText="1"/>
    </xf>
    <xf numFmtId="0" fontId="11" fillId="0" borderId="0" xfId="0" applyFont="1" applyAlignment="1">
      <alignment vertical="top"/>
    </xf>
    <xf numFmtId="0" fontId="13" fillId="0" borderId="0" xfId="0" applyFont="1" applyAlignment="1">
      <alignment horizontal="left" vertical="top"/>
    </xf>
    <xf numFmtId="0" fontId="13" fillId="0" borderId="0" xfId="0" applyFont="1" applyAlignment="1">
      <alignment vertical="top"/>
    </xf>
    <xf numFmtId="0" fontId="10" fillId="0" borderId="0" xfId="0" applyFont="1" applyAlignment="1">
      <alignment horizontal="left" vertical="top"/>
    </xf>
    <xf numFmtId="0" fontId="10" fillId="0" borderId="0" xfId="0" applyFont="1" applyAlignment="1">
      <alignment vertical="top" wrapText="1"/>
    </xf>
    <xf numFmtId="0" fontId="14" fillId="0" borderId="0" xfId="0" applyFont="1" applyAlignment="1">
      <alignment vertical="center"/>
    </xf>
    <xf numFmtId="0" fontId="10" fillId="0" borderId="0" xfId="0" applyFont="1" applyAlignment="1">
      <alignment vertical="center"/>
    </xf>
    <xf numFmtId="0" fontId="10" fillId="0" borderId="0" xfId="0" quotePrefix="1" applyFont="1" applyAlignment="1">
      <alignment vertical="center"/>
    </xf>
    <xf numFmtId="0" fontId="0" fillId="2" borderId="0" xfId="0" applyFill="1"/>
    <xf numFmtId="0" fontId="0" fillId="3" borderId="0" xfId="0" applyFill="1"/>
    <xf numFmtId="0" fontId="9" fillId="3" borderId="0" xfId="1" applyFill="1"/>
    <xf numFmtId="0" fontId="14" fillId="0" borderId="0" xfId="0" applyFont="1"/>
    <xf numFmtId="0" fontId="6" fillId="0" borderId="0" xfId="0" applyFont="1"/>
    <xf numFmtId="0" fontId="4" fillId="0" borderId="0" xfId="0" applyFont="1"/>
    <xf numFmtId="0" fontId="18" fillId="0" borderId="0" xfId="0" applyFont="1" applyAlignment="1">
      <alignment vertical="center"/>
    </xf>
    <xf numFmtId="0" fontId="10" fillId="0" borderId="0" xfId="0" applyFont="1" applyAlignment="1">
      <alignment vertical="center" wrapText="1"/>
    </xf>
    <xf numFmtId="0" fontId="5" fillId="0" borderId="0" xfId="0" applyFont="1" applyAlignment="1">
      <alignment vertical="center"/>
    </xf>
    <xf numFmtId="0" fontId="6" fillId="0" borderId="0" xfId="0" quotePrefix="1" applyFont="1" applyAlignment="1">
      <alignment vertical="center"/>
    </xf>
    <xf numFmtId="0" fontId="6" fillId="0" borderId="0" xfId="0" applyFont="1" applyAlignment="1">
      <alignment vertical="center" wrapText="1"/>
    </xf>
    <xf numFmtId="0" fontId="16" fillId="0" borderId="0" xfId="0" applyFont="1" applyAlignment="1">
      <alignment vertical="center" wrapText="1"/>
    </xf>
    <xf numFmtId="0" fontId="16" fillId="0" borderId="0" xfId="0" applyFont="1" applyAlignment="1">
      <alignment vertical="center"/>
    </xf>
    <xf numFmtId="0" fontId="16" fillId="0" borderId="0" xfId="0" quotePrefix="1" applyFont="1" applyAlignment="1">
      <alignment vertical="center"/>
    </xf>
    <xf numFmtId="0" fontId="18" fillId="0" borderId="0" xfId="0" applyFont="1" applyAlignment="1">
      <alignment vertical="center" wrapText="1"/>
    </xf>
    <xf numFmtId="0" fontId="7" fillId="0" borderId="0" xfId="0" applyFont="1" applyAlignment="1">
      <alignment vertical="center" wrapText="1"/>
    </xf>
    <xf numFmtId="0" fontId="7" fillId="0" borderId="0" xfId="0" quotePrefix="1" applyFont="1" applyAlignment="1">
      <alignment vertical="center"/>
    </xf>
    <xf numFmtId="0" fontId="7" fillId="0" borderId="0" xfId="0" applyFont="1" applyAlignment="1">
      <alignment vertical="center"/>
    </xf>
    <xf numFmtId="0" fontId="4" fillId="0" borderId="0" xfId="0" applyFont="1" applyAlignment="1">
      <alignment vertical="center"/>
    </xf>
    <xf numFmtId="0" fontId="10" fillId="0" borderId="0" xfId="0" quotePrefix="1" applyFont="1" applyAlignment="1">
      <alignment vertical="center" wrapText="1"/>
    </xf>
    <xf numFmtId="0" fontId="6" fillId="0" borderId="0" xfId="0" quotePrefix="1" applyFont="1" applyAlignment="1">
      <alignment vertical="center" wrapText="1"/>
    </xf>
    <xf numFmtId="0" fontId="16" fillId="0" borderId="0" xfId="0" quotePrefix="1" applyFont="1" applyAlignment="1">
      <alignment vertical="center" wrapText="1"/>
    </xf>
    <xf numFmtId="0" fontId="6" fillId="0" borderId="0" xfId="0" applyFont="1" applyAlignment="1">
      <alignment vertical="center"/>
    </xf>
    <xf numFmtId="0" fontId="5" fillId="0" borderId="0" xfId="0" applyFont="1" applyAlignment="1">
      <alignment vertical="center" wrapText="1"/>
    </xf>
    <xf numFmtId="0" fontId="8" fillId="0" borderId="0" xfId="0" applyFont="1" applyAlignment="1">
      <alignment vertical="center" wrapText="1"/>
    </xf>
    <xf numFmtId="0" fontId="8" fillId="0" borderId="0" xfId="0" applyFont="1" applyAlignment="1">
      <alignment vertical="center"/>
    </xf>
    <xf numFmtId="0" fontId="10" fillId="2" borderId="0" xfId="0" applyFont="1" applyFill="1" applyAlignment="1">
      <alignment vertical="center" wrapText="1"/>
    </xf>
    <xf numFmtId="0" fontId="10" fillId="2" borderId="0" xfId="0" applyFont="1" applyFill="1" applyAlignment="1">
      <alignment vertical="center"/>
    </xf>
    <xf numFmtId="0" fontId="4" fillId="0" borderId="0" xfId="0" applyFont="1" applyAlignment="1">
      <alignment vertical="center" wrapText="1"/>
    </xf>
    <xf numFmtId="0" fontId="4" fillId="0" borderId="0" xfId="0" quotePrefix="1" applyFont="1" applyAlignment="1">
      <alignment vertical="center" wrapText="1"/>
    </xf>
    <xf numFmtId="0" fontId="3" fillId="0" borderId="0" xfId="0" applyFont="1" applyAlignment="1">
      <alignment vertical="center" wrapText="1"/>
    </xf>
    <xf numFmtId="0" fontId="3" fillId="0" borderId="0" xfId="0" applyFont="1" applyAlignment="1">
      <alignment vertical="center"/>
    </xf>
    <xf numFmtId="0" fontId="10" fillId="0" borderId="1" xfId="0" applyFont="1" applyBorder="1" applyAlignment="1">
      <alignment vertical="center"/>
    </xf>
    <xf numFmtId="0" fontId="10" fillId="0" borderId="1" xfId="0" quotePrefix="1" applyFont="1" applyBorder="1" applyAlignment="1">
      <alignment vertical="center"/>
    </xf>
    <xf numFmtId="0" fontId="7" fillId="0" borderId="1" xfId="0" quotePrefix="1" applyFont="1" applyBorder="1" applyAlignment="1">
      <alignment vertical="center"/>
    </xf>
    <xf numFmtId="0" fontId="10" fillId="0" borderId="2" xfId="0" applyFont="1" applyBorder="1" applyAlignment="1">
      <alignment vertical="center"/>
    </xf>
    <xf numFmtId="0" fontId="10" fillId="0" borderId="1" xfId="0" applyFont="1" applyBorder="1" applyAlignment="1">
      <alignment vertical="center" wrapText="1"/>
    </xf>
    <xf numFmtId="0" fontId="5" fillId="0" borderId="1" xfId="0" applyFont="1" applyBorder="1" applyAlignment="1">
      <alignment vertical="center" wrapText="1"/>
    </xf>
    <xf numFmtId="0" fontId="6" fillId="0" borderId="1" xfId="0" applyFont="1" applyBorder="1" applyAlignment="1">
      <alignment vertical="center" wrapText="1"/>
    </xf>
    <xf numFmtId="0" fontId="8" fillId="0" borderId="1" xfId="0" applyFont="1" applyBorder="1" applyAlignment="1">
      <alignment vertical="center" wrapText="1"/>
    </xf>
    <xf numFmtId="0" fontId="7" fillId="0" borderId="1" xfId="0" applyFont="1" applyBorder="1" applyAlignment="1">
      <alignment vertical="center" wrapText="1"/>
    </xf>
    <xf numFmtId="0" fontId="4" fillId="0" borderId="1" xfId="0" applyFont="1" applyBorder="1" applyAlignment="1">
      <alignment vertical="center" wrapText="1"/>
    </xf>
    <xf numFmtId="0" fontId="10" fillId="0" borderId="3" xfId="0" quotePrefix="1" applyFont="1" applyBorder="1" applyAlignment="1">
      <alignment vertical="center"/>
    </xf>
    <xf numFmtId="0" fontId="10" fillId="0" borderId="3" xfId="0" applyFont="1" applyBorder="1" applyAlignment="1">
      <alignment vertical="center"/>
    </xf>
    <xf numFmtId="0" fontId="7" fillId="0" borderId="3" xfId="0" applyFont="1" applyBorder="1" applyAlignment="1">
      <alignment vertical="center"/>
    </xf>
    <xf numFmtId="0" fontId="4" fillId="0" borderId="3" xfId="0" applyFont="1" applyBorder="1" applyAlignment="1">
      <alignment vertical="center"/>
    </xf>
    <xf numFmtId="0" fontId="10" fillId="0" borderId="4" xfId="0" quotePrefix="1" applyFont="1" applyBorder="1" applyAlignment="1">
      <alignment vertical="center"/>
    </xf>
    <xf numFmtId="0" fontId="10" fillId="0" borderId="4" xfId="0" applyFont="1" applyBorder="1" applyAlignment="1">
      <alignment vertical="center"/>
    </xf>
    <xf numFmtId="0" fontId="7" fillId="0" borderId="4" xfId="0" applyFont="1" applyBorder="1" applyAlignment="1">
      <alignment vertical="center"/>
    </xf>
    <xf numFmtId="0" fontId="4" fillId="0" borderId="4" xfId="0" applyFont="1" applyBorder="1" applyAlignment="1">
      <alignment vertical="center"/>
    </xf>
    <xf numFmtId="0" fontId="14" fillId="0" borderId="5" xfId="0" applyFont="1" applyBorder="1" applyAlignment="1">
      <alignment vertical="center"/>
    </xf>
    <xf numFmtId="0" fontId="14" fillId="0" borderId="5" xfId="0" applyFont="1" applyBorder="1" applyAlignment="1">
      <alignment vertical="center" wrapText="1"/>
    </xf>
    <xf numFmtId="0" fontId="14" fillId="0" borderId="5" xfId="0" applyFont="1" applyBorder="1" applyAlignment="1">
      <alignment horizontal="left" vertical="center"/>
    </xf>
    <xf numFmtId="0" fontId="14" fillId="0" borderId="6" xfId="0" applyFont="1" applyBorder="1" applyAlignment="1">
      <alignment vertical="center" wrapText="1"/>
    </xf>
    <xf numFmtId="0" fontId="14" fillId="0" borderId="7" xfId="0" applyFont="1" applyBorder="1" applyAlignment="1">
      <alignment vertical="center"/>
    </xf>
    <xf numFmtId="0" fontId="14" fillId="0" borderId="8" xfId="0" applyFont="1" applyBorder="1" applyAlignment="1">
      <alignment vertical="center"/>
    </xf>
    <xf numFmtId="0" fontId="14" fillId="0" borderId="9" xfId="0" applyFont="1" applyBorder="1" applyAlignment="1">
      <alignment vertical="center"/>
    </xf>
    <xf numFmtId="0" fontId="14" fillId="0" borderId="6" xfId="0" applyFont="1" applyBorder="1" applyAlignment="1">
      <alignment vertical="center"/>
    </xf>
    <xf numFmtId="0" fontId="15" fillId="0" borderId="5" xfId="0" applyFont="1" applyBorder="1" applyAlignment="1">
      <alignment vertical="center" wrapText="1"/>
    </xf>
    <xf numFmtId="0" fontId="15" fillId="0" borderId="5" xfId="0" applyFont="1" applyBorder="1" applyAlignment="1">
      <alignment vertical="center"/>
    </xf>
    <xf numFmtId="0" fontId="17" fillId="0" borderId="5" xfId="0" applyFont="1" applyBorder="1" applyAlignment="1">
      <alignment vertical="center" wrapText="1"/>
    </xf>
    <xf numFmtId="0" fontId="17" fillId="0" borderId="5" xfId="0" applyFont="1" applyBorder="1" applyAlignment="1">
      <alignment vertical="center"/>
    </xf>
    <xf numFmtId="0" fontId="10" fillId="2" borderId="1" xfId="0" applyFont="1" applyFill="1" applyBorder="1" applyAlignment="1">
      <alignment vertical="center" wrapText="1"/>
    </xf>
    <xf numFmtId="0" fontId="14" fillId="0" borderId="11" xfId="0" applyFont="1" applyBorder="1" applyAlignment="1">
      <alignment vertical="center"/>
    </xf>
    <xf numFmtId="0" fontId="6" fillId="0" borderId="10" xfId="0" quotePrefix="1" applyFont="1" applyBorder="1" applyAlignment="1">
      <alignment vertical="center"/>
    </xf>
    <xf numFmtId="0" fontId="10" fillId="0" borderId="10" xfId="0" applyFont="1" applyBorder="1" applyAlignment="1">
      <alignment vertical="center"/>
    </xf>
    <xf numFmtId="0" fontId="7" fillId="0" borderId="10" xfId="0" applyFont="1" applyBorder="1" applyAlignment="1">
      <alignment vertical="center"/>
    </xf>
    <xf numFmtId="0" fontId="10" fillId="0" borderId="10" xfId="0" quotePrefix="1" applyFont="1" applyBorder="1" applyAlignment="1">
      <alignment vertical="center" wrapText="1"/>
    </xf>
    <xf numFmtId="0" fontId="6" fillId="0" borderId="10" xfId="0" applyFont="1" applyBorder="1" applyAlignment="1">
      <alignment vertical="center"/>
    </xf>
    <xf numFmtId="0" fontId="10" fillId="0" borderId="10" xfId="0" applyFont="1" applyBorder="1" applyAlignment="1">
      <alignment vertical="center" wrapText="1"/>
    </xf>
    <xf numFmtId="0" fontId="10" fillId="0" borderId="10" xfId="0" quotePrefix="1" applyFont="1" applyBorder="1" applyAlignment="1">
      <alignment vertical="center"/>
    </xf>
    <xf numFmtId="0" fontId="4" fillId="0" borderId="10" xfId="0" quotePrefix="1" applyFont="1" applyBorder="1" applyAlignment="1">
      <alignment vertical="center" wrapText="1"/>
    </xf>
    <xf numFmtId="0" fontId="4" fillId="0" borderId="10" xfId="0" applyFont="1" applyBorder="1" applyAlignment="1">
      <alignment vertical="center"/>
    </xf>
    <xf numFmtId="0" fontId="21" fillId="0" borderId="5" xfId="0" applyFont="1" applyBorder="1" applyAlignment="1">
      <alignment vertical="center"/>
    </xf>
    <xf numFmtId="0" fontId="3" fillId="0" borderId="0" xfId="0" quotePrefix="1" applyFont="1" applyAlignment="1">
      <alignment vertical="center"/>
    </xf>
    <xf numFmtId="0" fontId="3" fillId="0" borderId="3" xfId="0" quotePrefix="1" applyFont="1" applyBorder="1" applyAlignment="1">
      <alignment vertical="center"/>
    </xf>
    <xf numFmtId="0" fontId="3" fillId="0" borderId="4" xfId="0" quotePrefix="1" applyFont="1" applyBorder="1" applyAlignment="1">
      <alignment vertical="center"/>
    </xf>
    <xf numFmtId="0" fontId="3" fillId="0" borderId="3" xfId="0" applyFont="1" applyBorder="1" applyAlignment="1">
      <alignment vertical="center"/>
    </xf>
    <xf numFmtId="0" fontId="2" fillId="2" borderId="0" xfId="0" applyFont="1" applyFill="1" applyAlignment="1">
      <alignment vertical="center" wrapText="1"/>
    </xf>
    <xf numFmtId="0" fontId="2" fillId="0" borderId="0" xfId="0" applyFont="1" applyAlignment="1">
      <alignment vertical="center" wrapText="1"/>
    </xf>
    <xf numFmtId="0" fontId="19" fillId="0" borderId="9" xfId="0" applyFont="1" applyBorder="1" applyAlignment="1">
      <alignment vertical="center"/>
    </xf>
    <xf numFmtId="0" fontId="22" fillId="0" borderId="2" xfId="1" applyFont="1" applyFill="1" applyBorder="1" applyAlignment="1">
      <alignment horizontal="left" vertical="center"/>
    </xf>
    <xf numFmtId="0" fontId="10" fillId="0" borderId="0" xfId="0" applyFont="1" applyAlignment="1">
      <alignment horizontal="left" vertical="center"/>
    </xf>
    <xf numFmtId="0" fontId="6" fillId="0" borderId="0" xfId="0" applyFont="1" applyAlignment="1">
      <alignment horizontal="left" vertical="center"/>
    </xf>
    <xf numFmtId="0" fontId="4" fillId="0" borderId="0" xfId="0" applyFont="1" applyAlignment="1">
      <alignment horizontal="left" vertical="center"/>
    </xf>
    <xf numFmtId="0" fontId="22" fillId="0" borderId="2" xfId="0" applyFont="1" applyBorder="1" applyAlignment="1">
      <alignment vertical="center"/>
    </xf>
    <xf numFmtId="0" fontId="2" fillId="0" borderId="1" xfId="0" applyFont="1" applyBorder="1" applyAlignment="1">
      <alignment vertical="center" wrapText="1"/>
    </xf>
    <xf numFmtId="0" fontId="2" fillId="0" borderId="0" xfId="0" applyFont="1" applyAlignment="1">
      <alignment vertical="center"/>
    </xf>
    <xf numFmtId="0" fontId="2" fillId="0" borderId="0" xfId="0" applyFont="1"/>
    <xf numFmtId="0" fontId="2" fillId="0" borderId="4" xfId="0" quotePrefix="1" applyFont="1" applyBorder="1" applyAlignment="1">
      <alignment vertical="center"/>
    </xf>
    <xf numFmtId="0" fontId="2" fillId="0" borderId="0" xfId="0" quotePrefix="1" applyFont="1" applyAlignment="1">
      <alignment vertical="center"/>
    </xf>
    <xf numFmtId="0" fontId="2" fillId="0" borderId="3" xfId="0" applyFont="1" applyBorder="1" applyAlignment="1">
      <alignment vertical="center"/>
    </xf>
    <xf numFmtId="0" fontId="2" fillId="0" borderId="4" xfId="0" applyFont="1" applyBorder="1" applyAlignment="1">
      <alignment vertical="center"/>
    </xf>
    <xf numFmtId="0" fontId="2" fillId="0" borderId="3" xfId="0" quotePrefix="1" applyFont="1" applyBorder="1" applyAlignment="1">
      <alignment vertical="center"/>
    </xf>
    <xf numFmtId="0" fontId="7" fillId="0" borderId="1" xfId="0" applyFont="1" applyBorder="1" applyAlignment="1">
      <alignment vertical="center"/>
    </xf>
    <xf numFmtId="0" fontId="4" fillId="0" borderId="1" xfId="0" applyFont="1" applyBorder="1" applyAlignment="1">
      <alignment vertical="center"/>
    </xf>
    <xf numFmtId="0" fontId="2" fillId="0" borderId="1" xfId="0" quotePrefix="1" applyFont="1" applyBorder="1" applyAlignment="1">
      <alignment vertical="center"/>
    </xf>
    <xf numFmtId="0" fontId="1" fillId="0" borderId="0" xfId="0" applyFont="1" applyAlignment="1">
      <alignment vertical="center" wrapText="1"/>
    </xf>
    <xf numFmtId="0" fontId="1" fillId="0" borderId="0" xfId="0" applyFont="1" applyAlignment="1">
      <alignment vertical="center"/>
    </xf>
    <xf numFmtId="0" fontId="1" fillId="0" borderId="1" xfId="0" applyFont="1" applyBorder="1" applyAlignment="1">
      <alignment vertical="center" wrapText="1"/>
    </xf>
    <xf numFmtId="0" fontId="1" fillId="0" borderId="0" xfId="0" quotePrefix="1" applyFont="1" applyAlignment="1">
      <alignment vertical="center"/>
    </xf>
    <xf numFmtId="0" fontId="1" fillId="0" borderId="0" xfId="0" applyFont="1"/>
    <xf numFmtId="0" fontId="1" fillId="0" borderId="3" xfId="0" applyFont="1" applyBorder="1" applyAlignment="1">
      <alignment vertical="center"/>
    </xf>
    <xf numFmtId="0" fontId="1" fillId="0" borderId="4" xfId="0" quotePrefix="1" applyFont="1" applyBorder="1" applyAlignment="1">
      <alignment vertical="center"/>
    </xf>
    <xf numFmtId="0" fontId="1" fillId="0" borderId="4" xfId="0" applyFont="1" applyBorder="1" applyAlignment="1">
      <alignment vertical="center"/>
    </xf>
    <xf numFmtId="0" fontId="1" fillId="0" borderId="3" xfId="0" quotePrefix="1" applyFont="1" applyBorder="1" applyAlignment="1">
      <alignment vertical="center"/>
    </xf>
  </cellXfs>
  <cellStyles count="2">
    <cellStyle name="Hyperlink" xfId="1" builtinId="8"/>
    <cellStyle name="Normal" xfId="0" builtinId="0"/>
  </cellStyles>
  <dxfs count="13">
    <dxf>
      <fill>
        <patternFill>
          <bgColor rgb="FFFF0000"/>
        </patternFill>
      </fill>
    </dxf>
    <dxf>
      <fill>
        <patternFill>
          <bgColor theme="0" tint="-4.9989318521683403E-2"/>
        </patternFill>
      </fill>
    </dxf>
    <dxf>
      <fill>
        <patternFill>
          <bgColor theme="8" tint="0.79998168889431442"/>
        </patternFill>
      </fill>
    </dxf>
    <dxf>
      <fill>
        <patternFill>
          <bgColor theme="7" tint="0.79998168889431442"/>
        </patternFill>
      </fill>
    </dxf>
    <dxf>
      <fill>
        <patternFill>
          <bgColor rgb="FFFF0000"/>
        </patternFill>
      </fill>
    </dxf>
    <dxf>
      <fill>
        <patternFill>
          <bgColor theme="0" tint="-4.9989318521683403E-2"/>
        </patternFill>
      </fill>
    </dxf>
    <dxf>
      <fill>
        <patternFill>
          <bgColor theme="8" tint="0.79998168889431442"/>
        </patternFill>
      </fill>
    </dxf>
    <dxf>
      <fill>
        <patternFill>
          <bgColor theme="7" tint="0.79998168889431442"/>
        </patternFill>
      </fill>
    </dxf>
    <dxf>
      <fill>
        <patternFill>
          <bgColor rgb="FFFF0000"/>
        </patternFill>
      </fill>
    </dxf>
    <dxf>
      <fill>
        <patternFill>
          <bgColor theme="0" tint="-4.9989318521683403E-2"/>
        </patternFill>
      </fill>
    </dxf>
    <dxf>
      <fill>
        <patternFill>
          <bgColor theme="9" tint="0.79998168889431442"/>
        </patternFill>
      </fill>
      <border>
        <vertical/>
        <horizontal/>
      </border>
    </dxf>
    <dxf>
      <fill>
        <patternFill>
          <bgColor theme="8" tint="0.79998168889431442"/>
        </patternFill>
      </fill>
    </dxf>
    <dxf>
      <fill>
        <patternFill>
          <bgColor theme="7" tint="0.7999816888943144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www.lourdes-france.org/" TargetMode="External"/><Relationship Id="rId2" Type="http://schemas.openxmlformats.org/officeDocument/2006/relationships/hyperlink" Target="https://www.fatima.pt/" TargetMode="External"/><Relationship Id="rId1" Type="http://schemas.openxmlformats.org/officeDocument/2006/relationships/hyperlink" Target="https://www.ourladyofsiluva.org/" TargetMode="External"/><Relationship Id="rId4" Type="http://schemas.openxmlformats.org/officeDocument/2006/relationships/hyperlink" Target="https://virgendeguadalupe.org.mx/" TargetMode="External"/></Relationships>
</file>

<file path=xl/worksheets/_rels/sheet2.xml.rels><?xml version="1.0" encoding="UTF-8" standalone="yes"?>
<Relationships xmlns="http://schemas.openxmlformats.org/package/2006/relationships"><Relationship Id="rId13" Type="http://schemas.openxmlformats.org/officeDocument/2006/relationships/hyperlink" Target="http://www.therealpresence.org/eucharst/misc/BVM/94_CAYSASAY_60x96.pdf" TargetMode="External"/><Relationship Id="rId18" Type="http://schemas.openxmlformats.org/officeDocument/2006/relationships/hyperlink" Target="http://www.therealpresence.org/eucharst/misc/BVM/69_LAUS_140x96.pdf" TargetMode="External"/><Relationship Id="rId26" Type="http://schemas.openxmlformats.org/officeDocument/2006/relationships/hyperlink" Target="http://www.therealpresence.org/eucharst/misc/BVM/89_FILIPOV_96x96.pdf" TargetMode="External"/><Relationship Id="rId21" Type="http://schemas.openxmlformats.org/officeDocument/2006/relationships/hyperlink" Target="http://www.therealpresence.org/eucharst/misc/BVM/110_LICHEN_96x96.pdf" TargetMode="External"/><Relationship Id="rId34" Type="http://schemas.openxmlformats.org/officeDocument/2006/relationships/hyperlink" Target="http://www.therealpresence.org/eucharst/misc/BVM/144_ZEITUN_96x96.pdf" TargetMode="External"/><Relationship Id="rId7" Type="http://schemas.openxmlformats.org/officeDocument/2006/relationships/hyperlink" Target="http://www.therealpresence.org/eucharst/misc/BVM/13_VALVERDE_60x96.pdf" TargetMode="External"/><Relationship Id="rId12" Type="http://schemas.openxmlformats.org/officeDocument/2006/relationships/hyperlink" Target="http://www.therealpresence.org/eucharst/misc/BVM/112_LUJAN_96x96.pdf" TargetMode="External"/><Relationship Id="rId17" Type="http://schemas.openxmlformats.org/officeDocument/2006/relationships/hyperlink" Target="http://www.therealpresence.org/eucharst/misc/BVM/102_CUBA_96x96.pdf" TargetMode="External"/><Relationship Id="rId25" Type="http://schemas.openxmlformats.org/officeDocument/2006/relationships/hyperlink" Target="http://www.therealpresence.org/eucharst/misc/BVM/40_LOURDES_140x96.pdf" TargetMode="External"/><Relationship Id="rId33" Type="http://schemas.openxmlformats.org/officeDocument/2006/relationships/hyperlink" Target="http://www.therealpresence.org/eucharst/misc/BVM/124_NGOME_140x96.pdf" TargetMode="External"/><Relationship Id="rId2" Type="http://schemas.openxmlformats.org/officeDocument/2006/relationships/hyperlink" Target="http://www.therealpresence.org/eucharst/misc/BVM/68_LE_PUY_60x96.pdf" TargetMode="External"/><Relationship Id="rId16" Type="http://schemas.openxmlformats.org/officeDocument/2006/relationships/hyperlink" Target="http://www.therealpresence.org/eucharst/misc/BVM/88_MANAOAG_60x96.pdf" TargetMode="External"/><Relationship Id="rId20" Type="http://schemas.openxmlformats.org/officeDocument/2006/relationships/hyperlink" Target="http://www.therealpresence.org/eucharst/misc/BVM/21_LAVANG_60x96.pdf" TargetMode="External"/><Relationship Id="rId29" Type="http://schemas.openxmlformats.org/officeDocument/2006/relationships/hyperlink" Target="http://www.therealpresence.org/eucharst/misc/BVM/85_GIETRZALD_96x96.pdf" TargetMode="External"/><Relationship Id="rId1" Type="http://schemas.openxmlformats.org/officeDocument/2006/relationships/hyperlink" Target="http://www.therealpresence.org/eucharst/misc/BVM/09_ZARAGOZA_60x96.pdf" TargetMode="External"/><Relationship Id="rId6" Type="http://schemas.openxmlformats.org/officeDocument/2006/relationships/hyperlink" Target="http://www.therealpresence.org/eucharst/misc/BVM/138_SWIETA_LIPKA_60x96.pdf" TargetMode="External"/><Relationship Id="rId11" Type="http://schemas.openxmlformats.org/officeDocument/2006/relationships/hyperlink" Target="http://www.therealpresence.org/eucharst/misc/BVM/140_GOZO_60x96.pdf" TargetMode="External"/><Relationship Id="rId24" Type="http://schemas.openxmlformats.org/officeDocument/2006/relationships/hyperlink" Target="http://www.therealpresence.org/eucharst/misc/BVM/30_LA_SALETTE_96x96.pdf" TargetMode="External"/><Relationship Id="rId32" Type="http://schemas.openxmlformats.org/officeDocument/2006/relationships/hyperlink" Target="http://www.therealpresence.org/eucharst/misc/BVM/128_KALLIKULAM_60x96.pdf" TargetMode="External"/><Relationship Id="rId37" Type="http://schemas.openxmlformats.org/officeDocument/2006/relationships/hyperlink" Target="http://www.therealpresence.org/eucharst/misc/BVM/20_KIBEHO_96x96.pdf" TargetMode="External"/><Relationship Id="rId5" Type="http://schemas.openxmlformats.org/officeDocument/2006/relationships/hyperlink" Target="http://www.therealpresence.org/eucharst/misc/BVM/153_WALSINGHAM_60x96.pdf" TargetMode="External"/><Relationship Id="rId15" Type="http://schemas.openxmlformats.org/officeDocument/2006/relationships/hyperlink" Target="http://www.therealpresence.org/eucharst/misc/BVM/57_SILUVA_96x96.pdf" TargetMode="External"/><Relationship Id="rId23" Type="http://schemas.openxmlformats.org/officeDocument/2006/relationships/hyperlink" Target="http://www.therealpresence.org/eucharst/misc/BVM/23_ROMA_60x96.pdf" TargetMode="External"/><Relationship Id="rId28" Type="http://schemas.openxmlformats.org/officeDocument/2006/relationships/hyperlink" Target="http://www.therealpresence.org/eucharst/misc/BVM/07_PELLEVOISIN_60x96.pdf" TargetMode="External"/><Relationship Id="rId36" Type="http://schemas.openxmlformats.org/officeDocument/2006/relationships/hyperlink" Target="http://www.therealpresence.org/eucharst/misc/BVM/16_CUAPA_60x96.pdf" TargetMode="External"/><Relationship Id="rId10" Type="http://schemas.openxmlformats.org/officeDocument/2006/relationships/hyperlink" Target="http://www.therealpresence.org/eucharst/misc/BVM/137_SVETA_GORA_60x96.pdf" TargetMode="External"/><Relationship Id="rId19" Type="http://schemas.openxmlformats.org/officeDocument/2006/relationships/hyperlink" Target="http://www.therealpresence.org/eucharst/misc/BVM/109_LAJAS_96x96.pdf" TargetMode="External"/><Relationship Id="rId31" Type="http://schemas.openxmlformats.org/officeDocument/2006/relationships/hyperlink" Target="http://www.therealpresence.org/eucharst/misc/BVM/154_FATIMA_96x96_1.pdf" TargetMode="External"/><Relationship Id="rId4" Type="http://schemas.openxmlformats.org/officeDocument/2006/relationships/hyperlink" Target="http://www.therealpresence.org/eucharst/misc/BVM/90_TINDARI_60x96.pdf" TargetMode="External"/><Relationship Id="rId9" Type="http://schemas.openxmlformats.org/officeDocument/2006/relationships/hyperlink" Target="http://www.therealpresence.org/eucharst/misc/BVM/70_GUADALUPE_96x96.pdf" TargetMode="External"/><Relationship Id="rId14" Type="http://schemas.openxmlformats.org/officeDocument/2006/relationships/hyperlink" Target="http://www.therealpresence.org/eucharst/misc/BVM/104_DOROSZLO_60x96.pdf" TargetMode="External"/><Relationship Id="rId22" Type="http://schemas.openxmlformats.org/officeDocument/2006/relationships/hyperlink" Target="http://www.therealpresence.org/eucharst/misc/BVM/06_PARIGI_60x96.pdf" TargetMode="External"/><Relationship Id="rId27" Type="http://schemas.openxmlformats.org/officeDocument/2006/relationships/hyperlink" Target="http://www.therealpresence.org/eucharst/misc/BVM/26_PONTMAIN_60x96.pdf" TargetMode="External"/><Relationship Id="rId30" Type="http://schemas.openxmlformats.org/officeDocument/2006/relationships/hyperlink" Target="http://www.therealpresence.org/eucharst/misc/BVM/63_KNOCK_60x96.pdf" TargetMode="External"/><Relationship Id="rId35" Type="http://schemas.openxmlformats.org/officeDocument/2006/relationships/hyperlink" Target="http://www.therealpresence.org/eucharst/misc/BVM/01_AKITA_60x96.pdf" TargetMode="External"/><Relationship Id="rId8" Type="http://schemas.openxmlformats.org/officeDocument/2006/relationships/hyperlink" Target="http://www.therealpresence.org/eucharst/misc/BVM/32_VAILANKANNI_60x96.pdf" TargetMode="External"/><Relationship Id="rId3" Type="http://schemas.openxmlformats.org/officeDocument/2006/relationships/hyperlink" Target="http://www.therealpresence.org/eucharst/misc/BVM/117_ROMA_60x96.pdf" TargetMode="External"/></Relationships>
</file>

<file path=xl/worksheets/_rels/sheet3.xml.rels><?xml version="1.0" encoding="UTF-8" standalone="yes"?>
<Relationships xmlns="http://schemas.openxmlformats.org/package/2006/relationships"><Relationship Id="rId26" Type="http://schemas.openxmlformats.org/officeDocument/2006/relationships/hyperlink" Target="http://www.therealpresence.org/eucharst/misc/BVM/42_BOCCADIRIO_60x96.pdf" TargetMode="External"/><Relationship Id="rId21" Type="http://schemas.openxmlformats.org/officeDocument/2006/relationships/hyperlink" Target="http://www.therealpresence.org/eucharst/misc/BVM/115_S_ANASTASIA_96x96.pdf" TargetMode="External"/><Relationship Id="rId42" Type="http://schemas.openxmlformats.org/officeDocument/2006/relationships/hyperlink" Target="http://www.therealpresence.org/eucharst/misc/BVM/41_BERGAMO_60x96.pdf" TargetMode="External"/><Relationship Id="rId47" Type="http://schemas.openxmlformats.org/officeDocument/2006/relationships/hyperlink" Target="http://www.therealpresence.org/eucharst/misc/BVM/114_CORI_60x96.pdf" TargetMode="External"/><Relationship Id="rId63" Type="http://schemas.openxmlformats.org/officeDocument/2006/relationships/hyperlink" Target="http://www.therealpresence.org/eucharst/misc/BVM/131_QUINCHE_60x96.pdf" TargetMode="External"/><Relationship Id="rId68" Type="http://schemas.openxmlformats.org/officeDocument/2006/relationships/hyperlink" Target="http://www.therealpresence.org/eucharst/misc/BVM/36_ARDESIO_60x96.pdf" TargetMode="External"/><Relationship Id="rId84" Type="http://schemas.openxmlformats.org/officeDocument/2006/relationships/hyperlink" Target="http://www.therealpresence.org/eucharst/misc/BVM/17_DIVINO_AMORE_60x96.pdf" TargetMode="External"/><Relationship Id="rId89" Type="http://schemas.openxmlformats.org/officeDocument/2006/relationships/hyperlink" Target="http://www.therealpresence.org/eucharst/misc/BVM/27_PORZUS_60x96.pdf" TargetMode="External"/><Relationship Id="rId112" Type="http://schemas.openxmlformats.org/officeDocument/2006/relationships/hyperlink" Target="http://www.therealpresence.org/eucharst/misc/BVM/113_ROGOROTTO_60x96.pdf" TargetMode="External"/><Relationship Id="rId16" Type="http://schemas.openxmlformats.org/officeDocument/2006/relationships/hyperlink" Target="http://www.therealpresence.org/eucharst/misc/BVM/100_CORDOBA_60x96.pdf" TargetMode="External"/><Relationship Id="rId107" Type="http://schemas.openxmlformats.org/officeDocument/2006/relationships/hyperlink" Target="http://www.therealpresence.org/eucharst/misc/BVM/149_MARIENFRIED_140x96.pdf" TargetMode="External"/><Relationship Id="rId11" Type="http://schemas.openxmlformats.org/officeDocument/2006/relationships/hyperlink" Target="http://www.therealpresence.org/eucharst/misc/BVM/133_ROMA_POZZO_60x96.pdf" TargetMode="External"/><Relationship Id="rId32" Type="http://schemas.openxmlformats.org/officeDocument/2006/relationships/hyperlink" Target="http://www.therealpresence.org/eucharst/misc/BVM/24_TROIS_EPIS_60x96.pdf" TargetMode="External"/><Relationship Id="rId37" Type="http://schemas.openxmlformats.org/officeDocument/2006/relationships/hyperlink" Target="http://www.therealpresence.org/eucharst/misc/BVM/98_ANDACOLLO_CILE_60x96.pdf" TargetMode="External"/><Relationship Id="rId53" Type="http://schemas.openxmlformats.org/officeDocument/2006/relationships/hyperlink" Target="http://www.therealpresence.org/eucharst/misc/BVM/116_VACCIAGO_60x96.pdf" TargetMode="External"/><Relationship Id="rId58" Type="http://schemas.openxmlformats.org/officeDocument/2006/relationships/hyperlink" Target="http://www.therealpresence.org/eucharst/misc/BVM/62_GEROSA_60x96.pdf" TargetMode="External"/><Relationship Id="rId74" Type="http://schemas.openxmlformats.org/officeDocument/2006/relationships/hyperlink" Target="http://www.therealpresence.org/eucharst/misc/BVM/14_GUANARE_60x96.pdf" TargetMode="External"/><Relationship Id="rId79" Type="http://schemas.openxmlformats.org/officeDocument/2006/relationships/hyperlink" Target="http://www.therealpresence.org/eucharst/misc/BVM/73_COTOCA_60x96.pdf" TargetMode="External"/><Relationship Id="rId102" Type="http://schemas.openxmlformats.org/officeDocument/2006/relationships/hyperlink" Target="http://www.therealpresence.org/eucharst/misc/BVM/11_BEAURAING_60x96.pdf" TargetMode="External"/><Relationship Id="rId5" Type="http://schemas.openxmlformats.org/officeDocument/2006/relationships/hyperlink" Target="http://www.therealpresence.org/eucharst/misc/BVM/123_NAZARE_96x96.pdf" TargetMode="External"/><Relationship Id="rId90" Type="http://schemas.openxmlformats.org/officeDocument/2006/relationships/hyperlink" Target="http://www.therealpresence.org/eucharst/misc/BVM/96_CHAMPION_140x96.pdf" TargetMode="External"/><Relationship Id="rId95" Type="http://schemas.openxmlformats.org/officeDocument/2006/relationships/hyperlink" Target="http://www.therealpresence.org/eucharst/misc/BVM/139_SZCZYRK_60x96.pdf" TargetMode="External"/><Relationship Id="rId22" Type="http://schemas.openxmlformats.org/officeDocument/2006/relationships/hyperlink" Target="http://www.therealpresence.org/eucharst/misc/BVM/45_GHISALBA_60x96.pdf" TargetMode="External"/><Relationship Id="rId27" Type="http://schemas.openxmlformats.org/officeDocument/2006/relationships/hyperlink" Target="http://www.therealpresence.org/eucharst/misc/BVM/106_TEROR_60x96.pdf" TargetMode="External"/><Relationship Id="rId43" Type="http://schemas.openxmlformats.org/officeDocument/2006/relationships/hyperlink" Target="http://www.therealpresence.org/eucharst/misc/BVM/134_RZESZOW_96x96.pdf" TargetMode="External"/><Relationship Id="rId48" Type="http://schemas.openxmlformats.org/officeDocument/2006/relationships/hyperlink" Target="http://www.therealpresence.org/eucharst/misc/BVM/48_CUSSANIO_60x96.pdf" TargetMode="External"/><Relationship Id="rId64" Type="http://schemas.openxmlformats.org/officeDocument/2006/relationships/hyperlink" Target="http://www.therealpresence.org/eucharst/misc/BVM/132_QUITO_96x96.pdf" TargetMode="External"/><Relationship Id="rId69" Type="http://schemas.openxmlformats.org/officeDocument/2006/relationships/hyperlink" Target="http://www.therealpresence.org/eucharst/misc/BVM/22_MONFERRATO_60x96.pdf" TargetMode="External"/><Relationship Id="rId113" Type="http://schemas.openxmlformats.org/officeDocument/2006/relationships/hyperlink" Target="http://www.therealpresence.org/eucharst/misc/BVM/28_SIRACUSA_60x96.pdf" TargetMode="External"/><Relationship Id="rId80" Type="http://schemas.openxmlformats.org/officeDocument/2006/relationships/hyperlink" Target="http://www.therealpresence.org/eucharst/misc/BVM/142_QUILLACOLLO_60x96.pdf" TargetMode="External"/><Relationship Id="rId85" Type="http://schemas.openxmlformats.org/officeDocument/2006/relationships/hyperlink" Target="http://www.therealpresence.org/eucharst/misc/BVM/95_CHAGUAYA_60x96.pdf" TargetMode="External"/><Relationship Id="rId12" Type="http://schemas.openxmlformats.org/officeDocument/2006/relationships/hyperlink" Target="http://www.therealpresence.org/eucharst/misc/BVM/148_LORETO_140x96.pdf" TargetMode="External"/><Relationship Id="rId17" Type="http://schemas.openxmlformats.org/officeDocument/2006/relationships/hyperlink" Target="http://www.therealpresence.org/eucharst/misc/BVM/58_MONTE_BERICO_60x96.pdf" TargetMode="External"/><Relationship Id="rId33" Type="http://schemas.openxmlformats.org/officeDocument/2006/relationships/hyperlink" Target="http://www.therealpresence.org/eucharst/misc/BVM/51_GALLIVAGGIO_60x96.pdf" TargetMode="External"/><Relationship Id="rId38" Type="http://schemas.openxmlformats.org/officeDocument/2006/relationships/hyperlink" Target="http://www.therealpresence.org/eucharst/misc/BVM/111_LUGGAU_60x96.pdf" TargetMode="External"/><Relationship Id="rId59" Type="http://schemas.openxmlformats.org/officeDocument/2006/relationships/hyperlink" Target="http://www.therealpresence.org/eucharst/misc/BVM/141_MONCRIVELLO_60x96.pdf" TargetMode="External"/><Relationship Id="rId103" Type="http://schemas.openxmlformats.org/officeDocument/2006/relationships/hyperlink" Target="http://www.therealpresence.org/eucharst/misc/BVM/39_BANNEAUX_96x96.pdf" TargetMode="External"/><Relationship Id="rId108" Type="http://schemas.openxmlformats.org/officeDocument/2006/relationships/hyperlink" Target="http://www.therealpresence.org/eucharst/misc/BVM/152_SIEKIERKI_96x96.pdf" TargetMode="External"/><Relationship Id="rId54" Type="http://schemas.openxmlformats.org/officeDocument/2006/relationships/hyperlink" Target="http://www.therealpresence.org/eucharst/misc/BVM/60_PIETRALBA_96x96.pdf" TargetMode="External"/><Relationship Id="rId70" Type="http://schemas.openxmlformats.org/officeDocument/2006/relationships/hyperlink" Target="http://www.therealpresence.org/eucharst/misc/BVM/118_MARBACH_60x96.pdf" TargetMode="External"/><Relationship Id="rId75" Type="http://schemas.openxmlformats.org/officeDocument/2006/relationships/hyperlink" Target="http://www.therealpresence.org/eucharst/misc/BVM/108_LA_PRENESSAYE_60x96.pdf" TargetMode="External"/><Relationship Id="rId91" Type="http://schemas.openxmlformats.org/officeDocument/2006/relationships/hyperlink" Target="http://www.therealpresence.org/eucharst/misc/BVM/12_MONTEFALCO_60x96.pdf" TargetMode="External"/><Relationship Id="rId96" Type="http://schemas.openxmlformats.org/officeDocument/2006/relationships/hyperlink" Target="http://www.therealpresence.org/eucharst/misc/BVM/91_BETANIA_96x96.pdf" TargetMode="External"/><Relationship Id="rId1" Type="http://schemas.openxmlformats.org/officeDocument/2006/relationships/hyperlink" Target="http://www.therealpresence.org/eucharst/misc/BVM/121_MONTSERRAT_60x96.pdf" TargetMode="External"/><Relationship Id="rId6" Type="http://schemas.openxmlformats.org/officeDocument/2006/relationships/hyperlink" Target="http://www.therealpresence.org/eucharst/misc/BVM/38_ASSISI_60x96.pdf" TargetMode="External"/><Relationship Id="rId15" Type="http://schemas.openxmlformats.org/officeDocument/2006/relationships/hyperlink" Target="http://www.therealpresence.org/eucharst/misc/BVM/43_CASTEL_GODEGO_60x96.pdf" TargetMode="External"/><Relationship Id="rId23" Type="http://schemas.openxmlformats.org/officeDocument/2006/relationships/hyperlink" Target="http://www.therealpresence.org/eucharst/misc/BVM/72_GARLASCO_60x96.pdf" TargetMode="External"/><Relationship Id="rId28" Type="http://schemas.openxmlformats.org/officeDocument/2006/relationships/hyperlink" Target="http://www.therealpresence.org/eucharst/misc/BVM/49_IMOLA_60x96.pdf" TargetMode="External"/><Relationship Id="rId36" Type="http://schemas.openxmlformats.org/officeDocument/2006/relationships/hyperlink" Target="http://www.therealpresence.org/eucharst/misc/BVM/65_MOLARE_60x96.pdf" TargetMode="External"/><Relationship Id="rId49" Type="http://schemas.openxmlformats.org/officeDocument/2006/relationships/hyperlink" Target="http://www.therealpresence.org/eucharst/misc/BVM/53_CRESCENTINO_60x96.pdf" TargetMode="External"/><Relationship Id="rId57" Type="http://schemas.openxmlformats.org/officeDocument/2006/relationships/hyperlink" Target="http://www.therealpresence.org/eucharst/misc/BVM/56_GIULIANOVA_96x96.pdf" TargetMode="External"/><Relationship Id="rId106" Type="http://schemas.openxmlformats.org/officeDocument/2006/relationships/hyperlink" Target="http://www.therealpresence.org/eucharst/misc/BVM/119_MILANO_96x96.pdf" TargetMode="External"/><Relationship Id="rId114" Type="http://schemas.openxmlformats.org/officeDocument/2006/relationships/hyperlink" Target="http://www.therealpresence.org/eucharst/misc/BVM/150_FOSTORIA_140x96.pdf" TargetMode="External"/><Relationship Id="rId10" Type="http://schemas.openxmlformats.org/officeDocument/2006/relationships/hyperlink" Target="http://www.therealpresence.org/eucharst/misc/BVM/05_AYLESFORD_60x96.pdf" TargetMode="External"/><Relationship Id="rId31" Type="http://schemas.openxmlformats.org/officeDocument/2006/relationships/hyperlink" Target="http://www.therealpresence.org/eucharst/misc/BVM/64_GENOVA_60x96.pdf" TargetMode="External"/><Relationship Id="rId44" Type="http://schemas.openxmlformats.org/officeDocument/2006/relationships/hyperlink" Target="http://www.therealpresence.org/eucharst/misc/BVM/84_GARAISON_60x96.pdf" TargetMode="External"/><Relationship Id="rId52" Type="http://schemas.openxmlformats.org/officeDocument/2006/relationships/hyperlink" Target="http://www.therealpresence.org/eucharst/misc/BVM/127_OCOTLAN_96x96.pdf" TargetMode="External"/><Relationship Id="rId60" Type="http://schemas.openxmlformats.org/officeDocument/2006/relationships/hyperlink" Target="http://www.therealpresence.org/eucharst/misc/BVM/52_CASALBORDINO_60x96.pdf" TargetMode="External"/><Relationship Id="rId65" Type="http://schemas.openxmlformats.org/officeDocument/2006/relationships/hyperlink" Target="http://www.therealpresence.org/eucharst/misc/BVM/120_RAPALLO_60x96.pdf" TargetMode="External"/><Relationship Id="rId73" Type="http://schemas.openxmlformats.org/officeDocument/2006/relationships/hyperlink" Target="http://www.therealpresence.org/eucharst/misc/BVM/125_PLANTEES_60x96.pdf" TargetMode="External"/><Relationship Id="rId78" Type="http://schemas.openxmlformats.org/officeDocument/2006/relationships/hyperlink" Target="http://www.therealpresence.org/eucharst/misc/BVM/145_GYOR_96x96.pdf" TargetMode="External"/><Relationship Id="rId81" Type="http://schemas.openxmlformats.org/officeDocument/2006/relationships/hyperlink" Target="http://www.therealpresence.org/eucharst/misc/BVM/130_PELLESTRINA_96x96.pdf" TargetMode="External"/><Relationship Id="rId86" Type="http://schemas.openxmlformats.org/officeDocument/2006/relationships/hyperlink" Target="http://www.therealpresence.org/eucharst/misc/BVM/33_ABSAM_60x96.pdf" TargetMode="External"/><Relationship Id="rId94" Type="http://schemas.openxmlformats.org/officeDocument/2006/relationships/hyperlink" Target="http://www.therealpresence.org/eucharst/misc/BVM/82_CASTELPETROSO_60x96.pdf" TargetMode="External"/><Relationship Id="rId99" Type="http://schemas.openxmlformats.org/officeDocument/2006/relationships/hyperlink" Target="http://www.therealpresence.org/eucharst/misc/BVM/04_CERNUSCO_60x96.pdf" TargetMode="External"/><Relationship Id="rId101" Type="http://schemas.openxmlformats.org/officeDocument/2006/relationships/hyperlink" Target="http://www.therealpresence.org/eucharst/misc/BVM/93_CAMPINAS_140x96.pdf" TargetMode="External"/><Relationship Id="rId4" Type="http://schemas.openxmlformats.org/officeDocument/2006/relationships/hyperlink" Target="http://www.therealpresence.org/eucharst/misc/BVM/37_ARRAS_60x96.pdf" TargetMode="External"/><Relationship Id="rId9" Type="http://schemas.openxmlformats.org/officeDocument/2006/relationships/hyperlink" Target="http://www.therealpresence.org/eucharst/misc/BVM/18_FIRENZE_60x96.pdf" TargetMode="External"/><Relationship Id="rId13" Type="http://schemas.openxmlformats.org/officeDocument/2006/relationships/hyperlink" Target="http://www.therealpresence.org/eucharst/misc/BVM/44_BRA_60x96.pdf" TargetMode="External"/><Relationship Id="rId18" Type="http://schemas.openxmlformats.org/officeDocument/2006/relationships/hyperlink" Target="http://www.therealpresence.org/eucharst/misc/BVM/15_CARAVAGGIO_60x96.pdf" TargetMode="External"/><Relationship Id="rId39" Type="http://schemas.openxmlformats.org/officeDocument/2006/relationships/hyperlink" Target="http://www.therealpresence.org/eucharst/misc/BVM/79_TIRANO_96x96.pdf" TargetMode="External"/><Relationship Id="rId109" Type="http://schemas.openxmlformats.org/officeDocument/2006/relationships/hyperlink" Target="http://www.therealpresence.org/eucharst/misc/BVM/99_CODOSERA_140x96.pdf" TargetMode="External"/><Relationship Id="rId34" Type="http://schemas.openxmlformats.org/officeDocument/2006/relationships/hyperlink" Target="http://www.therealpresence.org/eucharst/misc/BVM/87_RE_60x96.pdf" TargetMode="External"/><Relationship Id="rId50" Type="http://schemas.openxmlformats.org/officeDocument/2006/relationships/hyperlink" Target="http://www.therealpresence.org/eucharst/misc/BVM/81_ORNAVASSO_60x96.pdf" TargetMode="External"/><Relationship Id="rId55" Type="http://schemas.openxmlformats.org/officeDocument/2006/relationships/hyperlink" Target="http://www.therealpresence.org/eucharst/misc/BVM/10_CORBETTA_60x96.pdf" TargetMode="External"/><Relationship Id="rId76" Type="http://schemas.openxmlformats.org/officeDocument/2006/relationships/hyperlink" Target="http://www.therealpresence.org/eucharst/misc/BVM/08_PIEVE_DI_TAGLIAM_60x96.pdf" TargetMode="External"/><Relationship Id="rId97" Type="http://schemas.openxmlformats.org/officeDocument/2006/relationships/hyperlink" Target="http://www.therealpresence.org/eucharst/misc/BVM/103_DONG_LU_96x96.pdf" TargetMode="External"/><Relationship Id="rId104" Type="http://schemas.openxmlformats.org/officeDocument/2006/relationships/hyperlink" Target="http://www.therealpresence.org/eucharst/misc/BVM/151_PESQUEIRA_140x96.pdf" TargetMode="External"/><Relationship Id="rId7" Type="http://schemas.openxmlformats.org/officeDocument/2006/relationships/hyperlink" Target="http://www.therealpresence.org/eucharst/misc/BVM/136_ARCOS_60x96.pdf" TargetMode="External"/><Relationship Id="rId71" Type="http://schemas.openxmlformats.org/officeDocument/2006/relationships/hyperlink" Target="http://www.therealpresence.org/eucharst/misc/BVM/101_CARTAGO_60x96.pdf" TargetMode="External"/><Relationship Id="rId92" Type="http://schemas.openxmlformats.org/officeDocument/2006/relationships/hyperlink" Target="http://www.therealpresence.org/eucharst/misc/BVM/135_S_BAUZILLE_96x96.pdf" TargetMode="External"/><Relationship Id="rId2" Type="http://schemas.openxmlformats.org/officeDocument/2006/relationships/hyperlink" Target="http://www.therealpresence.org/eucharst/misc/BVM/80_MONTEFORTINO_60x96.pdf" TargetMode="External"/><Relationship Id="rId29" Type="http://schemas.openxmlformats.org/officeDocument/2006/relationships/hyperlink" Target="http://www.therealpresence.org/eucharst/misc/BVM/67_AGRES_60x96.pdf" TargetMode="External"/><Relationship Id="rId24" Type="http://schemas.openxmlformats.org/officeDocument/2006/relationships/hyperlink" Target="http://www.therealpresence.org/eucharst/misc/BVM/71_GENAZZANO_60x96.pdf" TargetMode="External"/><Relationship Id="rId40" Type="http://schemas.openxmlformats.org/officeDocument/2006/relationships/hyperlink" Target="http://www.therealpresence.org/eucharst/misc/BVM/122_MOTTA_DI_LIV_96x96.pdf" TargetMode="External"/><Relationship Id="rId45" Type="http://schemas.openxmlformats.org/officeDocument/2006/relationships/hyperlink" Target="http://www.therealpresence.org/eucharst/misc/BVM/34_ADRO_60x96.pdf" TargetMode="External"/><Relationship Id="rId66" Type="http://schemas.openxmlformats.org/officeDocument/2006/relationships/hyperlink" Target="http://www.therealpresence.org/eucharst/misc/BVM/61_BETHARRAM_60x96.pdf" TargetMode="External"/><Relationship Id="rId87" Type="http://schemas.openxmlformats.org/officeDocument/2006/relationships/hyperlink" Target="http://www.therealpresence.org/eucharst/misc/BVM/126_ORNANS_60x96.pdf" TargetMode="External"/><Relationship Id="rId110" Type="http://schemas.openxmlformats.org/officeDocument/2006/relationships/hyperlink" Target="http://www.therealpresence.org/eucharst/misc/BVM/19_ILE_BOUCHARD_96x96.pdf" TargetMode="External"/><Relationship Id="rId115" Type="http://schemas.openxmlformats.org/officeDocument/2006/relationships/hyperlink" Target="http://www.therealpresence.org/eucharst/misc/BVM/143_NAMYANG_96x96.pdf" TargetMode="External"/><Relationship Id="rId61" Type="http://schemas.openxmlformats.org/officeDocument/2006/relationships/hyperlink" Target="http://www.therealpresence.org/eucharst/misc/BVM/129_LUMARZO_60x96.pdf" TargetMode="External"/><Relationship Id="rId82" Type="http://schemas.openxmlformats.org/officeDocument/2006/relationships/hyperlink" Target="http://www.therealpresence.org/eucharst/misc/BVM/77_VALE_DO_PARAIBA_60x96.pdf" TargetMode="External"/><Relationship Id="rId19" Type="http://schemas.openxmlformats.org/officeDocument/2006/relationships/hyperlink" Target="http://www.therealpresence.org/eucharst/misc/BVM/50_DESENZANO_DI_ALBINO_60x96.pd.pdf" TargetMode="External"/><Relationship Id="rId14" Type="http://schemas.openxmlformats.org/officeDocument/2006/relationships/hyperlink" Target="http://www.therealpresence.org/eucharst/misc/BVM/74_ROVERANO_60x96.pdf" TargetMode="External"/><Relationship Id="rId30" Type="http://schemas.openxmlformats.org/officeDocument/2006/relationships/hyperlink" Target="http://www.therealpresence.org/eucharst/misc/BVM/55_MADONNA_DEL_SASSO_60x96.pdf" TargetMode="External"/><Relationship Id="rId35" Type="http://schemas.openxmlformats.org/officeDocument/2006/relationships/hyperlink" Target="http://www.therealpresence.org/eucharst/misc/BVM/47_BETTOLA_60x96.pdf" TargetMode="External"/><Relationship Id="rId56" Type="http://schemas.openxmlformats.org/officeDocument/2006/relationships/hyperlink" Target="http://www.therealpresence.org/eucharst/misc/BVM/02_ARCOLA_60x96.pdf" TargetMode="External"/><Relationship Id="rId77" Type="http://schemas.openxmlformats.org/officeDocument/2006/relationships/hyperlink" Target="http://www.therealpresence.org/eucharst/misc/BVM/54_SAN_BARTOLOMEO_60x96.pdf" TargetMode="External"/><Relationship Id="rId100" Type="http://schemas.openxmlformats.org/officeDocument/2006/relationships/hyperlink" Target="http://www.therealpresence.org/eucharst/misc/BVM/31_PONTEVEDRA_96x96.pdf" TargetMode="External"/><Relationship Id="rId105" Type="http://schemas.openxmlformats.org/officeDocument/2006/relationships/hyperlink" Target="http://www.therealpresence.org/eucharst/misc/BVM/146_HEEDE_140x96.pdf" TargetMode="External"/><Relationship Id="rId8" Type="http://schemas.openxmlformats.org/officeDocument/2006/relationships/hyperlink" Target="http://www.therealpresence.org/eucharst/misc/BVM/35_CORTES_60x96.pdf" TargetMode="External"/><Relationship Id="rId51" Type="http://schemas.openxmlformats.org/officeDocument/2006/relationships/hyperlink" Target="http://www.therealpresence.org/eucharst/misc/BVM/29_SAVONA_60x96.pdf" TargetMode="External"/><Relationship Id="rId72" Type="http://schemas.openxmlformats.org/officeDocument/2006/relationships/hyperlink" Target="http://www.therealpresence.org/eucharst/misc/BVM/107_KEVELAER_96x96.pdf" TargetMode="External"/><Relationship Id="rId93" Type="http://schemas.openxmlformats.org/officeDocument/2006/relationships/hyperlink" Target="http://www.therealpresence.org/eucharst/misc/BVM/25_POMPEI_96x96.pdf" TargetMode="External"/><Relationship Id="rId98" Type="http://schemas.openxmlformats.org/officeDocument/2006/relationships/hyperlink" Target="http://www.therealpresence.org/eucharst/misc/BVM/46_TORINO_60x96.pdf" TargetMode="External"/><Relationship Id="rId3" Type="http://schemas.openxmlformats.org/officeDocument/2006/relationships/hyperlink" Target="http://www.therealpresence.org/eucharst/misc/BVM/86_FOGGIA_60x96.pdf" TargetMode="External"/><Relationship Id="rId25" Type="http://schemas.openxmlformats.org/officeDocument/2006/relationships/hyperlink" Target="http://www.therealpresence.org/eucharst/misc/BVM/75_BADIA_DI_CAVA_60x96.pdf" TargetMode="External"/><Relationship Id="rId46" Type="http://schemas.openxmlformats.org/officeDocument/2006/relationships/hyperlink" Target="http://www.therealpresence.org/eucharst/misc/BVM/83_COTIGNAC_60x96.pdf" TargetMode="External"/><Relationship Id="rId67" Type="http://schemas.openxmlformats.org/officeDocument/2006/relationships/hyperlink" Target="http://www.therealpresence.org/eucharst/misc/BVM/92_CAACUPE_96x96.pdf" TargetMode="External"/><Relationship Id="rId116" Type="http://schemas.openxmlformats.org/officeDocument/2006/relationships/hyperlink" Target="http://www.therealpresence.org/eucharst/misc/BVM/76_AOKPE_140x96.pdf" TargetMode="External"/><Relationship Id="rId20" Type="http://schemas.openxmlformats.org/officeDocument/2006/relationships/hyperlink" Target="http://www.therealpresence.org/eucharst/misc/BVM/105_FUERTEVENTURA_60x96.pdf" TargetMode="External"/><Relationship Id="rId41" Type="http://schemas.openxmlformats.org/officeDocument/2006/relationships/hyperlink" Target="http://www.therealpresence.org/eucharst/misc/BVM/66_PESCHIERA_S-GARDA_60x96.pdf" TargetMode="External"/><Relationship Id="rId62" Type="http://schemas.openxmlformats.org/officeDocument/2006/relationships/hyperlink" Target="http://www.therealpresence.org/eucharst/misc/BVM/97_CHIQUINQUIRA_96x96.pdf" TargetMode="External"/><Relationship Id="rId83" Type="http://schemas.openxmlformats.org/officeDocument/2006/relationships/hyperlink" Target="http://www.therealpresence.org/eucharst/misc/BVM/59_MONTAGNAGA_96x96.pdf" TargetMode="External"/><Relationship Id="rId88" Type="http://schemas.openxmlformats.org/officeDocument/2006/relationships/hyperlink" Target="http://www.therealpresence.org/eucharst/misc/BVM/03_BORGO_CERRETO_60x96.pdf" TargetMode="External"/><Relationship Id="rId111" Type="http://schemas.openxmlformats.org/officeDocument/2006/relationships/hyperlink" Target="http://www.therealpresence.org/eucharst/misc/BVM/147_HEROLDSBACH_140x96.pdf" TargetMode="External"/></Relationships>
</file>

<file path=xl/worksheets/_rels/sheet6.xml.rels><?xml version="1.0" encoding="UTF-8" standalone="yes"?>
<Relationships xmlns="http://schemas.openxmlformats.org/package/2006/relationships"><Relationship Id="rId8" Type="http://schemas.openxmlformats.org/officeDocument/2006/relationships/hyperlink" Target="https://www.miraclehunter.com/marian_apparitions/approved_apparitions/toledo/index.html" TargetMode="External"/><Relationship Id="rId3" Type="http://schemas.openxmlformats.org/officeDocument/2006/relationships/hyperlink" Target="https://www.miraclehunter.com/marian_apparitions/approved_apparitions/myra/index.html" TargetMode="External"/><Relationship Id="rId7" Type="http://schemas.openxmlformats.org/officeDocument/2006/relationships/hyperlink" Target="https://www.miraclehunter.com/marian_apparitions/approved_apparitions/genoa/index.html" TargetMode="External"/><Relationship Id="rId2" Type="http://schemas.openxmlformats.org/officeDocument/2006/relationships/hyperlink" Target="https://www.miraclehunter.com/marian_apparitions/approved_apparitions/lenola/index.html" TargetMode="External"/><Relationship Id="rId1" Type="http://schemas.openxmlformats.org/officeDocument/2006/relationships/hyperlink" Target="https://www.miraclehunter.com/marian_apparitions/approved_apparitions/neocaesarea/index.html" TargetMode="External"/><Relationship Id="rId6" Type="http://schemas.openxmlformats.org/officeDocument/2006/relationships/hyperlink" Target="https://www.miraclehunter.com/marian_apparitions/approved_apparitions/tagaste/index.html" TargetMode="External"/><Relationship Id="rId5" Type="http://schemas.openxmlformats.org/officeDocument/2006/relationships/hyperlink" Target="https://www.miraclehunter.com/marian_apparitions/approved_apparitions/tours/index.html" TargetMode="External"/><Relationship Id="rId10" Type="http://schemas.openxmlformats.org/officeDocument/2006/relationships/hyperlink" Target="http://www.salvemariaregina.info/" TargetMode="External"/><Relationship Id="rId4" Type="http://schemas.openxmlformats.org/officeDocument/2006/relationships/hyperlink" Target="https://www.miraclehunter.com/marian_apparitions/approved_apparitions/caesarea/index.html" TargetMode="External"/><Relationship Id="rId9" Type="http://schemas.openxmlformats.org/officeDocument/2006/relationships/hyperlink" Target="https://www.miraclehunter.com/marian_apparitions/approved_apparitions/benevento/index.html"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E309CC-FA49-4023-9000-8624B69B6953}">
  <sheetPr codeName="Sheet3"/>
  <dimension ref="A1:U23"/>
  <sheetViews>
    <sheetView workbookViewId="0">
      <selection activeCell="A2" sqref="A2:XFD10"/>
    </sheetView>
  </sheetViews>
  <sheetFormatPr defaultRowHeight="15" x14ac:dyDescent="0.25"/>
  <cols>
    <col min="1" max="1" width="2.7109375" bestFit="1" customWidth="1"/>
    <col min="2" max="2" width="7.5703125" bestFit="1" customWidth="1"/>
    <col min="3" max="3" width="71.5703125" bestFit="1" customWidth="1"/>
    <col min="4" max="4" width="11" bestFit="1" customWidth="1"/>
    <col min="5" max="5" width="3.5703125" bestFit="1" customWidth="1"/>
    <col min="6" max="6" width="60" bestFit="1" customWidth="1"/>
    <col min="7" max="7" width="4.7109375" bestFit="1" customWidth="1"/>
    <col min="8" max="8" width="3.28515625" bestFit="1" customWidth="1"/>
    <col min="9" max="9" width="3.7109375" bestFit="1" customWidth="1"/>
    <col min="10" max="10" width="15.5703125" customWidth="1"/>
    <col min="11" max="11" width="5.42578125" bestFit="1" customWidth="1"/>
    <col min="12" max="12" width="45.28515625" bestFit="1" customWidth="1"/>
    <col min="14" max="14" width="8.5703125" bestFit="1" customWidth="1"/>
    <col min="15" max="15" width="9.42578125" bestFit="1" customWidth="1"/>
    <col min="16" max="16" width="6.28515625" bestFit="1" customWidth="1"/>
    <col min="17" max="17" width="5" bestFit="1" customWidth="1"/>
    <col min="18" max="18" width="3.85546875" bestFit="1" customWidth="1"/>
    <col min="19" max="19" width="6" bestFit="1" customWidth="1"/>
    <col min="20" max="20" width="10.7109375" bestFit="1" customWidth="1"/>
    <col min="21" max="21" width="10.5703125" bestFit="1" customWidth="1"/>
  </cols>
  <sheetData>
    <row r="1" spans="1:21" x14ac:dyDescent="0.25">
      <c r="A1" t="s">
        <v>452</v>
      </c>
      <c r="B1" t="s">
        <v>451</v>
      </c>
      <c r="C1" t="s">
        <v>450</v>
      </c>
      <c r="D1" t="s">
        <v>449</v>
      </c>
      <c r="E1" t="s">
        <v>448</v>
      </c>
      <c r="F1" t="s">
        <v>447</v>
      </c>
      <c r="G1" t="s">
        <v>446</v>
      </c>
      <c r="H1" t="s">
        <v>445</v>
      </c>
      <c r="I1" t="s">
        <v>444</v>
      </c>
      <c r="K1" t="s">
        <v>443</v>
      </c>
      <c r="L1" t="s">
        <v>442</v>
      </c>
      <c r="M1" t="s">
        <v>441</v>
      </c>
      <c r="N1" t="s">
        <v>440</v>
      </c>
      <c r="O1" t="s">
        <v>439</v>
      </c>
      <c r="P1" t="s">
        <v>438</v>
      </c>
      <c r="Q1" t="s">
        <v>437</v>
      </c>
      <c r="R1" t="s">
        <v>436</v>
      </c>
      <c r="S1" t="s">
        <v>435</v>
      </c>
      <c r="T1" t="s">
        <v>434</v>
      </c>
      <c r="U1" t="s">
        <v>433</v>
      </c>
    </row>
    <row r="2" spans="1:21" s="18" customFormat="1" x14ac:dyDescent="0.25">
      <c r="A2" s="18">
        <v>2</v>
      </c>
      <c r="B2" s="18">
        <v>1</v>
      </c>
      <c r="C2" s="18" t="s">
        <v>432</v>
      </c>
      <c r="F2" s="19" t="s">
        <v>431</v>
      </c>
      <c r="H2" s="18">
        <v>19.483432799999999</v>
      </c>
      <c r="I2" s="18">
        <v>-99.117410300000003</v>
      </c>
      <c r="K2" s="18">
        <v>0</v>
      </c>
      <c r="L2" s="18" t="s">
        <v>430</v>
      </c>
      <c r="M2" s="18">
        <v>0</v>
      </c>
      <c r="N2" s="18" t="s">
        <v>399</v>
      </c>
      <c r="O2" s="18">
        <v>1</v>
      </c>
      <c r="P2" s="18">
        <v>0</v>
      </c>
      <c r="Q2" s="18">
        <v>0</v>
      </c>
      <c r="S2" s="18">
        <v>0</v>
      </c>
      <c r="U2" s="18">
        <v>0</v>
      </c>
    </row>
    <row r="3" spans="1:21" s="18" customFormat="1" x14ac:dyDescent="0.25">
      <c r="A3" s="18">
        <v>3</v>
      </c>
      <c r="B3" s="18">
        <v>1</v>
      </c>
      <c r="C3" s="18" t="s">
        <v>429</v>
      </c>
      <c r="F3" s="19" t="s">
        <v>428</v>
      </c>
      <c r="H3" s="18">
        <v>43.0974206</v>
      </c>
      <c r="I3" s="18">
        <v>-5.8261100000000003E-2</v>
      </c>
      <c r="K3" s="18">
        <v>0</v>
      </c>
      <c r="L3" s="18" t="s">
        <v>373</v>
      </c>
      <c r="M3" s="18">
        <v>0</v>
      </c>
      <c r="N3" s="18" t="s">
        <v>399</v>
      </c>
      <c r="O3" s="18">
        <v>1</v>
      </c>
      <c r="P3" s="18">
        <v>0</v>
      </c>
      <c r="Q3" s="18">
        <v>0</v>
      </c>
      <c r="S3" s="18">
        <v>0</v>
      </c>
      <c r="U3" s="18">
        <v>0</v>
      </c>
    </row>
    <row r="4" spans="1:21" s="18" customFormat="1" x14ac:dyDescent="0.25">
      <c r="A4" s="18">
        <v>4</v>
      </c>
      <c r="B4" s="18">
        <v>1</v>
      </c>
      <c r="C4" s="18" t="s">
        <v>427</v>
      </c>
      <c r="F4" s="19" t="s">
        <v>426</v>
      </c>
      <c r="H4" s="18">
        <v>39.631263799999999</v>
      </c>
      <c r="I4" s="18">
        <v>-8.6731570999999992</v>
      </c>
      <c r="J4" s="18" t="str">
        <f t="shared" ref="J4:J23" si="0">"location: {lat: "&amp;H4&amp;", lng: "&amp;I4&amp;"}"</f>
        <v>location: {lat: 39.6312638, lng: -8.6731571}</v>
      </c>
      <c r="K4" s="18">
        <v>0</v>
      </c>
      <c r="L4" s="18" t="s">
        <v>425</v>
      </c>
      <c r="M4" s="18">
        <v>0</v>
      </c>
      <c r="N4" s="18" t="s">
        <v>399</v>
      </c>
      <c r="O4" s="18">
        <v>1</v>
      </c>
      <c r="P4" s="18">
        <v>0</v>
      </c>
      <c r="Q4" s="18">
        <v>0</v>
      </c>
      <c r="S4" s="18">
        <v>0</v>
      </c>
      <c r="U4" s="18">
        <v>0</v>
      </c>
    </row>
    <row r="5" spans="1:21" s="18" customFormat="1" x14ac:dyDescent="0.25">
      <c r="A5" s="18">
        <v>5</v>
      </c>
      <c r="B5" s="18">
        <v>1</v>
      </c>
      <c r="C5" s="18" t="s">
        <v>424</v>
      </c>
      <c r="F5" s="18" t="s">
        <v>423</v>
      </c>
      <c r="H5" s="18">
        <v>50.270467699999998</v>
      </c>
      <c r="I5" s="18">
        <v>22.408031600000001</v>
      </c>
      <c r="J5" s="18" t="str">
        <f t="shared" si="0"/>
        <v>location: {lat: 50.2704677, lng: 22.4080316}</v>
      </c>
      <c r="K5" s="18">
        <v>0</v>
      </c>
      <c r="L5" s="18" t="s">
        <v>375</v>
      </c>
      <c r="M5" s="18">
        <v>0</v>
      </c>
      <c r="N5" s="18" t="s">
        <v>399</v>
      </c>
      <c r="O5" s="18">
        <v>1</v>
      </c>
      <c r="P5" s="18">
        <v>0</v>
      </c>
      <c r="Q5" s="18">
        <v>0</v>
      </c>
      <c r="S5" s="18">
        <v>0</v>
      </c>
      <c r="U5" s="18">
        <v>0</v>
      </c>
    </row>
    <row r="6" spans="1:21" s="18" customFormat="1" x14ac:dyDescent="0.25">
      <c r="A6" s="18">
        <v>6</v>
      </c>
      <c r="B6" s="18">
        <v>1</v>
      </c>
      <c r="C6" s="18" t="s">
        <v>422</v>
      </c>
      <c r="F6" s="19" t="s">
        <v>421</v>
      </c>
      <c r="H6" s="18">
        <v>55.530612599999998</v>
      </c>
      <c r="I6" s="18">
        <v>23.219925199999999</v>
      </c>
      <c r="J6" s="18" t="str">
        <f t="shared" si="0"/>
        <v>location: {lat: 55.5306126, lng: 23.2199252}</v>
      </c>
      <c r="K6" s="18">
        <v>0</v>
      </c>
      <c r="L6" s="18" t="s">
        <v>374</v>
      </c>
      <c r="M6" s="18">
        <v>0</v>
      </c>
      <c r="N6" s="18" t="s">
        <v>399</v>
      </c>
      <c r="O6" s="18">
        <v>1</v>
      </c>
      <c r="P6" s="18">
        <v>0</v>
      </c>
      <c r="Q6" s="18">
        <v>0</v>
      </c>
      <c r="S6" s="18">
        <v>0</v>
      </c>
      <c r="U6" s="18">
        <v>0</v>
      </c>
    </row>
    <row r="7" spans="1:21" s="18" customFormat="1" x14ac:dyDescent="0.25">
      <c r="A7" s="18">
        <v>7</v>
      </c>
      <c r="B7" s="18">
        <v>1</v>
      </c>
      <c r="C7" s="18" t="s">
        <v>420</v>
      </c>
      <c r="F7" s="18" t="s">
        <v>419</v>
      </c>
      <c r="H7" s="18">
        <v>44.521201599999998</v>
      </c>
      <c r="I7" s="18">
        <v>6.1521160000000004</v>
      </c>
      <c r="J7" s="18" t="str">
        <f t="shared" si="0"/>
        <v>location: {lat: 44.5212016, lng: 6.152116}</v>
      </c>
      <c r="K7" s="18">
        <v>0</v>
      </c>
      <c r="L7" s="18" t="s">
        <v>418</v>
      </c>
      <c r="M7" s="18">
        <v>0</v>
      </c>
      <c r="N7" s="18" t="s">
        <v>399</v>
      </c>
      <c r="O7" s="18">
        <v>1</v>
      </c>
      <c r="P7" s="18">
        <v>0</v>
      </c>
      <c r="Q7" s="18">
        <v>0</v>
      </c>
      <c r="S7" s="18">
        <v>0</v>
      </c>
      <c r="U7" s="18">
        <v>0</v>
      </c>
    </row>
    <row r="8" spans="1:21" s="18" customFormat="1" x14ac:dyDescent="0.25">
      <c r="A8" s="18">
        <v>8</v>
      </c>
      <c r="B8" s="18">
        <v>1</v>
      </c>
      <c r="C8" s="18" t="s">
        <v>417</v>
      </c>
      <c r="F8" s="18" t="s">
        <v>416</v>
      </c>
      <c r="H8" s="18">
        <v>48.850785899999998</v>
      </c>
      <c r="I8" s="18">
        <v>2.3229912000000001</v>
      </c>
      <c r="J8" s="18" t="str">
        <f t="shared" si="0"/>
        <v>location: {lat: 48.8507859, lng: 2.3229912}</v>
      </c>
      <c r="K8" s="18">
        <v>0</v>
      </c>
      <c r="L8" s="18" t="s">
        <v>371</v>
      </c>
      <c r="M8" s="18">
        <v>0</v>
      </c>
      <c r="N8" s="18" t="s">
        <v>399</v>
      </c>
      <c r="O8" s="18">
        <v>1</v>
      </c>
      <c r="P8" s="18">
        <v>0</v>
      </c>
      <c r="Q8" s="18">
        <v>0</v>
      </c>
      <c r="S8" s="18">
        <v>0</v>
      </c>
      <c r="U8" s="18">
        <v>0</v>
      </c>
    </row>
    <row r="9" spans="1:21" s="18" customFormat="1" x14ac:dyDescent="0.25">
      <c r="A9" s="18">
        <v>9</v>
      </c>
      <c r="B9" s="18">
        <v>1</v>
      </c>
      <c r="C9" s="18" t="s">
        <v>415</v>
      </c>
      <c r="F9" s="18" t="s">
        <v>414</v>
      </c>
      <c r="H9" s="18">
        <v>41.903563699999999</v>
      </c>
      <c r="I9" s="18">
        <v>12.483673899999999</v>
      </c>
      <c r="J9" s="18" t="str">
        <f t="shared" si="0"/>
        <v>location: {lat: 41.9035637, lng: 12.4836739}</v>
      </c>
      <c r="K9" s="18">
        <v>0</v>
      </c>
      <c r="L9" s="18" t="s">
        <v>370</v>
      </c>
      <c r="M9" s="18">
        <v>0</v>
      </c>
      <c r="N9" s="18" t="s">
        <v>399</v>
      </c>
      <c r="O9" s="18">
        <v>1</v>
      </c>
      <c r="P9" s="18">
        <v>0</v>
      </c>
      <c r="Q9" s="18">
        <v>0</v>
      </c>
      <c r="S9" s="18">
        <v>0</v>
      </c>
      <c r="U9" s="18">
        <v>0</v>
      </c>
    </row>
    <row r="10" spans="1:21" s="18" customFormat="1" x14ac:dyDescent="0.25">
      <c r="A10" s="18">
        <v>10</v>
      </c>
      <c r="B10" s="18">
        <v>1</v>
      </c>
      <c r="C10" s="18" t="s">
        <v>413</v>
      </c>
      <c r="F10" s="18" t="s">
        <v>412</v>
      </c>
      <c r="H10" s="18">
        <v>44.8586296</v>
      </c>
      <c r="I10" s="18">
        <v>5.9788043999999996</v>
      </c>
      <c r="J10" s="18" t="str">
        <f t="shared" si="0"/>
        <v>location: {lat: 44.8586296, lng: 5.9788044}</v>
      </c>
      <c r="K10" s="18">
        <v>0</v>
      </c>
      <c r="L10" s="18" t="s">
        <v>372</v>
      </c>
      <c r="M10" s="18">
        <v>0</v>
      </c>
      <c r="N10" s="18" t="s">
        <v>399</v>
      </c>
      <c r="O10" s="18">
        <v>1</v>
      </c>
      <c r="P10" s="18">
        <v>0</v>
      </c>
      <c r="Q10" s="18">
        <v>0</v>
      </c>
      <c r="S10" s="18">
        <v>0</v>
      </c>
      <c r="U10" s="18">
        <v>0</v>
      </c>
    </row>
    <row r="11" spans="1:21" s="18" customFormat="1" x14ac:dyDescent="0.25">
      <c r="A11" s="18">
        <v>11</v>
      </c>
      <c r="B11" s="18">
        <v>1</v>
      </c>
      <c r="C11" s="18" t="s">
        <v>411</v>
      </c>
      <c r="F11" s="18" t="s">
        <v>410</v>
      </c>
      <c r="H11" s="18">
        <v>50.980685700000002</v>
      </c>
      <c r="I11" s="18">
        <v>14.597349899999999</v>
      </c>
      <c r="J11" s="18" t="str">
        <f t="shared" si="0"/>
        <v>location: {lat: 50.9806857, lng: 14.5973499}</v>
      </c>
      <c r="K11" s="18">
        <v>0</v>
      </c>
      <c r="L11" s="18" t="s">
        <v>409</v>
      </c>
      <c r="M11" s="18">
        <v>0</v>
      </c>
      <c r="N11" s="18" t="s">
        <v>399</v>
      </c>
      <c r="O11" s="18">
        <v>1</v>
      </c>
      <c r="P11" s="18">
        <v>0</v>
      </c>
      <c r="Q11" s="18">
        <v>0</v>
      </c>
      <c r="S11" s="18">
        <v>0</v>
      </c>
      <c r="U11" s="18">
        <v>0</v>
      </c>
    </row>
    <row r="12" spans="1:21" s="18" customFormat="1" x14ac:dyDescent="0.25">
      <c r="A12" s="18">
        <v>12</v>
      </c>
      <c r="B12" s="18">
        <v>1</v>
      </c>
      <c r="C12" s="18" t="s">
        <v>408</v>
      </c>
      <c r="F12" s="18" t="s">
        <v>407</v>
      </c>
      <c r="H12" s="18">
        <v>48.439602100000002</v>
      </c>
      <c r="I12" s="18">
        <v>-1.0592325</v>
      </c>
      <c r="J12" s="18" t="str">
        <f t="shared" si="0"/>
        <v>location: {lat: 48.4396021, lng: -1.0592325}</v>
      </c>
      <c r="K12" s="18">
        <v>0</v>
      </c>
      <c r="L12" s="18" t="s">
        <v>406</v>
      </c>
      <c r="M12" s="18">
        <v>0</v>
      </c>
      <c r="N12" s="18" t="s">
        <v>399</v>
      </c>
      <c r="O12" s="18">
        <v>1</v>
      </c>
      <c r="P12" s="18">
        <v>0</v>
      </c>
      <c r="Q12" s="18">
        <v>0</v>
      </c>
      <c r="S12" s="18">
        <v>0</v>
      </c>
      <c r="U12" s="18">
        <v>0</v>
      </c>
    </row>
    <row r="13" spans="1:21" s="18" customFormat="1" x14ac:dyDescent="0.25">
      <c r="A13" s="18">
        <v>13</v>
      </c>
      <c r="B13" s="18">
        <v>1</v>
      </c>
      <c r="C13" s="18" t="s">
        <v>405</v>
      </c>
      <c r="F13" s="18" t="s">
        <v>357</v>
      </c>
      <c r="H13" s="18">
        <v>53.7480853</v>
      </c>
      <c r="I13" s="18">
        <v>20.235602400000001</v>
      </c>
      <c r="J13" s="18" t="str">
        <f t="shared" si="0"/>
        <v>location: {lat: 53.7480853, lng: 20.2356024}</v>
      </c>
      <c r="K13" s="18">
        <v>0</v>
      </c>
      <c r="L13" s="18" t="s">
        <v>353</v>
      </c>
      <c r="M13" s="18">
        <v>0</v>
      </c>
      <c r="N13" s="18" t="s">
        <v>399</v>
      </c>
      <c r="O13" s="18">
        <v>1</v>
      </c>
      <c r="P13" s="18">
        <v>0</v>
      </c>
      <c r="Q13" s="18">
        <v>0</v>
      </c>
      <c r="S13" s="18">
        <v>0</v>
      </c>
      <c r="U13" s="18">
        <v>0</v>
      </c>
    </row>
    <row r="14" spans="1:21" s="18" customFormat="1" x14ac:dyDescent="0.25">
      <c r="A14" s="18">
        <v>14</v>
      </c>
      <c r="B14" s="18">
        <v>1</v>
      </c>
      <c r="C14" s="18" t="s">
        <v>404</v>
      </c>
      <c r="F14" s="18" t="s">
        <v>349</v>
      </c>
      <c r="H14" s="18">
        <v>53.792756199999999</v>
      </c>
      <c r="I14" s="18">
        <v>-8.9189810000000005</v>
      </c>
      <c r="J14" s="18" t="str">
        <f t="shared" si="0"/>
        <v>location: {lat: 53.7927562, lng: -8.918981}</v>
      </c>
      <c r="K14" s="18">
        <v>0</v>
      </c>
      <c r="L14" s="18" t="s">
        <v>403</v>
      </c>
      <c r="M14" s="18">
        <v>0</v>
      </c>
      <c r="N14" s="18" t="s">
        <v>399</v>
      </c>
      <c r="O14" s="18">
        <v>1</v>
      </c>
      <c r="P14" s="18">
        <v>0</v>
      </c>
      <c r="Q14" s="18">
        <v>0</v>
      </c>
      <c r="S14" s="18">
        <v>0</v>
      </c>
      <c r="U14" s="18">
        <v>0</v>
      </c>
    </row>
    <row r="15" spans="1:21" s="18" customFormat="1" x14ac:dyDescent="0.25">
      <c r="A15" s="18">
        <v>15</v>
      </c>
      <c r="B15" s="18">
        <v>1</v>
      </c>
      <c r="C15" s="18" t="s">
        <v>402</v>
      </c>
      <c r="F15" s="18" t="s">
        <v>347</v>
      </c>
      <c r="H15" s="18">
        <v>50.108666599999999</v>
      </c>
      <c r="I15" s="18">
        <v>4.9609611999999998</v>
      </c>
      <c r="J15" s="18" t="str">
        <f t="shared" si="0"/>
        <v>location: {lat: 50.1086666, lng: 4.9609612}</v>
      </c>
      <c r="K15" s="18">
        <v>0</v>
      </c>
      <c r="L15" s="18" t="s">
        <v>346</v>
      </c>
      <c r="M15" s="18">
        <v>0</v>
      </c>
      <c r="N15" s="18" t="s">
        <v>399</v>
      </c>
      <c r="O15" s="18">
        <v>1</v>
      </c>
      <c r="P15" s="18">
        <v>0</v>
      </c>
      <c r="Q15" s="18">
        <v>0</v>
      </c>
      <c r="S15" s="18">
        <v>0</v>
      </c>
      <c r="U15" s="18">
        <v>0</v>
      </c>
    </row>
    <row r="16" spans="1:21" s="18" customFormat="1" x14ac:dyDescent="0.25">
      <c r="A16" s="18">
        <v>16</v>
      </c>
      <c r="B16" s="18">
        <v>1</v>
      </c>
      <c r="C16" s="18" t="s">
        <v>401</v>
      </c>
      <c r="F16" s="18" t="s">
        <v>344</v>
      </c>
      <c r="H16" s="18">
        <v>50.538244800000001</v>
      </c>
      <c r="I16" s="18">
        <v>5.7507225999999996</v>
      </c>
      <c r="J16" s="18" t="str">
        <f t="shared" si="0"/>
        <v>location: {lat: 50.5382448, lng: 5.7507226}</v>
      </c>
      <c r="K16" s="18">
        <v>0</v>
      </c>
      <c r="L16" s="18" t="s">
        <v>343</v>
      </c>
      <c r="M16" s="18">
        <v>0</v>
      </c>
      <c r="N16" s="18" t="s">
        <v>399</v>
      </c>
      <c r="O16" s="18">
        <v>1</v>
      </c>
      <c r="P16" s="18">
        <v>0</v>
      </c>
      <c r="Q16" s="18">
        <v>0</v>
      </c>
      <c r="S16" s="18">
        <v>0</v>
      </c>
      <c r="U16" s="18">
        <v>0</v>
      </c>
    </row>
    <row r="17" spans="1:21" s="18" customFormat="1" x14ac:dyDescent="0.25">
      <c r="A17" s="18">
        <v>17</v>
      </c>
      <c r="B17" s="18">
        <v>1</v>
      </c>
      <c r="C17" s="18" t="s">
        <v>400</v>
      </c>
      <c r="F17" s="18" t="s">
        <v>340</v>
      </c>
      <c r="H17" s="18">
        <v>-2.6496097000000001</v>
      </c>
      <c r="I17" s="18">
        <v>29.553281200000001</v>
      </c>
      <c r="J17" s="18" t="str">
        <f t="shared" si="0"/>
        <v>location: {lat: -2.6496097, lng: 29.5532812}</v>
      </c>
      <c r="K17" s="18">
        <v>0</v>
      </c>
      <c r="L17" s="18" t="s">
        <v>345</v>
      </c>
      <c r="M17" s="18">
        <v>0</v>
      </c>
      <c r="N17" s="18" t="s">
        <v>399</v>
      </c>
      <c r="O17" s="18">
        <v>1</v>
      </c>
      <c r="P17" s="18">
        <v>0</v>
      </c>
      <c r="Q17" s="18">
        <v>0</v>
      </c>
      <c r="S17" s="18">
        <v>0</v>
      </c>
      <c r="T17" s="18" t="s">
        <v>378</v>
      </c>
      <c r="U17" s="18">
        <v>0</v>
      </c>
    </row>
    <row r="18" spans="1:21" s="17" customFormat="1" x14ac:dyDescent="0.25">
      <c r="A18" s="17">
        <v>18</v>
      </c>
      <c r="B18" s="17">
        <v>2</v>
      </c>
      <c r="C18" s="17" t="s">
        <v>398</v>
      </c>
      <c r="D18" s="17" t="s">
        <v>397</v>
      </c>
      <c r="F18" s="17" t="s">
        <v>396</v>
      </c>
      <c r="H18" s="17">
        <v>35.728490299999997</v>
      </c>
      <c r="I18" s="17">
        <v>-97.975802000000002</v>
      </c>
      <c r="J18" s="17" t="str">
        <f t="shared" si="0"/>
        <v>location: {lat: 35.7284903, lng: -97.975802}</v>
      </c>
      <c r="K18" s="17">
        <v>0</v>
      </c>
      <c r="L18" s="17" t="s">
        <v>395</v>
      </c>
      <c r="M18" s="17">
        <v>0</v>
      </c>
      <c r="N18" s="17" t="s">
        <v>379</v>
      </c>
      <c r="O18" s="17">
        <v>1</v>
      </c>
      <c r="P18" s="17">
        <v>0</v>
      </c>
      <c r="Q18" s="17">
        <v>0</v>
      </c>
      <c r="S18" s="17">
        <v>0</v>
      </c>
      <c r="T18" s="17" t="s">
        <v>378</v>
      </c>
      <c r="U18" s="17">
        <v>0</v>
      </c>
    </row>
    <row r="19" spans="1:21" s="17" customFormat="1" x14ac:dyDescent="0.25">
      <c r="A19" s="17">
        <v>19</v>
      </c>
      <c r="B19" s="17">
        <v>2</v>
      </c>
      <c r="C19" s="17" t="s">
        <v>394</v>
      </c>
      <c r="D19" s="17" t="s">
        <v>393</v>
      </c>
      <c r="F19" s="17" t="s">
        <v>392</v>
      </c>
      <c r="H19" s="17">
        <v>29.4538449</v>
      </c>
      <c r="I19" s="17">
        <v>-98.544839600000003</v>
      </c>
      <c r="J19" s="17" t="str">
        <f t="shared" si="0"/>
        <v>location: {lat: 29.4538449, lng: -98.5448396}</v>
      </c>
      <c r="K19" s="17">
        <v>0</v>
      </c>
      <c r="L19" s="17" t="s">
        <v>391</v>
      </c>
      <c r="M19" s="17">
        <v>0</v>
      </c>
      <c r="N19" s="17">
        <v>2</v>
      </c>
      <c r="O19" s="17">
        <v>1</v>
      </c>
      <c r="P19" s="17">
        <v>0</v>
      </c>
      <c r="Q19" s="17">
        <v>0</v>
      </c>
      <c r="S19" s="17">
        <v>0</v>
      </c>
      <c r="T19" s="17" t="s">
        <v>378</v>
      </c>
      <c r="U19" s="17">
        <v>0</v>
      </c>
    </row>
    <row r="20" spans="1:21" s="17" customFormat="1" x14ac:dyDescent="0.25">
      <c r="A20" s="17">
        <v>20</v>
      </c>
      <c r="B20" s="17">
        <v>2</v>
      </c>
      <c r="C20" s="17" t="s">
        <v>390</v>
      </c>
      <c r="D20" s="17" t="s">
        <v>389</v>
      </c>
      <c r="F20" s="17" t="s">
        <v>388</v>
      </c>
      <c r="H20" s="17">
        <v>39.679956300000001</v>
      </c>
      <c r="I20" s="17">
        <v>-77.354900599999993</v>
      </c>
      <c r="J20" s="17" t="str">
        <f t="shared" si="0"/>
        <v>location: {lat: 39.6799563, lng: -77.3549006}</v>
      </c>
      <c r="K20" s="17">
        <v>0</v>
      </c>
      <c r="L20" s="17" t="s">
        <v>387</v>
      </c>
      <c r="M20" s="17">
        <v>0</v>
      </c>
      <c r="N20" s="17">
        <v>2</v>
      </c>
      <c r="O20" s="17">
        <v>1</v>
      </c>
      <c r="P20" s="17">
        <v>0</v>
      </c>
      <c r="Q20" s="17">
        <v>0</v>
      </c>
      <c r="S20" s="17">
        <v>0</v>
      </c>
      <c r="T20" s="17" t="s">
        <v>378</v>
      </c>
      <c r="U20" s="17">
        <v>0</v>
      </c>
    </row>
    <row r="21" spans="1:21" s="17" customFormat="1" x14ac:dyDescent="0.25">
      <c r="A21" s="17">
        <v>21</v>
      </c>
      <c r="B21" s="17">
        <v>2</v>
      </c>
      <c r="C21" s="17" t="s">
        <v>386</v>
      </c>
      <c r="D21" s="17" t="s">
        <v>385</v>
      </c>
      <c r="H21" s="17">
        <v>14.6382897</v>
      </c>
      <c r="I21" s="17">
        <v>-91.229068299999994</v>
      </c>
      <c r="J21" s="17" t="str">
        <f t="shared" si="0"/>
        <v>location: {lat: 14.6382897, lng: -91.2290683}</v>
      </c>
      <c r="K21" s="17">
        <v>0</v>
      </c>
      <c r="L21" s="17" t="s">
        <v>384</v>
      </c>
      <c r="M21" s="17">
        <v>0</v>
      </c>
      <c r="N21" s="17" t="s">
        <v>379</v>
      </c>
      <c r="O21" s="17">
        <v>1</v>
      </c>
      <c r="P21" s="17">
        <v>0</v>
      </c>
      <c r="Q21" s="17">
        <v>0</v>
      </c>
      <c r="S21" s="17">
        <v>0</v>
      </c>
      <c r="T21" s="17" t="s">
        <v>378</v>
      </c>
      <c r="U21" s="17">
        <v>0</v>
      </c>
    </row>
    <row r="22" spans="1:21" s="17" customFormat="1" x14ac:dyDescent="0.25">
      <c r="A22" s="17">
        <v>22</v>
      </c>
      <c r="B22" s="17">
        <v>2</v>
      </c>
      <c r="C22" s="17" t="s">
        <v>383</v>
      </c>
      <c r="D22" s="17" t="s">
        <v>382</v>
      </c>
      <c r="F22" s="17" t="s">
        <v>381</v>
      </c>
      <c r="H22" s="17">
        <v>35.375707900000002</v>
      </c>
      <c r="I22" s="17">
        <v>-97.497563099999994</v>
      </c>
      <c r="J22" s="17" t="str">
        <f t="shared" si="0"/>
        <v>location: {lat: 35.3757079, lng: -97.4975631}</v>
      </c>
      <c r="K22" s="17">
        <v>0</v>
      </c>
      <c r="L22" s="17" t="s">
        <v>380</v>
      </c>
      <c r="M22" s="17">
        <v>0</v>
      </c>
      <c r="N22" s="17" t="s">
        <v>379</v>
      </c>
      <c r="O22" s="17">
        <v>1</v>
      </c>
      <c r="P22" s="17">
        <v>0</v>
      </c>
      <c r="Q22" s="17">
        <v>0</v>
      </c>
      <c r="S22" s="17">
        <v>0</v>
      </c>
      <c r="T22" s="17" t="s">
        <v>378</v>
      </c>
      <c r="U22" s="17">
        <v>0</v>
      </c>
    </row>
    <row r="23" spans="1:21" s="17" customFormat="1" x14ac:dyDescent="0.25">
      <c r="C23" s="17" t="s">
        <v>376</v>
      </c>
      <c r="F23" s="17" t="s">
        <v>377</v>
      </c>
      <c r="H23" s="17">
        <v>52.323174663905</v>
      </c>
      <c r="I23" s="17">
        <v>18.358046317017202</v>
      </c>
      <c r="J23" s="17" t="str">
        <f t="shared" si="0"/>
        <v>location: {lat: 52.323174663905, lng: 18.3580463170172}</v>
      </c>
      <c r="L23" s="17" t="s">
        <v>376</v>
      </c>
    </row>
  </sheetData>
  <hyperlinks>
    <hyperlink ref="F6" r:id="rId1" xr:uid="{2B7ACF1B-06D1-4EE4-B0B4-012E349221DB}"/>
    <hyperlink ref="F4" r:id="rId2" xr:uid="{1FC3C313-9847-4AFA-B1EE-9859E1D61C1E}"/>
    <hyperlink ref="F3" r:id="rId3" xr:uid="{4359F612-90AE-45AA-B1A3-0E0C036958CF}"/>
    <hyperlink ref="F2" r:id="rId4" xr:uid="{2BB0D3B8-461C-4646-B5A8-8BCB8C8FCA42}"/>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42FE33-8E3C-4CCA-BACD-45C80E7F4A0D}">
  <sheetPr codeName="Sheet8"/>
  <dimension ref="A1:CL107"/>
  <sheetViews>
    <sheetView tabSelected="1" zoomScale="80" zoomScaleNormal="80" workbookViewId="0">
      <pane xSplit="6" ySplit="1" topLeftCell="BE90" activePane="bottomRight" state="frozen"/>
      <selection pane="topRight" activeCell="G1" sqref="G1"/>
      <selection pane="bottomLeft" activeCell="A2" sqref="A2"/>
      <selection pane="bottomRight" activeCell="A105" sqref="A105"/>
    </sheetView>
  </sheetViews>
  <sheetFormatPr defaultRowHeight="12.75" x14ac:dyDescent="0.25"/>
  <cols>
    <col min="1" max="1" width="12.85546875" style="14" bestFit="1" customWidth="1"/>
    <col min="2" max="2" width="9.85546875" style="24" bestFit="1" customWidth="1"/>
    <col min="3" max="3" width="14.42578125" style="15" customWidth="1"/>
    <col min="4" max="4" width="3.85546875" style="15" bestFit="1" customWidth="1"/>
    <col min="5" max="5" width="4.42578125" style="49" bestFit="1" customWidth="1"/>
    <col min="6" max="6" width="38.140625" style="24" bestFit="1" customWidth="1"/>
    <col min="7" max="7" width="38.140625" style="53" customWidth="1"/>
    <col min="8" max="8" width="9.42578125" style="15" bestFit="1" customWidth="1"/>
    <col min="9" max="9" width="9.42578125" style="15" customWidth="1"/>
    <col min="10" max="11" width="14.42578125" style="15" customWidth="1"/>
    <col min="12" max="12" width="69" style="24" customWidth="1"/>
    <col min="13" max="13" width="45.5703125" style="53" customWidth="1"/>
    <col min="14" max="15" width="9.140625" style="15"/>
    <col min="16" max="16" width="9.140625" style="60"/>
    <col min="17" max="17" width="9.140625" style="15"/>
    <col min="18" max="18" width="9.140625" style="64"/>
    <col min="19" max="19" width="9.140625" style="60"/>
    <col min="20" max="20" width="9.140625" style="15"/>
    <col min="21" max="21" width="9.140625" style="64"/>
    <col min="22" max="23" width="9.140625" style="15"/>
    <col min="24" max="24" width="9.140625" style="49"/>
    <col min="25" max="33" width="18.85546875" style="15" customWidth="1"/>
    <col min="34" max="34" width="18.85546875" style="82" customWidth="1"/>
    <col min="35" max="35" width="36.28515625" style="102" bestFit="1" customWidth="1"/>
    <col min="36" max="36" width="21" style="99" bestFit="1" customWidth="1"/>
    <col min="37" max="37" width="18.42578125" style="15" bestFit="1" customWidth="1"/>
    <col min="38" max="38" width="18.42578125" style="15" customWidth="1"/>
    <col min="39" max="39" width="14.42578125" style="15" bestFit="1" customWidth="1"/>
    <col min="40" max="41" width="14.42578125" style="15" customWidth="1"/>
    <col min="42" max="42" width="14.42578125" style="49" customWidth="1"/>
    <col min="43" max="43" width="9.140625" style="15"/>
    <col min="44" max="44" width="9" style="28" bestFit="1" customWidth="1"/>
    <col min="45" max="45" width="10.28515625" style="29" bestFit="1" customWidth="1"/>
    <col min="46" max="46" width="8.85546875" style="29" bestFit="1" customWidth="1"/>
    <col min="47" max="47" width="8.85546875" style="29" customWidth="1"/>
    <col min="48" max="63" width="9.140625" style="29"/>
    <col min="64" max="71" width="7.140625" style="29" customWidth="1"/>
    <col min="72" max="75" width="9.140625" style="29"/>
    <col min="76" max="76" width="38.7109375" style="23" customWidth="1"/>
    <col min="77" max="77" width="38.7109375" style="31" customWidth="1"/>
    <col min="78" max="83" width="12" style="29" customWidth="1"/>
    <col min="84" max="84" width="11.85546875" style="29" bestFit="1" customWidth="1"/>
    <col min="85" max="89" width="11.85546875" style="29" customWidth="1"/>
    <col min="90" max="16384" width="9.140625" style="15"/>
  </cols>
  <sheetData>
    <row r="1" spans="1:90" s="67" customFormat="1" ht="13.5" thickBot="1" x14ac:dyDescent="0.3">
      <c r="A1" s="67" t="s">
        <v>1323</v>
      </c>
      <c r="B1" s="68" t="s">
        <v>485</v>
      </c>
      <c r="C1" s="67" t="s">
        <v>1729</v>
      </c>
      <c r="D1" s="67" t="s">
        <v>341</v>
      </c>
      <c r="E1" s="74" t="s">
        <v>342</v>
      </c>
      <c r="F1" s="68" t="s">
        <v>728</v>
      </c>
      <c r="G1" s="70" t="s">
        <v>729</v>
      </c>
      <c r="H1" s="67" t="s">
        <v>1719</v>
      </c>
      <c r="I1" s="67" t="s">
        <v>1804</v>
      </c>
      <c r="J1" s="67" t="s">
        <v>1775</v>
      </c>
      <c r="K1" s="67" t="s">
        <v>1762</v>
      </c>
      <c r="L1" s="68" t="s">
        <v>165</v>
      </c>
      <c r="M1" s="70" t="s">
        <v>369</v>
      </c>
      <c r="N1" s="67" t="s">
        <v>1786</v>
      </c>
      <c r="O1" s="67" t="s">
        <v>1783</v>
      </c>
      <c r="P1" s="71" t="s">
        <v>1784</v>
      </c>
      <c r="Q1" s="67" t="s">
        <v>1785</v>
      </c>
      <c r="R1" s="72" t="s">
        <v>1787</v>
      </c>
      <c r="S1" s="71" t="s">
        <v>1788</v>
      </c>
      <c r="T1" s="67" t="s">
        <v>1789</v>
      </c>
      <c r="U1" s="72" t="s">
        <v>1790</v>
      </c>
      <c r="V1" s="67" t="s">
        <v>1791</v>
      </c>
      <c r="W1" s="67" t="s">
        <v>1792</v>
      </c>
      <c r="X1" s="74" t="s">
        <v>1793</v>
      </c>
      <c r="Y1" s="67" t="s">
        <v>1420</v>
      </c>
      <c r="Z1" s="67" t="s">
        <v>1422</v>
      </c>
      <c r="AA1" s="67" t="s">
        <v>1424</v>
      </c>
      <c r="AB1" s="67" t="s">
        <v>1776</v>
      </c>
      <c r="AC1" s="67" t="s">
        <v>1777</v>
      </c>
      <c r="AD1" s="67" t="s">
        <v>1778</v>
      </c>
      <c r="AE1" s="67" t="s">
        <v>1779</v>
      </c>
      <c r="AF1" s="67" t="s">
        <v>1780</v>
      </c>
      <c r="AG1" s="67" t="s">
        <v>1781</v>
      </c>
      <c r="AH1" s="80" t="s">
        <v>1782</v>
      </c>
      <c r="AI1" s="97" t="s">
        <v>1775</v>
      </c>
      <c r="AJ1" s="69" t="s">
        <v>163</v>
      </c>
      <c r="AK1" s="67" t="s">
        <v>333</v>
      </c>
      <c r="AL1" s="67" t="s">
        <v>1327</v>
      </c>
      <c r="AM1" s="67" t="s">
        <v>335</v>
      </c>
      <c r="AN1" s="67" t="s">
        <v>1328</v>
      </c>
      <c r="AO1" s="67" t="s">
        <v>350</v>
      </c>
      <c r="AP1" s="74" t="s">
        <v>1329</v>
      </c>
      <c r="AR1" s="75" t="s">
        <v>1457</v>
      </c>
      <c r="AS1" s="76" t="s">
        <v>1001</v>
      </c>
      <c r="AT1" s="76" t="s">
        <v>164</v>
      </c>
      <c r="AU1" s="90" t="s">
        <v>1719</v>
      </c>
      <c r="AV1" s="76" t="s">
        <v>1808</v>
      </c>
      <c r="AW1" s="76" t="s">
        <v>1809</v>
      </c>
      <c r="AX1" s="76" t="s">
        <v>1807</v>
      </c>
      <c r="AY1" s="76" t="s">
        <v>1805</v>
      </c>
      <c r="AZ1" s="76" t="s">
        <v>1806</v>
      </c>
      <c r="BA1" s="76" t="s">
        <v>1794</v>
      </c>
      <c r="BB1" s="76" t="s">
        <v>1795</v>
      </c>
      <c r="BC1" s="76" t="s">
        <v>1796</v>
      </c>
      <c r="BD1" s="76" t="s">
        <v>1797</v>
      </c>
      <c r="BE1" s="76" t="s">
        <v>1798</v>
      </c>
      <c r="BF1" s="76" t="s">
        <v>1799</v>
      </c>
      <c r="BG1" s="76" t="s">
        <v>1800</v>
      </c>
      <c r="BH1" s="76" t="s">
        <v>1801</v>
      </c>
      <c r="BI1" s="76" t="s">
        <v>1802</v>
      </c>
      <c r="BJ1" s="76" t="s">
        <v>1803</v>
      </c>
      <c r="BK1" s="76" t="s">
        <v>339</v>
      </c>
      <c r="BL1" s="76" t="s">
        <v>1003</v>
      </c>
      <c r="BM1" s="76" t="s">
        <v>1813</v>
      </c>
      <c r="BN1" s="76" t="s">
        <v>1814</v>
      </c>
      <c r="BO1" s="76" t="s">
        <v>1815</v>
      </c>
      <c r="BP1" s="76" t="s">
        <v>1820</v>
      </c>
      <c r="BQ1" s="76" t="s">
        <v>1812</v>
      </c>
      <c r="BR1" s="76" t="s">
        <v>158</v>
      </c>
      <c r="BS1" s="76" t="s">
        <v>621</v>
      </c>
      <c r="BT1" s="76" t="s">
        <v>1816</v>
      </c>
      <c r="BU1" s="76" t="s">
        <v>1811</v>
      </c>
      <c r="BV1" s="76" t="s">
        <v>2297</v>
      </c>
      <c r="BW1" s="76" t="s">
        <v>1810</v>
      </c>
      <c r="BX1" s="78" t="s">
        <v>1817</v>
      </c>
      <c r="BY1" s="77" t="s">
        <v>991</v>
      </c>
      <c r="BZ1" s="76" t="s">
        <v>1421</v>
      </c>
      <c r="CA1" s="76" t="s">
        <v>1423</v>
      </c>
      <c r="CB1" s="76" t="s">
        <v>1425</v>
      </c>
      <c r="CC1" s="76" t="s">
        <v>1451</v>
      </c>
      <c r="CD1" s="76" t="s">
        <v>1452</v>
      </c>
      <c r="CE1" s="76" t="s">
        <v>1453</v>
      </c>
      <c r="CF1" s="76" t="s">
        <v>1450</v>
      </c>
      <c r="CG1" s="76" t="s">
        <v>1455</v>
      </c>
      <c r="CH1" s="76" t="s">
        <v>1456</v>
      </c>
      <c r="CI1" s="76" t="s">
        <v>1458</v>
      </c>
      <c r="CJ1" s="76" t="s">
        <v>1459</v>
      </c>
      <c r="CK1" s="76" t="s">
        <v>1454</v>
      </c>
    </row>
    <row r="2" spans="1:90" ht="102" x14ac:dyDescent="0.25">
      <c r="A2" s="14" t="s">
        <v>1322</v>
      </c>
      <c r="B2" s="24" t="s">
        <v>552</v>
      </c>
      <c r="D2" s="15">
        <v>41.656656769330702</v>
      </c>
      <c r="E2" s="49">
        <v>-0.87824062054636098</v>
      </c>
      <c r="F2" s="24" t="s">
        <v>1033</v>
      </c>
      <c r="G2" s="53" t="s">
        <v>1034</v>
      </c>
      <c r="H2" s="25" t="s">
        <v>1720</v>
      </c>
      <c r="I2" s="25" t="b">
        <v>1</v>
      </c>
      <c r="J2" s="15" t="b">
        <v>1</v>
      </c>
      <c r="K2" s="15" t="b">
        <v>1</v>
      </c>
      <c r="L2" s="47" t="s">
        <v>1818</v>
      </c>
      <c r="M2" s="55" t="s">
        <v>1737</v>
      </c>
      <c r="N2" s="16" t="s">
        <v>1035</v>
      </c>
      <c r="O2" s="16" t="s">
        <v>336</v>
      </c>
      <c r="P2" s="92"/>
      <c r="Q2" s="91"/>
      <c r="R2" s="93"/>
      <c r="S2" s="59"/>
      <c r="T2" s="16"/>
      <c r="U2" s="63"/>
      <c r="V2" s="16"/>
      <c r="W2" s="16"/>
      <c r="X2" s="50"/>
      <c r="Y2" s="16" t="s">
        <v>1037</v>
      </c>
      <c r="Z2" s="26"/>
      <c r="AA2" s="26"/>
      <c r="AB2" s="26"/>
      <c r="AC2" s="26"/>
      <c r="AD2" s="26"/>
      <c r="AE2" s="26"/>
      <c r="AF2" s="26"/>
      <c r="AG2" s="26"/>
      <c r="AH2" s="81"/>
      <c r="AI2" s="98" t="s">
        <v>1038</v>
      </c>
      <c r="AJ2" s="99">
        <v>40</v>
      </c>
      <c r="AK2" s="15" t="s">
        <v>179</v>
      </c>
      <c r="AL2" s="15" t="s">
        <v>336</v>
      </c>
      <c r="AM2" s="15" t="s">
        <v>91</v>
      </c>
      <c r="AN2" s="15" t="s">
        <v>336</v>
      </c>
      <c r="AO2" s="15" t="s">
        <v>1036</v>
      </c>
      <c r="AP2" s="49" t="s">
        <v>336</v>
      </c>
      <c r="AQ2" s="48"/>
      <c r="AR2" s="28" t="b">
        <f t="shared" ref="AR2:AR33" si="0">IF(OR(A2="Done",A2="In Progress"),TRUE)</f>
        <v>1</v>
      </c>
      <c r="AS2" s="29" t="str">
        <f t="shared" ref="AS2:AS33" si="1">"title: """&amp;F2&amp;""""</f>
        <v>title: "Cathedral-Basilica of Our Lady of the Pillar"</v>
      </c>
      <c r="AT2" s="29" t="str">
        <f t="shared" ref="AT2:AT33" si="2">"location: {lat: "&amp;D2&amp;", lng: "&amp;E2&amp;"}"</f>
        <v>location: {lat: 41.6566567693307, lng: -0.878240620546361}</v>
      </c>
      <c r="AU2" s="29" t="str">
        <f t="shared" ref="AU2:AU33" si="3">"level: "&amp;H2</f>
        <v>level: global</v>
      </c>
      <c r="AV2" s="29" t="str">
        <f>"- "&amp;VLOOKUP(B2,'(Ref) Countries'!A:C,3,)</f>
        <v>- spain</v>
      </c>
      <c r="AW2" s="29" t="str">
        <f t="shared" ref="AW2:AW33" si="4">IF(LEN(C2)&gt;1,"- "&amp;LOWER(SUBSTITUTE(C2," ","-")),"")</f>
        <v/>
      </c>
      <c r="AX2" s="29" t="str">
        <f t="shared" ref="AX2:AX33" si="5">IF(I2,"- churches","")</f>
        <v>- churches</v>
      </c>
      <c r="AY2" s="29" t="str">
        <f t="shared" ref="AY2:AY33" si="6">IF(J2,"- marian-sites","")</f>
        <v>- marian-sites</v>
      </c>
      <c r="AZ2" s="29" t="str">
        <f t="shared" ref="AZ2:AZ33" si="7">IF(K2,"- holy-persons","")</f>
        <v>- holy-persons</v>
      </c>
      <c r="BA2" s="29" t="str">
        <f t="shared" ref="BA2:BA36" si="8">IF(LEN(Y2)&gt;0,"- "&amp;Y2,"")</f>
        <v>- james-greater</v>
      </c>
      <c r="BB2" s="29" t="str">
        <f t="shared" ref="BB2:BB36" si="9">IF(LEN(Z2)&gt;0,"- "&amp;Z2,"")</f>
        <v/>
      </c>
      <c r="BC2" s="29" t="str">
        <f t="shared" ref="BC2:BC36" si="10">IF(LEN(AA2)&gt;0,"- "&amp;AA2,"")</f>
        <v/>
      </c>
      <c r="BD2" s="29" t="str">
        <f t="shared" ref="BD2:BD36" si="11">IF(LEN(AB2)&gt;0,"- "&amp;AB2,"")</f>
        <v/>
      </c>
      <c r="BE2" s="29" t="str">
        <f t="shared" ref="BE2:BE36" si="12">IF(LEN(AC2)&gt;0,"- "&amp;AC2,"")</f>
        <v/>
      </c>
      <c r="BF2" s="29" t="str">
        <f t="shared" ref="BF2:BF36" si="13">IF(LEN(AD2)&gt;0,"- "&amp;AD2,"")</f>
        <v/>
      </c>
      <c r="BG2" s="29" t="str">
        <f t="shared" ref="BG2:BG36" si="14">IF(LEN(AE2)&gt;0,"- "&amp;AE2,"")</f>
        <v/>
      </c>
      <c r="BH2" s="29" t="str">
        <f t="shared" ref="BH2:BH36" si="15">IF(LEN(AF2)&gt;0,"- "&amp;AF2,"")</f>
        <v/>
      </c>
      <c r="BI2" s="29" t="str">
        <f t="shared" ref="BI2:BI36" si="16">IF(LEN(AG2)&gt;0,"- "&amp;AG2,"")</f>
        <v/>
      </c>
      <c r="BJ2" s="29" t="str">
        <f t="shared" ref="BJ2:BJ36" si="17">IF(LEN(AH2)&gt;0,"- "&amp;AH2,"")</f>
        <v/>
      </c>
      <c r="BK2" s="29" t="str">
        <f>"tags:"&amp;CHAR(10)&amp;concatl(AV2:BJ2)</f>
        <v xml:space="preserve">tags:
- spain_x000D_
- churches_x000D_
- marian-sites_x000D_
- holy-persons_x000D_
- james-greater_x000D_
</v>
      </c>
      <c r="BL2" s="30" t="str">
        <f t="shared" ref="BL2:BL33" si="18">IF(LEN(N2)&gt;0,TRIM(CONCATENATE("[Official site](",N2,") ",O2)),"")</f>
        <v>[Official site](https://catedraldezaragoza.es/basilica/)</v>
      </c>
      <c r="BM2" s="30" t="str">
        <f t="shared" ref="BM2:BM33" si="19">IF(LEN(Q2)&gt;0,TRIM(CONCATENATE("["&amp;P2&amp;"](",Q2,") ",R2)),"")</f>
        <v/>
      </c>
      <c r="BN2" s="30" t="str">
        <f t="shared" ref="BN2:BN33" si="20">IF(LEN(T2)&gt;0,TRIM(CONCATENATE("["&amp;S2&amp;"](",T2,") ",U2)),"")</f>
        <v/>
      </c>
      <c r="BO2" s="30" t="str">
        <f t="shared" ref="BO2:BO33" si="21">IF(LEN(W2)&gt;0,TRIM(CONCATENATE("["&amp;V2&amp;"](",W2,") ",X2)),"")</f>
        <v/>
      </c>
      <c r="BP2" s="30" t="str">
        <f>IF(LEN(BL2)&gt;0,"* "&amp;BL2&amp;CHAR(10),"")&amp;
IF(LEN(BM2)&gt;0,"* "&amp;BM2&amp;CHAR(10),"")&amp;
IF(LEN(BN2)&gt;0,"* "&amp;BN2&amp;CHAR(10),"")&amp;
IF(LEN(BO2)&gt;0,"* "&amp;BO2&amp;CHAR(10),"")</f>
        <v xml:space="preserve">* [Official site](https://catedraldezaragoza.es/basilica/)
</v>
      </c>
      <c r="BQ2" s="30" t="str">
        <f t="shared" ref="BQ2:BQ33" si="22">IF(LEN(AK2)&gt;0,TRIM(CONCATENATE("[Link](",AK2,") ",AL2)),"")</f>
        <v>[Link](http://www.therealpresence.org/eucharst/misc/BVM/09_ZARAGOZA_60x96.pdf)</v>
      </c>
      <c r="BR2" s="30" t="str">
        <f t="shared" ref="BR2:BR33" si="23">IF(LEN(AM2)&gt;0,TRIM(CONCATENATE("[Link](",AM2,") ",AN2)),"")</f>
        <v>[Link](https://www.miraclehunter.com/marian_apparitions/approved_apparitions/zaragoza/index.html)</v>
      </c>
      <c r="BS2" s="30" t="str">
        <f t="shared" ref="BS2:BS33" si="24">IF(LEN(AO2)&gt;0,TRIM(CONCATENATE("[Link](",AO2,") ",AP2)),"")</f>
        <v>[Link](https://www.marypages.com/our-lady-of-the-pillar.html)</v>
      </c>
      <c r="BT2" s="30" t="str">
        <f>IF(LEN(concat(BQ2:BS2))&gt;0,concat("| ",BQ2," | ",BR2," | ",BS2," |"),"")</f>
        <v>| [Link](http://www.therealpresence.org/eucharst/misc/BVM/09_ZARAGOZA_60x96.pdf) | [Link](https://www.miraclehunter.com/marian_apparitions/approved_apparitions/zaragoza/index.html) | [Link](https://www.marypages.com/our-lady-of-the-pillar.html) |</v>
      </c>
      <c r="BU2" s="29" t="str">
        <f t="shared" ref="BU2:BU33" si="25">IF(J2,concatl("| The Real Presence | Miracle Hunter | MaryPages |","| --- | --- | --- |",BT2),"")</f>
        <v xml:space="preserve">| The Real Presence | Miracle Hunter | MaryPages |_x000D_
| --- | --- | --- |_x000D_
| [Link](http://www.therealpresence.org/eucharst/misc/BVM/09_ZARAGOZA_60x96.pdf) | [Link](https://www.miraclehunter.com/marian_apparitions/approved_apparitions/zaragoza/index.html) | [Link](https://www.marypages.com/our-lady-of-the-pillar.html) |_x000D_
</v>
      </c>
      <c r="BV2" s="29" t="str">
        <f>IF(LEN(BP2&amp;BU2)&gt;0,concatll("#### More Information",BP2,BU2),"")</f>
        <v xml:space="preserve">#### More Information_x000D_
_x000D_
* [Official site](https://catedraldezaragoza.es/basilica/)
_x000D_
_x000D_
| The Real Presence | Miracle Hunter | MaryPages |_x000D_
| --- | --- | --- |_x000D_
| [Link](http://www.therealpresence.org/eucharst/misc/BVM/09_ZARAGOZA_60x96.pdf) | [Link](https://www.miraclehunter.com/marian_apparitions/approved_apparitions/zaragoza/index.html) | [Link](https://www.marypages.com/our-lady-of-the-pillar.html) |_x000D_
_x000D_
_x000D_
</v>
      </c>
      <c r="BW2" s="29" t="str">
        <f>IF(LEN(M2)&gt;1,concatll("#### Author's Note",M2),"")</f>
        <v xml:space="preserve">#### Author's Note_x000D_
_x000D_
Unfortunately many modern visitors to the cathedral are more interested in its rooftop views, so it's important to be specific when asking for accurate information about services.  The cathedral website lists their service schedule [here](https://catedraldezaragoza.es/culto/).
-JMM_x000D_
_x000D_
</v>
      </c>
      <c r="BX2" s="23" t="str">
        <f>IF(AR2,concatll(concatl("---",AS2:AU2,BK2,"---"),L2,BV2:BW2),"")</f>
        <v xml:space="preserve">---_x000D_
title: "Cathedral-Basilica of Our Lady of the Pillar"_x000D_
location: {lat: 41.6566567693307, lng: -0.878240620546361}_x000D_
level: global_x000D_
tags:
- spain_x000D_
- churches_x000D_
- marian-sites_x000D_
- holy-persons_x000D_
- james-greater_x000D_
_x000D_
---_x000D_
_x000D_
_x000D_
According to ancient Christian tradition, Mary appeared to the apostle James the Greater as he was preaching in Spain.  In 40 AD, while facing severe discouragement, St. James was praying on the banks of the Ebro River when the Blessed Mother appeared to him on a column, encouraging him to persevere in his missionary efforts.  This apparition is unique because Mary would have bilocated while still alive in Jerusalem or Ephesus._x000D_
_x000D_
#### More Information_x000D_
_x000D_
* [Official site](https://catedraldezaragoza.es/basilica/)
_x000D_
_x000D_
| The Real Presence | Miracle Hunter | MaryPages |_x000D_
| --- | --- | --- |_x000D_
| [Link](http://www.therealpresence.org/eucharst/misc/BVM/09_ZARAGOZA_60x96.pdf) | [Link](https://www.miraclehunter.com/marian_apparitions/approved_apparitions/zaragoza/index.html) | [Link](https://www.marypages.com/our-lady-of-the-pillar.html) |_x000D_
_x000D_
_x000D_
_x000D_
_x000D_
#### Author's Note_x000D_
_x000D_
Unfortunately many modern visitors to the cathedral are more interested in its rooftop views, so it's important to be specific when asking for accurate information about services.  The cathedral website lists their service schedule [here](https://catedraldezaragoza.es/culto/).
-JMM_x000D_
_x000D_
_x000D_
_x000D_
</v>
      </c>
      <c r="BY2" s="23" t="str">
        <f>IF(AR2,VLOOKUP(B2,'(Ref) Countries'!A:B,2,)&amp;IF(LEN(C2)&gt;1,"-"&amp;LOWER(SUBSTITUTE(C2," ","-")),"")&amp;"-"&amp;LOWER(SUBSTITUTE(G2," ","-"))&amp;".md","")</f>
        <v>es-cathedral-basilica-of-our-lady-of-the-pillar.md</v>
      </c>
      <c r="BZ2" s="30" t="str">
        <f>IF(LEN(Y2)&gt;1,VLOOKUP(Y2,'Tag List'!$A:$B,2,),"")</f>
        <v>St. James the Greater</v>
      </c>
      <c r="CA2" s="30" t="str">
        <f>IF(LEN(Z2)&gt;1,VLOOKUP(Z2,'Tag List'!$A:$B,2,),"")</f>
        <v/>
      </c>
      <c r="CB2" s="30" t="str">
        <f>IF(LEN(AA2)&gt;1,VLOOKUP(AA2,'Tag List'!$A:$B,2,),"")</f>
        <v/>
      </c>
      <c r="CC2" s="30" t="str">
        <f>IF(LEN(Y2)&gt;1,GetTagPage(BZ2,Y2),"")</f>
        <v>[St. James the Greater](/tags/james-greater)</v>
      </c>
      <c r="CD2" s="30" t="str">
        <f>IF(LEN(Z2)&gt;1,GetTagPage(CA2,Z2),"")</f>
        <v/>
      </c>
      <c r="CE2" s="30" t="str">
        <f>IF(LEN(AA2)&gt;1,GetTagPage(CB2,AA2),"")</f>
        <v/>
      </c>
      <c r="CF2" s="30" t="str">
        <f t="shared" ref="CF2:CF13" si="26">"|"&amp;IF(LEN(CC2)&gt;1," "&amp;CC2,"")&amp;IF(LEN(CD2)&gt;1,", "&amp;CD2,"")&amp;IF(LEN(CE2)&gt;1,", "&amp;CE2,"")&amp;" "</f>
        <v xml:space="preserve">| [St. James the Greater](/tags/james-greater) </v>
      </c>
      <c r="CG2" s="30" t="str">
        <f t="shared" ref="CG2:CG33" si="27">"| "&amp;IF(AR2,"["&amp;AI2&amp;"](/places/"&amp;SUBSTITUTE(BY2,".md","")&amp;")",AI2)&amp;" "</f>
        <v xml:space="preserve">| [Zaragoza](/places/es-cathedral-basilica-of-our-lady-of-the-pillar) </v>
      </c>
      <c r="CH2" s="30" t="str">
        <f>"| "&amp;IF(AR2,GetTagPage(B2,VLOOKUP(B2,'(Ref) Countries'!A:C,3,)),B2)&amp; " "</f>
        <v xml:space="preserve">| [Spain](/tags/spain) </v>
      </c>
      <c r="CI2" s="30" t="str">
        <f t="shared" ref="CI2:CI33" si="28">"| "&amp;AJ2&amp;" "</f>
        <v xml:space="preserve">| 40 </v>
      </c>
      <c r="CJ2" s="30" t="str">
        <f t="shared" ref="CJ2:CJ13" si="29">"|"&amp;IF(AR2," [Link](/places/"&amp;SUBSTITUTE(BY2,".md","")&amp;")","")&amp;" "</f>
        <v xml:space="preserve">| [Link](/places/es-cathedral-basilica-of-our-lady-of-the-pillar) </v>
      </c>
      <c r="CK2" s="29" t="str">
        <f t="shared" ref="CK2:CK13" si="30">"
"&amp;CG2&amp;CH2&amp;CI2&amp;CJ2&amp;BL2&amp;BQ2&amp;BR2&amp;BS2&amp;CF2&amp;"|"</f>
        <v xml:space="preserve">
| [Zaragoza](/places/es-cathedral-basilica-of-our-lady-of-the-pillar) | [Spain](/tags/spain) | 40 | [Link](/places/es-cathedral-basilica-of-our-lady-of-the-pillar) [Official site](https://catedraldezaragoza.es/basilica/)[Link](http://www.therealpresence.org/eucharst/misc/BVM/09_ZARAGOZA_60x96.pdf)[Link](https://www.miraclehunter.com/marian_apparitions/approved_apparitions/zaragoza/index.html)[Link](https://www.marypages.com/our-lady-of-the-pillar.html)| [St. James the Greater](/tags/james-greater) |</v>
      </c>
      <c r="CL2" s="48"/>
    </row>
    <row r="3" spans="1:90" ht="51" x14ac:dyDescent="0.25">
      <c r="A3" s="14" t="s">
        <v>1322</v>
      </c>
      <c r="B3" s="24" t="s">
        <v>557</v>
      </c>
      <c r="C3" s="16"/>
      <c r="D3" s="15">
        <v>45.045629644626899</v>
      </c>
      <c r="E3" s="49">
        <v>3.8846338389333201</v>
      </c>
      <c r="F3" s="24" t="s">
        <v>1341</v>
      </c>
      <c r="G3" s="53" t="s">
        <v>1341</v>
      </c>
      <c r="H3" s="15" t="s">
        <v>1720</v>
      </c>
      <c r="I3" s="25" t="b">
        <v>1</v>
      </c>
      <c r="J3" s="16" t="b">
        <v>1</v>
      </c>
      <c r="K3" s="16"/>
      <c r="L3" s="24" t="s">
        <v>337</v>
      </c>
      <c r="N3" s="16" t="s">
        <v>1342</v>
      </c>
      <c r="O3" s="16" t="s">
        <v>336</v>
      </c>
      <c r="P3" s="59"/>
      <c r="Q3" s="16"/>
      <c r="R3" s="63"/>
      <c r="S3" s="59"/>
      <c r="T3" s="16"/>
      <c r="U3" s="63"/>
      <c r="V3" s="16"/>
      <c r="W3" s="16"/>
      <c r="X3" s="50"/>
      <c r="Y3" s="104" t="s">
        <v>2142</v>
      </c>
      <c r="AI3" s="98" t="s">
        <v>1182</v>
      </c>
      <c r="AJ3" s="99">
        <v>47</v>
      </c>
      <c r="AK3" s="15" t="s">
        <v>180</v>
      </c>
      <c r="AL3" s="15" t="s">
        <v>336</v>
      </c>
      <c r="AM3" s="16" t="s">
        <v>95</v>
      </c>
      <c r="AN3" s="16" t="s">
        <v>336</v>
      </c>
      <c r="AO3" s="16" t="s">
        <v>336</v>
      </c>
      <c r="AP3" s="50" t="s">
        <v>336</v>
      </c>
      <c r="AR3" s="28" t="b">
        <f t="shared" si="0"/>
        <v>1</v>
      </c>
      <c r="AS3" s="29" t="str">
        <f t="shared" si="1"/>
        <v>title: "Cathedral of Our Lady of Puy"</v>
      </c>
      <c r="AT3" s="29" t="str">
        <f t="shared" si="2"/>
        <v>location: {lat: 45.0456296446269, lng: 3.88463383893332}</v>
      </c>
      <c r="AU3" s="29" t="str">
        <f t="shared" si="3"/>
        <v>level: global</v>
      </c>
      <c r="AV3" s="29" t="str">
        <f>"- "&amp;VLOOKUP(B3,'(Ref) Countries'!A:C,3,)</f>
        <v>- france</v>
      </c>
      <c r="AW3" s="29" t="str">
        <f t="shared" si="4"/>
        <v/>
      </c>
      <c r="AX3" s="29" t="str">
        <f t="shared" si="5"/>
        <v>- churches</v>
      </c>
      <c r="AY3" s="29" t="str">
        <f t="shared" si="6"/>
        <v>- marian-sites</v>
      </c>
      <c r="AZ3" s="29" t="str">
        <f t="shared" si="7"/>
        <v/>
      </c>
      <c r="BA3" s="29" t="str">
        <f t="shared" si="8"/>
        <v>- camino</v>
      </c>
      <c r="BB3" s="29" t="str">
        <f t="shared" si="9"/>
        <v/>
      </c>
      <c r="BC3" s="29" t="str">
        <f t="shared" si="10"/>
        <v/>
      </c>
      <c r="BD3" s="29" t="str">
        <f t="shared" si="11"/>
        <v/>
      </c>
      <c r="BE3" s="29" t="str">
        <f t="shared" si="12"/>
        <v/>
      </c>
      <c r="BF3" s="29" t="str">
        <f t="shared" si="13"/>
        <v/>
      </c>
      <c r="BG3" s="29" t="str">
        <f t="shared" si="14"/>
        <v/>
      </c>
      <c r="BH3" s="29" t="str">
        <f t="shared" si="15"/>
        <v/>
      </c>
      <c r="BI3" s="29" t="str">
        <f t="shared" si="16"/>
        <v/>
      </c>
      <c r="BJ3" s="29" t="str">
        <f t="shared" si="17"/>
        <v/>
      </c>
      <c r="BK3" s="29" t="str">
        <f t="shared" ref="BK3:BK13" si="31">"tags:"&amp;CHAR(10)&amp;concatl(AV3:BJ3)</f>
        <v xml:space="preserve">tags:
- france_x000D_
- churches_x000D_
- marian-sites_x000D_
- camino_x000D_
</v>
      </c>
      <c r="BL3" s="30" t="str">
        <f t="shared" si="18"/>
        <v>[Official site](https://www.cathedraledupuy.org/)</v>
      </c>
      <c r="BM3" s="30" t="str">
        <f t="shared" si="19"/>
        <v/>
      </c>
      <c r="BN3" s="30" t="str">
        <f t="shared" si="20"/>
        <v/>
      </c>
      <c r="BO3" s="30" t="str">
        <f t="shared" si="21"/>
        <v/>
      </c>
      <c r="BP3" s="30" t="str">
        <f t="shared" ref="BP3:BP13" si="32">IF(LEN(BL3)&gt;0,"* "&amp;BL3&amp;CHAR(10),"")&amp;
IF(LEN(BM3)&gt;0,"* "&amp;BM3&amp;CHAR(10),"")&amp;
IF(LEN(BN3)&gt;0,"* "&amp;BN3&amp;CHAR(10),"")&amp;
IF(LEN(BO3)&gt;0,"* "&amp;BO3&amp;CHAR(10),"")</f>
        <v xml:space="preserve">* [Official site](https://www.cathedraledupuy.org/)
</v>
      </c>
      <c r="BQ3" s="30" t="str">
        <f t="shared" si="22"/>
        <v>[Link](http://www.therealpresence.org/eucharst/misc/BVM/68_LE_PUY_60x96.pdf)</v>
      </c>
      <c r="BR3" s="30" t="str">
        <f t="shared" si="23"/>
        <v>[Link](https://www.miraclehunter.com/marian_apparitions/approved_apparitions/lepuy/index.html)</v>
      </c>
      <c r="BS3" s="30" t="str">
        <f t="shared" si="24"/>
        <v/>
      </c>
      <c r="BT3" s="30" t="str">
        <f>IF(LEN(concat(BQ3:BS3))&gt;0,concat("| ",BQ3," | ",BR3," | ",BS3," |"),"")</f>
        <v>| [Link](http://www.therealpresence.org/eucharst/misc/BVM/68_LE_PUY_60x96.pdf) | [Link](https://www.miraclehunter.com/marian_apparitions/approved_apparitions/lepuy/index.html) |  |</v>
      </c>
      <c r="BU3" s="29" t="str">
        <f t="shared" si="25"/>
        <v xml:space="preserve">| The Real Presence | Miracle Hunter | MaryPages |_x000D_
| --- | --- | --- |_x000D_
| [Link](http://www.therealpresence.org/eucharst/misc/BVM/68_LE_PUY_60x96.pdf) | [Link](https://www.miraclehunter.com/marian_apparitions/approved_apparitions/lepuy/index.html) |  |_x000D_
</v>
      </c>
      <c r="BV3" s="29" t="str">
        <f>IF(LEN(BP3&amp;BU3)&gt;0,concatll("#### More Information",BP3,BU3),"")</f>
        <v xml:space="preserve">#### More Information_x000D_
_x000D_
* [Official site](https://www.cathedraledupuy.org/)
_x000D_
_x000D_
| The Real Presence | Miracle Hunter | MaryPages |_x000D_
| --- | --- | --- |_x000D_
| [Link](http://www.therealpresence.org/eucharst/misc/BVM/68_LE_PUY_60x96.pdf) | [Link](https://www.miraclehunter.com/marian_apparitions/approved_apparitions/lepuy/index.html) |  |_x000D_
_x000D_
_x000D_
</v>
      </c>
      <c r="BW3" s="29" t="str">
        <f>IF(LEN(M3)&gt;1,concatll("#### Author's Note",M3),"")</f>
        <v/>
      </c>
      <c r="BX3" s="23" t="str">
        <f>IF(AR3,concatll(concatl("---",AS3:AU3,BK3,"---"),L3,BV3:BW3),"")</f>
        <v xml:space="preserve">---_x000D_
title: "Cathedral of Our Lady of Puy"_x000D_
location: {lat: 45.0456296446269, lng: 3.88463383893332}_x000D_
level: global_x000D_
tags:
- france_x000D_
- churches_x000D_
- marian-sites_x000D_
- camino_x000D_
_x000D_
---_x000D_
_x000D_
_x000D_
In 47 AD, Our Lady appeared to a recent Christian convert, in a chapel built few years before on a high mountain. This woman was plagued by a serious illness and no doctor had been able to help.  The Blessed Mother, during her appearance, completely cured her._x000D_
_x000D_
#### More Information_x000D_
_x000D_
* [Official site](https://www.cathedraledupuy.org/)
_x000D_
_x000D_
| The Real Presence | Miracle Hunter | MaryPages |_x000D_
| --- | --- | --- |_x000D_
| [Link](http://www.therealpresence.org/eucharst/misc/BVM/68_LE_PUY_60x96.pdf) | [Link](https://www.miraclehunter.com/marian_apparitions/approved_apparitions/lepuy/index.html) |  |_x000D_
_x000D_
_x000D_
_x000D_
_x000D_
</v>
      </c>
      <c r="BY3" s="23" t="str">
        <f>IF(AR3,VLOOKUP(B3,'(Ref) Countries'!A:B,2,)&amp;IF(LEN(C3)&gt;1,"-"&amp;LOWER(SUBSTITUTE(C3," ","-")),"")&amp;"-"&amp;LOWER(SUBSTITUTE(G3," ","-"))&amp;".md","")</f>
        <v>fr-cathedral-of-our-lady-of-puy.md</v>
      </c>
      <c r="BZ3" s="29" t="str">
        <f>IF(LEN(Y3)&gt;1,VLOOKUP(Y3,'Tag List'!$A:$B,2,),"")</f>
        <v>Camino de Santiago</v>
      </c>
      <c r="CA3" s="29" t="str">
        <f>IF(LEN(Z3)&gt;1,VLOOKUP(Z3,'Tag List'!$A:$B,2,),"")</f>
        <v/>
      </c>
      <c r="CB3" s="29" t="str">
        <f>IF(LEN(AA3)&gt;1,VLOOKUP(AA3,'Tag List'!$A:$B,2,),"")</f>
        <v/>
      </c>
      <c r="CC3" s="30" t="str">
        <f>IF(LEN(Y3)&gt;1,GetTagPage(BZ3,Y3),"")</f>
        <v>[Camino de Santiago](/tags/camino)</v>
      </c>
      <c r="CD3" s="30" t="str">
        <f>IF(LEN(Z3)&gt;1,GetTagPage(CA3,Z3),"")</f>
        <v/>
      </c>
      <c r="CE3" s="30" t="str">
        <f>IF(LEN(AA3)&gt;1,GetTagPage(CB3,AA3),"")</f>
        <v/>
      </c>
      <c r="CF3" s="30" t="str">
        <f t="shared" si="26"/>
        <v xml:space="preserve">| [Camino de Santiago](/tags/camino) </v>
      </c>
      <c r="CG3" s="30" t="str">
        <f t="shared" si="27"/>
        <v xml:space="preserve">| [Le Puy En Velay](/places/fr-cathedral-of-our-lady-of-puy) </v>
      </c>
      <c r="CH3" s="30" t="str">
        <f>"| "&amp;IF(AR3,GetTagPage(B3,VLOOKUP(B3,'(Ref) Countries'!A:C,3,)),B3)&amp; " "</f>
        <v xml:space="preserve">| [France](/tags/france) </v>
      </c>
      <c r="CI3" s="30" t="str">
        <f t="shared" si="28"/>
        <v xml:space="preserve">| 47 </v>
      </c>
      <c r="CJ3" s="30" t="str">
        <f t="shared" si="29"/>
        <v xml:space="preserve">| [Link](/places/fr-cathedral-of-our-lady-of-puy) </v>
      </c>
      <c r="CK3" s="29" t="str">
        <f t="shared" si="30"/>
        <v xml:space="preserve">
| [Le Puy En Velay](/places/fr-cathedral-of-our-lady-of-puy) | [France](/tags/france) | 47 | [Link](/places/fr-cathedral-of-our-lady-of-puy) [Official site](https://www.cathedraledupuy.org/)[Link](http://www.therealpresence.org/eucharst/misc/BVM/68_LE_PUY_60x96.pdf)[Link](https://www.miraclehunter.com/marian_apparitions/approved_apparitions/lepuy/index.html)| [Camino de Santiago](/tags/camino) |</v>
      </c>
    </row>
    <row r="4" spans="1:90" ht="63.75" x14ac:dyDescent="0.25">
      <c r="A4" s="14" t="s">
        <v>1322</v>
      </c>
      <c r="B4" s="32" t="s">
        <v>2</v>
      </c>
      <c r="C4" s="33"/>
      <c r="D4" s="15">
        <v>9.7544459999999997</v>
      </c>
      <c r="E4" s="49">
        <v>76.564819999999997</v>
      </c>
      <c r="F4" s="32" t="s">
        <v>1401</v>
      </c>
      <c r="G4" s="57" t="s">
        <v>1402</v>
      </c>
      <c r="H4" s="34" t="s">
        <v>1720</v>
      </c>
      <c r="I4" s="25" t="b">
        <v>1</v>
      </c>
      <c r="J4" s="33" t="b">
        <v>1</v>
      </c>
      <c r="K4" s="33"/>
      <c r="L4" s="24" t="s">
        <v>1399</v>
      </c>
      <c r="N4" s="16" t="s">
        <v>101</v>
      </c>
      <c r="O4" s="16" t="s">
        <v>336</v>
      </c>
      <c r="P4" s="59"/>
      <c r="Q4" s="16"/>
      <c r="R4" s="63"/>
      <c r="S4" s="59"/>
      <c r="T4" s="16"/>
      <c r="U4" s="63"/>
      <c r="V4" s="16"/>
      <c r="W4" s="16"/>
      <c r="X4" s="50"/>
      <c r="Y4" s="34" t="s">
        <v>1405</v>
      </c>
      <c r="Z4" s="34"/>
      <c r="AA4" s="34"/>
      <c r="AB4" s="34"/>
      <c r="AC4" s="34"/>
      <c r="AD4" s="34"/>
      <c r="AE4" s="34"/>
      <c r="AF4" s="34"/>
      <c r="AG4" s="34"/>
      <c r="AH4" s="83"/>
      <c r="AI4" s="98" t="s">
        <v>1400</v>
      </c>
      <c r="AJ4" s="99">
        <v>335</v>
      </c>
      <c r="AK4" s="33" t="s">
        <v>336</v>
      </c>
      <c r="AL4" s="15" t="s">
        <v>336</v>
      </c>
      <c r="AM4" s="16" t="s">
        <v>1403</v>
      </c>
      <c r="AN4" s="33" t="s">
        <v>1404</v>
      </c>
      <c r="AO4" s="33" t="s">
        <v>336</v>
      </c>
      <c r="AP4" s="51" t="s">
        <v>336</v>
      </c>
      <c r="AR4" s="28" t="b">
        <f t="shared" si="0"/>
        <v>1</v>
      </c>
      <c r="AS4" s="29" t="str">
        <f t="shared" si="1"/>
        <v>title: "Major Archiepiscopal Marth Mariam Archdeacon Pilgrim Church at Kuravilangad"</v>
      </c>
      <c r="AT4" s="29" t="str">
        <f t="shared" si="2"/>
        <v>location: {lat: 9.754446, lng: 76.56482}</v>
      </c>
      <c r="AU4" s="29" t="str">
        <f t="shared" si="3"/>
        <v>level: global</v>
      </c>
      <c r="AV4" s="29" t="str">
        <f>"- "&amp;VLOOKUP(B4,'(Ref) Countries'!A:C,3,)</f>
        <v>- india</v>
      </c>
      <c r="AW4" s="29" t="str">
        <f t="shared" si="4"/>
        <v/>
      </c>
      <c r="AX4" s="29" t="str">
        <f t="shared" si="5"/>
        <v>- churches</v>
      </c>
      <c r="AY4" s="29" t="str">
        <f t="shared" si="6"/>
        <v>- marian-sites</v>
      </c>
      <c r="AZ4" s="29" t="str">
        <f t="shared" si="7"/>
        <v/>
      </c>
      <c r="BA4" s="29" t="str">
        <f t="shared" si="8"/>
        <v>- syro-malabar</v>
      </c>
      <c r="BB4" s="29" t="str">
        <f t="shared" si="9"/>
        <v/>
      </c>
      <c r="BC4" s="29" t="str">
        <f t="shared" si="10"/>
        <v/>
      </c>
      <c r="BD4" s="29" t="str">
        <f t="shared" si="11"/>
        <v/>
      </c>
      <c r="BE4" s="29" t="str">
        <f t="shared" si="12"/>
        <v/>
      </c>
      <c r="BF4" s="29" t="str">
        <f t="shared" si="13"/>
        <v/>
      </c>
      <c r="BG4" s="29" t="str">
        <f t="shared" si="14"/>
        <v/>
      </c>
      <c r="BH4" s="29" t="str">
        <f t="shared" si="15"/>
        <v/>
      </c>
      <c r="BI4" s="29" t="str">
        <f t="shared" si="16"/>
        <v/>
      </c>
      <c r="BJ4" s="29" t="str">
        <f t="shared" si="17"/>
        <v/>
      </c>
      <c r="BK4" s="29" t="str">
        <f t="shared" si="31"/>
        <v xml:space="preserve">tags:
- india_x000D_
- churches_x000D_
- marian-sites_x000D_
- syro-malabar_x000D_
</v>
      </c>
      <c r="BL4" s="30" t="str">
        <f t="shared" si="18"/>
        <v>[Official site](http://kuravilangadpally.com/)</v>
      </c>
      <c r="BM4" s="30" t="str">
        <f t="shared" si="19"/>
        <v/>
      </c>
      <c r="BN4" s="30" t="str">
        <f t="shared" si="20"/>
        <v/>
      </c>
      <c r="BO4" s="30" t="str">
        <f t="shared" si="21"/>
        <v/>
      </c>
      <c r="BP4" s="30" t="str">
        <f t="shared" si="32"/>
        <v xml:space="preserve">* [Official site](http://kuravilangadpally.com/)
</v>
      </c>
      <c r="BQ4" s="30" t="str">
        <f t="shared" si="22"/>
        <v/>
      </c>
      <c r="BR4" s="30" t="str">
        <f t="shared" si="23"/>
        <v>[Link](https://www.miraclehunter.com/marian_apparitions/approved_apparitions/apparitions_0040-0999.html) (Search "Kuravilangad")</v>
      </c>
      <c r="BS4" s="30" t="str">
        <f t="shared" si="24"/>
        <v/>
      </c>
      <c r="BT4" s="30" t="str">
        <f>IF(LEN(concat(BQ4:BS4))&gt;0,concat("| ",BQ4," | ",BR4," | ",BS4," |"),"")</f>
        <v>|  | [Link](https://www.miraclehunter.com/marian_apparitions/approved_apparitions/apparitions_0040-0999.html) (Search "Kuravilangad") |  |</v>
      </c>
      <c r="BU4" s="29" t="str">
        <f t="shared" si="25"/>
        <v xml:space="preserve">| The Real Presence | Miracle Hunter | MaryPages |_x000D_
| --- | --- | --- |_x000D_
|  | [Link](https://www.miraclehunter.com/marian_apparitions/approved_apparitions/apparitions_0040-0999.html) (Search "Kuravilangad") |  |_x000D_
</v>
      </c>
      <c r="BV4" s="29" t="str">
        <f>IF(LEN(BP4&amp;BU4)&gt;0,concatll("#### More Information",BP4,BU4),"")</f>
        <v xml:space="preserve">#### More Information_x000D_
_x000D_
* [Official site](http://kuravilangadpally.com/)
_x000D_
_x000D_
| The Real Presence | Miracle Hunter | MaryPages |_x000D_
| --- | --- | --- |_x000D_
|  | [Link](https://www.miraclehunter.com/marian_apparitions/approved_apparitions/apparitions_0040-0999.html) (Search "Kuravilangad") |  |_x000D_
_x000D_
_x000D_
</v>
      </c>
      <c r="BW4" s="29" t="str">
        <f>IF(LEN(M4)&gt;1,concatll("#### Author's Note",M4),"")</f>
        <v/>
      </c>
      <c r="BX4" s="23" t="str">
        <f>IF(AR4,concatll(concatl("---",AS4:AU4,BK4,"---"),L4,BV4:BW4),"")</f>
        <v xml:space="preserve">---_x000D_
title: "Major Archiepiscopal Marth Mariam Archdeacon Pilgrim Church at Kuravilangad"_x000D_
location: {lat: 9.754446, lng: 76.56482}_x000D_
level: global_x000D_
tags:
- india_x000D_
- churches_x000D_
- marian-sites_x000D_
- syro-malabar_x000D_
_x000D_
---_x000D_
_x000D_
_x000D_
According to tradition, Our Lady appeared to a few shepherd children at Kuravilangad as they were tending their flock.  She asked them to build a church at the place from where a miraculous perpetual spring sprouted, which exists even today.  The children reported this matter to the elders and a church was built there._x000D_
_x000D_
#### More Information_x000D_
_x000D_
* [Official site](http://kuravilangadpally.com/)
_x000D_
_x000D_
| The Real Presence | Miracle Hunter | MaryPages |_x000D_
| --- | --- | --- |_x000D_
|  | [Link](https://www.miraclehunter.com/marian_apparitions/approved_apparitions/apparitions_0040-0999.html) (Search "Kuravilangad") |  |_x000D_
_x000D_
_x000D_
_x000D_
_x000D_
</v>
      </c>
      <c r="BY4" s="23" t="str">
        <f>IF(AR4,VLOOKUP(B4,'(Ref) Countries'!A:B,2,)&amp;IF(LEN(C4)&gt;1,"-"&amp;LOWER(SUBSTITUTE(C4," ","-")),"")&amp;"-"&amp;LOWER(SUBSTITUTE(G4," ","-"))&amp;".md","")</f>
        <v>in-marth-mariam-archdeacon-pilgrim-church-at-kuravilangad.md</v>
      </c>
      <c r="BZ4" s="29" t="str">
        <f>IF(LEN(Y4)&gt;1,VLOOKUP(Y4,'Tag List'!$A:$B,2,),"")</f>
        <v>Syro-Malabar Church</v>
      </c>
      <c r="CA4" s="29" t="str">
        <f>IF(LEN(Z4)&gt;1,VLOOKUP(Z4,'Tag List'!$A:$B,2,),"")</f>
        <v/>
      </c>
      <c r="CB4" s="29" t="str">
        <f>IF(LEN(AA4)&gt;1,VLOOKUP(AA4,'Tag List'!$A:$B,2,),"")</f>
        <v/>
      </c>
      <c r="CC4" s="30" t="str">
        <f>IF(LEN(Y4)&gt;1,GetTagPage(BZ4,Y4),"")</f>
        <v>[Syro-Malabar Church](/tags/syro-malabar)</v>
      </c>
      <c r="CD4" s="30" t="str">
        <f>IF(LEN(Z4)&gt;1,GetTagPage(CA4,Z4),"")</f>
        <v/>
      </c>
      <c r="CE4" s="30" t="str">
        <f>IF(LEN(AA4)&gt;1,GetTagPage(CB4,AA4),"")</f>
        <v/>
      </c>
      <c r="CF4" s="30" t="str">
        <f t="shared" si="26"/>
        <v xml:space="preserve">| [Syro-Malabar Church](/tags/syro-malabar) </v>
      </c>
      <c r="CG4" s="30" t="str">
        <f t="shared" si="27"/>
        <v xml:space="preserve">| [Kuravilangad](/places/in-marth-mariam-archdeacon-pilgrim-church-at-kuravilangad) </v>
      </c>
      <c r="CH4" s="30" t="str">
        <f>"| "&amp;IF(AR4,GetTagPage(B4,VLOOKUP(B4,'(Ref) Countries'!A:C,3,)),B4)&amp; " "</f>
        <v xml:space="preserve">| [India](/tags/india) </v>
      </c>
      <c r="CI4" s="30" t="str">
        <f t="shared" si="28"/>
        <v xml:space="preserve">| 335 </v>
      </c>
      <c r="CJ4" s="30" t="str">
        <f t="shared" si="29"/>
        <v xml:space="preserve">| [Link](/places/in-marth-mariam-archdeacon-pilgrim-church-at-kuravilangad) </v>
      </c>
      <c r="CK4" s="29" t="str">
        <f t="shared" si="30"/>
        <v xml:space="preserve">
| [Kuravilangad](/places/in-marth-mariam-archdeacon-pilgrim-church-at-kuravilangad) | [India](/tags/india) | 335 | [Link](/places/in-marth-mariam-archdeacon-pilgrim-church-at-kuravilangad) [Official site](http://kuravilangadpally.com/)[Link](https://www.miraclehunter.com/marian_apparitions/approved_apparitions/apparitions_0040-0999.html) (Search "Kuravilangad")| [Syro-Malabar Church](/tags/syro-malabar) |</v>
      </c>
    </row>
    <row r="5" spans="1:90" ht="102" x14ac:dyDescent="0.25">
      <c r="A5" s="14" t="s">
        <v>1322</v>
      </c>
      <c r="B5" s="27" t="s">
        <v>11</v>
      </c>
      <c r="C5" s="35" t="s">
        <v>1004</v>
      </c>
      <c r="D5" s="15">
        <v>41.897293109963897</v>
      </c>
      <c r="E5" s="49">
        <v>12.4989743434214</v>
      </c>
      <c r="F5" s="24" t="s">
        <v>175</v>
      </c>
      <c r="G5" s="53" t="s">
        <v>730</v>
      </c>
      <c r="H5" s="15" t="s">
        <v>1720</v>
      </c>
      <c r="I5" s="25" t="b">
        <v>1</v>
      </c>
      <c r="J5" s="15" t="b">
        <v>1</v>
      </c>
      <c r="L5" s="24" t="s">
        <v>338</v>
      </c>
      <c r="N5" s="15" t="s">
        <v>176</v>
      </c>
      <c r="O5" s="15" t="s">
        <v>336</v>
      </c>
      <c r="Y5" s="36" t="s">
        <v>1000</v>
      </c>
      <c r="Z5" s="37"/>
      <c r="AA5" s="36"/>
      <c r="AB5" s="36"/>
      <c r="AC5" s="36"/>
      <c r="AD5" s="36"/>
      <c r="AE5" s="36"/>
      <c r="AF5" s="36"/>
      <c r="AG5" s="36"/>
      <c r="AH5" s="84"/>
      <c r="AI5" s="98" t="s">
        <v>1311</v>
      </c>
      <c r="AJ5" s="99">
        <v>352</v>
      </c>
      <c r="AK5" s="15" t="s">
        <v>181</v>
      </c>
      <c r="AL5" s="15" t="s">
        <v>336</v>
      </c>
      <c r="AM5" s="15" t="s">
        <v>103</v>
      </c>
      <c r="AN5" s="15" t="s">
        <v>336</v>
      </c>
      <c r="AO5" s="15" t="s">
        <v>177</v>
      </c>
      <c r="AP5" s="49" t="s">
        <v>336</v>
      </c>
      <c r="AR5" s="28" t="b">
        <f t="shared" si="0"/>
        <v>1</v>
      </c>
      <c r="AS5" s="29" t="str">
        <f t="shared" si="1"/>
        <v>title: "Santa Maria Maggiore (Our Lady of the Snows)"</v>
      </c>
      <c r="AT5" s="29" t="str">
        <f t="shared" si="2"/>
        <v>location: {lat: 41.8972931099639, lng: 12.4989743434214}</v>
      </c>
      <c r="AU5" s="29" t="str">
        <f t="shared" si="3"/>
        <v>level: global</v>
      </c>
      <c r="AV5" s="29" t="str">
        <f>"- "&amp;VLOOKUP(B5,'(Ref) Countries'!A:C,3,)</f>
        <v>- italy</v>
      </c>
      <c r="AW5" s="29" t="str">
        <f t="shared" si="4"/>
        <v>- rome</v>
      </c>
      <c r="AX5" s="29" t="str">
        <f t="shared" si="5"/>
        <v>- churches</v>
      </c>
      <c r="AY5" s="29" t="str">
        <f t="shared" si="6"/>
        <v>- marian-sites</v>
      </c>
      <c r="AZ5" s="29" t="str">
        <f t="shared" si="7"/>
        <v/>
      </c>
      <c r="BA5" s="29" t="str">
        <f t="shared" si="8"/>
        <v>- papal-basilicas</v>
      </c>
      <c r="BB5" s="29" t="str">
        <f t="shared" si="9"/>
        <v/>
      </c>
      <c r="BC5" s="29" t="str">
        <f t="shared" si="10"/>
        <v/>
      </c>
      <c r="BD5" s="29" t="str">
        <f t="shared" si="11"/>
        <v/>
      </c>
      <c r="BE5" s="29" t="str">
        <f t="shared" si="12"/>
        <v/>
      </c>
      <c r="BF5" s="29" t="str">
        <f t="shared" si="13"/>
        <v/>
      </c>
      <c r="BG5" s="29" t="str">
        <f t="shared" si="14"/>
        <v/>
      </c>
      <c r="BH5" s="29" t="str">
        <f t="shared" si="15"/>
        <v/>
      </c>
      <c r="BI5" s="29" t="str">
        <f t="shared" si="16"/>
        <v/>
      </c>
      <c r="BJ5" s="29" t="str">
        <f t="shared" si="17"/>
        <v/>
      </c>
      <c r="BK5" s="29" t="str">
        <f t="shared" si="31"/>
        <v xml:space="preserve">tags:
- italy_x000D_
- rome_x000D_
- churches_x000D_
- marian-sites_x000D_
- papal-basilicas_x000D_
</v>
      </c>
      <c r="BL5" s="30" t="str">
        <f t="shared" si="18"/>
        <v>[Official site](https://www.vatican.va/various/basiliche/sm_maggiore/index_en.html)</v>
      </c>
      <c r="BM5" s="30" t="str">
        <f t="shared" si="19"/>
        <v/>
      </c>
      <c r="BN5" s="30" t="str">
        <f t="shared" si="20"/>
        <v/>
      </c>
      <c r="BO5" s="30" t="str">
        <f t="shared" si="21"/>
        <v/>
      </c>
      <c r="BP5" s="30" t="str">
        <f t="shared" si="32"/>
        <v xml:space="preserve">* [Official site](https://www.vatican.va/various/basiliche/sm_maggiore/index_en.html)
</v>
      </c>
      <c r="BQ5" s="30" t="str">
        <f t="shared" si="22"/>
        <v>[Link](http://www.therealpresence.org/eucharst/misc/BVM/117_ROMA_60x96.pdf)</v>
      </c>
      <c r="BR5" s="30" t="str">
        <f t="shared" si="23"/>
        <v>[Link](https://www.miraclehunter.com/marian_apparitions/approved_apparitions/rome/index.html)</v>
      </c>
      <c r="BS5" s="30" t="str">
        <f t="shared" si="24"/>
        <v>[Link](https://www.marypages.com/our-lady-of-the-snows-en.html)</v>
      </c>
      <c r="BT5" s="30" t="str">
        <f>IF(LEN(concat(BQ5:BS5))&gt;0,concat("| ",BQ5," | ",BR5," | ",BS5," |"),"")</f>
        <v>| [Link](http://www.therealpresence.org/eucharst/misc/BVM/117_ROMA_60x96.pdf) | [Link](https://www.miraclehunter.com/marian_apparitions/approved_apparitions/rome/index.html) | [Link](https://www.marypages.com/our-lady-of-the-snows-en.html) |</v>
      </c>
      <c r="BU5" s="29" t="str">
        <f t="shared" si="25"/>
        <v xml:space="preserve">| The Real Presence | Miracle Hunter | MaryPages |_x000D_
| --- | --- | --- |_x000D_
| [Link](http://www.therealpresence.org/eucharst/misc/BVM/117_ROMA_60x96.pdf) | [Link](https://www.miraclehunter.com/marian_apparitions/approved_apparitions/rome/index.html) | [Link](https://www.marypages.com/our-lady-of-the-snows-en.html) |_x000D_
</v>
      </c>
      <c r="BV5" s="29" t="str">
        <f>IF(LEN(BP5&amp;BU5)&gt;0,concatll("#### More Information",BP5,BU5),"")</f>
        <v xml:space="preserve">#### More Information_x000D_
_x000D_
* [Official site](https://www.vatican.va/various/basiliche/sm_maggiore/index_en.html)
_x000D_
_x000D_
| The Real Presence | Miracle Hunter | MaryPages |_x000D_
| --- | --- | --- |_x000D_
| [Link](http://www.therealpresence.org/eucharst/misc/BVM/117_ROMA_60x96.pdf) | [Link](https://www.miraclehunter.com/marian_apparitions/approved_apparitions/rome/index.html) | [Link](https://www.marypages.com/our-lady-of-the-snows-en.html) |_x000D_
_x000D_
_x000D_
</v>
      </c>
      <c r="BW5" s="29" t="str">
        <f>IF(LEN(M5)&gt;1,concatll("#### Author's Note",M5),"")</f>
        <v/>
      </c>
      <c r="BX5" s="23" t="str">
        <f>IF(AR5,concatll(concatl("---",AS5:AU5,BK5,"---"),L5,BV5:BW5),"")</f>
        <v xml:space="preserve">---_x000D_
title: "Santa Maria Maggiore (Our Lady of the Snows)"_x000D_
location: {lat: 41.8972931099639, lng: 12.4989743434214}_x000D_
level: global_x000D_
tags:
- italy_x000D_
- rome_x000D_
- churches_x000D_
- marian-sites_x000D_
- papal-basilicas_x000D_
_x000D_
---_x000D_
_x000D_
_x000D_
A wealthy but childless Christian Roman couple wanted to appoint the Virgin Mary as heiress of their property. On the night of August 4, Mary appeared simultaneously to the couple and Pope Liberius, expressing the wish that a church be erected on Esquiline Hill.  The morning of August 5, miraculous snow fell on a narrow piece of land, upon which the Church of Liberius was constructed.  This Marian shrine was replaced in the fifth century with a great church named Santa Maria Maggiore, which is now one of the four papal basilicas._x000D_
_x000D_
#### More Information_x000D_
_x000D_
* [Official site](https://www.vatican.va/various/basiliche/sm_maggiore/index_en.html)
_x000D_
_x000D_
| The Real Presence | Miracle Hunter | MaryPages |_x000D_
| --- | --- | --- |_x000D_
| [Link](http://www.therealpresence.org/eucharst/misc/BVM/117_ROMA_60x96.pdf) | [Link](https://www.miraclehunter.com/marian_apparitions/approved_apparitions/rome/index.html) | [Link](https://www.marypages.com/our-lady-of-the-snows-en.html) |_x000D_
_x000D_
_x000D_
_x000D_
_x000D_
</v>
      </c>
      <c r="BY5" s="23" t="str">
        <f>IF(AR5,VLOOKUP(B5,'(Ref) Countries'!A:B,2,)&amp;IF(LEN(C5)&gt;1,"-"&amp;LOWER(SUBSTITUTE(C5," ","-")),"")&amp;"-"&amp;LOWER(SUBSTITUTE(G5," ","-"))&amp;".md","")</f>
        <v>it-rome-s-maria-maggiore.md</v>
      </c>
      <c r="BZ5" s="38" t="str">
        <f>IF(LEN(Y5)&gt;1,VLOOKUP(Y5,'Tag List'!$A:$B,2,),"")</f>
        <v>Papal Basilicas</v>
      </c>
      <c r="CA5" s="38" t="str">
        <f>IF(LEN(Z5)&gt;1,VLOOKUP(Z5,'Tag List'!$A:$B,2,),"")</f>
        <v/>
      </c>
      <c r="CB5" s="38" t="str">
        <f>IF(LEN(AA5)&gt;1,VLOOKUP(AA5,'Tag List'!$A:$B,2,),"")</f>
        <v/>
      </c>
      <c r="CC5" s="30" t="str">
        <f>IF(LEN(Y5)&gt;1,GetTagPage(BZ5,Y5),"")</f>
        <v>[Papal Basilicas](/tags/papal-basilicas)</v>
      </c>
      <c r="CD5" s="30" t="str">
        <f>IF(LEN(Z5)&gt;1,GetTagPage(CA5,Z5),"")</f>
        <v/>
      </c>
      <c r="CE5" s="30" t="str">
        <f>IF(LEN(AA5)&gt;1,GetTagPage(CB5,AA5),"")</f>
        <v/>
      </c>
      <c r="CF5" s="30" t="str">
        <f t="shared" si="26"/>
        <v xml:space="preserve">| [Papal Basilicas](/tags/papal-basilicas) </v>
      </c>
      <c r="CG5" s="30" t="str">
        <f t="shared" si="27"/>
        <v xml:space="preserve">| [Rome (Santa Maria Maggiore)](/places/it-rome-s-maria-maggiore) </v>
      </c>
      <c r="CH5" s="30" t="str">
        <f>"| "&amp;IF(AR5,GetTagPage(B5,VLOOKUP(B5,'(Ref) Countries'!A:C,3,)),B5)&amp; " "</f>
        <v xml:space="preserve">| [Italy](/tags/italy) </v>
      </c>
      <c r="CI5" s="30" t="str">
        <f t="shared" si="28"/>
        <v xml:space="preserve">| 352 </v>
      </c>
      <c r="CJ5" s="30" t="str">
        <f t="shared" si="29"/>
        <v xml:space="preserve">| [Link](/places/it-rome-s-maria-maggiore) </v>
      </c>
      <c r="CK5" s="29" t="str">
        <f t="shared" si="30"/>
        <v xml:space="preserve">
| [Rome (Santa Maria Maggiore)](/places/it-rome-s-maria-maggiore) | [Italy](/tags/italy) | 352 | [Link](/places/it-rome-s-maria-maggiore) [Official site](https://www.vatican.va/various/basiliche/sm_maggiore/index_en.html)[Link](http://www.therealpresence.org/eucharst/misc/BVM/117_ROMA_60x96.pdf)[Link](https://www.miraclehunter.com/marian_apparitions/approved_apparitions/rome/index.html)[Link](https://www.marypages.com/our-lady-of-the-snows-en.html)| [Papal Basilicas](/tags/papal-basilicas) |</v>
      </c>
    </row>
    <row r="6" spans="1:90" x14ac:dyDescent="0.25">
      <c r="A6" s="14" t="s">
        <v>1051</v>
      </c>
      <c r="B6" s="24" t="s">
        <v>11</v>
      </c>
      <c r="C6" s="35" t="s">
        <v>1435</v>
      </c>
      <c r="D6" s="15">
        <v>38.141271460015901</v>
      </c>
      <c r="E6" s="49">
        <v>15.0456795824699</v>
      </c>
      <c r="F6" s="24" t="s">
        <v>1340</v>
      </c>
      <c r="G6" s="53" t="s">
        <v>1339</v>
      </c>
      <c r="H6" s="15" t="s">
        <v>1720</v>
      </c>
      <c r="I6" s="25" t="b">
        <v>1</v>
      </c>
      <c r="J6" s="15" t="b">
        <v>1</v>
      </c>
      <c r="L6" s="24" t="s">
        <v>1335</v>
      </c>
      <c r="N6" s="15" t="s">
        <v>1337</v>
      </c>
      <c r="O6" s="15" t="s">
        <v>336</v>
      </c>
      <c r="AI6" s="98" t="s">
        <v>1183</v>
      </c>
      <c r="AJ6" s="99" t="s">
        <v>1343</v>
      </c>
      <c r="AK6" s="15" t="s">
        <v>182</v>
      </c>
      <c r="AL6" s="15" t="s">
        <v>336</v>
      </c>
      <c r="AN6" s="15" t="s">
        <v>336</v>
      </c>
      <c r="AO6" s="15" t="s">
        <v>336</v>
      </c>
      <c r="AP6" s="49" t="s">
        <v>336</v>
      </c>
      <c r="AR6" s="28" t="b">
        <f t="shared" si="0"/>
        <v>1</v>
      </c>
      <c r="AS6" s="29" t="str">
        <f t="shared" si="1"/>
        <v>title: "Sanctuary of Holy Mary of Tindari"</v>
      </c>
      <c r="AT6" s="29" t="str">
        <f t="shared" si="2"/>
        <v>location: {lat: 38.1412714600159, lng: 15.0456795824699}</v>
      </c>
      <c r="AU6" s="29" t="str">
        <f t="shared" si="3"/>
        <v>level: global</v>
      </c>
      <c r="AV6" s="29" t="str">
        <f>"- "&amp;VLOOKUP(B6,'(Ref) Countries'!A:C,3,)</f>
        <v>- italy</v>
      </c>
      <c r="AW6" s="29" t="str">
        <f t="shared" si="4"/>
        <v>- sicily</v>
      </c>
      <c r="AX6" s="29" t="str">
        <f t="shared" si="5"/>
        <v>- churches</v>
      </c>
      <c r="AY6" s="29" t="str">
        <f t="shared" si="6"/>
        <v>- marian-sites</v>
      </c>
      <c r="AZ6" s="29" t="str">
        <f t="shared" si="7"/>
        <v/>
      </c>
      <c r="BA6" s="29" t="str">
        <f t="shared" si="8"/>
        <v/>
      </c>
      <c r="BB6" s="29" t="str">
        <f t="shared" si="9"/>
        <v/>
      </c>
      <c r="BC6" s="29" t="str">
        <f t="shared" si="10"/>
        <v/>
      </c>
      <c r="BD6" s="29" t="str">
        <f t="shared" si="11"/>
        <v/>
      </c>
      <c r="BE6" s="29" t="str">
        <f t="shared" si="12"/>
        <v/>
      </c>
      <c r="BF6" s="29" t="str">
        <f t="shared" si="13"/>
        <v/>
      </c>
      <c r="BG6" s="29" t="str">
        <f t="shared" si="14"/>
        <v/>
      </c>
      <c r="BH6" s="29" t="str">
        <f t="shared" si="15"/>
        <v/>
      </c>
      <c r="BI6" s="29" t="str">
        <f t="shared" si="16"/>
        <v/>
      </c>
      <c r="BJ6" s="29" t="str">
        <f t="shared" si="17"/>
        <v/>
      </c>
      <c r="BK6" s="29" t="str">
        <f t="shared" si="31"/>
        <v xml:space="preserve">tags:
- italy_x000D_
- sicily_x000D_
- churches_x000D_
- marian-sites_x000D_
</v>
      </c>
      <c r="BL6" s="30" t="str">
        <f t="shared" si="18"/>
        <v>[Official site](https://santuariotindari.it/)</v>
      </c>
      <c r="BM6" s="30" t="str">
        <f t="shared" si="19"/>
        <v/>
      </c>
      <c r="BN6" s="30" t="str">
        <f t="shared" si="20"/>
        <v/>
      </c>
      <c r="BO6" s="30" t="str">
        <f t="shared" si="21"/>
        <v/>
      </c>
      <c r="BP6" s="30" t="str">
        <f t="shared" si="32"/>
        <v xml:space="preserve">* [Official site](https://santuariotindari.it/)
</v>
      </c>
      <c r="BQ6" s="30" t="str">
        <f t="shared" si="22"/>
        <v>[Link](http://www.therealpresence.org/eucharst/misc/BVM/90_TINDARI_60x96.pdf)</v>
      </c>
      <c r="BR6" s="30" t="str">
        <f t="shared" si="23"/>
        <v/>
      </c>
      <c r="BS6" s="30" t="str">
        <f t="shared" si="24"/>
        <v/>
      </c>
      <c r="BT6" s="30" t="str">
        <f>IF(LEN(concat(BQ6:BS6))&gt;0,concat("| ",BQ6," | ",BR6," | ",BS6," |"),"")</f>
        <v>| [Link](http://www.therealpresence.org/eucharst/misc/BVM/90_TINDARI_60x96.pdf) |  |  |</v>
      </c>
      <c r="BU6" s="29" t="str">
        <f t="shared" si="25"/>
        <v xml:space="preserve">| The Real Presence | Miracle Hunter | MaryPages |_x000D_
| --- | --- | --- |_x000D_
| [Link](http://www.therealpresence.org/eucharst/misc/BVM/90_TINDARI_60x96.pdf) |  |  |_x000D_
</v>
      </c>
      <c r="BV6" s="29" t="str">
        <f>IF(LEN(BP6&amp;BU6)&gt;0,concatll("#### More Information",BP6,BU6),"")</f>
        <v xml:space="preserve">#### More Information_x000D_
_x000D_
* [Official site](https://santuariotindari.it/)
_x000D_
_x000D_
| The Real Presence | Miracle Hunter | MaryPages |_x000D_
| --- | --- | --- |_x000D_
| [Link](http://www.therealpresence.org/eucharst/misc/BVM/90_TINDARI_60x96.pdf) |  |  |_x000D_
_x000D_
_x000D_
</v>
      </c>
      <c r="BW6" s="29" t="str">
        <f>IF(LEN(M6)&gt;1,concatll("#### Author's Note",M6),"")</f>
        <v/>
      </c>
      <c r="BX6" s="23" t="str">
        <f>IF(AR6,concatll(concatl("---",AS6:AU6,BK6,"---"),L6,BV6:BW6),"")</f>
        <v xml:space="preserve">---_x000D_
title: "Sanctuary of Holy Mary of Tindari"_x000D_
location: {lat: 38.1412714600159, lng: 15.0456795824699}_x000D_
level: global_x000D_
tags:
- italy_x000D_
- sicily_x000D_
- churches_x000D_
- marian-sites_x000D_
_x000D_
---_x000D_
_x000D_
_x000D_
_Research in progress__x000D_
_x000D_
#### More Information_x000D_
_x000D_
* [Official site](https://santuariotindari.it/)
_x000D_
_x000D_
| The Real Presence | Miracle Hunter | MaryPages |_x000D_
| --- | --- | --- |_x000D_
| [Link](http://www.therealpresence.org/eucharst/misc/BVM/90_TINDARI_60x96.pdf) |  |  |_x000D_
_x000D_
_x000D_
_x000D_
_x000D_
</v>
      </c>
      <c r="BY6" s="23" t="str">
        <f>IF(AR6,VLOOKUP(B6,'(Ref) Countries'!A:B,2,)&amp;IF(LEN(C6)&gt;1,"-"&amp;LOWER(SUBSTITUTE(C6," ","-")),"")&amp;"-"&amp;LOWER(SUBSTITUTE(G6," ","-"))&amp;".md","")</f>
        <v>it-sicily-sanctuary-of-tindari.md</v>
      </c>
      <c r="BZ6" s="29" t="str">
        <f>IF(LEN(Y6)&gt;1,VLOOKUP(Y6,'Tag List'!$A:$B,2,),"")</f>
        <v/>
      </c>
      <c r="CA6" s="29" t="str">
        <f>IF(LEN(Z6)&gt;1,VLOOKUP(Z6,'Tag List'!$A:$B,2,),"")</f>
        <v/>
      </c>
      <c r="CB6" s="29" t="str">
        <f>IF(LEN(AA6)&gt;1,VLOOKUP(AA6,'Tag List'!$A:$B,2,),"")</f>
        <v/>
      </c>
      <c r="CC6" s="30" t="str">
        <f>IF(LEN(Y6)&gt;1,GetTagPage(BZ6,Y6),"")</f>
        <v/>
      </c>
      <c r="CD6" s="30" t="str">
        <f>IF(LEN(Z6)&gt;1,GetTagPage(CA6,Z6),"")</f>
        <v/>
      </c>
      <c r="CE6" s="30" t="str">
        <f>IF(LEN(AA6)&gt;1,GetTagPage(CB6,AA6),"")</f>
        <v/>
      </c>
      <c r="CF6" s="30" t="str">
        <f t="shared" si="26"/>
        <v xml:space="preserve">| </v>
      </c>
      <c r="CG6" s="30" t="str">
        <f t="shared" si="27"/>
        <v xml:space="preserve">| [Tindari](/places/it-sicily-sanctuary-of-tindari) </v>
      </c>
      <c r="CH6" s="30" t="str">
        <f>"| "&amp;IF(AR6,GetTagPage(B6,VLOOKUP(B6,'(Ref) Countries'!A:C,3,)),B6)&amp; " "</f>
        <v xml:space="preserve">| [Italy](/tags/italy) </v>
      </c>
      <c r="CI6" s="30" t="str">
        <f t="shared" si="28"/>
        <v xml:space="preserve">| 5th or 6th Century </v>
      </c>
      <c r="CJ6" s="30" t="str">
        <f t="shared" si="29"/>
        <v xml:space="preserve">| [Link](/places/it-sicily-sanctuary-of-tindari) </v>
      </c>
      <c r="CK6" s="29" t="str">
        <f t="shared" si="30"/>
        <v xml:space="preserve">
| [Tindari](/places/it-sicily-sanctuary-of-tindari) | [Italy](/tags/italy) | 5th or 6th Century | [Link](/places/it-sicily-sanctuary-of-tindari) [Official site](https://santuariotindari.it/)[Link](http://www.therealpresence.org/eucharst/misc/BVM/90_TINDARI_60x96.pdf)| |</v>
      </c>
    </row>
    <row r="7" spans="1:90" ht="76.5" x14ac:dyDescent="0.25">
      <c r="A7" s="14" t="s">
        <v>1051</v>
      </c>
      <c r="B7" s="24" t="s">
        <v>736</v>
      </c>
      <c r="D7" s="15">
        <v>52.880559553822799</v>
      </c>
      <c r="E7" s="49">
        <v>0.85276071534114095</v>
      </c>
      <c r="F7" s="24" t="s">
        <v>1355</v>
      </c>
      <c r="G7" s="53" t="s">
        <v>334</v>
      </c>
      <c r="H7" s="15" t="s">
        <v>1720</v>
      </c>
      <c r="I7" s="25" t="b">
        <v>1</v>
      </c>
      <c r="J7" s="15" t="b">
        <v>1</v>
      </c>
      <c r="L7" s="24" t="s">
        <v>1353</v>
      </c>
      <c r="N7" s="15" t="s">
        <v>1354</v>
      </c>
      <c r="O7" s="15" t="s">
        <v>336</v>
      </c>
      <c r="Y7" s="15" t="s">
        <v>336</v>
      </c>
      <c r="AI7" s="98" t="s">
        <v>1184</v>
      </c>
      <c r="AJ7" s="99" t="s">
        <v>1065</v>
      </c>
      <c r="AK7" s="15" t="s">
        <v>184</v>
      </c>
      <c r="AL7" s="15" t="s">
        <v>336</v>
      </c>
      <c r="AM7" s="15" t="s">
        <v>1352</v>
      </c>
      <c r="AN7" s="15" t="s">
        <v>336</v>
      </c>
      <c r="AO7" s="15" t="s">
        <v>1356</v>
      </c>
      <c r="AP7" s="49" t="s">
        <v>336</v>
      </c>
      <c r="AR7" s="28" t="b">
        <f t="shared" si="0"/>
        <v>1</v>
      </c>
      <c r="AS7" s="29" t="str">
        <f t="shared" si="1"/>
        <v>title: "Catholic National Shrine and Basilica of Our Lady of Walsingham"</v>
      </c>
      <c r="AT7" s="29" t="str">
        <f t="shared" si="2"/>
        <v>location: {lat: 52.8805595538228, lng: 0.852760715341141}</v>
      </c>
      <c r="AU7" s="29" t="str">
        <f t="shared" si="3"/>
        <v>level: global</v>
      </c>
      <c r="AV7" s="29" t="str">
        <f>"- "&amp;VLOOKUP(B7,'(Ref) Countries'!A:C,3,)</f>
        <v>- uk</v>
      </c>
      <c r="AW7" s="29" t="str">
        <f t="shared" si="4"/>
        <v/>
      </c>
      <c r="AX7" s="29" t="str">
        <f t="shared" si="5"/>
        <v>- churches</v>
      </c>
      <c r="AY7" s="29" t="str">
        <f t="shared" si="6"/>
        <v>- marian-sites</v>
      </c>
      <c r="AZ7" s="29" t="str">
        <f t="shared" si="7"/>
        <v/>
      </c>
      <c r="BA7" s="29" t="str">
        <f t="shared" si="8"/>
        <v/>
      </c>
      <c r="BB7" s="29" t="str">
        <f t="shared" si="9"/>
        <v/>
      </c>
      <c r="BC7" s="29" t="str">
        <f t="shared" si="10"/>
        <v/>
      </c>
      <c r="BD7" s="29" t="str">
        <f t="shared" si="11"/>
        <v/>
      </c>
      <c r="BE7" s="29" t="str">
        <f t="shared" si="12"/>
        <v/>
      </c>
      <c r="BF7" s="29" t="str">
        <f t="shared" si="13"/>
        <v/>
      </c>
      <c r="BG7" s="29" t="str">
        <f t="shared" si="14"/>
        <v/>
      </c>
      <c r="BH7" s="29" t="str">
        <f t="shared" si="15"/>
        <v/>
      </c>
      <c r="BI7" s="29" t="str">
        <f t="shared" si="16"/>
        <v/>
      </c>
      <c r="BJ7" s="29" t="str">
        <f t="shared" si="17"/>
        <v/>
      </c>
      <c r="BK7" s="29" t="str">
        <f t="shared" si="31"/>
        <v xml:space="preserve">tags:
- uk_x000D_
- churches_x000D_
- marian-sites_x000D_
</v>
      </c>
      <c r="BL7" s="30" t="str">
        <f t="shared" si="18"/>
        <v>[Official site](https://www.walsingham.org.uk/)</v>
      </c>
      <c r="BM7" s="30" t="str">
        <f t="shared" si="19"/>
        <v/>
      </c>
      <c r="BN7" s="30" t="str">
        <f t="shared" si="20"/>
        <v/>
      </c>
      <c r="BO7" s="30" t="str">
        <f t="shared" si="21"/>
        <v/>
      </c>
      <c r="BP7" s="30" t="str">
        <f t="shared" si="32"/>
        <v xml:space="preserve">* [Official site](https://www.walsingham.org.uk/)
</v>
      </c>
      <c r="BQ7" s="30" t="str">
        <f t="shared" si="22"/>
        <v>[Link](http://www.therealpresence.org/eucharst/misc/BVM/153_WALSINGHAM_60x96.pdf)</v>
      </c>
      <c r="BR7" s="30" t="str">
        <f t="shared" si="23"/>
        <v>[Link](https://www.miraclehunter.com/marian_apparitions/approved_apparitions/walsingham/index.html)</v>
      </c>
      <c r="BS7" s="30" t="str">
        <f t="shared" si="24"/>
        <v>[Link](https://www.marypages.com/our-lady-of-walsingham-en.html)</v>
      </c>
      <c r="BT7" s="30" t="str">
        <f>IF(LEN(concat(BQ7:BS7))&gt;0,concat("| ",BQ7," | ",BR7," | ",BS7," |"),"")</f>
        <v>| [Link](http://www.therealpresence.org/eucharst/misc/BVM/153_WALSINGHAM_60x96.pdf) | [Link](https://www.miraclehunter.com/marian_apparitions/approved_apparitions/walsingham/index.html) | [Link](https://www.marypages.com/our-lady-of-walsingham-en.html) |</v>
      </c>
      <c r="BU7" s="29" t="str">
        <f t="shared" si="25"/>
        <v xml:space="preserve">| The Real Presence | Miracle Hunter | MaryPages |_x000D_
| --- | --- | --- |_x000D_
| [Link](http://www.therealpresence.org/eucharst/misc/BVM/153_WALSINGHAM_60x96.pdf) | [Link](https://www.miraclehunter.com/marian_apparitions/approved_apparitions/walsingham/index.html) | [Link](https://www.marypages.com/our-lady-of-walsingham-en.html) |_x000D_
</v>
      </c>
      <c r="BV7" s="29" t="str">
        <f>IF(LEN(BP7&amp;BU7)&gt;0,concatll("#### More Information",BP7,BU7),"")</f>
        <v xml:space="preserve">#### More Information_x000D_
_x000D_
* [Official site](https://www.walsingham.org.uk/)
_x000D_
_x000D_
| The Real Presence | Miracle Hunter | MaryPages |_x000D_
| --- | --- | --- |_x000D_
| [Link](http://www.therealpresence.org/eucharst/misc/BVM/153_WALSINGHAM_60x96.pdf) | [Link](https://www.miraclehunter.com/marian_apparitions/approved_apparitions/walsingham/index.html) | [Link](https://www.marypages.com/our-lady-of-walsingham-en.html) |_x000D_
_x000D_
_x000D_
</v>
      </c>
      <c r="BW7" s="29" t="str">
        <f>IF(LEN(M7)&gt;1,concatll("#### Author's Note",M7),"")</f>
        <v/>
      </c>
      <c r="BX7" s="23" t="str">
        <f>IF(AR7,concatll(concatl("---",AS7:AU7,BK7,"---"),L7,BV7:BW7),"")</f>
        <v xml:space="preserve">---_x000D_
title: "Catholic National Shrine and Basilica of Our Lady of Walsingham"_x000D_
location: {lat: 52.8805595538228, lng: 0.852760715341141}_x000D_
level: global_x000D_
tags:
- uk_x000D_
- churches_x000D_
- marian-sites_x000D_
_x000D_
---_x000D_
_x000D_
_x000D_
In 1061, Our Lady appeared to Richeldis de Faverches, a Catholic English noblewoman in the village of Walsingham in Norfolk, England.
Our Lady of Walsingham presented her with the plans of the Holy House of the Holy Family in Nazareth and asked that she build the house as a shrine and place of pilgrimage._x000D_
_x000D_
#### More Information_x000D_
_x000D_
* [Official site](https://www.walsingham.org.uk/)
_x000D_
_x000D_
| The Real Presence | Miracle Hunter | MaryPages |_x000D_
| --- | --- | --- |_x000D_
| [Link](http://www.therealpresence.org/eucharst/misc/BVM/153_WALSINGHAM_60x96.pdf) | [Link](https://www.miraclehunter.com/marian_apparitions/approved_apparitions/walsingham/index.html) | [Link](https://www.marypages.com/our-lady-of-walsingham-en.html) |_x000D_
_x000D_
_x000D_
_x000D_
_x000D_
</v>
      </c>
      <c r="BY7" s="23" t="str">
        <f>IF(AR7,VLOOKUP(B7,'(Ref) Countries'!A:B,2,)&amp;IF(LEN(C7)&gt;1,"-"&amp;LOWER(SUBSTITUTE(C7," ","-")),"")&amp;"-"&amp;LOWER(SUBSTITUTE(G7," ","-"))&amp;".md","")</f>
        <v>gb-basilica-of-our-lady-of-walsingham.md</v>
      </c>
      <c r="BZ7" s="29" t="str">
        <f>IF(LEN(Y7)&gt;1,VLOOKUP(Y7,'Tag List'!$A:$B,2,),"")</f>
        <v/>
      </c>
      <c r="CA7" s="29" t="str">
        <f>IF(LEN(Z7)&gt;1,VLOOKUP(Z7,'Tag List'!$A:$B,2,),"")</f>
        <v/>
      </c>
      <c r="CB7" s="29" t="str">
        <f>IF(LEN(AA7)&gt;1,VLOOKUP(AA7,'Tag List'!$A:$B,2,),"")</f>
        <v/>
      </c>
      <c r="CC7" s="30" t="str">
        <f>IF(LEN(Y7)&gt;1,GetTagPage(BZ7,Y7),"")</f>
        <v/>
      </c>
      <c r="CD7" s="30" t="str">
        <f>IF(LEN(Z7)&gt;1,GetTagPage(CA7,Z7),"")</f>
        <v/>
      </c>
      <c r="CE7" s="30" t="str">
        <f>IF(LEN(AA7)&gt;1,GetTagPage(CB7,AA7),"")</f>
        <v/>
      </c>
      <c r="CF7" s="30" t="str">
        <f t="shared" si="26"/>
        <v xml:space="preserve">| </v>
      </c>
      <c r="CG7" s="30" t="str">
        <f t="shared" si="27"/>
        <v xml:space="preserve">| [Walsingham](/places/gb-basilica-of-our-lady-of-walsingham) </v>
      </c>
      <c r="CH7" s="30" t="str">
        <f>"| "&amp;IF(AR7,GetTagPage(B7,VLOOKUP(B7,'(Ref) Countries'!A:C,3,)),B7)&amp; " "</f>
        <v xml:space="preserve">| [United Kingdom](/tags/uk) </v>
      </c>
      <c r="CI7" s="30" t="str">
        <f t="shared" si="28"/>
        <v xml:space="preserve">| 11th Century </v>
      </c>
      <c r="CJ7" s="30" t="str">
        <f t="shared" si="29"/>
        <v xml:space="preserve">| [Link](/places/gb-basilica-of-our-lady-of-walsingham) </v>
      </c>
      <c r="CK7" s="29" t="str">
        <f t="shared" si="30"/>
        <v xml:space="preserve">
| [Walsingham](/places/gb-basilica-of-our-lady-of-walsingham) | [United Kingdom](/tags/uk) | 11th Century | [Link](/places/gb-basilica-of-our-lady-of-walsingham) [Official site](https://www.walsingham.org.uk/)[Link](http://www.therealpresence.org/eucharst/misc/BVM/153_WALSINGHAM_60x96.pdf)[Link](https://www.miraclehunter.com/marian_apparitions/approved_apparitions/walsingham/index.html)[Link](https://www.marypages.com/our-lady-of-walsingham-en.html)| |</v>
      </c>
    </row>
    <row r="8" spans="1:90" ht="153" x14ac:dyDescent="0.25">
      <c r="A8" s="14" t="s">
        <v>1322</v>
      </c>
      <c r="B8" s="24" t="s">
        <v>651</v>
      </c>
      <c r="D8" s="15">
        <v>54.024675490094602</v>
      </c>
      <c r="E8" s="49">
        <v>21.217746272668698</v>
      </c>
      <c r="F8" s="24" t="s">
        <v>1317</v>
      </c>
      <c r="G8" s="53" t="s">
        <v>1317</v>
      </c>
      <c r="H8" s="15" t="s">
        <v>1720</v>
      </c>
      <c r="I8" s="25" t="b">
        <v>1</v>
      </c>
      <c r="J8" s="15" t="b">
        <v>1</v>
      </c>
      <c r="L8" s="40" t="s">
        <v>1717</v>
      </c>
      <c r="M8" s="54" t="s">
        <v>1738</v>
      </c>
      <c r="N8" s="15" t="s">
        <v>1325</v>
      </c>
      <c r="O8" s="15" t="s">
        <v>336</v>
      </c>
      <c r="Y8" s="15" t="s">
        <v>336</v>
      </c>
      <c r="AI8" s="98" t="s">
        <v>1189</v>
      </c>
      <c r="AJ8" s="99" t="s">
        <v>1070</v>
      </c>
      <c r="AK8" s="15" t="s">
        <v>189</v>
      </c>
      <c r="AL8" s="15" t="s">
        <v>336</v>
      </c>
      <c r="AM8" s="15" t="s">
        <v>1326</v>
      </c>
      <c r="AN8" s="15" t="s">
        <v>1338</v>
      </c>
      <c r="AO8" s="15" t="s">
        <v>336</v>
      </c>
      <c r="AP8" s="49" t="s">
        <v>336</v>
      </c>
      <c r="AR8" s="28" t="b">
        <f t="shared" si="0"/>
        <v>1</v>
      </c>
      <c r="AS8" s="29" t="str">
        <f t="shared" si="1"/>
        <v>title: "Swieta Lipka Sanctuary"</v>
      </c>
      <c r="AT8" s="29" t="str">
        <f t="shared" si="2"/>
        <v>location: {lat: 54.0246754900946, lng: 21.2177462726687}</v>
      </c>
      <c r="AU8" s="29" t="str">
        <f t="shared" si="3"/>
        <v>level: global</v>
      </c>
      <c r="AV8" s="29" t="str">
        <f>"- "&amp;VLOOKUP(B8,'(Ref) Countries'!A:C,3,)</f>
        <v>- poland</v>
      </c>
      <c r="AW8" s="29" t="str">
        <f t="shared" si="4"/>
        <v/>
      </c>
      <c r="AX8" s="29" t="str">
        <f t="shared" si="5"/>
        <v>- churches</v>
      </c>
      <c r="AY8" s="29" t="str">
        <f t="shared" si="6"/>
        <v>- marian-sites</v>
      </c>
      <c r="AZ8" s="29" t="str">
        <f t="shared" si="7"/>
        <v/>
      </c>
      <c r="BA8" s="29" t="str">
        <f t="shared" si="8"/>
        <v/>
      </c>
      <c r="BB8" s="29" t="str">
        <f t="shared" si="9"/>
        <v/>
      </c>
      <c r="BC8" s="29" t="str">
        <f t="shared" si="10"/>
        <v/>
      </c>
      <c r="BD8" s="29" t="str">
        <f t="shared" si="11"/>
        <v/>
      </c>
      <c r="BE8" s="29" t="str">
        <f t="shared" si="12"/>
        <v/>
      </c>
      <c r="BF8" s="29" t="str">
        <f t="shared" si="13"/>
        <v/>
      </c>
      <c r="BG8" s="29" t="str">
        <f t="shared" si="14"/>
        <v/>
      </c>
      <c r="BH8" s="29" t="str">
        <f t="shared" si="15"/>
        <v/>
      </c>
      <c r="BI8" s="29" t="str">
        <f t="shared" si="16"/>
        <v/>
      </c>
      <c r="BJ8" s="29" t="str">
        <f t="shared" si="17"/>
        <v/>
      </c>
      <c r="BK8" s="29" t="str">
        <f t="shared" si="31"/>
        <v xml:space="preserve">tags:
- poland_x000D_
- churches_x000D_
- marian-sites_x000D_
</v>
      </c>
      <c r="BL8" s="30" t="str">
        <f t="shared" si="18"/>
        <v>[Official site](https://www.swlipka.pl/)</v>
      </c>
      <c r="BM8" s="30" t="str">
        <f t="shared" si="19"/>
        <v/>
      </c>
      <c r="BN8" s="30" t="str">
        <f t="shared" si="20"/>
        <v/>
      </c>
      <c r="BO8" s="30" t="str">
        <f t="shared" si="21"/>
        <v/>
      </c>
      <c r="BP8" s="30" t="str">
        <f t="shared" si="32"/>
        <v xml:space="preserve">* [Official site](https://www.swlipka.pl/)
</v>
      </c>
      <c r="BQ8" s="30" t="str">
        <f t="shared" si="22"/>
        <v>[Link](http://www.therealpresence.org/eucharst/misc/BVM/138_SWIETA_LIPKA_60x96.pdf)</v>
      </c>
      <c r="BR8" s="30" t="str">
        <f t="shared" si="23"/>
        <v>[Link](http://www.miraclehunter.com/marian_apparitions/approved_apparitions/apparitions_1200-1299.html) (Search for "Swieta Lipka")</v>
      </c>
      <c r="BS8" s="30" t="str">
        <f t="shared" si="24"/>
        <v/>
      </c>
      <c r="BT8" s="30" t="str">
        <f>IF(LEN(concat(BQ8:BS8))&gt;0,concat("| ",BQ8," | ",BR8," | ",BS8," |"),"")</f>
        <v>| [Link](http://www.therealpresence.org/eucharst/misc/BVM/138_SWIETA_LIPKA_60x96.pdf) | [Link](http://www.miraclehunter.com/marian_apparitions/approved_apparitions/apparitions_1200-1299.html) (Search for "Swieta Lipka") |  |</v>
      </c>
      <c r="BU8" s="29" t="str">
        <f t="shared" si="25"/>
        <v xml:space="preserve">| The Real Presence | Miracle Hunter | MaryPages |_x000D_
| --- | --- | --- |_x000D_
| [Link](http://www.therealpresence.org/eucharst/misc/BVM/138_SWIETA_LIPKA_60x96.pdf) | [Link](http://www.miraclehunter.com/marian_apparitions/approved_apparitions/apparitions_1200-1299.html) (Search for "Swieta Lipka") |  |_x000D_
</v>
      </c>
      <c r="BV8" s="29" t="str">
        <f>IF(LEN(BP8&amp;BU8)&gt;0,concatll("#### More Information",BP8,BU8),"")</f>
        <v xml:space="preserve">#### More Information_x000D_
_x000D_
* [Official site](https://www.swlipka.pl/)
_x000D_
_x000D_
| The Real Presence | Miracle Hunter | MaryPages |_x000D_
| --- | --- | --- |_x000D_
| [Link](http://www.therealpresence.org/eucharst/misc/BVM/138_SWIETA_LIPKA_60x96.pdf) | [Link](http://www.miraclehunter.com/marian_apparitions/approved_apparitions/apparitions_1200-1299.html) (Search for "Swieta Lipka") |  |_x000D_
_x000D_
_x000D_
</v>
      </c>
      <c r="BW8" s="29" t="str">
        <f>IF(LEN(M8)&gt;1,concatll("#### Author's Note",M8),"")</f>
        <v xml:space="preserve">#### Author's Note_x000D_
_x000D_
Because of the Jesuit influence, there are noticeable similarities to the Chiesa del Gesù in Rome, both in decoration and function.  The image of Our Blessed Mother behind the altar is covered after each mass, similar to some Jesuit churches in Rome.
-JMM_x000D_
_x000D_
</v>
      </c>
      <c r="BX8" s="23" t="str">
        <f>IF(AR8,concatll(concatl("---",AS8:AU8,BK8,"---"),L8,BV8:BW8),"")</f>
        <v xml:space="preserve">---_x000D_
title: "Swieta Lipka Sanctuary"_x000D_
location: {lat: 54.0246754900946, lng: 21.2177462726687}_x000D_
level: global_x000D_
tags:
- poland_x000D_
- churches_x000D_
- marian-sites_x000D_
_x000D_
---_x000D_
_x000D_
_x000D_
In the 13th century, Our Blessed Mother appeared to a condemned innocent person in his prison cell. Bringing him a piece of wood and a knife, she told him to carve an image of the Blessed Mother with Child.  When he had done so, the jailers and judge were so moved they gave him back his freedom.  In gratitude for the divine assistance, the man sought to place the sculpture near a linden tree along the road, as Mary had suggested.  The present-day basilica was built next to this great linden tree, which was the site of many miracles and healings over the centuries.
With the Prussian occupation of Poland, the sanctuary was defiled and the linden tree cut down.  Upon Poland's independence, Jesuits were invited to renew the sanctuary, and it remains in beautiful condition to this day._x000D_
_x000D_
#### More Information_x000D_
_x000D_
* [Official site](https://www.swlipka.pl/)
_x000D_
_x000D_
| The Real Presence | Miracle Hunter | MaryPages |_x000D_
| --- | --- | --- |_x000D_
| [Link](http://www.therealpresence.org/eucharst/misc/BVM/138_SWIETA_LIPKA_60x96.pdf) | [Link](http://www.miraclehunter.com/marian_apparitions/approved_apparitions/apparitions_1200-1299.html) (Search for "Swieta Lipka") |  |_x000D_
_x000D_
_x000D_
_x000D_
_x000D_
#### Author's Note_x000D_
_x000D_
Because of the Jesuit influence, there are noticeable similarities to the Chiesa del Gesù in Rome, both in decoration and function.  The image of Our Blessed Mother behind the altar is covered after each mass, similar to some Jesuit churches in Rome.
-JMM_x000D_
_x000D_
_x000D_
_x000D_
</v>
      </c>
      <c r="BY8" s="23" t="str">
        <f>IF(AR8,VLOOKUP(B8,'(Ref) Countries'!A:B,2,)&amp;IF(LEN(C8)&gt;1,"-"&amp;LOWER(SUBSTITUTE(C8," ","-")),"")&amp;"-"&amp;LOWER(SUBSTITUTE(G8," ","-"))&amp;".md","")</f>
        <v>pl-swieta-lipka-sanctuary.md</v>
      </c>
      <c r="BZ8" s="29" t="str">
        <f>IF(LEN(Y8)&gt;1,VLOOKUP(Y8,'Tag List'!$A:$B,2,),"")</f>
        <v/>
      </c>
      <c r="CA8" s="29" t="str">
        <f>IF(LEN(Z8)&gt;1,VLOOKUP(Z8,'Tag List'!$A:$B,2,),"")</f>
        <v/>
      </c>
      <c r="CB8" s="29" t="str">
        <f>IF(LEN(AA8)&gt;1,VLOOKUP(AA8,'Tag List'!$A:$B,2,),"")</f>
        <v/>
      </c>
      <c r="CC8" s="30" t="str">
        <f>IF(LEN(Y8)&gt;1,GetTagPage(BZ8,Y8),"")</f>
        <v/>
      </c>
      <c r="CD8" s="30" t="str">
        <f>IF(LEN(Z8)&gt;1,GetTagPage(CA8,Z8),"")</f>
        <v/>
      </c>
      <c r="CE8" s="30" t="str">
        <f>IF(LEN(AA8)&gt;1,GetTagPage(CB8,AA8),"")</f>
        <v/>
      </c>
      <c r="CF8" s="30" t="str">
        <f t="shared" si="26"/>
        <v xml:space="preserve">| </v>
      </c>
      <c r="CG8" s="30" t="str">
        <f t="shared" si="27"/>
        <v xml:space="preserve">| [Swieta Lipka](/places/pl-swieta-lipka-sanctuary) </v>
      </c>
      <c r="CH8" s="30" t="str">
        <f>"| "&amp;IF(AR8,GetTagPage(B8,VLOOKUP(B8,'(Ref) Countries'!A:C,3,)),B8)&amp; " "</f>
        <v xml:space="preserve">| [Poland](/tags/poland) </v>
      </c>
      <c r="CI8" s="30" t="str">
        <f t="shared" si="28"/>
        <v xml:space="preserve">| 13th Century </v>
      </c>
      <c r="CJ8" s="30" t="str">
        <f t="shared" si="29"/>
        <v xml:space="preserve">| [Link](/places/pl-swieta-lipka-sanctuary) </v>
      </c>
      <c r="CK8" s="29" t="str">
        <f t="shared" si="30"/>
        <v xml:space="preserve">
| [Swieta Lipka](/places/pl-swieta-lipka-sanctuary) | [Poland](/tags/poland) | 13th Century | [Link](/places/pl-swieta-lipka-sanctuary) [Official site](https://www.swlipka.pl/)[Link](http://www.therealpresence.org/eucharst/misc/BVM/138_SWIETA_LIPKA_60x96.pdf)[Link](http://www.miraclehunter.com/marian_apparitions/approved_apparitions/apparitions_1200-1299.html) (Search for "Swieta Lipka")| |</v>
      </c>
    </row>
    <row r="9" spans="1:90" ht="76.5" x14ac:dyDescent="0.25">
      <c r="A9" s="14" t="s">
        <v>1322</v>
      </c>
      <c r="B9" s="24" t="s">
        <v>11</v>
      </c>
      <c r="D9" s="15">
        <v>45.523673865207101</v>
      </c>
      <c r="E9" s="49">
        <v>10.3142692079531</v>
      </c>
      <c r="F9" s="96" t="s">
        <v>1899</v>
      </c>
      <c r="G9" s="53" t="s">
        <v>1899</v>
      </c>
      <c r="H9" s="15" t="s">
        <v>1720</v>
      </c>
      <c r="I9" s="25" t="b">
        <v>1</v>
      </c>
      <c r="J9" s="15" t="b">
        <v>1</v>
      </c>
      <c r="L9" s="24" t="s">
        <v>1360</v>
      </c>
      <c r="N9" s="15" t="s">
        <v>1364</v>
      </c>
      <c r="O9" s="15" t="s">
        <v>336</v>
      </c>
      <c r="Y9" s="15" t="s">
        <v>336</v>
      </c>
      <c r="AI9" s="98" t="s">
        <v>1363</v>
      </c>
      <c r="AJ9" s="99" t="s">
        <v>1313</v>
      </c>
      <c r="AK9" s="15" t="s">
        <v>199</v>
      </c>
      <c r="AL9" s="15" t="s">
        <v>336</v>
      </c>
      <c r="AM9" s="15" t="s">
        <v>1361</v>
      </c>
      <c r="AN9" s="15" t="s">
        <v>1362</v>
      </c>
      <c r="AO9" s="15" t="s">
        <v>336</v>
      </c>
      <c r="AP9" s="49" t="s">
        <v>336</v>
      </c>
      <c r="AR9" s="28" t="b">
        <f t="shared" si="0"/>
        <v>1</v>
      </c>
      <c r="AS9" s="29" t="str">
        <f t="shared" si="1"/>
        <v>title: "Sanctuary of Our Lady of Valverde"</v>
      </c>
      <c r="AT9" s="29" t="str">
        <f t="shared" si="2"/>
        <v>location: {lat: 45.5236738652071, lng: 10.3142692079531}</v>
      </c>
      <c r="AU9" s="29" t="str">
        <f t="shared" si="3"/>
        <v>level: global</v>
      </c>
      <c r="AV9" s="29" t="str">
        <f>"- "&amp;VLOOKUP(B9,'(Ref) Countries'!A:C,3,)</f>
        <v>- italy</v>
      </c>
      <c r="AW9" s="29" t="str">
        <f t="shared" si="4"/>
        <v/>
      </c>
      <c r="AX9" s="29" t="str">
        <f t="shared" si="5"/>
        <v>- churches</v>
      </c>
      <c r="AY9" s="29" t="str">
        <f t="shared" si="6"/>
        <v>- marian-sites</v>
      </c>
      <c r="AZ9" s="29" t="str">
        <f t="shared" si="7"/>
        <v/>
      </c>
      <c r="BA9" s="29" t="str">
        <f t="shared" si="8"/>
        <v/>
      </c>
      <c r="BB9" s="29" t="str">
        <f t="shared" si="9"/>
        <v/>
      </c>
      <c r="BC9" s="29" t="str">
        <f t="shared" si="10"/>
        <v/>
      </c>
      <c r="BD9" s="29" t="str">
        <f t="shared" si="11"/>
        <v/>
      </c>
      <c r="BE9" s="29" t="str">
        <f t="shared" si="12"/>
        <v/>
      </c>
      <c r="BF9" s="29" t="str">
        <f t="shared" si="13"/>
        <v/>
      </c>
      <c r="BG9" s="29" t="str">
        <f t="shared" si="14"/>
        <v/>
      </c>
      <c r="BH9" s="29" t="str">
        <f t="shared" si="15"/>
        <v/>
      </c>
      <c r="BI9" s="29" t="str">
        <f t="shared" si="16"/>
        <v/>
      </c>
      <c r="BJ9" s="29" t="str">
        <f t="shared" si="17"/>
        <v/>
      </c>
      <c r="BK9" s="29" t="str">
        <f t="shared" si="31"/>
        <v xml:space="preserve">tags:
- italy_x000D_
- churches_x000D_
- marian-sites_x000D_
</v>
      </c>
      <c r="BL9" s="30" t="str">
        <f t="shared" si="18"/>
        <v>[Official site](https://www.uprezzatovirle.it/santuario-valverde)</v>
      </c>
      <c r="BM9" s="30" t="str">
        <f t="shared" si="19"/>
        <v/>
      </c>
      <c r="BN9" s="30" t="str">
        <f t="shared" si="20"/>
        <v/>
      </c>
      <c r="BO9" s="30" t="str">
        <f t="shared" si="21"/>
        <v/>
      </c>
      <c r="BP9" s="30" t="str">
        <f t="shared" si="32"/>
        <v xml:space="preserve">* [Official site](https://www.uprezzatovirle.it/santuario-valverde)
</v>
      </c>
      <c r="BQ9" s="30" t="str">
        <f t="shared" si="22"/>
        <v>[Link](http://www.therealpresence.org/eucharst/misc/BVM/13_VALVERDE_60x96.pdf)</v>
      </c>
      <c r="BR9" s="30" t="str">
        <f t="shared" si="23"/>
        <v>[Link](https://www.miraclehunter.com/marian_apparitions/approved_apparitions/apparitions_1700-1799.html) (Search for "Valverde")</v>
      </c>
      <c r="BS9" s="30" t="str">
        <f t="shared" si="24"/>
        <v/>
      </c>
      <c r="BT9" s="30" t="str">
        <f>IF(LEN(concat(BQ9:BS9))&gt;0,concat("| ",BQ9," | ",BR9," | ",BS9," |"),"")</f>
        <v>| [Link](http://www.therealpresence.org/eucharst/misc/BVM/13_VALVERDE_60x96.pdf) | [Link](https://www.miraclehunter.com/marian_apparitions/approved_apparitions/apparitions_1700-1799.html) (Search for "Valverde") |  |</v>
      </c>
      <c r="BU9" s="29" t="str">
        <f t="shared" si="25"/>
        <v xml:space="preserve">| The Real Presence | Miracle Hunter | MaryPages |_x000D_
| --- | --- | --- |_x000D_
| [Link](http://www.therealpresence.org/eucharst/misc/BVM/13_VALVERDE_60x96.pdf) | [Link](https://www.miraclehunter.com/marian_apparitions/approved_apparitions/apparitions_1700-1799.html) (Search for "Valverde") |  |_x000D_
</v>
      </c>
      <c r="BV9" s="29" t="str">
        <f>IF(LEN(BP9&amp;BU9)&gt;0,concatll("#### More Information",BP9,BU9),"")</f>
        <v xml:space="preserve">#### More Information_x000D_
_x000D_
* [Official site](https://www.uprezzatovirle.it/santuario-valverde)
_x000D_
_x000D_
| The Real Presence | Miracle Hunter | MaryPages |_x000D_
| --- | --- | --- |_x000D_
| [Link](http://www.therealpresence.org/eucharst/misc/BVM/13_VALVERDE_60x96.pdf) | [Link](https://www.miraclehunter.com/marian_apparitions/approved_apparitions/apparitions_1700-1799.html) (Search for "Valverde") |  |_x000D_
_x000D_
_x000D_
</v>
      </c>
      <c r="BW9" s="29" t="str">
        <f>IF(LEN(M9)&gt;1,concatll("#### Author's Note",M9),"")</f>
        <v/>
      </c>
      <c r="BX9" s="23" t="str">
        <f>IF(AR9,concatll(concatl("---",AS9:AU9,BK9,"---"),L9,BV9:BW9),"")</f>
        <v xml:space="preserve">---_x000D_
title: "Sanctuary of Our Lady of Valverde"_x000D_
location: {lat: 45.5236738652071, lng: 10.3142692079531}_x000D_
level: global_x000D_
tags:
- italy_x000D_
- churches_x000D_
- marian-sites_x000D_
_x000D_
---_x000D_
_x000D_
_x000D_
The Shrine of Our Lady of Valverde dates back to 1399, when Our Lady appeared to a farmer plowing his field.  During the summer of 1711, when the province was hit by a severe epidemic, the inhabitants of Rezzato prayed to Our Lady of Valverde.  On October 1, Our Lady appeared a second time to Paul Ogna, 8, and Francesco Pelizzari, 11, who went to collect chestnuts near the Sanctuary pond.  Our Lady promised the end of the epidemic._x000D_
_x000D_
#### More Information_x000D_
_x000D_
* [Official site](https://www.uprezzatovirle.it/santuario-valverde)
_x000D_
_x000D_
| The Real Presence | Miracle Hunter | MaryPages |_x000D_
| --- | --- | --- |_x000D_
| [Link](http://www.therealpresence.org/eucharst/misc/BVM/13_VALVERDE_60x96.pdf) | [Link](https://www.miraclehunter.com/marian_apparitions/approved_apparitions/apparitions_1700-1799.html) (Search for "Valverde") |  |_x000D_
_x000D_
_x000D_
_x000D_
_x000D_
</v>
      </c>
      <c r="BY9" s="23" t="str">
        <f>IF(AR9,VLOOKUP(B9,'(Ref) Countries'!A:B,2,)&amp;IF(LEN(C9)&gt;1,"-"&amp;LOWER(SUBSTITUTE(C9," ","-")),"")&amp;"-"&amp;LOWER(SUBSTITUTE(G9," ","-"))&amp;".md","")</f>
        <v>it-sanctuary-of-our-lady-of-valverde.md</v>
      </c>
      <c r="BZ9" s="29" t="str">
        <f>IF(LEN(Y9)&gt;1,VLOOKUP(Y9,'Tag List'!$A:$B,2,),"")</f>
        <v/>
      </c>
      <c r="CA9" s="29" t="str">
        <f>IF(LEN(Z9)&gt;1,VLOOKUP(Z9,'Tag List'!$A:$B,2,),"")</f>
        <v/>
      </c>
      <c r="CB9" s="29" t="str">
        <f>IF(LEN(AA9)&gt;1,VLOOKUP(AA9,'Tag List'!$A:$B,2,),"")</f>
        <v/>
      </c>
      <c r="CC9" s="30" t="str">
        <f>IF(LEN(Y9)&gt;1,GetTagPage(BZ9,Y9),"")</f>
        <v/>
      </c>
      <c r="CD9" s="30" t="str">
        <f>IF(LEN(Z9)&gt;1,GetTagPage(CA9,Z9),"")</f>
        <v/>
      </c>
      <c r="CE9" s="30" t="str">
        <f>IF(LEN(AA9)&gt;1,GetTagPage(CB9,AA9),"")</f>
        <v/>
      </c>
      <c r="CF9" s="30" t="str">
        <f t="shared" si="26"/>
        <v xml:space="preserve">| </v>
      </c>
      <c r="CG9" s="30" t="str">
        <f t="shared" si="27"/>
        <v xml:space="preserve">| [Valverde Di Rezzato](/places/it-sanctuary-of-our-lady-of-valverde) </v>
      </c>
      <c r="CH9" s="30" t="str">
        <f>"| "&amp;IF(AR9,GetTagPage(B9,VLOOKUP(B9,'(Ref) Countries'!A:C,3,)),B9)&amp; " "</f>
        <v xml:space="preserve">| [Italy](/tags/italy) </v>
      </c>
      <c r="CI9" s="30" t="str">
        <f t="shared" si="28"/>
        <v xml:space="preserve">| 1399, 1711 </v>
      </c>
      <c r="CJ9" s="30" t="str">
        <f t="shared" si="29"/>
        <v xml:space="preserve">| [Link](/places/it-sanctuary-of-our-lady-of-valverde) </v>
      </c>
      <c r="CK9" s="29" t="str">
        <f t="shared" si="30"/>
        <v xml:space="preserve">
| [Valverde Di Rezzato](/places/it-sanctuary-of-our-lady-of-valverde) | [Italy](/tags/italy) | 1399, 1711 | [Link](/places/it-sanctuary-of-our-lady-of-valverde) [Official site](https://www.uprezzatovirle.it/santuario-valverde)[Link](http://www.therealpresence.org/eucharst/misc/BVM/13_VALVERDE_60x96.pdf)[Link](https://www.miraclehunter.com/marian_apparitions/approved_apparitions/apparitions_1700-1799.html) (Search for "Valverde")| |</v>
      </c>
    </row>
    <row r="10" spans="1:90" ht="140.25" x14ac:dyDescent="0.25">
      <c r="A10" s="14" t="s">
        <v>1322</v>
      </c>
      <c r="B10" s="27" t="s">
        <v>651</v>
      </c>
      <c r="D10" s="15">
        <v>49.465129655108299</v>
      </c>
      <c r="E10" s="49">
        <v>19.982843057005098</v>
      </c>
      <c r="F10" s="27" t="s">
        <v>1416</v>
      </c>
      <c r="G10" s="53" t="s">
        <v>1416</v>
      </c>
      <c r="H10" s="15" t="s">
        <v>1720</v>
      </c>
      <c r="I10" s="25" t="b">
        <v>1</v>
      </c>
      <c r="J10" s="15" t="b">
        <v>1</v>
      </c>
      <c r="L10" s="27" t="s">
        <v>1417</v>
      </c>
      <c r="M10" s="55" t="s">
        <v>1739</v>
      </c>
      <c r="N10" s="15" t="s">
        <v>1418</v>
      </c>
      <c r="O10" s="15" t="s">
        <v>336</v>
      </c>
      <c r="Y10" s="39" t="s">
        <v>1419</v>
      </c>
      <c r="Z10" s="39"/>
      <c r="AA10" s="39"/>
      <c r="AB10" s="39"/>
      <c r="AC10" s="39"/>
      <c r="AD10" s="39"/>
      <c r="AE10" s="39"/>
      <c r="AF10" s="39"/>
      <c r="AG10" s="39"/>
      <c r="AH10" s="85"/>
      <c r="AI10" s="98" t="s">
        <v>1414</v>
      </c>
      <c r="AJ10" s="100" t="s">
        <v>1415</v>
      </c>
      <c r="AK10" s="15" t="s">
        <v>336</v>
      </c>
      <c r="AL10" s="15" t="s">
        <v>336</v>
      </c>
      <c r="AM10" s="15" t="s">
        <v>336</v>
      </c>
      <c r="AN10" s="15" t="s">
        <v>336</v>
      </c>
      <c r="AO10" s="15" t="s">
        <v>336</v>
      </c>
      <c r="AP10" s="49" t="s">
        <v>336</v>
      </c>
      <c r="AR10" s="28" t="b">
        <f t="shared" si="0"/>
        <v>1</v>
      </c>
      <c r="AS10" s="29" t="str">
        <f t="shared" si="1"/>
        <v>title: "Sanctuary of Our Lady Queen of Podhale"</v>
      </c>
      <c r="AT10" s="29" t="str">
        <f t="shared" si="2"/>
        <v>location: {lat: 49.4651296551083, lng: 19.9828430570051}</v>
      </c>
      <c r="AU10" s="29" t="str">
        <f t="shared" si="3"/>
        <v>level: global</v>
      </c>
      <c r="AV10" s="29" t="str">
        <f>"- "&amp;VLOOKUP(B10,'(Ref) Countries'!A:C,3,)</f>
        <v>- poland</v>
      </c>
      <c r="AW10" s="29" t="str">
        <f t="shared" si="4"/>
        <v/>
      </c>
      <c r="AX10" s="29" t="str">
        <f t="shared" si="5"/>
        <v>- churches</v>
      </c>
      <c r="AY10" s="29" t="str">
        <f t="shared" si="6"/>
        <v>- marian-sites</v>
      </c>
      <c r="AZ10" s="29" t="str">
        <f t="shared" si="7"/>
        <v/>
      </c>
      <c r="BA10" s="29" t="str">
        <f t="shared" si="8"/>
        <v>- john-paul-ii</v>
      </c>
      <c r="BB10" s="29" t="str">
        <f t="shared" si="9"/>
        <v/>
      </c>
      <c r="BC10" s="29" t="str">
        <f t="shared" si="10"/>
        <v/>
      </c>
      <c r="BD10" s="29" t="str">
        <f t="shared" si="11"/>
        <v/>
      </c>
      <c r="BE10" s="29" t="str">
        <f t="shared" si="12"/>
        <v/>
      </c>
      <c r="BF10" s="29" t="str">
        <f t="shared" si="13"/>
        <v/>
      </c>
      <c r="BG10" s="29" t="str">
        <f t="shared" si="14"/>
        <v/>
      </c>
      <c r="BH10" s="29" t="str">
        <f t="shared" si="15"/>
        <v/>
      </c>
      <c r="BI10" s="29" t="str">
        <f t="shared" si="16"/>
        <v/>
      </c>
      <c r="BJ10" s="29" t="str">
        <f t="shared" si="17"/>
        <v/>
      </c>
      <c r="BK10" s="29" t="str">
        <f t="shared" si="31"/>
        <v xml:space="preserve">tags:
- poland_x000D_
- churches_x000D_
- marian-sites_x000D_
- john-paul-ii_x000D_
</v>
      </c>
      <c r="BL10" s="30" t="str">
        <f t="shared" si="18"/>
        <v>[Official site](ps://www.mbludzm.pl/)</v>
      </c>
      <c r="BM10" s="30" t="str">
        <f t="shared" si="19"/>
        <v/>
      </c>
      <c r="BN10" s="30" t="str">
        <f t="shared" si="20"/>
        <v/>
      </c>
      <c r="BO10" s="30" t="str">
        <f t="shared" si="21"/>
        <v/>
      </c>
      <c r="BP10" s="30" t="str">
        <f t="shared" si="32"/>
        <v xml:space="preserve">* [Official site](ps://www.mbludzm.pl/)
</v>
      </c>
      <c r="BQ10" s="30" t="str">
        <f t="shared" si="22"/>
        <v/>
      </c>
      <c r="BR10" s="30" t="str">
        <f t="shared" si="23"/>
        <v/>
      </c>
      <c r="BS10" s="30" t="str">
        <f t="shared" si="24"/>
        <v/>
      </c>
      <c r="BT10" s="30" t="str">
        <f>IF(LEN(concat(BQ10:BS10))&gt;0,concat("| ",BQ10," | ",BR10," | ",BS10," |"),"")</f>
        <v/>
      </c>
      <c r="BU10" s="29" t="str">
        <f t="shared" si="25"/>
        <v xml:space="preserve">| The Real Presence | Miracle Hunter | MaryPages |_x000D_
| --- | --- | --- |_x000D_
</v>
      </c>
      <c r="BV10" s="29" t="str">
        <f>IF(LEN(BP10&amp;BU10)&gt;0,concatll("#### More Information",BP10,BU10),"")</f>
        <v xml:space="preserve">#### More Information_x000D_
_x000D_
* [Official site](ps://www.mbludzm.pl/)
_x000D_
_x000D_
| The Real Presence | Miracle Hunter | MaryPages |_x000D_
| --- | --- | --- |_x000D_
_x000D_
_x000D_
</v>
      </c>
      <c r="BW10" s="29" t="str">
        <f>IF(LEN(M10)&gt;1,concatll("#### Author's Note",M10),"")</f>
        <v xml:space="preserve">#### Author's Note_x000D_
_x000D_
Some good information on [Catholic Shrine Basilica](https://catholicshrinebasilica.com/sanctuary-of-our-lady-of-ludzmierz-poland/).
-JMM_x000D_
_x000D_
</v>
      </c>
      <c r="BX10" s="23" t="str">
        <f>IF(AR10,concatll(concatl("---",AS10:AU10,BK10,"---"),L10,BV10:BW10),"")</f>
        <v xml:space="preserve">---_x000D_
title: "Sanctuary of Our Lady Queen of Podhale"_x000D_
location: {lat: 49.4651296551083, lng: 19.9828430570051}_x000D_
level: global_x000D_
tags:
- poland_x000D_
- churches_x000D_
- marian-sites_x000D_
- john-paul-ii_x000D_
_x000D_
---_x000D_
_x000D_
_x000D_
This church was originally founded in the 13th century by Cistercians from France.  According to legend, around the year 1400, a merchant lost in the nearby swamps was led to the church by a figure he discerned to be Mary.  Out of gratitude, he commissioned a statue which can be found in the church today.
A regular visitor to the shrine was Karol Wojtyła, the future Pope St. John Paul II.  In August 1963, in his capacity as Archbishop of Kraków, the statue slipped during a ceremony and the future pontiff caught the scepter which had fallen out of the statue's grasp.  This scene was interpreted by many as a prophecy of his upcoming papacy._x000D_
_x000D_
#### More Information_x000D_
_x000D_
* [Official site](ps://www.mbludzm.pl/)
_x000D_
_x000D_
| The Real Presence | Miracle Hunter | MaryPages |_x000D_
| --- | --- | --- |_x000D_
_x000D_
_x000D_
_x000D_
_x000D_
#### Author's Note_x000D_
_x000D_
Some good information on [Catholic Shrine Basilica](https://catholicshrinebasilica.com/sanctuary-of-our-lady-of-ludzmierz-poland/).
-JMM_x000D_
_x000D_
_x000D_
_x000D_
</v>
      </c>
      <c r="BY10" s="23" t="str">
        <f>IF(AR10,VLOOKUP(B10,'(Ref) Countries'!A:B,2,)&amp;IF(LEN(C10)&gt;1,"-"&amp;LOWER(SUBSTITUTE(C10," ","-")),"")&amp;"-"&amp;LOWER(SUBSTITUTE(G10," ","-"))&amp;".md","")</f>
        <v>pl-sanctuary-of-our-lady-queen-of-podhale.md</v>
      </c>
      <c r="BZ10" s="29" t="str">
        <f>IF(LEN(Y10)&gt;1,VLOOKUP(Y10,'Tag List'!$A:$B,2,),"")</f>
        <v>Pope St. John Paul II</v>
      </c>
      <c r="CA10" s="29" t="str">
        <f>IF(LEN(Z10)&gt;1,VLOOKUP(Z10,'Tag List'!$A:$B,2,),"")</f>
        <v/>
      </c>
      <c r="CB10" s="29" t="str">
        <f>IF(LEN(AA10)&gt;1,VLOOKUP(AA10,'Tag List'!$A:$B,2,),"")</f>
        <v/>
      </c>
      <c r="CC10" s="30" t="str">
        <f>IF(LEN(Y10)&gt;1,GetTagPage(BZ10,Y10),"")</f>
        <v>[Pope St. John Paul II](/tags/john-paul-ii)</v>
      </c>
      <c r="CD10" s="30" t="str">
        <f>IF(LEN(Z10)&gt;1,GetTagPage(CA10,Z10),"")</f>
        <v/>
      </c>
      <c r="CE10" s="30" t="str">
        <f>IF(LEN(AA10)&gt;1,GetTagPage(CB10,AA10),"")</f>
        <v/>
      </c>
      <c r="CF10" s="30" t="str">
        <f t="shared" si="26"/>
        <v xml:space="preserve">| [Pope St. John Paul II](/tags/john-paul-ii) </v>
      </c>
      <c r="CG10" s="30" t="str">
        <f t="shared" si="27"/>
        <v xml:space="preserve">| [Ludzmierz](/places/pl-sanctuary-of-our-lady-queen-of-podhale) </v>
      </c>
      <c r="CH10" s="30" t="str">
        <f>"| "&amp;IF(AR10,GetTagPage(B10,VLOOKUP(B10,'(Ref) Countries'!A:C,3,)),B10)&amp; " "</f>
        <v xml:space="preserve">| [Poland](/tags/poland) </v>
      </c>
      <c r="CI10" s="30" t="str">
        <f t="shared" si="28"/>
        <v xml:space="preserve">| c. 1400 </v>
      </c>
      <c r="CJ10" s="30" t="str">
        <f t="shared" si="29"/>
        <v xml:space="preserve">| [Link](/places/pl-sanctuary-of-our-lady-queen-of-podhale) </v>
      </c>
      <c r="CK10" s="29" t="str">
        <f t="shared" si="30"/>
        <v xml:space="preserve">
| [Ludzmierz](/places/pl-sanctuary-of-our-lady-queen-of-podhale) | [Poland](/tags/poland) | c. 1400 | [Link](/places/pl-sanctuary-of-our-lady-queen-of-podhale) [Official site](ps://www.mbludzm.pl/)| [Pope St. John Paul II](/tags/john-paul-ii) |</v>
      </c>
    </row>
    <row r="11" spans="1:90" ht="63.75" x14ac:dyDescent="0.25">
      <c r="A11" s="14" t="s">
        <v>1322</v>
      </c>
      <c r="B11" s="24" t="s">
        <v>2</v>
      </c>
      <c r="D11" s="15">
        <v>10.6803068</v>
      </c>
      <c r="E11" s="49">
        <v>79.849313699999996</v>
      </c>
      <c r="F11" s="40" t="s">
        <v>1716</v>
      </c>
      <c r="G11" s="54" t="s">
        <v>1709</v>
      </c>
      <c r="H11" s="25" t="s">
        <v>1720</v>
      </c>
      <c r="I11" s="25" t="b">
        <v>1</v>
      </c>
      <c r="J11" s="15" t="b">
        <v>1</v>
      </c>
      <c r="L11" s="40" t="s">
        <v>1714</v>
      </c>
      <c r="M11" s="54" t="s">
        <v>1752</v>
      </c>
      <c r="N11" s="25" t="s">
        <v>1711</v>
      </c>
      <c r="O11" s="15" t="s">
        <v>336</v>
      </c>
      <c r="Y11" s="15" t="s">
        <v>336</v>
      </c>
      <c r="AI11" s="98" t="s">
        <v>1220</v>
      </c>
      <c r="AJ11" s="99" t="s">
        <v>1098</v>
      </c>
      <c r="AK11" s="15" t="s">
        <v>222</v>
      </c>
      <c r="AL11" s="15" t="s">
        <v>336</v>
      </c>
      <c r="AM11" s="25" t="s">
        <v>1713</v>
      </c>
      <c r="AN11" s="15" t="s">
        <v>336</v>
      </c>
      <c r="AO11" s="15" t="s">
        <v>1715</v>
      </c>
      <c r="AP11" s="49" t="s">
        <v>336</v>
      </c>
      <c r="AR11" s="28" t="b">
        <f t="shared" si="0"/>
        <v>1</v>
      </c>
      <c r="AS11" s="29" t="str">
        <f t="shared" si="1"/>
        <v>title: "Basilica of Our Lady of Good Health (Our Lady of Velankanni)"</v>
      </c>
      <c r="AT11" s="29" t="str">
        <f t="shared" si="2"/>
        <v>location: {lat: 10.6803068, lng: 79.8493137}</v>
      </c>
      <c r="AU11" s="29" t="str">
        <f t="shared" si="3"/>
        <v>level: global</v>
      </c>
      <c r="AV11" s="29" t="str">
        <f>"- "&amp;VLOOKUP(B11,'(Ref) Countries'!A:C,3,)</f>
        <v>- india</v>
      </c>
      <c r="AW11" s="29" t="str">
        <f t="shared" si="4"/>
        <v/>
      </c>
      <c r="AX11" s="29" t="str">
        <f t="shared" si="5"/>
        <v>- churches</v>
      </c>
      <c r="AY11" s="29" t="str">
        <f t="shared" si="6"/>
        <v>- marian-sites</v>
      </c>
      <c r="AZ11" s="29" t="str">
        <f t="shared" si="7"/>
        <v/>
      </c>
      <c r="BA11" s="29" t="str">
        <f t="shared" si="8"/>
        <v/>
      </c>
      <c r="BB11" s="29" t="str">
        <f t="shared" si="9"/>
        <v/>
      </c>
      <c r="BC11" s="29" t="str">
        <f t="shared" si="10"/>
        <v/>
      </c>
      <c r="BD11" s="29" t="str">
        <f t="shared" si="11"/>
        <v/>
      </c>
      <c r="BE11" s="29" t="str">
        <f t="shared" si="12"/>
        <v/>
      </c>
      <c r="BF11" s="29" t="str">
        <f t="shared" si="13"/>
        <v/>
      </c>
      <c r="BG11" s="29" t="str">
        <f t="shared" si="14"/>
        <v/>
      </c>
      <c r="BH11" s="29" t="str">
        <f t="shared" si="15"/>
        <v/>
      </c>
      <c r="BI11" s="29" t="str">
        <f t="shared" si="16"/>
        <v/>
      </c>
      <c r="BJ11" s="29" t="str">
        <f t="shared" si="17"/>
        <v/>
      </c>
      <c r="BK11" s="29" t="str">
        <f t="shared" si="31"/>
        <v xml:space="preserve">tags:
- india_x000D_
- churches_x000D_
- marian-sites_x000D_
</v>
      </c>
      <c r="BL11" s="30" t="str">
        <f t="shared" si="18"/>
        <v>[Official site](https://www.velankannichurch.com/)</v>
      </c>
      <c r="BM11" s="30" t="str">
        <f t="shared" si="19"/>
        <v/>
      </c>
      <c r="BN11" s="30" t="str">
        <f t="shared" si="20"/>
        <v/>
      </c>
      <c r="BO11" s="30" t="str">
        <f t="shared" si="21"/>
        <v/>
      </c>
      <c r="BP11" s="30" t="str">
        <f t="shared" si="32"/>
        <v xml:space="preserve">* [Official site](https://www.velankannichurch.com/)
</v>
      </c>
      <c r="BQ11" s="30" t="str">
        <f t="shared" si="22"/>
        <v>[Link](http://www.therealpresence.org/eucharst/misc/BVM/32_VAILANKANNI_60x96.pdf)</v>
      </c>
      <c r="BR11" s="30" t="str">
        <f t="shared" si="23"/>
        <v>[Link](https://www.miraclehunter.com/marian_apparitions/approved_apparitions/vailankanni/)</v>
      </c>
      <c r="BS11" s="30" t="str">
        <f t="shared" si="24"/>
        <v>[Link](https://www.marypages.com/vailankanni-(india)-en.html)</v>
      </c>
      <c r="BT11" s="30" t="str">
        <f>IF(LEN(concat(BQ11:BS11))&gt;0,concat("| ",BQ11," | ",BR11," | ",BS11," |"),"")</f>
        <v>| [Link](http://www.therealpresence.org/eucharst/misc/BVM/32_VAILANKANNI_60x96.pdf) | [Link](https://www.miraclehunter.com/marian_apparitions/approved_apparitions/vailankanni/) | [Link](https://www.marypages.com/vailankanni-(india)-en.html) |</v>
      </c>
      <c r="BU11" s="29" t="str">
        <f t="shared" si="25"/>
        <v xml:space="preserve">| The Real Presence | Miracle Hunter | MaryPages |_x000D_
| --- | --- | --- |_x000D_
| [Link](http://www.therealpresence.org/eucharst/misc/BVM/32_VAILANKANNI_60x96.pdf) | [Link](https://www.miraclehunter.com/marian_apparitions/approved_apparitions/vailankanni/) | [Link](https://www.marypages.com/vailankanni-(india)-en.html) |_x000D_
</v>
      </c>
      <c r="BV11" s="29" t="str">
        <f>IF(LEN(BP11&amp;BU11)&gt;0,concatll("#### More Information",BP11,BU11),"")</f>
        <v xml:space="preserve">#### More Information_x000D_
_x000D_
* [Official site](https://www.velankannichurch.com/)
_x000D_
_x000D_
| The Real Presence | Miracle Hunter | MaryPages |_x000D_
| --- | --- | --- |_x000D_
| [Link](http://www.therealpresence.org/eucharst/misc/BVM/32_VAILANKANNI_60x96.pdf) | [Link](https://www.miraclehunter.com/marian_apparitions/approved_apparitions/vailankanni/) | [Link](https://www.marypages.com/vailankanni-(india)-en.html) |_x000D_
_x000D_
_x000D_
</v>
      </c>
      <c r="BW11" s="29" t="str">
        <f>IF(LEN(M11)&gt;1,concatll("#### Author's Note",M11),"")</f>
        <v xml:space="preserve">#### Author's Note_x000D_
_x000D_
An Indonesian parish of the same name also has a [good history](https://velangkanni.com/en/about-annai-velangkanni/) of the apparition.
-NDS_x000D_
_x000D_
</v>
      </c>
      <c r="BX11" s="23" t="str">
        <f>IF(AR11,concatll(concatl("---",AS11:AU11,BK11,"---"),L11,BV11:BW11),"")</f>
        <v xml:space="preserve">---_x000D_
title: "Basilica of Our Lady of Good Health (Our Lady of Velankanni)"_x000D_
location: {lat: 10.6803068, lng: 79.8493137}_x000D_
level: global_x000D_
tags:
- india_x000D_
- churches_x000D_
- marian-sites_x000D_
_x000D_
---_x000D_
_x000D_
_x000D_
According to tradition, there have been multiple apparitions of the Blessed Virgin Mary at Velankanni, also known as Our Lady of Good Health.  As tradition would have it, the first of many apparitions occured to a young boy who was delivering buttermilk._x000D_
_x000D_
#### More Information_x000D_
_x000D_
* [Official site](https://www.velankannichurch.com/)
_x000D_
_x000D_
| The Real Presence | Miracle Hunter | MaryPages |_x000D_
| --- | --- | --- |_x000D_
| [Link](http://www.therealpresence.org/eucharst/misc/BVM/32_VAILANKANNI_60x96.pdf) | [Link](https://www.miraclehunter.com/marian_apparitions/approved_apparitions/vailankanni/) | [Link](https://www.marypages.com/vailankanni-(india)-en.html) |_x000D_
_x000D_
_x000D_
_x000D_
_x000D_
#### Author's Note_x000D_
_x000D_
An Indonesian parish of the same name also has a [good history](https://velangkanni.com/en/about-annai-velangkanni/) of the apparition.
-NDS_x000D_
_x000D_
_x000D_
_x000D_
</v>
      </c>
      <c r="BY11" s="23" t="str">
        <f>IF(AR11,VLOOKUP(B11,'(Ref) Countries'!A:B,2,)&amp;IF(LEN(C11)&gt;1,"-"&amp;LOWER(SUBSTITUTE(C11," ","-")),"")&amp;"-"&amp;LOWER(SUBSTITUTE(G11," ","-"))&amp;".md","")</f>
        <v>in-basilica-of-our-lady-of-good-health.md</v>
      </c>
      <c r="BZ11" s="29" t="str">
        <f>IF(LEN(Y11)&gt;1,VLOOKUP(Y11,'Tag List'!$A:$B,2,),"")</f>
        <v/>
      </c>
      <c r="CA11" s="29" t="str">
        <f>IF(LEN(Z11)&gt;1,VLOOKUP(Z11,'Tag List'!$A:$B,2,),"")</f>
        <v/>
      </c>
      <c r="CB11" s="29" t="str">
        <f>IF(LEN(AA11)&gt;1,VLOOKUP(AA11,'Tag List'!$A:$B,2,),"")</f>
        <v/>
      </c>
      <c r="CC11" s="30" t="str">
        <f>IF(LEN(Y11)&gt;1,GetTagPage(BZ11,Y11),"")</f>
        <v/>
      </c>
      <c r="CD11" s="30" t="str">
        <f>IF(LEN(Z11)&gt;1,GetTagPage(CA11,Z11),"")</f>
        <v/>
      </c>
      <c r="CE11" s="30" t="str">
        <f>IF(LEN(AA11)&gt;1,GetTagPage(CB11,AA11),"")</f>
        <v/>
      </c>
      <c r="CF11" s="30" t="str">
        <f t="shared" si="26"/>
        <v xml:space="preserve">| </v>
      </c>
      <c r="CG11" s="30" t="str">
        <f t="shared" si="27"/>
        <v xml:space="preserve">| [Vailankanni](/places/in-basilica-of-our-lady-of-good-health) </v>
      </c>
      <c r="CH11" s="30" t="str">
        <f>"| "&amp;IF(AR11,GetTagPage(B11,VLOOKUP(B11,'(Ref) Countries'!A:C,3,)),B11)&amp; " "</f>
        <v xml:space="preserve">| [India](/tags/india) </v>
      </c>
      <c r="CI11" s="30" t="str">
        <f t="shared" si="28"/>
        <v xml:space="preserve">| 16th Century </v>
      </c>
      <c r="CJ11" s="30" t="str">
        <f t="shared" si="29"/>
        <v xml:space="preserve">| [Link](/places/in-basilica-of-our-lady-of-good-health) </v>
      </c>
      <c r="CK11" s="29" t="str">
        <f t="shared" si="30"/>
        <v xml:space="preserve">
| [Vailankanni](/places/in-basilica-of-our-lady-of-good-health) | [India](/tags/india) | 16th Century | [Link](/places/in-basilica-of-our-lady-of-good-health) [Official site](https://www.velankannichurch.com/)[Link](http://www.therealpresence.org/eucharst/misc/BVM/32_VAILANKANNI_60x96.pdf)[Link](https://www.miraclehunter.com/marian_apparitions/approved_apparitions/vailankanni/)[Link](https://www.marypages.com/vailankanni-(india)-en.html)| |</v>
      </c>
    </row>
    <row r="12" spans="1:90" ht="51" x14ac:dyDescent="0.25">
      <c r="A12" s="14" t="s">
        <v>1322</v>
      </c>
      <c r="B12" s="24" t="s">
        <v>630</v>
      </c>
      <c r="C12" s="35" t="s">
        <v>1768</v>
      </c>
      <c r="D12" s="15">
        <v>19.483432799999999</v>
      </c>
      <c r="E12" s="49">
        <v>-99.117410300000003</v>
      </c>
      <c r="F12" s="24" t="s">
        <v>432</v>
      </c>
      <c r="G12" s="53" t="s">
        <v>432</v>
      </c>
      <c r="H12" s="15" t="s">
        <v>1720</v>
      </c>
      <c r="I12" s="25" t="b">
        <v>1</v>
      </c>
      <c r="J12" s="15" t="b">
        <v>1</v>
      </c>
      <c r="K12" s="15" t="b">
        <v>1</v>
      </c>
      <c r="L12" s="24" t="s">
        <v>453</v>
      </c>
      <c r="N12" s="15" t="s">
        <v>431</v>
      </c>
      <c r="O12" s="15" t="s">
        <v>336</v>
      </c>
      <c r="Y12" s="36" t="s">
        <v>486</v>
      </c>
      <c r="Z12" s="36"/>
      <c r="AA12" s="36"/>
      <c r="AB12" s="36"/>
      <c r="AC12" s="36"/>
      <c r="AD12" s="36"/>
      <c r="AE12" s="36"/>
      <c r="AF12" s="36"/>
      <c r="AG12" s="36"/>
      <c r="AH12" s="84"/>
      <c r="AI12" s="98" t="s">
        <v>1005</v>
      </c>
      <c r="AJ12" s="99">
        <v>1531</v>
      </c>
      <c r="AK12" s="15" t="s">
        <v>237</v>
      </c>
      <c r="AL12" s="15" t="s">
        <v>336</v>
      </c>
      <c r="AM12" s="15" t="s">
        <v>454</v>
      </c>
      <c r="AN12" s="15" t="s">
        <v>336</v>
      </c>
      <c r="AO12" s="15" t="s">
        <v>455</v>
      </c>
      <c r="AP12" s="49" t="s">
        <v>336</v>
      </c>
      <c r="AR12" s="28" t="b">
        <f t="shared" si="0"/>
        <v>1</v>
      </c>
      <c r="AS12" s="29" t="str">
        <f t="shared" si="1"/>
        <v>title: "Basilica of Our Lady of Guadalupe"</v>
      </c>
      <c r="AT12" s="29" t="str">
        <f t="shared" si="2"/>
        <v>location: {lat: 19.4834328, lng: -99.1174103}</v>
      </c>
      <c r="AU12" s="29" t="str">
        <f t="shared" si="3"/>
        <v>level: global</v>
      </c>
      <c r="AV12" s="29" t="str">
        <f>"- "&amp;VLOOKUP(B12,'(Ref) Countries'!A:C,3,)</f>
        <v>- mexico</v>
      </c>
      <c r="AW12" s="29" t="str">
        <f t="shared" si="4"/>
        <v>- mexico-city</v>
      </c>
      <c r="AX12" s="29" t="str">
        <f t="shared" si="5"/>
        <v>- churches</v>
      </c>
      <c r="AY12" s="29" t="str">
        <f t="shared" si="6"/>
        <v>- marian-sites</v>
      </c>
      <c r="AZ12" s="29" t="str">
        <f t="shared" si="7"/>
        <v>- holy-persons</v>
      </c>
      <c r="BA12" s="29" t="str">
        <f t="shared" si="8"/>
        <v>- juan-diego</v>
      </c>
      <c r="BB12" s="29" t="str">
        <f t="shared" si="9"/>
        <v/>
      </c>
      <c r="BC12" s="29" t="str">
        <f t="shared" si="10"/>
        <v/>
      </c>
      <c r="BD12" s="29" t="str">
        <f t="shared" si="11"/>
        <v/>
      </c>
      <c r="BE12" s="29" t="str">
        <f t="shared" si="12"/>
        <v/>
      </c>
      <c r="BF12" s="29" t="str">
        <f t="shared" si="13"/>
        <v/>
      </c>
      <c r="BG12" s="29" t="str">
        <f t="shared" si="14"/>
        <v/>
      </c>
      <c r="BH12" s="29" t="str">
        <f t="shared" si="15"/>
        <v/>
      </c>
      <c r="BI12" s="29" t="str">
        <f t="shared" si="16"/>
        <v/>
      </c>
      <c r="BJ12" s="29" t="str">
        <f t="shared" si="17"/>
        <v/>
      </c>
      <c r="BK12" s="29" t="str">
        <f t="shared" si="31"/>
        <v xml:space="preserve">tags:
- mexico_x000D_
- mexico-city_x000D_
- churches_x000D_
- marian-sites_x000D_
- holy-persons_x000D_
- juan-diego_x000D_
</v>
      </c>
      <c r="BL12" s="30" t="str">
        <f t="shared" si="18"/>
        <v>[Official site](https://virgendeguadalupe.org.mx/)</v>
      </c>
      <c r="BM12" s="30" t="str">
        <f t="shared" si="19"/>
        <v/>
      </c>
      <c r="BN12" s="30" t="str">
        <f t="shared" si="20"/>
        <v/>
      </c>
      <c r="BO12" s="30" t="str">
        <f t="shared" si="21"/>
        <v/>
      </c>
      <c r="BP12" s="30" t="str">
        <f t="shared" si="32"/>
        <v xml:space="preserve">* [Official site](https://virgendeguadalupe.org.mx/)
</v>
      </c>
      <c r="BQ12" s="30" t="str">
        <f t="shared" si="22"/>
        <v>[Link](http://www.therealpresence.org/eucharst/misc/BVM/70_GUADALUPE_96x96.pdf)</v>
      </c>
      <c r="BR12" s="30" t="str">
        <f t="shared" si="23"/>
        <v>[Link](https://www.miraclehunter.com/marian_apparitions/approved_apparitions/guadalupe/index.html)</v>
      </c>
      <c r="BS12" s="30" t="str">
        <f t="shared" si="24"/>
        <v>[Link](https://www.marypages.com/guadalupe-(mexico).html)</v>
      </c>
      <c r="BT12" s="30" t="str">
        <f>IF(LEN(concat(BQ12:BS12))&gt;0,concat("| ",BQ12," | ",BR12," | ",BS12," |"),"")</f>
        <v>| [Link](http://www.therealpresence.org/eucharst/misc/BVM/70_GUADALUPE_96x96.pdf) | [Link](https://www.miraclehunter.com/marian_apparitions/approved_apparitions/guadalupe/index.html) | [Link](https://www.marypages.com/guadalupe-(mexico).html) |</v>
      </c>
      <c r="BU12" s="29" t="str">
        <f t="shared" si="25"/>
        <v xml:space="preserve">| The Real Presence | Miracle Hunter | MaryPages |_x000D_
| --- | --- | --- |_x000D_
| [Link](http://www.therealpresence.org/eucharst/misc/BVM/70_GUADALUPE_96x96.pdf) | [Link](https://www.miraclehunter.com/marian_apparitions/approved_apparitions/guadalupe/index.html) | [Link](https://www.marypages.com/guadalupe-(mexico).html) |_x000D_
</v>
      </c>
      <c r="BV12" s="29" t="str">
        <f>IF(LEN(BP12&amp;BU12)&gt;0,concatll("#### More Information",BP12,BU12),"")</f>
        <v xml:space="preserve">#### More Information_x000D_
_x000D_
* [Official site](https://virgendeguadalupe.org.mx/)
_x000D_
_x000D_
| The Real Presence | Miracle Hunter | MaryPages |_x000D_
| --- | --- | --- |_x000D_
| [Link](http://www.therealpresence.org/eucharst/misc/BVM/70_GUADALUPE_96x96.pdf) | [Link](https://www.miraclehunter.com/marian_apparitions/approved_apparitions/guadalupe/index.html) | [Link](https://www.marypages.com/guadalupe-(mexico).html) |_x000D_
_x000D_
_x000D_
</v>
      </c>
      <c r="BW12" s="29" t="str">
        <f>IF(LEN(M12)&gt;1,concatll("#### Author's Note",M12),"")</f>
        <v/>
      </c>
      <c r="BX12" s="23" t="str">
        <f>IF(AR12,concatll(concatl("---",AS12:AU12,BK12,"---"),L12,BV12:BW12),"")</f>
        <v xml:space="preserve">---_x000D_
title: "Basilica of Our Lady of Guadalupe"_x000D_
location: {lat: 19.4834328, lng: -99.1174103}_x000D_
level: global_x000D_
tags:
- mexico_x000D_
- mexico-city_x000D_
- churches_x000D_
- marian-sites_x000D_
- holy-persons_x000D_
- juan-diego_x000D_
_x000D_
---_x000D_
_x000D_
_x000D_
In December 1531, the Virgin Mary appeared to St. Juan Diego and his uncle.  The miraculous image imprinted on Juan Diego's tilma is on display at the Basilica of Our Lady of Guadalupe, which is the most-visited Catholic shrine in the world._x000D_
_x000D_
#### More Information_x000D_
_x000D_
* [Official site](https://virgendeguadalupe.org.mx/)
_x000D_
_x000D_
| The Real Presence | Miracle Hunter | MaryPages |_x000D_
| --- | --- | --- |_x000D_
| [Link](http://www.therealpresence.org/eucharst/misc/BVM/70_GUADALUPE_96x96.pdf) | [Link](https://www.miraclehunter.com/marian_apparitions/approved_apparitions/guadalupe/index.html) | [Link](https://www.marypages.com/guadalupe-(mexico).html) |_x000D_
_x000D_
_x000D_
_x000D_
_x000D_
</v>
      </c>
      <c r="BY12" s="23" t="str">
        <f>IF(AR12,VLOOKUP(B12,'(Ref) Countries'!A:B,2,)&amp;IF(LEN(C12)&gt;1,"-"&amp;LOWER(SUBSTITUTE(C12," ","-")),"")&amp;"-"&amp;LOWER(SUBSTITUTE(G12," ","-"))&amp;".md","")</f>
        <v>mx-mexico-city-basilica-of-our-lady-of-guadalupe.md</v>
      </c>
      <c r="BZ12" s="38" t="str">
        <f>IF(LEN(Y12)&gt;1,VLOOKUP(Y12,'Tag List'!$A:$B,2,),"")</f>
        <v>St. Juan Diego</v>
      </c>
      <c r="CA12" s="38" t="str">
        <f>IF(LEN(Z12)&gt;1,VLOOKUP(Z12,'Tag List'!$A:$B,2,),"")</f>
        <v/>
      </c>
      <c r="CB12" s="38" t="str">
        <f>IF(LEN(AA12)&gt;1,VLOOKUP(AA12,'Tag List'!$A:$B,2,),"")</f>
        <v/>
      </c>
      <c r="CC12" s="30" t="str">
        <f>IF(LEN(Y12)&gt;1,GetTagPage(BZ12,Y12),"")</f>
        <v>[St. Juan Diego](/tags/juan-diego)</v>
      </c>
      <c r="CD12" s="30" t="str">
        <f>IF(LEN(Z12)&gt;1,GetTagPage(CA12,Z12),"")</f>
        <v/>
      </c>
      <c r="CE12" s="30" t="str">
        <f>IF(LEN(AA12)&gt;1,GetTagPage(CB12,AA12),"")</f>
        <v/>
      </c>
      <c r="CF12" s="30" t="str">
        <f t="shared" si="26"/>
        <v xml:space="preserve">| [St. Juan Diego](/tags/juan-diego) </v>
      </c>
      <c r="CG12" s="30" t="str">
        <f t="shared" si="27"/>
        <v xml:space="preserve">| [Guadalupe](/places/mx-mexico-city-basilica-of-our-lady-of-guadalupe) </v>
      </c>
      <c r="CH12" s="30" t="str">
        <f>"| "&amp;IF(AR12,GetTagPage(B12,VLOOKUP(B12,'(Ref) Countries'!A:C,3,)),B12)&amp; " "</f>
        <v xml:space="preserve">| [Mexico](/tags/mexico) </v>
      </c>
      <c r="CI12" s="30" t="str">
        <f t="shared" si="28"/>
        <v xml:space="preserve">| 1531 </v>
      </c>
      <c r="CJ12" s="30" t="str">
        <f t="shared" si="29"/>
        <v xml:space="preserve">| [Link](/places/mx-mexico-city-basilica-of-our-lady-of-guadalupe) </v>
      </c>
      <c r="CK12" s="29" t="str">
        <f t="shared" si="30"/>
        <v xml:space="preserve">
| [Guadalupe](/places/mx-mexico-city-basilica-of-our-lady-of-guadalupe) | [Mexico](/tags/mexico) | 1531 | [Link](/places/mx-mexico-city-basilica-of-our-lady-of-guadalupe) [Official site](https://virgendeguadalupe.org.mx/)[Link](http://www.therealpresence.org/eucharst/misc/BVM/70_GUADALUPE_96x96.pdf)[Link](https://www.miraclehunter.com/marian_apparitions/approved_apparitions/guadalupe/index.html)[Link](https://www.marypages.com/guadalupe-(mexico).html)| [St. Juan Diego](/tags/juan-diego) |</v>
      </c>
    </row>
    <row r="13" spans="1:90" ht="63.75" x14ac:dyDescent="0.25">
      <c r="A13" s="14" t="s">
        <v>1322</v>
      </c>
      <c r="B13" s="24" t="s">
        <v>669</v>
      </c>
      <c r="D13" s="15">
        <v>45.998943044455899</v>
      </c>
      <c r="E13" s="49">
        <v>13.6553373449013</v>
      </c>
      <c r="F13" s="41" t="s">
        <v>1383</v>
      </c>
      <c r="G13" s="53" t="s">
        <v>1383</v>
      </c>
      <c r="H13" s="15" t="s">
        <v>1720</v>
      </c>
      <c r="I13" s="25" t="b">
        <v>1</v>
      </c>
      <c r="J13" s="15" t="b">
        <v>1</v>
      </c>
      <c r="L13" s="41" t="s">
        <v>1385</v>
      </c>
      <c r="N13" s="15" t="s">
        <v>1384</v>
      </c>
      <c r="O13" s="15" t="s">
        <v>336</v>
      </c>
      <c r="Y13" s="15" t="s">
        <v>336</v>
      </c>
      <c r="AI13" s="98" t="s">
        <v>1236</v>
      </c>
      <c r="AJ13" s="99">
        <v>1539</v>
      </c>
      <c r="AK13" s="15" t="s">
        <v>239</v>
      </c>
      <c r="AL13" s="15" t="s">
        <v>336</v>
      </c>
      <c r="AM13" s="15" t="s">
        <v>1386</v>
      </c>
      <c r="AN13" s="42" t="s">
        <v>1387</v>
      </c>
      <c r="AO13" s="15" t="s">
        <v>336</v>
      </c>
      <c r="AP13" s="49" t="s">
        <v>336</v>
      </c>
      <c r="AR13" s="28" t="b">
        <f t="shared" si="0"/>
        <v>1</v>
      </c>
      <c r="AS13" s="29" t="str">
        <f t="shared" si="1"/>
        <v>title: "Basilica of the Holy Mother of God"</v>
      </c>
      <c r="AT13" s="29" t="str">
        <f t="shared" si="2"/>
        <v>location: {lat: 45.9989430444559, lng: 13.6553373449013}</v>
      </c>
      <c r="AU13" s="29" t="str">
        <f t="shared" si="3"/>
        <v>level: global</v>
      </c>
      <c r="AV13" s="29" t="str">
        <f>"- "&amp;VLOOKUP(B13,'(Ref) Countries'!A:C,3,)</f>
        <v>- slovenia</v>
      </c>
      <c r="AW13" s="29" t="str">
        <f t="shared" si="4"/>
        <v/>
      </c>
      <c r="AX13" s="29" t="str">
        <f t="shared" si="5"/>
        <v>- churches</v>
      </c>
      <c r="AY13" s="29" t="str">
        <f t="shared" si="6"/>
        <v>- marian-sites</v>
      </c>
      <c r="AZ13" s="29" t="str">
        <f t="shared" si="7"/>
        <v/>
      </c>
      <c r="BA13" s="29" t="str">
        <f t="shared" si="8"/>
        <v/>
      </c>
      <c r="BB13" s="29" t="str">
        <f t="shared" si="9"/>
        <v/>
      </c>
      <c r="BC13" s="29" t="str">
        <f t="shared" si="10"/>
        <v/>
      </c>
      <c r="BD13" s="29" t="str">
        <f t="shared" si="11"/>
        <v/>
      </c>
      <c r="BE13" s="29" t="str">
        <f t="shared" si="12"/>
        <v/>
      </c>
      <c r="BF13" s="29" t="str">
        <f t="shared" si="13"/>
        <v/>
      </c>
      <c r="BG13" s="29" t="str">
        <f t="shared" si="14"/>
        <v/>
      </c>
      <c r="BH13" s="29" t="str">
        <f t="shared" si="15"/>
        <v/>
      </c>
      <c r="BI13" s="29" t="str">
        <f t="shared" si="16"/>
        <v/>
      </c>
      <c r="BJ13" s="29" t="str">
        <f t="shared" si="17"/>
        <v/>
      </c>
      <c r="BK13" s="29" t="str">
        <f t="shared" si="31"/>
        <v xml:space="preserve">tags:
- slovenia_x000D_
- churches_x000D_
- marian-sites_x000D_
</v>
      </c>
      <c r="BL13" s="30" t="str">
        <f t="shared" si="18"/>
        <v>[Official site](https://svetagora.si/)</v>
      </c>
      <c r="BM13" s="30" t="str">
        <f t="shared" si="19"/>
        <v/>
      </c>
      <c r="BN13" s="30" t="str">
        <f t="shared" si="20"/>
        <v/>
      </c>
      <c r="BO13" s="30" t="str">
        <f t="shared" si="21"/>
        <v/>
      </c>
      <c r="BP13" s="30" t="str">
        <f t="shared" si="32"/>
        <v xml:space="preserve">* [Official site](https://svetagora.si/)
</v>
      </c>
      <c r="BQ13" s="30" t="str">
        <f t="shared" si="22"/>
        <v>[Link](http://www.therealpresence.org/eucharst/misc/BVM/137_SVETA_GORA_60x96.pdf)</v>
      </c>
      <c r="BR13" s="30" t="str">
        <f t="shared" si="23"/>
        <v>[Link](https://www.miraclehunter.com/marian_apparitions/approved_apparitions/apparitions_1500-1599.html) (Search "Sveta Gora")</v>
      </c>
      <c r="BS13" s="30" t="str">
        <f t="shared" si="24"/>
        <v/>
      </c>
      <c r="BT13" s="30" t="str">
        <f>IF(LEN(concat(BQ13:BS13))&gt;0,concat("| ",BQ13," | ",BR13," | ",BS13," |"),"")</f>
        <v>| [Link](http://www.therealpresence.org/eucharst/misc/BVM/137_SVETA_GORA_60x96.pdf) | [Link](https://www.miraclehunter.com/marian_apparitions/approved_apparitions/apparitions_1500-1599.html) (Search "Sveta Gora") |  |</v>
      </c>
      <c r="BU13" s="29" t="str">
        <f t="shared" si="25"/>
        <v xml:space="preserve">| The Real Presence | Miracle Hunter | MaryPages |_x000D_
| --- | --- | --- |_x000D_
| [Link](http://www.therealpresence.org/eucharst/misc/BVM/137_SVETA_GORA_60x96.pdf) | [Link](https://www.miraclehunter.com/marian_apparitions/approved_apparitions/apparitions_1500-1599.html) (Search "Sveta Gora") |  |_x000D_
</v>
      </c>
      <c r="BV13" s="29" t="str">
        <f>IF(LEN(BP13&amp;BU13)&gt;0,concatll("#### More Information",BP13,BU13),"")</f>
        <v xml:space="preserve">#### More Information_x000D_
_x000D_
* [Official site](https://svetagora.si/)
_x000D_
_x000D_
| The Real Presence | Miracle Hunter | MaryPages |_x000D_
| --- | --- | --- |_x000D_
| [Link](http://www.therealpresence.org/eucharst/misc/BVM/137_SVETA_GORA_60x96.pdf) | [Link](https://www.miraclehunter.com/marian_apparitions/approved_apparitions/apparitions_1500-1599.html) (Search "Sveta Gora") |  |_x000D_
_x000D_
_x000D_
</v>
      </c>
      <c r="BW13" s="29" t="str">
        <f>IF(LEN(M13)&gt;1,concatll("#### Author's Note",M13),"")</f>
        <v/>
      </c>
      <c r="BX13" s="23" t="str">
        <f>IF(AR13,concatll(concatl("---",AS13:AU13,BK13,"---"),L13,BV13:BW13),"")</f>
        <v xml:space="preserve">---_x000D_
title: "Basilica of the Holy Mother of God"_x000D_
location: {lat: 45.9989430444559, lng: 13.6553373449013}_x000D_
level: global_x000D_
tags:
- slovenia_x000D_
- churches_x000D_
- marian-sites_x000D_
_x000D_
---_x000D_
_x000D_
_x000D_
In 1539, Our Blessed Mother appeared to a shepherdess on Mt. Skalnica, now called the Holy Mountain (Sveta Gora), and instructed her: "Tell the people, let them build me a house here and ask me for mercy." The shepherdess was imprisoned by the unbelieving secular authorities several times, but was always miraculously rescued._x000D_
_x000D_
#### More Information_x000D_
_x000D_
* [Official site](https://svetagora.si/)
_x000D_
_x000D_
| The Real Presence | Miracle Hunter | MaryPages |_x000D_
| --- | --- | --- |_x000D_
| [Link](http://www.therealpresence.org/eucharst/misc/BVM/137_SVETA_GORA_60x96.pdf) | [Link](https://www.miraclehunter.com/marian_apparitions/approved_apparitions/apparitions_1500-1599.html) (Search "Sveta Gora") |  |_x000D_
_x000D_
_x000D_
_x000D_
_x000D_
</v>
      </c>
      <c r="BY13" s="23" t="str">
        <f>IF(AR13,VLOOKUP(B13,'(Ref) Countries'!A:B,2,)&amp;IF(LEN(C13)&gt;1,"-"&amp;LOWER(SUBSTITUTE(C13," ","-")),"")&amp;"-"&amp;LOWER(SUBSTITUTE(G13," ","-"))&amp;".md","")</f>
        <v>si-basilica-of-the-holy-mother-of-god.md</v>
      </c>
      <c r="BZ13" s="29" t="str">
        <f>IF(LEN(Y13)&gt;1,VLOOKUP(Y13,'Tag List'!$A:$B,2,),"")</f>
        <v/>
      </c>
      <c r="CA13" s="29" t="str">
        <f>IF(LEN(Z13)&gt;1,VLOOKUP(Z13,'Tag List'!$A:$B,2,),"")</f>
        <v/>
      </c>
      <c r="CB13" s="29" t="str">
        <f>IF(LEN(AA13)&gt;1,VLOOKUP(AA13,'Tag List'!$A:$B,2,),"")</f>
        <v/>
      </c>
      <c r="CC13" s="30" t="str">
        <f>IF(LEN(Y13)&gt;1,GetTagPage(BZ13,Y13),"")</f>
        <v/>
      </c>
      <c r="CD13" s="30" t="str">
        <f>IF(LEN(Z13)&gt;1,GetTagPage(CA13,Z13),"")</f>
        <v/>
      </c>
      <c r="CE13" s="30" t="str">
        <f>IF(LEN(AA13)&gt;1,GetTagPage(CB13,AA13),"")</f>
        <v/>
      </c>
      <c r="CF13" s="30" t="str">
        <f t="shared" si="26"/>
        <v xml:space="preserve">| </v>
      </c>
      <c r="CG13" s="30" t="str">
        <f t="shared" si="27"/>
        <v xml:space="preserve">| [Sveta Gora](/places/si-basilica-of-the-holy-mother-of-god) </v>
      </c>
      <c r="CH13" s="30" t="str">
        <f>"| "&amp;IF(AR13,GetTagPage(B13,VLOOKUP(B13,'(Ref) Countries'!A:C,3,)),B13)&amp; " "</f>
        <v xml:space="preserve">| [Slovenia](/tags/slovenia) </v>
      </c>
      <c r="CI13" s="30" t="str">
        <f t="shared" si="28"/>
        <v xml:space="preserve">| 1539 </v>
      </c>
      <c r="CJ13" s="30" t="str">
        <f t="shared" si="29"/>
        <v xml:space="preserve">| [Link](/places/si-basilica-of-the-holy-mother-of-god) </v>
      </c>
      <c r="CK13" s="29" t="str">
        <f t="shared" si="30"/>
        <v xml:space="preserve">
| [Sveta Gora](/places/si-basilica-of-the-holy-mother-of-god) | [Slovenia](/tags/slovenia) | 1539 | [Link](/places/si-basilica-of-the-holy-mother-of-god) [Official site](https://svetagora.si/)[Link](http://www.therealpresence.org/eucharst/misc/BVM/137_SVETA_GORA_60x96.pdf)[Link](https://www.miraclehunter.com/marian_apparitions/approved_apparitions/apparitions_1500-1599.html) (Search "Sveta Gora")| |</v>
      </c>
    </row>
    <row r="14" spans="1:90" x14ac:dyDescent="0.25">
      <c r="A14" s="14" t="s">
        <v>1051</v>
      </c>
      <c r="B14" s="24" t="s">
        <v>626</v>
      </c>
      <c r="D14" s="15">
        <v>36.0617520264557</v>
      </c>
      <c r="E14" s="49">
        <v>14.2153318855345</v>
      </c>
      <c r="F14" s="24" t="s">
        <v>1368</v>
      </c>
      <c r="G14" s="54" t="s">
        <v>1718</v>
      </c>
      <c r="H14" s="25" t="s">
        <v>1720</v>
      </c>
      <c r="I14" s="25" t="b">
        <v>1</v>
      </c>
      <c r="J14" s="15" t="b">
        <v>1</v>
      </c>
      <c r="L14" s="24" t="s">
        <v>1335</v>
      </c>
      <c r="N14" s="15" t="s">
        <v>1365</v>
      </c>
      <c r="O14" s="15" t="s">
        <v>336</v>
      </c>
      <c r="Y14" s="15" t="s">
        <v>336</v>
      </c>
      <c r="AI14" s="98" t="s">
        <v>1245</v>
      </c>
      <c r="AJ14" s="99">
        <v>1575</v>
      </c>
      <c r="AK14" s="15" t="s">
        <v>248</v>
      </c>
      <c r="AL14" s="15" t="s">
        <v>336</v>
      </c>
      <c r="AM14" s="15" t="s">
        <v>1366</v>
      </c>
      <c r="AN14" s="15" t="s">
        <v>336</v>
      </c>
      <c r="AO14" s="15" t="s">
        <v>1367</v>
      </c>
      <c r="AP14" s="49" t="s">
        <v>336</v>
      </c>
      <c r="AR14" s="28" t="b">
        <f t="shared" si="0"/>
        <v>1</v>
      </c>
      <c r="AS14" s="29" t="str">
        <f t="shared" si="1"/>
        <v>title: "Basilica of the Blessed Virgin of Ta' Pinu"</v>
      </c>
      <c r="AT14" s="29" t="str">
        <f t="shared" si="2"/>
        <v>location: {lat: 36.0617520264557, lng: 14.2153318855345}</v>
      </c>
      <c r="AU14" s="29" t="str">
        <f t="shared" si="3"/>
        <v>level: global</v>
      </c>
      <c r="AV14" s="29" t="str">
        <f>"- "&amp;VLOOKUP(B14,'(Ref) Countries'!A:C,3,)</f>
        <v>- malta</v>
      </c>
      <c r="AW14" s="29" t="str">
        <f t="shared" si="4"/>
        <v/>
      </c>
      <c r="AX14" s="29" t="str">
        <f t="shared" si="5"/>
        <v>- churches</v>
      </c>
      <c r="AY14" s="29" t="str">
        <f t="shared" si="6"/>
        <v>- marian-sites</v>
      </c>
      <c r="AZ14" s="29" t="str">
        <f t="shared" si="7"/>
        <v/>
      </c>
      <c r="BA14" s="29" t="str">
        <f t="shared" si="8"/>
        <v/>
      </c>
      <c r="BB14" s="29" t="str">
        <f t="shared" si="9"/>
        <v/>
      </c>
      <c r="BC14" s="29" t="str">
        <f t="shared" si="10"/>
        <v/>
      </c>
      <c r="BD14" s="29" t="str">
        <f t="shared" si="11"/>
        <v/>
      </c>
      <c r="BE14" s="29" t="str">
        <f t="shared" si="12"/>
        <v/>
      </c>
      <c r="BF14" s="29" t="str">
        <f t="shared" si="13"/>
        <v/>
      </c>
      <c r="BG14" s="29" t="str">
        <f t="shared" si="14"/>
        <v/>
      </c>
      <c r="BH14" s="29" t="str">
        <f t="shared" si="15"/>
        <v/>
      </c>
      <c r="BI14" s="29" t="str">
        <f t="shared" si="16"/>
        <v/>
      </c>
      <c r="BJ14" s="29" t="str">
        <f t="shared" si="17"/>
        <v/>
      </c>
      <c r="BK14" s="29" t="str">
        <f t="shared" ref="BK14:BK34" si="33">"tags:"&amp;CHAR(10)&amp;concatl(AV14:BJ14)</f>
        <v xml:space="preserve">tags:
- malta_x000D_
- churches_x000D_
- marian-sites_x000D_
</v>
      </c>
      <c r="BL14" s="30" t="str">
        <f t="shared" si="18"/>
        <v>[Official site](http://www.tapinu.org/)</v>
      </c>
      <c r="BM14" s="30" t="str">
        <f t="shared" si="19"/>
        <v/>
      </c>
      <c r="BN14" s="30" t="str">
        <f t="shared" si="20"/>
        <v/>
      </c>
      <c r="BO14" s="30" t="str">
        <f t="shared" si="21"/>
        <v/>
      </c>
      <c r="BP14" s="30" t="str">
        <f t="shared" ref="BP14:BP34" si="34">IF(LEN(BL14)&gt;0,"* "&amp;BL14&amp;CHAR(10),"")&amp;
IF(LEN(BM14)&gt;0,"* "&amp;BM14&amp;CHAR(10),"")&amp;
IF(LEN(BN14)&gt;0,"* "&amp;BN14&amp;CHAR(10),"")&amp;
IF(LEN(BO14)&gt;0,"* "&amp;BO14&amp;CHAR(10),"")</f>
        <v xml:space="preserve">* [Official site](http://www.tapinu.org/)
</v>
      </c>
      <c r="BQ14" s="30" t="str">
        <f t="shared" si="22"/>
        <v>[Link](http://www.therealpresence.org/eucharst/misc/BVM/140_GOZO_60x96.pdf)</v>
      </c>
      <c r="BR14" s="30" t="str">
        <f t="shared" si="23"/>
        <v>[Link](http://www.miraclehunter.com/marian_apparitions/approved_apparitions/tapinu/)</v>
      </c>
      <c r="BS14" s="30" t="str">
        <f t="shared" si="24"/>
        <v>[Link](https://www.marypages.com/ta-pinu-malta-en.html)</v>
      </c>
      <c r="BT14" s="30" t="str">
        <f>IF(LEN(concat(BQ14:BS14))&gt;0,concat("| ",BQ14," | ",BR14," | ",BS14," |"),"")</f>
        <v>| [Link](http://www.therealpresence.org/eucharst/misc/BVM/140_GOZO_60x96.pdf) | [Link](http://www.miraclehunter.com/marian_apparitions/approved_apparitions/tapinu/) | [Link](https://www.marypages.com/ta-pinu-malta-en.html) |</v>
      </c>
      <c r="BU14" s="29" t="str">
        <f t="shared" si="25"/>
        <v xml:space="preserve">| The Real Presence | Miracle Hunter | MaryPages |_x000D_
| --- | --- | --- |_x000D_
| [Link](http://www.therealpresence.org/eucharst/misc/BVM/140_GOZO_60x96.pdf) | [Link](http://www.miraclehunter.com/marian_apparitions/approved_apparitions/tapinu/) | [Link](https://www.marypages.com/ta-pinu-malta-en.html) |_x000D_
</v>
      </c>
      <c r="BV14" s="29" t="str">
        <f>IF(LEN(BP14&amp;BU14)&gt;0,concatll("#### More Information",BP14,BU14),"")</f>
        <v xml:space="preserve">#### More Information_x000D_
_x000D_
* [Official site](http://www.tapinu.org/)
_x000D_
_x000D_
| The Real Presence | Miracle Hunter | MaryPages |_x000D_
| --- | --- | --- |_x000D_
| [Link](http://www.therealpresence.org/eucharst/misc/BVM/140_GOZO_60x96.pdf) | [Link](http://www.miraclehunter.com/marian_apparitions/approved_apparitions/tapinu/) | [Link](https://www.marypages.com/ta-pinu-malta-en.html) |_x000D_
_x000D_
_x000D_
</v>
      </c>
      <c r="BW14" s="29" t="str">
        <f>IF(LEN(M14)&gt;1,concatll("#### Author's Note",M14),"")</f>
        <v/>
      </c>
      <c r="BX14" s="23" t="str">
        <f>IF(AR14,concatll(concatl("---",AS14:AU14,BK14,"---"),L14,BV14:BW14),"")</f>
        <v xml:space="preserve">---_x000D_
title: "Basilica of the Blessed Virgin of Ta' Pinu"_x000D_
location: {lat: 36.0617520264557, lng: 14.2153318855345}_x000D_
level: global_x000D_
tags:
- malta_x000D_
- churches_x000D_
- marian-sites_x000D_
_x000D_
---_x000D_
_x000D_
_x000D_
_Research in progress__x000D_
_x000D_
#### More Information_x000D_
_x000D_
* [Official site](http://www.tapinu.org/)
_x000D_
_x000D_
| The Real Presence | Miracle Hunter | MaryPages |_x000D_
| --- | --- | --- |_x000D_
| [Link](http://www.therealpresence.org/eucharst/misc/BVM/140_GOZO_60x96.pdf) | [Link](http://www.miraclehunter.com/marian_apparitions/approved_apparitions/tapinu/) | [Link](https://www.marypages.com/ta-pinu-malta-en.html) |_x000D_
_x000D_
_x000D_
_x000D_
_x000D_
</v>
      </c>
      <c r="BY14" s="23" t="str">
        <f>IF(AR14,VLOOKUP(B14,'(Ref) Countries'!A:B,2,)&amp;IF(LEN(C14)&gt;1,"-"&amp;LOWER(SUBSTITUTE(C14," ","-")),"")&amp;"-"&amp;LOWER(SUBSTITUTE(G14," ","-"))&amp;".md","")</f>
        <v>mt-basilica-of-ta-pinu.md</v>
      </c>
      <c r="BZ14" s="29" t="str">
        <f>IF(LEN(Y14)&gt;1,VLOOKUP(Y14,'Tag List'!$A:$B,2,),"")</f>
        <v/>
      </c>
      <c r="CA14" s="29" t="str">
        <f>IF(LEN(Z14)&gt;1,VLOOKUP(Z14,'Tag List'!$A:$B,2,),"")</f>
        <v/>
      </c>
      <c r="CB14" s="29" t="str">
        <f>IF(LEN(AA14)&gt;1,VLOOKUP(AA14,'Tag List'!$A:$B,2,),"")</f>
        <v/>
      </c>
      <c r="CC14" s="30" t="str">
        <f>IF(LEN(Y14)&gt;1,GetTagPage(BZ14,Y14),"")</f>
        <v/>
      </c>
      <c r="CD14" s="30" t="str">
        <f>IF(LEN(Z14)&gt;1,GetTagPage(CA14,Z14),"")</f>
        <v/>
      </c>
      <c r="CE14" s="30" t="str">
        <f>IF(LEN(AA14)&gt;1,GetTagPage(CB14,AA14),"")</f>
        <v/>
      </c>
      <c r="CF14" s="30" t="str">
        <f t="shared" ref="CF14:CF34" si="35">"|"&amp;IF(LEN(CC14)&gt;1," "&amp;CC14,"")&amp;IF(LEN(CD14)&gt;1,", "&amp;CD14,"")&amp;IF(LEN(CE14)&gt;1,", "&amp;CE14,"")&amp;" "</f>
        <v xml:space="preserve">| </v>
      </c>
      <c r="CG14" s="30" t="str">
        <f t="shared" si="27"/>
        <v xml:space="preserve">| [Gozo](/places/mt-basilica-of-ta-pinu) </v>
      </c>
      <c r="CH14" s="30" t="str">
        <f>"| "&amp;IF(AR14,GetTagPage(B14,VLOOKUP(B14,'(Ref) Countries'!A:C,3,)),B14)&amp; " "</f>
        <v xml:space="preserve">| [Malta](/tags/malta) </v>
      </c>
      <c r="CI14" s="30" t="str">
        <f t="shared" si="28"/>
        <v xml:space="preserve">| 1575 </v>
      </c>
      <c r="CJ14" s="30" t="str">
        <f t="shared" ref="CJ14:CJ34" si="36">"|"&amp;IF(AR14," [Link](/places/"&amp;SUBSTITUTE(BY14,".md","")&amp;")","")&amp;" "</f>
        <v xml:space="preserve">| [Link](/places/mt-basilica-of-ta-pinu) </v>
      </c>
      <c r="CK14" s="29" t="str">
        <f t="shared" ref="CK14:CK34" si="37">"
"&amp;CG14&amp;CH14&amp;CI14&amp;CJ14&amp;BL14&amp;BQ14&amp;BR14&amp;BS14&amp;CF14&amp;"|"</f>
        <v xml:space="preserve">
| [Gozo](/places/mt-basilica-of-ta-pinu) | [Malta](/tags/malta) | 1575 | [Link](/places/mt-basilica-of-ta-pinu) [Official site](http://www.tapinu.org/)[Link](http://www.therealpresence.org/eucharst/misc/BVM/140_GOZO_60x96.pdf)[Link](http://www.miraclehunter.com/marian_apparitions/approved_apparitions/tapinu/)[Link](https://www.marypages.com/ta-pinu-malta-en.html)| |</v>
      </c>
    </row>
    <row r="15" spans="1:90" ht="89.25" x14ac:dyDescent="0.25">
      <c r="A15" s="14" t="s">
        <v>1322</v>
      </c>
      <c r="B15" s="24" t="s">
        <v>651</v>
      </c>
      <c r="D15" s="15">
        <v>50.270467699999998</v>
      </c>
      <c r="E15" s="49">
        <v>22.408031600000001</v>
      </c>
      <c r="F15" s="95" t="s">
        <v>1828</v>
      </c>
      <c r="G15" s="79" t="s">
        <v>1053</v>
      </c>
      <c r="H15" s="44" t="s">
        <v>1720</v>
      </c>
      <c r="I15" s="25" t="b">
        <v>1</v>
      </c>
      <c r="J15" s="15" t="b">
        <v>1</v>
      </c>
      <c r="L15" s="24" t="s">
        <v>1054</v>
      </c>
      <c r="M15" s="55" t="s">
        <v>1740</v>
      </c>
      <c r="N15" s="15" t="s">
        <v>423</v>
      </c>
      <c r="O15" s="15" t="s">
        <v>336</v>
      </c>
      <c r="Y15" s="24" t="s">
        <v>1426</v>
      </c>
      <c r="Z15" s="24" t="s">
        <v>1419</v>
      </c>
      <c r="AA15" s="24"/>
      <c r="AB15" s="24"/>
      <c r="AC15" s="24"/>
      <c r="AD15" s="24"/>
      <c r="AE15" s="24"/>
      <c r="AF15" s="24"/>
      <c r="AG15" s="24"/>
      <c r="AH15" s="86"/>
      <c r="AI15" s="98" t="s">
        <v>1052</v>
      </c>
      <c r="AJ15" s="99">
        <v>1578</v>
      </c>
      <c r="AK15" s="16" t="s">
        <v>336</v>
      </c>
      <c r="AL15" s="16" t="s">
        <v>336</v>
      </c>
      <c r="AM15" s="15" t="s">
        <v>456</v>
      </c>
      <c r="AN15" s="15" t="s">
        <v>336</v>
      </c>
      <c r="AO15" s="15" t="s">
        <v>336</v>
      </c>
      <c r="AP15" s="49" t="s">
        <v>336</v>
      </c>
      <c r="AR15" s="28" t="b">
        <f t="shared" si="0"/>
        <v>1</v>
      </c>
      <c r="AS15" s="29" t="str">
        <f t="shared" si="1"/>
        <v>title: "Basilica of the Annunciation of the Blessed Virgin Mary (Our Lady of Lezajsk, Lady of Consolation)"</v>
      </c>
      <c r="AT15" s="29" t="str">
        <f t="shared" si="2"/>
        <v>location: {lat: 50.2704677, lng: 22.4080316}</v>
      </c>
      <c r="AU15" s="29" t="str">
        <f t="shared" si="3"/>
        <v>level: global</v>
      </c>
      <c r="AV15" s="29" t="str">
        <f>"- "&amp;VLOOKUP(B15,'(Ref) Countries'!A:C,3,)</f>
        <v>- poland</v>
      </c>
      <c r="AW15" s="29" t="str">
        <f t="shared" si="4"/>
        <v/>
      </c>
      <c r="AX15" s="29" t="str">
        <f t="shared" si="5"/>
        <v>- churches</v>
      </c>
      <c r="AY15" s="29" t="str">
        <f t="shared" si="6"/>
        <v>- marian-sites</v>
      </c>
      <c r="AZ15" s="29" t="str">
        <f t="shared" si="7"/>
        <v/>
      </c>
      <c r="BA15" s="29" t="str">
        <f t="shared" si="8"/>
        <v>- communities</v>
      </c>
      <c r="BB15" s="29" t="str">
        <f t="shared" si="9"/>
        <v>- john-paul-ii</v>
      </c>
      <c r="BC15" s="29" t="str">
        <f t="shared" si="10"/>
        <v/>
      </c>
      <c r="BD15" s="29" t="str">
        <f t="shared" si="11"/>
        <v/>
      </c>
      <c r="BE15" s="29" t="str">
        <f t="shared" si="12"/>
        <v/>
      </c>
      <c r="BF15" s="29" t="str">
        <f t="shared" si="13"/>
        <v/>
      </c>
      <c r="BG15" s="29" t="str">
        <f t="shared" si="14"/>
        <v/>
      </c>
      <c r="BH15" s="29" t="str">
        <f t="shared" si="15"/>
        <v/>
      </c>
      <c r="BI15" s="29" t="str">
        <f t="shared" si="16"/>
        <v/>
      </c>
      <c r="BJ15" s="29" t="str">
        <f t="shared" si="17"/>
        <v/>
      </c>
      <c r="BK15" s="29" t="str">
        <f t="shared" si="33"/>
        <v xml:space="preserve">tags:
- poland_x000D_
- churches_x000D_
- marian-sites_x000D_
- communities_x000D_
- john-paul-ii_x000D_
</v>
      </c>
      <c r="BL15" s="30" t="str">
        <f t="shared" si="18"/>
        <v>[Official site](https://lezajsk.bernardyni.pl/)</v>
      </c>
      <c r="BM15" s="30" t="str">
        <f t="shared" si="19"/>
        <v/>
      </c>
      <c r="BN15" s="30" t="str">
        <f t="shared" si="20"/>
        <v/>
      </c>
      <c r="BO15" s="30" t="str">
        <f t="shared" si="21"/>
        <v/>
      </c>
      <c r="BP15" s="30" t="str">
        <f t="shared" si="34"/>
        <v xml:space="preserve">* [Official site](https://lezajsk.bernardyni.pl/)
</v>
      </c>
      <c r="BQ15" s="30" t="str">
        <f t="shared" si="22"/>
        <v/>
      </c>
      <c r="BR15" s="30" t="str">
        <f t="shared" si="23"/>
        <v>[Link](https://www.miraclehunter.com/marian_apparitions/approved_apparitions/lejask/index.html)</v>
      </c>
      <c r="BS15" s="30" t="str">
        <f t="shared" si="24"/>
        <v/>
      </c>
      <c r="BT15" s="30" t="str">
        <f>IF(LEN(concat(BQ15:BS15))&gt;0,concat("| ",BQ15," | ",BR15," | ",BS15," |"),"")</f>
        <v>|  | [Link](https://www.miraclehunter.com/marian_apparitions/approved_apparitions/lejask/index.html) |  |</v>
      </c>
      <c r="BU15" s="29" t="str">
        <f t="shared" si="25"/>
        <v xml:space="preserve">| The Real Presence | Miracle Hunter | MaryPages |_x000D_
| --- | --- | --- |_x000D_
|  | [Link](https://www.miraclehunter.com/marian_apparitions/approved_apparitions/lejask/index.html) |  |_x000D_
</v>
      </c>
      <c r="BV15" s="29" t="str">
        <f>IF(LEN(BP15&amp;BU15)&gt;0,concatll("#### More Information",BP15,BU15),"")</f>
        <v xml:space="preserve">#### More Information_x000D_
_x000D_
* [Official site](https://lezajsk.bernardyni.pl/)
_x000D_
_x000D_
| The Real Presence | Miracle Hunter | MaryPages |_x000D_
| --- | --- | --- |_x000D_
|  | [Link](https://www.miraclehunter.com/marian_apparitions/approved_apparitions/lejask/index.html) |  |_x000D_
_x000D_
_x000D_
</v>
      </c>
      <c r="BW15" s="29" t="str">
        <f>IF(LEN(M15)&gt;1,concatll("#### Author's Note",M15),"")</f>
        <v xml:space="preserve">#### Author's Note_x000D_
_x000D_
The monastery has published an excellent history of the shrine [here](https://lezajsk.bernardyni.pl/historia/) (in Polish).
-JMM_x000D_
_x000D_
</v>
      </c>
      <c r="BX15" s="23" t="str">
        <f>IF(AR15,concatll(concatl("---",AS15:AU15,BK15,"---"),L15,BV15:BW15),"")</f>
        <v xml:space="preserve">---_x000D_
title: "Basilica of the Annunciation of the Blessed Virgin Mary (Our Lady of Lezajsk, Lady of Consolation)"_x000D_
location: {lat: 50.2704677, lng: 22.4080316}_x000D_
level: global_x000D_
tags:
- poland_x000D_
- churches_x000D_
- marian-sites_x000D_
- communities_x000D_
- john-paul-ii_x000D_
_x000D_
---_x000D_
_x000D_
_x000D_
In 1578, a pious woodcutter named Tomasz Michałek saw a bright light in the forest.  The Virgin asked him to alert the authorities to build a church.  Thomas, scared, did nothing.  The Virgin appeared again, asking him to take action and ending his silence.  Thomas approached the authorities but was not believed.  Under a subsequent priest, a small chapel was built, then a larger shrine in 1606.  Today the shrine is part of a larger Bernardine monastery, and contains the image of Our Lady of Consolation._x000D_
_x000D_
#### More Information_x000D_
_x000D_
* [Official site](https://lezajsk.bernardyni.pl/)
_x000D_
_x000D_
| The Real Presence | Miracle Hunter | MaryPages |_x000D_
| --- | --- | --- |_x000D_
|  | [Link](https://www.miraclehunter.com/marian_apparitions/approved_apparitions/lejask/index.html) |  |_x000D_
_x000D_
_x000D_
_x000D_
_x000D_
#### Author's Note_x000D_
_x000D_
The monastery has published an excellent history of the shrine [here](https://lezajsk.bernardyni.pl/historia/) (in Polish).
-JMM_x000D_
_x000D_
_x000D_
_x000D_
</v>
      </c>
      <c r="BY15" s="23" t="str">
        <f>IF(AR15,VLOOKUP(B15,'(Ref) Countries'!A:B,2,)&amp;IF(LEN(C15)&gt;1,"-"&amp;LOWER(SUBSTITUTE(C15," ","-")),"")&amp;"-"&amp;LOWER(SUBSTITUTE(G15," ","-"))&amp;".md","")</f>
        <v>pl-basilica-of-the-annunciation-of-the-blessed-virgin-mary.md</v>
      </c>
      <c r="BZ15" s="28" t="str">
        <f>IF(LEN(Y15)&gt;1,VLOOKUP(Y15,'Tag List'!$A:$B,2,),"")</f>
        <v>Religious Communities</v>
      </c>
      <c r="CA15" s="28" t="str">
        <f>IF(LEN(Z15)&gt;1,VLOOKUP(Z15,'Tag List'!$A:$B,2,),"")</f>
        <v>Pope St. John Paul II</v>
      </c>
      <c r="CB15" s="28" t="str">
        <f>IF(LEN(AA15)&gt;1,VLOOKUP(AA15,'Tag List'!$A:$B,2,),"")</f>
        <v/>
      </c>
      <c r="CC15" s="30" t="str">
        <f>IF(LEN(Y15)&gt;1,GetTagPage(BZ15,Y15),"")</f>
        <v>[Religious Communities](/tags/communities)</v>
      </c>
      <c r="CD15" s="30" t="str">
        <f>IF(LEN(Z15)&gt;1,GetTagPage(CA15,Z15),"")</f>
        <v>[Pope St. John Paul II](/tags/john-paul-ii)</v>
      </c>
      <c r="CE15" s="30" t="str">
        <f>IF(LEN(AA15)&gt;1,GetTagPage(CB15,AA15),"")</f>
        <v/>
      </c>
      <c r="CF15" s="30" t="str">
        <f t="shared" si="35"/>
        <v xml:space="preserve">| [Religious Communities](/tags/communities), [Pope St. John Paul II](/tags/john-paul-ii) </v>
      </c>
      <c r="CG15" s="30" t="str">
        <f t="shared" si="27"/>
        <v xml:space="preserve">| [Leżajsk](/places/pl-basilica-of-the-annunciation-of-the-blessed-virgin-mary) </v>
      </c>
      <c r="CH15" s="30" t="str">
        <f>"| "&amp;IF(AR15,GetTagPage(B15,VLOOKUP(B15,'(Ref) Countries'!A:C,3,)),B15)&amp; " "</f>
        <v xml:space="preserve">| [Poland](/tags/poland) </v>
      </c>
      <c r="CI15" s="30" t="str">
        <f t="shared" si="28"/>
        <v xml:space="preserve">| 1578 </v>
      </c>
      <c r="CJ15" s="30" t="str">
        <f t="shared" si="36"/>
        <v xml:space="preserve">| [Link](/places/pl-basilica-of-the-annunciation-of-the-blessed-virgin-mary) </v>
      </c>
      <c r="CK15" s="29" t="str">
        <f t="shared" si="37"/>
        <v xml:space="preserve">
| [Leżajsk](/places/pl-basilica-of-the-annunciation-of-the-blessed-virgin-mary) | [Poland](/tags/poland) | 1578 | [Link](/places/pl-basilica-of-the-annunciation-of-the-blessed-virgin-mary) [Official site](https://lezajsk.bernardyni.pl/)[Link](https://www.miraclehunter.com/marian_apparitions/approved_apparitions/lejask/index.html)| [Religious Communities](/tags/communities), [Pope St. John Paul II](/tags/john-paul-ii) |</v>
      </c>
    </row>
    <row r="16" spans="1:90" ht="89.25" x14ac:dyDescent="0.25">
      <c r="A16" s="14" t="s">
        <v>1322</v>
      </c>
      <c r="B16" s="24" t="s">
        <v>500</v>
      </c>
      <c r="D16" s="15">
        <v>-34.564198513371799</v>
      </c>
      <c r="E16" s="49">
        <v>-59.121408231421597</v>
      </c>
      <c r="F16" s="32" t="s">
        <v>1406</v>
      </c>
      <c r="G16" s="57" t="s">
        <v>1406</v>
      </c>
      <c r="H16" s="34" t="s">
        <v>1720</v>
      </c>
      <c r="I16" s="25" t="b">
        <v>1</v>
      </c>
      <c r="J16" s="15" t="b">
        <v>1</v>
      </c>
      <c r="L16" s="47" t="s">
        <v>1819</v>
      </c>
      <c r="N16" s="15" t="s">
        <v>1407</v>
      </c>
      <c r="O16" s="15" t="s">
        <v>336</v>
      </c>
      <c r="Y16" s="15" t="s">
        <v>336</v>
      </c>
      <c r="AI16" s="98" t="s">
        <v>1253</v>
      </c>
      <c r="AJ16" s="99" t="s">
        <v>1125</v>
      </c>
      <c r="AK16" s="15" t="s">
        <v>256</v>
      </c>
      <c r="AL16" s="15" t="s">
        <v>336</v>
      </c>
      <c r="AM16" s="15" t="s">
        <v>1408</v>
      </c>
      <c r="AN16" s="34" t="s">
        <v>1409</v>
      </c>
      <c r="AO16" s="15" t="s">
        <v>336</v>
      </c>
      <c r="AP16" s="49" t="s">
        <v>336</v>
      </c>
      <c r="AR16" s="28" t="b">
        <f t="shared" si="0"/>
        <v>1</v>
      </c>
      <c r="AS16" s="29" t="str">
        <f t="shared" si="1"/>
        <v>title: "Basilica of Our Lady of Lujan"</v>
      </c>
      <c r="AT16" s="29" t="str">
        <f t="shared" si="2"/>
        <v>location: {lat: -34.5641985133718, lng: -59.1214082314216}</v>
      </c>
      <c r="AU16" s="29" t="str">
        <f t="shared" si="3"/>
        <v>level: global</v>
      </c>
      <c r="AV16" s="29" t="str">
        <f>"- "&amp;VLOOKUP(B16,'(Ref) Countries'!A:C,3,)</f>
        <v>- argentina</v>
      </c>
      <c r="AW16" s="29" t="str">
        <f t="shared" si="4"/>
        <v/>
      </c>
      <c r="AX16" s="29" t="str">
        <f t="shared" si="5"/>
        <v>- churches</v>
      </c>
      <c r="AY16" s="29" t="str">
        <f t="shared" si="6"/>
        <v>- marian-sites</v>
      </c>
      <c r="AZ16" s="29" t="str">
        <f t="shared" si="7"/>
        <v/>
      </c>
      <c r="BA16" s="29" t="str">
        <f t="shared" si="8"/>
        <v/>
      </c>
      <c r="BB16" s="29" t="str">
        <f t="shared" si="9"/>
        <v/>
      </c>
      <c r="BC16" s="29" t="str">
        <f t="shared" si="10"/>
        <v/>
      </c>
      <c r="BD16" s="29" t="str">
        <f t="shared" si="11"/>
        <v/>
      </c>
      <c r="BE16" s="29" t="str">
        <f t="shared" si="12"/>
        <v/>
      </c>
      <c r="BF16" s="29" t="str">
        <f t="shared" si="13"/>
        <v/>
      </c>
      <c r="BG16" s="29" t="str">
        <f t="shared" si="14"/>
        <v/>
      </c>
      <c r="BH16" s="29" t="str">
        <f t="shared" si="15"/>
        <v/>
      </c>
      <c r="BI16" s="29" t="str">
        <f t="shared" si="16"/>
        <v/>
      </c>
      <c r="BJ16" s="29" t="str">
        <f t="shared" si="17"/>
        <v/>
      </c>
      <c r="BK16" s="29" t="str">
        <f t="shared" si="33"/>
        <v xml:space="preserve">tags:
- argentina_x000D_
- churches_x000D_
- marian-sites_x000D_
</v>
      </c>
      <c r="BL16" s="30" t="str">
        <f t="shared" si="18"/>
        <v>[Official site](https://santuariodelujan.org.ar/)</v>
      </c>
      <c r="BM16" s="30" t="str">
        <f t="shared" si="19"/>
        <v/>
      </c>
      <c r="BN16" s="30" t="str">
        <f t="shared" si="20"/>
        <v/>
      </c>
      <c r="BO16" s="30" t="str">
        <f t="shared" si="21"/>
        <v/>
      </c>
      <c r="BP16" s="30" t="str">
        <f t="shared" si="34"/>
        <v xml:space="preserve">* [Official site](https://santuariodelujan.org.ar/)
</v>
      </c>
      <c r="BQ16" s="30" t="str">
        <f t="shared" si="22"/>
        <v>[Link](http://www.therealpresence.org/eucharst/misc/BVM/112_LUJAN_96x96.pdf)</v>
      </c>
      <c r="BR16" s="30" t="str">
        <f t="shared" si="23"/>
        <v>[Link](http://www.miraclehunter.com/miraculous_images/icons_1600-1699.html) (Search "Lujan")</v>
      </c>
      <c r="BS16" s="30" t="str">
        <f t="shared" si="24"/>
        <v/>
      </c>
      <c r="BT16" s="30" t="str">
        <f>IF(LEN(concat(BQ16:BS16))&gt;0,concat("| ",BQ16," | ",BR16," | ",BS16," |"),"")</f>
        <v>| [Link](http://www.therealpresence.org/eucharst/misc/BVM/112_LUJAN_96x96.pdf) | [Link](http://www.miraclehunter.com/miraculous_images/icons_1600-1699.html) (Search "Lujan") |  |</v>
      </c>
      <c r="BU16" s="29" t="str">
        <f t="shared" si="25"/>
        <v xml:space="preserve">| The Real Presence | Miracle Hunter | MaryPages |_x000D_
| --- | --- | --- |_x000D_
| [Link](http://www.therealpresence.org/eucharst/misc/BVM/112_LUJAN_96x96.pdf) | [Link](http://www.miraclehunter.com/miraculous_images/icons_1600-1699.html) (Search "Lujan") |  |_x000D_
</v>
      </c>
      <c r="BV16" s="29" t="str">
        <f>IF(LEN(BP16&amp;BU16)&gt;0,concatll("#### More Information",BP16,BU16),"")</f>
        <v xml:space="preserve">#### More Information_x000D_
_x000D_
* [Official site](https://santuariodelujan.org.ar/)
_x000D_
_x000D_
| The Real Presence | Miracle Hunter | MaryPages |_x000D_
| --- | --- | --- |_x000D_
| [Link](http://www.therealpresence.org/eucharst/misc/BVM/112_LUJAN_96x96.pdf) | [Link](http://www.miraclehunter.com/miraculous_images/icons_1600-1699.html) (Search "Lujan") |  |_x000D_
_x000D_
_x000D_
</v>
      </c>
      <c r="BW16" s="29" t="str">
        <f>IF(LEN(M16)&gt;1,concatll("#### Author's Note",M16),"")</f>
        <v/>
      </c>
      <c r="BX16" s="23" t="str">
        <f>IF(AR16,concatll(concatl("---",AS16:AU16,BK16,"---"),L16,BV16:BW16),"")</f>
        <v xml:space="preserve">---_x000D_
title: "Basilica of Our Lady of Lujan"_x000D_
location: {lat: -34.5641985133718, lng: -59.1214082314216}_x000D_
level: global_x000D_
tags:
- argentina_x000D_
- churches_x000D_
- marian-sites_x000D_
_x000D_
---_x000D_
_x000D_
_x000D_
In 1630, a statue of the Immaculate Conception was being transported inland when its couriers overnighted near the Lujan River.  The following morning, the wagon become unexplainably heavy and immovable until the statue was unloaded.  Interpreting this as a sign, the patron and drivers left the statue there, where a chapel was built for pilgrims.  Over time and with many healings, Lujan has become one of the most frequented pilgrimage destinations in the world._x000D_
_x000D_
#### More Information_x000D_
_x000D_
* [Official site](https://santuariodelujan.org.ar/)
_x000D_
_x000D_
| The Real Presence | Miracle Hunter | MaryPages |_x000D_
| --- | --- | --- |_x000D_
| [Link](http://www.therealpresence.org/eucharst/misc/BVM/112_LUJAN_96x96.pdf) | [Link](http://www.miraclehunter.com/miraculous_images/icons_1600-1699.html) (Search "Lujan") |  |_x000D_
_x000D_
_x000D_
_x000D_
_x000D_
</v>
      </c>
      <c r="BY16" s="23" t="str">
        <f>IF(AR16,VLOOKUP(B16,'(Ref) Countries'!A:B,2,)&amp;IF(LEN(C16)&gt;1,"-"&amp;LOWER(SUBSTITUTE(C16," ","-")),"")&amp;"-"&amp;LOWER(SUBSTITUTE(G16," ","-"))&amp;".md","")</f>
        <v>ar-basilica-of-our-lady-of-lujan.md</v>
      </c>
      <c r="BZ16" s="29" t="str">
        <f>IF(LEN(Y16)&gt;1,VLOOKUP(Y16,'Tag List'!$A:$B,2,),"")</f>
        <v/>
      </c>
      <c r="CA16" s="29" t="str">
        <f>IF(LEN(Z16)&gt;1,VLOOKUP(Z16,'Tag List'!$A:$B,2,),"")</f>
        <v/>
      </c>
      <c r="CB16" s="29" t="str">
        <f>IF(LEN(AA16)&gt;1,VLOOKUP(AA16,'Tag List'!$A:$B,2,),"")</f>
        <v/>
      </c>
      <c r="CC16" s="30" t="str">
        <f>IF(LEN(Y16)&gt;1,GetTagPage(BZ16,Y16),"")</f>
        <v/>
      </c>
      <c r="CD16" s="30" t="str">
        <f>IF(LEN(Z16)&gt;1,GetTagPage(CA16,Z16),"")</f>
        <v/>
      </c>
      <c r="CE16" s="30" t="str">
        <f>IF(LEN(AA16)&gt;1,GetTagPage(CB16,AA16),"")</f>
        <v/>
      </c>
      <c r="CF16" s="30" t="str">
        <f t="shared" si="35"/>
        <v xml:space="preserve">| </v>
      </c>
      <c r="CG16" s="30" t="str">
        <f t="shared" si="27"/>
        <v xml:space="preserve">| [Luján](/places/ar-basilica-of-our-lady-of-lujan) </v>
      </c>
      <c r="CH16" s="30" t="str">
        <f>"| "&amp;IF(AR16,GetTagPage(B16,VLOOKUP(B16,'(Ref) Countries'!A:C,3,)),B16)&amp; " "</f>
        <v xml:space="preserve">| [Argentina](/tags/argentina) </v>
      </c>
      <c r="CI16" s="30" t="str">
        <f t="shared" si="28"/>
        <v xml:space="preserve">| 17th Century </v>
      </c>
      <c r="CJ16" s="30" t="str">
        <f t="shared" si="36"/>
        <v xml:space="preserve">| [Link](/places/ar-basilica-of-our-lady-of-lujan) </v>
      </c>
      <c r="CK16" s="29" t="str">
        <f t="shared" si="37"/>
        <v xml:space="preserve">
| [Luján](/places/ar-basilica-of-our-lady-of-lujan) | [Argentina](/tags/argentina) | 17th Century | [Link](/places/ar-basilica-of-our-lady-of-lujan) [Official site](https://santuariodelujan.org.ar/)[Link](http://www.therealpresence.org/eucharst/misc/BVM/112_LUJAN_96x96.pdf)[Link](http://www.miraclehunter.com/miraculous_images/icons_1600-1699.html) (Search "Lujan")| |</v>
      </c>
    </row>
    <row r="17" spans="1:89" ht="38.25" x14ac:dyDescent="0.25">
      <c r="A17" s="14" t="s">
        <v>1051</v>
      </c>
      <c r="B17" s="24" t="s">
        <v>649</v>
      </c>
      <c r="D17" s="15">
        <v>13.882181522598099</v>
      </c>
      <c r="E17" s="49">
        <v>120.92027885535801</v>
      </c>
      <c r="F17" s="24" t="s">
        <v>1374</v>
      </c>
      <c r="G17" s="53" t="s">
        <v>1375</v>
      </c>
      <c r="H17" s="15" t="s">
        <v>1720</v>
      </c>
      <c r="I17" s="25" t="b">
        <v>1</v>
      </c>
      <c r="J17" s="15" t="b">
        <v>1</v>
      </c>
      <c r="L17" s="24" t="s">
        <v>1335</v>
      </c>
      <c r="M17" s="55" t="s">
        <v>1741</v>
      </c>
      <c r="N17" s="15" t="s">
        <v>1377</v>
      </c>
      <c r="O17" s="15" t="s">
        <v>336</v>
      </c>
      <c r="Y17" s="15" t="s">
        <v>336</v>
      </c>
      <c r="AI17" s="98" t="s">
        <v>1255</v>
      </c>
      <c r="AJ17" s="99">
        <v>1603</v>
      </c>
      <c r="AK17" s="15" t="s">
        <v>258</v>
      </c>
      <c r="AL17" s="15" t="s">
        <v>336</v>
      </c>
      <c r="AM17" s="15" t="s">
        <v>1376</v>
      </c>
      <c r="AN17" s="15" t="s">
        <v>336</v>
      </c>
      <c r="AO17" s="15" t="s">
        <v>336</v>
      </c>
      <c r="AP17" s="49" t="s">
        <v>336</v>
      </c>
      <c r="AR17" s="28" t="b">
        <f t="shared" si="0"/>
        <v>1</v>
      </c>
      <c r="AS17" s="29" t="str">
        <f t="shared" si="1"/>
        <v>title: "Archdiocesan Shrine of Our Lady of Caysasay"</v>
      </c>
      <c r="AT17" s="29" t="str">
        <f t="shared" si="2"/>
        <v>location: {lat: 13.8821815225981, lng: 120.920278855358}</v>
      </c>
      <c r="AU17" s="29" t="str">
        <f t="shared" si="3"/>
        <v>level: global</v>
      </c>
      <c r="AV17" s="29" t="str">
        <f>"- "&amp;VLOOKUP(B17,'(Ref) Countries'!A:C,3,)</f>
        <v>- philippines</v>
      </c>
      <c r="AW17" s="29" t="str">
        <f t="shared" si="4"/>
        <v/>
      </c>
      <c r="AX17" s="29" t="str">
        <f t="shared" si="5"/>
        <v>- churches</v>
      </c>
      <c r="AY17" s="29" t="str">
        <f t="shared" si="6"/>
        <v>- marian-sites</v>
      </c>
      <c r="AZ17" s="29" t="str">
        <f t="shared" si="7"/>
        <v/>
      </c>
      <c r="BA17" s="29" t="str">
        <f t="shared" si="8"/>
        <v/>
      </c>
      <c r="BB17" s="29" t="str">
        <f t="shared" si="9"/>
        <v/>
      </c>
      <c r="BC17" s="29" t="str">
        <f t="shared" si="10"/>
        <v/>
      </c>
      <c r="BD17" s="29" t="str">
        <f t="shared" si="11"/>
        <v/>
      </c>
      <c r="BE17" s="29" t="str">
        <f t="shared" si="12"/>
        <v/>
      </c>
      <c r="BF17" s="29" t="str">
        <f t="shared" si="13"/>
        <v/>
      </c>
      <c r="BG17" s="29" t="str">
        <f t="shared" si="14"/>
        <v/>
      </c>
      <c r="BH17" s="29" t="str">
        <f t="shared" si="15"/>
        <v/>
      </c>
      <c r="BI17" s="29" t="str">
        <f t="shared" si="16"/>
        <v/>
      </c>
      <c r="BJ17" s="29" t="str">
        <f t="shared" si="17"/>
        <v/>
      </c>
      <c r="BK17" s="29" t="str">
        <f t="shared" si="33"/>
        <v xml:space="preserve">tags:
- philippines_x000D_
- churches_x000D_
- marian-sites_x000D_
</v>
      </c>
      <c r="BL17" s="30" t="str">
        <f t="shared" si="18"/>
        <v>[Official site](https://www.facebook.com/CaysasayTaal)</v>
      </c>
      <c r="BM17" s="30" t="str">
        <f t="shared" si="19"/>
        <v/>
      </c>
      <c r="BN17" s="30" t="str">
        <f t="shared" si="20"/>
        <v/>
      </c>
      <c r="BO17" s="30" t="str">
        <f t="shared" si="21"/>
        <v/>
      </c>
      <c r="BP17" s="30" t="str">
        <f t="shared" si="34"/>
        <v xml:space="preserve">* [Official site](https://www.facebook.com/CaysasayTaal)
</v>
      </c>
      <c r="BQ17" s="30" t="str">
        <f t="shared" si="22"/>
        <v>[Link](http://www.therealpresence.org/eucharst/misc/BVM/94_CAYSASAY_60x96.pdf)</v>
      </c>
      <c r="BR17" s="30" t="str">
        <f t="shared" si="23"/>
        <v>[Link](http://www.miraclehunter.com/marian_apparitions/approved_apparitions/caysasay/index.html)</v>
      </c>
      <c r="BS17" s="30" t="str">
        <f t="shared" si="24"/>
        <v/>
      </c>
      <c r="BT17" s="30" t="str">
        <f>IF(LEN(concat(BQ17:BS17))&gt;0,concat("| ",BQ17," | ",BR17," | ",BS17," |"),"")</f>
        <v>| [Link](http://www.therealpresence.org/eucharst/misc/BVM/94_CAYSASAY_60x96.pdf) | [Link](http://www.miraclehunter.com/marian_apparitions/approved_apparitions/caysasay/index.html) |  |</v>
      </c>
      <c r="BU17" s="29" t="str">
        <f t="shared" si="25"/>
        <v xml:space="preserve">| The Real Presence | Miracle Hunter | MaryPages |_x000D_
| --- | --- | --- |_x000D_
| [Link](http://www.therealpresence.org/eucharst/misc/BVM/94_CAYSASAY_60x96.pdf) | [Link](http://www.miraclehunter.com/marian_apparitions/approved_apparitions/caysasay/index.html) |  |_x000D_
</v>
      </c>
      <c r="BV17" s="29" t="str">
        <f>IF(LEN(BP17&amp;BU17)&gt;0,concatll("#### More Information",BP17,BU17),"")</f>
        <v xml:space="preserve">#### More Information_x000D_
_x000D_
* [Official site](https://www.facebook.com/CaysasayTaal)
_x000D_
_x000D_
| The Real Presence | Miracle Hunter | MaryPages |_x000D_
| --- | --- | --- |_x000D_
| [Link](http://www.therealpresence.org/eucharst/misc/BVM/94_CAYSASAY_60x96.pdf) | [Link](http://www.miraclehunter.com/marian_apparitions/approved_apparitions/caysasay/index.html) |  |_x000D_
_x000D_
_x000D_
</v>
      </c>
      <c r="BW17" s="29" t="str">
        <f>IF(LEN(M17)&gt;1,concatll("#### Author's Note",M17),"")</f>
        <v xml:space="preserve">#### Author's Note_x000D_
_x000D_
The Facebook page appears to be the official site.
-JMM_x000D_
_x000D_
</v>
      </c>
      <c r="BX17" s="23" t="str">
        <f>IF(AR17,concatll(concatl("---",AS17:AU17,BK17,"---"),L17,BV17:BW17),"")</f>
        <v xml:space="preserve">---_x000D_
title: "Archdiocesan Shrine of Our Lady of Caysasay"_x000D_
location: {lat: 13.8821815225981, lng: 120.920278855358}_x000D_
level: global_x000D_
tags:
- philippines_x000D_
- churches_x000D_
- marian-sites_x000D_
_x000D_
---_x000D_
_x000D_
_x000D_
_Research in progress__x000D_
_x000D_
#### More Information_x000D_
_x000D_
* [Official site](https://www.facebook.com/CaysasayTaal)
_x000D_
_x000D_
| The Real Presence | Miracle Hunter | MaryPages |_x000D_
| --- | --- | --- |_x000D_
| [Link](http://www.therealpresence.org/eucharst/misc/BVM/94_CAYSASAY_60x96.pdf) | [Link](http://www.miraclehunter.com/marian_apparitions/approved_apparitions/caysasay/index.html) |  |_x000D_
_x000D_
_x000D_
_x000D_
_x000D_
#### Author's Note_x000D_
_x000D_
The Facebook page appears to be the official site.
-JMM_x000D_
_x000D_
_x000D_
_x000D_
</v>
      </c>
      <c r="BY17" s="23" t="str">
        <f>IF(AR17,VLOOKUP(B17,'(Ref) Countries'!A:B,2,)&amp;IF(LEN(C17)&gt;1,"-"&amp;LOWER(SUBSTITUTE(C17," ","-")),"")&amp;"-"&amp;LOWER(SUBSTITUTE(G17," ","-"))&amp;".md","")</f>
        <v>ph-shrine-of-our-lady-of-caysasay.md</v>
      </c>
      <c r="BZ17" s="29" t="str">
        <f>IF(LEN(Y17)&gt;1,VLOOKUP(Y17,'Tag List'!$A:$B,2,),"")</f>
        <v/>
      </c>
      <c r="CA17" s="29" t="str">
        <f>IF(LEN(Z17)&gt;1,VLOOKUP(Z17,'Tag List'!$A:$B,2,),"")</f>
        <v/>
      </c>
      <c r="CB17" s="29" t="str">
        <f>IF(LEN(AA17)&gt;1,VLOOKUP(AA17,'Tag List'!$A:$B,2,),"")</f>
        <v/>
      </c>
      <c r="CC17" s="30" t="str">
        <f>IF(LEN(Y17)&gt;1,GetTagPage(BZ17,Y17),"")</f>
        <v/>
      </c>
      <c r="CD17" s="30" t="str">
        <f>IF(LEN(Z17)&gt;1,GetTagPage(CA17,Z17),"")</f>
        <v/>
      </c>
      <c r="CE17" s="30" t="str">
        <f>IF(LEN(AA17)&gt;1,GetTagPage(CB17,AA17),"")</f>
        <v/>
      </c>
      <c r="CF17" s="30" t="str">
        <f t="shared" si="35"/>
        <v xml:space="preserve">| </v>
      </c>
      <c r="CG17" s="30" t="str">
        <f t="shared" si="27"/>
        <v xml:space="preserve">| [Caysasay](/places/ph-shrine-of-our-lady-of-caysasay) </v>
      </c>
      <c r="CH17" s="30" t="str">
        <f>"| "&amp;IF(AR17,GetTagPage(B17,VLOOKUP(B17,'(Ref) Countries'!A:C,3,)),B17)&amp; " "</f>
        <v xml:space="preserve">| [Philippines](/tags/philippines) </v>
      </c>
      <c r="CI17" s="30" t="str">
        <f t="shared" si="28"/>
        <v xml:space="preserve">| 1603 </v>
      </c>
      <c r="CJ17" s="30" t="str">
        <f t="shared" si="36"/>
        <v xml:space="preserve">| [Link](/places/ph-shrine-of-our-lady-of-caysasay) </v>
      </c>
      <c r="CK17" s="29" t="str">
        <f t="shared" si="37"/>
        <v xml:space="preserve">
| [Caysasay](/places/ph-shrine-of-our-lady-of-caysasay) | [Philippines](/tags/philippines) | 1603 | [Link](/places/ph-shrine-of-our-lady-of-caysasay) [Official site](https://www.facebook.com/CaysasayTaal)[Link](http://www.therealpresence.org/eucharst/misc/BVM/94_CAYSASAY_60x96.pdf)[Link](http://www.miraclehunter.com/marian_apparitions/approved_apparitions/caysasay/index.html)| |</v>
      </c>
    </row>
    <row r="18" spans="1:89" ht="89.25" x14ac:dyDescent="0.25">
      <c r="A18" s="14" t="s">
        <v>1322</v>
      </c>
      <c r="B18" s="24" t="s">
        <v>661</v>
      </c>
      <c r="D18" s="15">
        <v>45.592976471079801</v>
      </c>
      <c r="E18" s="49">
        <v>19.1905119128275</v>
      </c>
      <c r="F18" s="41" t="s">
        <v>1389</v>
      </c>
      <c r="G18" s="56" t="s">
        <v>1390</v>
      </c>
      <c r="H18" s="42" t="s">
        <v>1720</v>
      </c>
      <c r="I18" s="25" t="b">
        <v>1</v>
      </c>
      <c r="J18" s="15" t="b">
        <v>1</v>
      </c>
      <c r="L18" s="24" t="s">
        <v>1391</v>
      </c>
      <c r="M18" s="55" t="s">
        <v>1742</v>
      </c>
      <c r="N18" s="15" t="s">
        <v>1392</v>
      </c>
      <c r="O18" s="48"/>
      <c r="P18" s="94" t="s">
        <v>1822</v>
      </c>
      <c r="Q18" s="34" t="s">
        <v>1821</v>
      </c>
      <c r="R18" s="65"/>
      <c r="S18" s="61"/>
      <c r="T18" s="34"/>
      <c r="U18" s="65"/>
      <c r="V18" s="34"/>
      <c r="W18" s="34"/>
      <c r="X18" s="111"/>
      <c r="Y18" s="15" t="s">
        <v>336</v>
      </c>
      <c r="AI18" s="98" t="s">
        <v>1256</v>
      </c>
      <c r="AJ18" s="99">
        <v>1603</v>
      </c>
      <c r="AK18" s="15" t="s">
        <v>259</v>
      </c>
      <c r="AL18" s="15" t="s">
        <v>336</v>
      </c>
      <c r="AM18" s="15" t="s">
        <v>1361</v>
      </c>
      <c r="AN18" s="42" t="s">
        <v>1388</v>
      </c>
      <c r="AO18" s="15" t="s">
        <v>336</v>
      </c>
      <c r="AP18" s="49" t="s">
        <v>336</v>
      </c>
      <c r="AR18" s="28" t="b">
        <f t="shared" si="0"/>
        <v>1</v>
      </c>
      <c r="AS18" s="29" t="str">
        <f t="shared" si="1"/>
        <v>title: "Diocesan Shrine of Mary, Help of Christians"</v>
      </c>
      <c r="AT18" s="29" t="str">
        <f t="shared" si="2"/>
        <v>location: {lat: 45.5929764710798, lng: 19.1905119128275}</v>
      </c>
      <c r="AU18" s="29" t="str">
        <f t="shared" si="3"/>
        <v>level: global</v>
      </c>
      <c r="AV18" s="29" t="str">
        <f>"- "&amp;VLOOKUP(B18,'(Ref) Countries'!A:C,3,)</f>
        <v>- serbia</v>
      </c>
      <c r="AW18" s="29" t="str">
        <f t="shared" si="4"/>
        <v/>
      </c>
      <c r="AX18" s="29" t="str">
        <f t="shared" si="5"/>
        <v>- churches</v>
      </c>
      <c r="AY18" s="29" t="str">
        <f t="shared" si="6"/>
        <v>- marian-sites</v>
      </c>
      <c r="AZ18" s="29" t="str">
        <f t="shared" si="7"/>
        <v/>
      </c>
      <c r="BA18" s="29" t="str">
        <f t="shared" si="8"/>
        <v/>
      </c>
      <c r="BB18" s="29" t="str">
        <f t="shared" si="9"/>
        <v/>
      </c>
      <c r="BC18" s="29" t="str">
        <f t="shared" si="10"/>
        <v/>
      </c>
      <c r="BD18" s="29" t="str">
        <f t="shared" si="11"/>
        <v/>
      </c>
      <c r="BE18" s="29" t="str">
        <f t="shared" si="12"/>
        <v/>
      </c>
      <c r="BF18" s="29" t="str">
        <f t="shared" si="13"/>
        <v/>
      </c>
      <c r="BG18" s="29" t="str">
        <f t="shared" si="14"/>
        <v/>
      </c>
      <c r="BH18" s="29" t="str">
        <f t="shared" si="15"/>
        <v/>
      </c>
      <c r="BI18" s="29" t="str">
        <f t="shared" si="16"/>
        <v/>
      </c>
      <c r="BJ18" s="29" t="str">
        <f t="shared" si="17"/>
        <v/>
      </c>
      <c r="BK18" s="29" t="str">
        <f t="shared" si="33"/>
        <v xml:space="preserve">tags:
- serbia_x000D_
- churches_x000D_
- marian-sites_x000D_
</v>
      </c>
      <c r="BL18" s="30" t="str">
        <f t="shared" si="18"/>
        <v>[Official site](https://szentkut.eu/)</v>
      </c>
      <c r="BM18" s="30" t="str">
        <f t="shared" si="19"/>
        <v>[Additional site](https://doroszlo.net/)</v>
      </c>
      <c r="BN18" s="30" t="str">
        <f t="shared" si="20"/>
        <v/>
      </c>
      <c r="BO18" s="30" t="str">
        <f t="shared" si="21"/>
        <v/>
      </c>
      <c r="BP18" s="30" t="str">
        <f t="shared" si="34"/>
        <v xml:space="preserve">* [Official site](https://szentkut.eu/)
* [Additional site](https://doroszlo.net/)
</v>
      </c>
      <c r="BQ18" s="30" t="str">
        <f t="shared" si="22"/>
        <v>[Link](http://www.therealpresence.org/eucharst/misc/BVM/104_DOROSZLO_60x96.pdf)</v>
      </c>
      <c r="BR18" s="30" t="str">
        <f t="shared" si="23"/>
        <v>[Link](https://www.miraclehunter.com/marian_apparitions/approved_apparitions/apparitions_1700-1799.html) (Search "Doroszlo")</v>
      </c>
      <c r="BS18" s="30" t="str">
        <f t="shared" si="24"/>
        <v/>
      </c>
      <c r="BT18" s="30" t="str">
        <f>IF(LEN(concat(BQ18:BS18))&gt;0,concat("| ",BQ18," | ",BR18," | ",BS18," |"),"")</f>
        <v>| [Link](http://www.therealpresence.org/eucharst/misc/BVM/104_DOROSZLO_60x96.pdf) | [Link](https://www.miraclehunter.com/marian_apparitions/approved_apparitions/apparitions_1700-1799.html) (Search "Doroszlo") |  |</v>
      </c>
      <c r="BU18" s="29" t="str">
        <f t="shared" si="25"/>
        <v xml:space="preserve">| The Real Presence | Miracle Hunter | MaryPages |_x000D_
| --- | --- | --- |_x000D_
| [Link](http://www.therealpresence.org/eucharst/misc/BVM/104_DOROSZLO_60x96.pdf) | [Link](https://www.miraclehunter.com/marian_apparitions/approved_apparitions/apparitions_1700-1799.html) (Search "Doroszlo") |  |_x000D_
</v>
      </c>
      <c r="BV18" s="29" t="str">
        <f>IF(LEN(BP18&amp;BU18)&gt;0,concatll("#### More Information",BP18,BU18),"")</f>
        <v xml:space="preserve">#### More Information_x000D_
_x000D_
* [Official site](https://szentkut.eu/)
* [Additional site](https://doroszlo.net/)
_x000D_
_x000D_
| The Real Presence | Miracle Hunter | MaryPages |_x000D_
| --- | --- | --- |_x000D_
| [Link](http://www.therealpresence.org/eucharst/misc/BVM/104_DOROSZLO_60x96.pdf) | [Link](https://www.miraclehunter.com/marian_apparitions/approved_apparitions/apparitions_1700-1799.html) (Search "Doroszlo") |  |_x000D_
_x000D_
_x000D_
</v>
      </c>
      <c r="BW18" s="29" t="str">
        <f>IF(LEN(M18)&gt;1,concatll("#### Author's Note",M18),"")</f>
        <v xml:space="preserve">#### Author's Note_x000D_
_x000D_
At the time of this miracle the land belonged to Hungary; a few sources still refer to the site as Hungarian.  The two potential official pages listed may not be accurate; please [contact us](/contact) if you have any better information.
-JMM_x000D_
_x000D_
</v>
      </c>
      <c r="BX18" s="23" t="str">
        <f>IF(AR18,concatll(concatl("---",AS18:AU18,BK18,"---"),L18,BV18:BW18),"")</f>
        <v xml:space="preserve">---_x000D_
title: "Diocesan Shrine of Mary, Help of Christians"_x000D_
location: {lat: 45.5929764710798, lng: 19.1905119128275}_x000D_
level: global_x000D_
tags:
- serbia_x000D_
- churches_x000D_
- marian-sites_x000D_
_x000D_
---_x000D_
_x000D_
_x000D_
In 1792, the Virgin Mary appeared to a blind man, advising him to bathe his eyes in a miraculous fountain.  Upon his healing, a chapel was built and was eventually expanded to a larger church._x000D_
_x000D_
#### More Information_x000D_
_x000D_
* [Official site](https://szentkut.eu/)
* [Additional site](https://doroszlo.net/)
_x000D_
_x000D_
| The Real Presence | Miracle Hunter | MaryPages |_x000D_
| --- | --- | --- |_x000D_
| [Link](http://www.therealpresence.org/eucharst/misc/BVM/104_DOROSZLO_60x96.pdf) | [Link](https://www.miraclehunter.com/marian_apparitions/approved_apparitions/apparitions_1700-1799.html) (Search "Doroszlo") |  |_x000D_
_x000D_
_x000D_
_x000D_
_x000D_
#### Author's Note_x000D_
_x000D_
At the time of this miracle the land belonged to Hungary; a few sources still refer to the site as Hungarian.  The two potential official pages listed may not be accurate; please [contact us](/contact) if you have any better information.
-JMM_x000D_
_x000D_
_x000D_
_x000D_
</v>
      </c>
      <c r="BY18" s="23" t="str">
        <f>IF(AR18,VLOOKUP(B18,'(Ref) Countries'!A:B,2,)&amp;IF(LEN(C18)&gt;1,"-"&amp;LOWER(SUBSTITUTE(C18," ","-")),"")&amp;"-"&amp;LOWER(SUBSTITUTE(G18," ","-"))&amp;".md","")</f>
        <v>rs-shrine-of-mary-help-of-christians.md</v>
      </c>
      <c r="BZ18" s="29" t="str">
        <f>IF(LEN(Y18)&gt;1,VLOOKUP(Y18,'Tag List'!$A:$B,2,),"")</f>
        <v/>
      </c>
      <c r="CA18" s="29" t="str">
        <f>IF(LEN(Z18)&gt;1,VLOOKUP(Z18,'Tag List'!$A:$B,2,),"")</f>
        <v/>
      </c>
      <c r="CB18" s="29" t="str">
        <f>IF(LEN(AA18)&gt;1,VLOOKUP(AA18,'Tag List'!$A:$B,2,),"")</f>
        <v/>
      </c>
      <c r="CC18" s="30" t="str">
        <f>IF(LEN(Y18)&gt;1,GetTagPage(BZ18,Y18),"")</f>
        <v/>
      </c>
      <c r="CD18" s="30" t="str">
        <f>IF(LEN(Z18)&gt;1,GetTagPage(CA18,Z18),"")</f>
        <v/>
      </c>
      <c r="CE18" s="30" t="str">
        <f>IF(LEN(AA18)&gt;1,GetTagPage(CB18,AA18),"")</f>
        <v/>
      </c>
      <c r="CF18" s="30" t="str">
        <f t="shared" si="35"/>
        <v xml:space="preserve">| </v>
      </c>
      <c r="CG18" s="30" t="str">
        <f t="shared" si="27"/>
        <v xml:space="preserve">| [Doroszló](/places/rs-shrine-of-mary-help-of-christians) </v>
      </c>
      <c r="CH18" s="30" t="str">
        <f>"| "&amp;IF(AR18,GetTagPage(B18,VLOOKUP(B18,'(Ref) Countries'!A:C,3,)),B18)&amp; " "</f>
        <v xml:space="preserve">| [Serbia](/tags/serbia) </v>
      </c>
      <c r="CI18" s="30" t="str">
        <f t="shared" si="28"/>
        <v xml:space="preserve">| 1603 </v>
      </c>
      <c r="CJ18" s="30" t="str">
        <f t="shared" si="36"/>
        <v xml:space="preserve">| [Link](/places/rs-shrine-of-mary-help-of-christians) </v>
      </c>
      <c r="CK18" s="29" t="str">
        <f t="shared" si="37"/>
        <v xml:space="preserve">
| [Doroszló](/places/rs-shrine-of-mary-help-of-christians) | [Serbia](/tags/serbia) | 1603 | [Link](/places/rs-shrine-of-mary-help-of-christians) [Official site](https://szentkut.eu/)[Link](http://www.therealpresence.org/eucharst/misc/BVM/104_DOROSZLO_60x96.pdf)[Link](https://www.miraclehunter.com/marian_apparitions/approved_apparitions/apparitions_1700-1799.html) (Search "Doroszlo")| |</v>
      </c>
    </row>
    <row r="19" spans="1:89" ht="63.75" x14ac:dyDescent="0.25">
      <c r="A19" s="14" t="s">
        <v>1322</v>
      </c>
      <c r="B19" s="24" t="s">
        <v>607</v>
      </c>
      <c r="D19" s="15">
        <v>55.530612599999998</v>
      </c>
      <c r="E19" s="49">
        <v>23.219925199999999</v>
      </c>
      <c r="F19" s="24" t="s">
        <v>1031</v>
      </c>
      <c r="G19" s="53" t="s">
        <v>1007</v>
      </c>
      <c r="H19" s="15" t="s">
        <v>1720</v>
      </c>
      <c r="I19" s="25" t="b">
        <v>1</v>
      </c>
      <c r="J19" s="15" t="b">
        <v>1</v>
      </c>
      <c r="L19" s="24" t="s">
        <v>462</v>
      </c>
      <c r="M19" s="55" t="s">
        <v>1743</v>
      </c>
      <c r="N19" s="15" t="s">
        <v>1008</v>
      </c>
      <c r="O19" s="15" t="s">
        <v>336</v>
      </c>
      <c r="Y19" s="16" t="s">
        <v>336</v>
      </c>
      <c r="Z19" s="16"/>
      <c r="AA19" s="16"/>
      <c r="AB19" s="16"/>
      <c r="AC19" s="16"/>
      <c r="AD19" s="16"/>
      <c r="AE19" s="16"/>
      <c r="AF19" s="16"/>
      <c r="AG19" s="16"/>
      <c r="AH19" s="87"/>
      <c r="AI19" s="98" t="s">
        <v>1006</v>
      </c>
      <c r="AJ19" s="99">
        <v>1608</v>
      </c>
      <c r="AK19" s="15" t="s">
        <v>261</v>
      </c>
      <c r="AL19" s="15" t="s">
        <v>336</v>
      </c>
      <c r="AM19" s="15" t="s">
        <v>464</v>
      </c>
      <c r="AN19" s="15" t="s">
        <v>336</v>
      </c>
      <c r="AO19" s="15" t="s">
        <v>463</v>
      </c>
      <c r="AP19" s="49" t="s">
        <v>336</v>
      </c>
      <c r="AR19" s="28" t="b">
        <f t="shared" si="0"/>
        <v>1</v>
      </c>
      <c r="AS19" s="29" t="str">
        <f t="shared" si="1"/>
        <v>title: "Basilica of the Nativity of the Blessed Virgin Mary (Our Lady of Siluva)"</v>
      </c>
      <c r="AT19" s="29" t="str">
        <f t="shared" si="2"/>
        <v>location: {lat: 55.5306126, lng: 23.2199252}</v>
      </c>
      <c r="AU19" s="29" t="str">
        <f t="shared" si="3"/>
        <v>level: global</v>
      </c>
      <c r="AV19" s="29" t="str">
        <f>"- "&amp;VLOOKUP(B19,'(Ref) Countries'!A:C,3,)</f>
        <v>- lithuania</v>
      </c>
      <c r="AW19" s="29" t="str">
        <f t="shared" si="4"/>
        <v/>
      </c>
      <c r="AX19" s="29" t="str">
        <f t="shared" si="5"/>
        <v>- churches</v>
      </c>
      <c r="AY19" s="29" t="str">
        <f t="shared" si="6"/>
        <v>- marian-sites</v>
      </c>
      <c r="AZ19" s="29" t="str">
        <f t="shared" si="7"/>
        <v/>
      </c>
      <c r="BA19" s="29" t="str">
        <f t="shared" si="8"/>
        <v/>
      </c>
      <c r="BB19" s="29" t="str">
        <f t="shared" si="9"/>
        <v/>
      </c>
      <c r="BC19" s="29" t="str">
        <f t="shared" si="10"/>
        <v/>
      </c>
      <c r="BD19" s="29" t="str">
        <f t="shared" si="11"/>
        <v/>
      </c>
      <c r="BE19" s="29" t="str">
        <f t="shared" si="12"/>
        <v/>
      </c>
      <c r="BF19" s="29" t="str">
        <f t="shared" si="13"/>
        <v/>
      </c>
      <c r="BG19" s="29" t="str">
        <f t="shared" si="14"/>
        <v/>
      </c>
      <c r="BH19" s="29" t="str">
        <f t="shared" si="15"/>
        <v/>
      </c>
      <c r="BI19" s="29" t="str">
        <f t="shared" si="16"/>
        <v/>
      </c>
      <c r="BJ19" s="29" t="str">
        <f t="shared" si="17"/>
        <v/>
      </c>
      <c r="BK19" s="29" t="str">
        <f t="shared" si="33"/>
        <v xml:space="preserve">tags:
- lithuania_x000D_
- churches_x000D_
- marian-sites_x000D_
</v>
      </c>
      <c r="BL19" s="30" t="str">
        <f t="shared" si="18"/>
        <v>[Official site](https://siluva.lt/)</v>
      </c>
      <c r="BM19" s="30" t="str">
        <f t="shared" si="19"/>
        <v/>
      </c>
      <c r="BN19" s="30" t="str">
        <f t="shared" si="20"/>
        <v/>
      </c>
      <c r="BO19" s="30" t="str">
        <f t="shared" si="21"/>
        <v/>
      </c>
      <c r="BP19" s="30" t="str">
        <f t="shared" si="34"/>
        <v xml:space="preserve">* [Official site](https://siluva.lt/)
</v>
      </c>
      <c r="BQ19" s="30" t="str">
        <f t="shared" si="22"/>
        <v>[Link](http://www.therealpresence.org/eucharst/misc/BVM/57_SILUVA_96x96.pdf)</v>
      </c>
      <c r="BR19" s="30" t="str">
        <f t="shared" si="23"/>
        <v>[Link](https://www.miraclehunter.com/marian_apparitions/approved_apparitions/siluva/index.html)</v>
      </c>
      <c r="BS19" s="30" t="str">
        <f t="shared" si="24"/>
        <v>[Link](https://www.marypages.com/our-lady-of-siluva-en.html)</v>
      </c>
      <c r="BT19" s="30" t="str">
        <f>IF(LEN(concat(BQ19:BS19))&gt;0,concat("| ",BQ19," | ",BR19," | ",BS19," |"),"")</f>
        <v>| [Link](http://www.therealpresence.org/eucharst/misc/BVM/57_SILUVA_96x96.pdf) | [Link](https://www.miraclehunter.com/marian_apparitions/approved_apparitions/siluva/index.html) | [Link](https://www.marypages.com/our-lady-of-siluva-en.html) |</v>
      </c>
      <c r="BU19" s="29" t="str">
        <f t="shared" si="25"/>
        <v xml:space="preserve">| The Real Presence | Miracle Hunter | MaryPages |_x000D_
| --- | --- | --- |_x000D_
| [Link](http://www.therealpresence.org/eucharst/misc/BVM/57_SILUVA_96x96.pdf) | [Link](https://www.miraclehunter.com/marian_apparitions/approved_apparitions/siluva/index.html) | [Link](https://www.marypages.com/our-lady-of-siluva-en.html) |_x000D_
</v>
      </c>
      <c r="BV19" s="29" t="str">
        <f>IF(LEN(BP19&amp;BU19)&gt;0,concatll("#### More Information",BP19,BU19),"")</f>
        <v xml:space="preserve">#### More Information_x000D_
_x000D_
* [Official site](https://siluva.lt/)
_x000D_
_x000D_
| The Real Presence | Miracle Hunter | MaryPages |_x000D_
| --- | --- | --- |_x000D_
| [Link](http://www.therealpresence.org/eucharst/misc/BVM/57_SILUVA_96x96.pdf) | [Link](https://www.miraclehunter.com/marian_apparitions/approved_apparitions/siluva/index.html) | [Link](https://www.marypages.com/our-lady-of-siluva-en.html) |_x000D_
_x000D_
_x000D_
</v>
      </c>
      <c r="BW19" s="29" t="str">
        <f>IF(LEN(M19)&gt;1,concatll("#### Author's Note",M19),"")</f>
        <v xml:space="preserve">#### Author's Note_x000D_
_x000D_
Additional info and a good history [here](https://www.ourladyofsiluva.org/our_lady/).
-JMM_x000D_
_x000D_
</v>
      </c>
      <c r="BX19" s="23" t="str">
        <f>IF(AR19,concatll(concatl("---",AS19:AU19,BK19,"---"),L19,BV19:BW19),"")</f>
        <v xml:space="preserve">---_x000D_
title: "Basilica of the Nativity of the Blessed Virgin Mary (Our Lady of Siluva)"_x000D_
location: {lat: 55.5306126, lng: 23.2199252}_x000D_
level: global_x000D_
tags:
- lithuania_x000D_
- churches_x000D_
- marian-sites_x000D_
_x000D_
---_x000D_
_x000D_
_x000D_
One summer day, in 1608, a number of children were playing while tending their sheep in a field on the outskirts of the village of Siluva.  They beheld a beautiful young woman standing on the rock holding a baby in her arms and weeping bitterly.  The town which had lost its Catholic identity to the Calvinists over the course of 80 years was restored to the Faith._x000D_
_x000D_
#### More Information_x000D_
_x000D_
* [Official site](https://siluva.lt/)
_x000D_
_x000D_
| The Real Presence | Miracle Hunter | MaryPages |_x000D_
| --- | --- | --- |_x000D_
| [Link](http://www.therealpresence.org/eucharst/misc/BVM/57_SILUVA_96x96.pdf) | [Link](https://www.miraclehunter.com/marian_apparitions/approved_apparitions/siluva/index.html) | [Link](https://www.marypages.com/our-lady-of-siluva-en.html) |_x000D_
_x000D_
_x000D_
_x000D_
_x000D_
#### Author's Note_x000D_
_x000D_
Additional info and a good history [here](https://www.ourladyofsiluva.org/our_lady/).
-JMM_x000D_
_x000D_
_x000D_
_x000D_
</v>
      </c>
      <c r="BY19" s="23" t="str">
        <f>IF(AR19,VLOOKUP(B19,'(Ref) Countries'!A:B,2,)&amp;IF(LEN(C19)&gt;1,"-"&amp;LOWER(SUBSTITUTE(C19," ","-")),"")&amp;"-"&amp;LOWER(SUBSTITUTE(G19," ","-"))&amp;".md","")</f>
        <v>lt-basilica-of-the-nativity-of-the-blessed-virgin-mary.md</v>
      </c>
      <c r="BZ19" s="30" t="str">
        <f>IF(LEN(Y19)&gt;1,VLOOKUP(Y19,'Tag List'!$A:$B,2,),"")</f>
        <v/>
      </c>
      <c r="CA19" s="30" t="str">
        <f>IF(LEN(Z19)&gt;1,VLOOKUP(Z19,'Tag List'!$A:$B,2,),"")</f>
        <v/>
      </c>
      <c r="CB19" s="30" t="str">
        <f>IF(LEN(AA19)&gt;1,VLOOKUP(AA19,'Tag List'!$A:$B,2,),"")</f>
        <v/>
      </c>
      <c r="CC19" s="30" t="str">
        <f>IF(LEN(Y19)&gt;1,GetTagPage(BZ19,Y19),"")</f>
        <v/>
      </c>
      <c r="CD19" s="30" t="str">
        <f>IF(LEN(Z19)&gt;1,GetTagPage(CA19,Z19),"")</f>
        <v/>
      </c>
      <c r="CE19" s="30" t="str">
        <f>IF(LEN(AA19)&gt;1,GetTagPage(CB19,AA19),"")</f>
        <v/>
      </c>
      <c r="CF19" s="30" t="str">
        <f t="shared" si="35"/>
        <v xml:space="preserve">| </v>
      </c>
      <c r="CG19" s="30" t="str">
        <f t="shared" si="27"/>
        <v xml:space="preserve">| [Šiluva](/places/lt-basilica-of-the-nativity-of-the-blessed-virgin-mary) </v>
      </c>
      <c r="CH19" s="30" t="str">
        <f>"| "&amp;IF(AR19,GetTagPage(B19,VLOOKUP(B19,'(Ref) Countries'!A:C,3,)),B19)&amp; " "</f>
        <v xml:space="preserve">| [Lithuania](/tags/lithuania) </v>
      </c>
      <c r="CI19" s="30" t="str">
        <f t="shared" si="28"/>
        <v xml:space="preserve">| 1608 </v>
      </c>
      <c r="CJ19" s="30" t="str">
        <f t="shared" si="36"/>
        <v xml:space="preserve">| [Link](/places/lt-basilica-of-the-nativity-of-the-blessed-virgin-mary) </v>
      </c>
      <c r="CK19" s="29" t="str">
        <f t="shared" si="37"/>
        <v xml:space="preserve">
| [Šiluva](/places/lt-basilica-of-the-nativity-of-the-blessed-virgin-mary) | [Lithuania](/tags/lithuania) | 1608 | [Link](/places/lt-basilica-of-the-nativity-of-the-blessed-virgin-mary) [Official site](https://siluva.lt/)[Link](http://www.therealpresence.org/eucharst/misc/BVM/57_SILUVA_96x96.pdf)[Link](https://www.miraclehunter.com/marian_apparitions/approved_apparitions/siluva/index.html)[Link](https://www.marypages.com/our-lady-of-siluva-en.html)| |</v>
      </c>
    </row>
    <row r="20" spans="1:89" ht="63.75" x14ac:dyDescent="0.25">
      <c r="A20" s="14" t="s">
        <v>1322</v>
      </c>
      <c r="B20" s="24" t="s">
        <v>649</v>
      </c>
      <c r="D20" s="15">
        <v>16.0440593284094</v>
      </c>
      <c r="E20" s="49">
        <v>120.488325579597</v>
      </c>
      <c r="F20" s="24" t="s">
        <v>1378</v>
      </c>
      <c r="G20" s="53" t="s">
        <v>1380</v>
      </c>
      <c r="H20" s="15" t="s">
        <v>1720</v>
      </c>
      <c r="I20" s="25" t="b">
        <v>1</v>
      </c>
      <c r="J20" s="15" t="b">
        <v>1</v>
      </c>
      <c r="L20" s="24" t="s">
        <v>1379</v>
      </c>
      <c r="N20" s="15" t="s">
        <v>1381</v>
      </c>
      <c r="O20" s="15" t="s">
        <v>336</v>
      </c>
      <c r="Y20" s="15" t="s">
        <v>336</v>
      </c>
      <c r="AI20" s="98" t="s">
        <v>1258</v>
      </c>
      <c r="AJ20" s="99">
        <v>1610</v>
      </c>
      <c r="AK20" s="15" t="s">
        <v>262</v>
      </c>
      <c r="AL20" s="15" t="s">
        <v>336</v>
      </c>
      <c r="AM20" s="15" t="s">
        <v>1382</v>
      </c>
      <c r="AN20" s="15" t="s">
        <v>336</v>
      </c>
      <c r="AO20" s="15" t="s">
        <v>336</v>
      </c>
      <c r="AP20" s="49" t="s">
        <v>336</v>
      </c>
      <c r="AR20" s="28" t="b">
        <f t="shared" si="0"/>
        <v>1</v>
      </c>
      <c r="AS20" s="29" t="str">
        <f t="shared" si="1"/>
        <v>title: "Minor Basilica of Our Lady of the Rosary of Manaoag"</v>
      </c>
      <c r="AT20" s="29" t="str">
        <f t="shared" si="2"/>
        <v>location: {lat: 16.0440593284094, lng: 120.488325579597}</v>
      </c>
      <c r="AU20" s="29" t="str">
        <f t="shared" si="3"/>
        <v>level: global</v>
      </c>
      <c r="AV20" s="29" t="str">
        <f>"- "&amp;VLOOKUP(B20,'(Ref) Countries'!A:C,3,)</f>
        <v>- philippines</v>
      </c>
      <c r="AW20" s="29" t="str">
        <f t="shared" si="4"/>
        <v/>
      </c>
      <c r="AX20" s="29" t="str">
        <f t="shared" si="5"/>
        <v>- churches</v>
      </c>
      <c r="AY20" s="29" t="str">
        <f t="shared" si="6"/>
        <v>- marian-sites</v>
      </c>
      <c r="AZ20" s="29" t="str">
        <f t="shared" si="7"/>
        <v/>
      </c>
      <c r="BA20" s="29" t="str">
        <f t="shared" si="8"/>
        <v/>
      </c>
      <c r="BB20" s="29" t="str">
        <f t="shared" si="9"/>
        <v/>
      </c>
      <c r="BC20" s="29" t="str">
        <f t="shared" si="10"/>
        <v/>
      </c>
      <c r="BD20" s="29" t="str">
        <f t="shared" si="11"/>
        <v/>
      </c>
      <c r="BE20" s="29" t="str">
        <f t="shared" si="12"/>
        <v/>
      </c>
      <c r="BF20" s="29" t="str">
        <f t="shared" si="13"/>
        <v/>
      </c>
      <c r="BG20" s="29" t="str">
        <f t="shared" si="14"/>
        <v/>
      </c>
      <c r="BH20" s="29" t="str">
        <f t="shared" si="15"/>
        <v/>
      </c>
      <c r="BI20" s="29" t="str">
        <f t="shared" si="16"/>
        <v/>
      </c>
      <c r="BJ20" s="29" t="str">
        <f t="shared" si="17"/>
        <v/>
      </c>
      <c r="BK20" s="29" t="str">
        <f t="shared" si="33"/>
        <v xml:space="preserve">tags:
- philippines_x000D_
- churches_x000D_
- marian-sites_x000D_
</v>
      </c>
      <c r="BL20" s="30" t="str">
        <f t="shared" si="18"/>
        <v>[Official site](https://www.manaoagminorbasilica.org/)</v>
      </c>
      <c r="BM20" s="30" t="str">
        <f t="shared" si="19"/>
        <v/>
      </c>
      <c r="BN20" s="30" t="str">
        <f t="shared" si="20"/>
        <v/>
      </c>
      <c r="BO20" s="30" t="str">
        <f t="shared" si="21"/>
        <v/>
      </c>
      <c r="BP20" s="30" t="str">
        <f t="shared" si="34"/>
        <v xml:space="preserve">* [Official site](https://www.manaoagminorbasilica.org/)
</v>
      </c>
      <c r="BQ20" s="30" t="str">
        <f t="shared" si="22"/>
        <v>[Link](http://www.therealpresence.org/eucharst/misc/BVM/88_MANAOAG_60x96.pdf)</v>
      </c>
      <c r="BR20" s="30" t="str">
        <f t="shared" si="23"/>
        <v>[Link](https://www.miraclehunter.com/marian_apparitions/approved_apparitions/manaoag/index.html)</v>
      </c>
      <c r="BS20" s="30" t="str">
        <f t="shared" si="24"/>
        <v/>
      </c>
      <c r="BT20" s="30" t="str">
        <f>IF(LEN(concat(BQ20:BS20))&gt;0,concat("| ",BQ20," | ",BR20," | ",BS20," |"),"")</f>
        <v>| [Link](http://www.therealpresence.org/eucharst/misc/BVM/88_MANAOAG_60x96.pdf) | [Link](https://www.miraclehunter.com/marian_apparitions/approved_apparitions/manaoag/index.html) |  |</v>
      </c>
      <c r="BU20" s="29" t="str">
        <f t="shared" si="25"/>
        <v xml:space="preserve">| The Real Presence | Miracle Hunter | MaryPages |_x000D_
| --- | --- | --- |_x000D_
| [Link](http://www.therealpresence.org/eucharst/misc/BVM/88_MANAOAG_60x96.pdf) | [Link](https://www.miraclehunter.com/marian_apparitions/approved_apparitions/manaoag/index.html) |  |_x000D_
</v>
      </c>
      <c r="BV20" s="29" t="str">
        <f>IF(LEN(BP20&amp;BU20)&gt;0,concatll("#### More Information",BP20,BU20),"")</f>
        <v xml:space="preserve">#### More Information_x000D_
_x000D_
* [Official site](https://www.manaoagminorbasilica.org/)
_x000D_
_x000D_
| The Real Presence | Miracle Hunter | MaryPages |_x000D_
| --- | --- | --- |_x000D_
| [Link](http://www.therealpresence.org/eucharst/misc/BVM/88_MANAOAG_60x96.pdf) | [Link](https://www.miraclehunter.com/marian_apparitions/approved_apparitions/manaoag/index.html) |  |_x000D_
_x000D_
_x000D_
</v>
      </c>
      <c r="BW20" s="29" t="str">
        <f>IF(LEN(M20)&gt;1,concatll("#### Author's Note",M20),"")</f>
        <v/>
      </c>
      <c r="BX20" s="23" t="str">
        <f>IF(AR20,concatll(concatl("---",AS20:AU20,BK20,"---"),L20,BV20:BW20),"")</f>
        <v xml:space="preserve">---_x000D_
title: "Minor Basilica of Our Lady of the Rosary of Manaoag"_x000D_
location: {lat: 16.0440593284094, lng: 120.488325579597}_x000D_
level: global_x000D_
tags:
- philippines_x000D_
- churches_x000D_
- marian-sites_x000D_
_x000D_
---_x000D_
_x000D_
_x000D_
Tradition dicates that the Blessed Mother showed herself to a middle-aged farmer and gave him a message on where she wanted her church to be built, appearing to him on a tree amidst a heavenly glow.  Today the center of devotion is the miraculous image of Our Lady of the Holy Rosary (Nuestra Señora de Manaoag, or Apo Baket as known to the local townspeople)._x000D_
_x000D_
#### More Information_x000D_
_x000D_
* [Official site](https://www.manaoagminorbasilica.org/)
_x000D_
_x000D_
| The Real Presence | Miracle Hunter | MaryPages |_x000D_
| --- | --- | --- |_x000D_
| [Link](http://www.therealpresence.org/eucharst/misc/BVM/88_MANAOAG_60x96.pdf) | [Link](https://www.miraclehunter.com/marian_apparitions/approved_apparitions/manaoag/index.html) |  |_x000D_
_x000D_
_x000D_
_x000D_
_x000D_
</v>
      </c>
      <c r="BY20" s="23" t="str">
        <f>IF(AR20,VLOOKUP(B20,'(Ref) Countries'!A:B,2,)&amp;IF(LEN(C20)&gt;1,"-"&amp;LOWER(SUBSTITUTE(C20," ","-")),"")&amp;"-"&amp;LOWER(SUBSTITUTE(G20," ","-"))&amp;".md","")</f>
        <v>ph-basilica-of-our-lady-of-the-rosary-of-manaoag.md</v>
      </c>
      <c r="BZ20" s="29" t="str">
        <f>IF(LEN(Y20)&gt;1,VLOOKUP(Y20,'Tag List'!$A:$B,2,),"")</f>
        <v/>
      </c>
      <c r="CA20" s="29" t="str">
        <f>IF(LEN(Z20)&gt;1,VLOOKUP(Z20,'Tag List'!$A:$B,2,),"")</f>
        <v/>
      </c>
      <c r="CB20" s="29" t="str">
        <f>IF(LEN(AA20)&gt;1,VLOOKUP(AA20,'Tag List'!$A:$B,2,),"")</f>
        <v/>
      </c>
      <c r="CC20" s="30" t="str">
        <f>IF(LEN(Y20)&gt;1,GetTagPage(BZ20,Y20),"")</f>
        <v/>
      </c>
      <c r="CD20" s="30" t="str">
        <f>IF(LEN(Z20)&gt;1,GetTagPage(CA20,Z20),"")</f>
        <v/>
      </c>
      <c r="CE20" s="30" t="str">
        <f>IF(LEN(AA20)&gt;1,GetTagPage(CB20,AA20),"")</f>
        <v/>
      </c>
      <c r="CF20" s="30" t="str">
        <f t="shared" si="35"/>
        <v xml:space="preserve">| </v>
      </c>
      <c r="CG20" s="30" t="str">
        <f t="shared" si="27"/>
        <v xml:space="preserve">| [Manaoag](/places/ph-basilica-of-our-lady-of-the-rosary-of-manaoag) </v>
      </c>
      <c r="CH20" s="30" t="str">
        <f>"| "&amp;IF(AR20,GetTagPage(B20,VLOOKUP(B20,'(Ref) Countries'!A:C,3,)),B20)&amp; " "</f>
        <v xml:space="preserve">| [Philippines](/tags/philippines) </v>
      </c>
      <c r="CI20" s="30" t="str">
        <f t="shared" si="28"/>
        <v xml:space="preserve">| 1610 </v>
      </c>
      <c r="CJ20" s="30" t="str">
        <f t="shared" si="36"/>
        <v xml:space="preserve">| [Link](/places/ph-basilica-of-our-lady-of-the-rosary-of-manaoag) </v>
      </c>
      <c r="CK20" s="29" t="str">
        <f t="shared" si="37"/>
        <v xml:space="preserve">
| [Manaoag](/places/ph-basilica-of-our-lady-of-the-rosary-of-manaoag) | [Philippines](/tags/philippines) | 1610 | [Link](/places/ph-basilica-of-our-lady-of-the-rosary-of-manaoag) [Official site](https://www.manaoagminorbasilica.org/)[Link](http://www.therealpresence.org/eucharst/misc/BVM/88_MANAOAG_60x96.pdf)[Link](https://www.miraclehunter.com/marian_apparitions/approved_apparitions/manaoag/index.html)| |</v>
      </c>
    </row>
    <row r="21" spans="1:89" x14ac:dyDescent="0.25">
      <c r="A21" s="14" t="s">
        <v>1051</v>
      </c>
      <c r="B21" s="24" t="s">
        <v>536</v>
      </c>
      <c r="D21" s="15">
        <v>20.050796521215599</v>
      </c>
      <c r="E21" s="49">
        <v>-75.948970548482805</v>
      </c>
      <c r="F21" s="24" t="s">
        <v>1318</v>
      </c>
      <c r="G21" s="53" t="s">
        <v>1319</v>
      </c>
      <c r="H21" s="15" t="s">
        <v>1720</v>
      </c>
      <c r="I21" s="25" t="b">
        <v>1</v>
      </c>
      <c r="J21" s="15" t="b">
        <v>1</v>
      </c>
      <c r="L21" s="24" t="s">
        <v>1335</v>
      </c>
      <c r="N21" s="15" t="s">
        <v>336</v>
      </c>
      <c r="O21" s="15" t="s">
        <v>336</v>
      </c>
      <c r="Y21" s="15" t="s">
        <v>336</v>
      </c>
      <c r="AI21" s="98" t="s">
        <v>1316</v>
      </c>
      <c r="AJ21" s="99">
        <v>1612</v>
      </c>
      <c r="AK21" s="15" t="s">
        <v>263</v>
      </c>
      <c r="AL21" s="15" t="s">
        <v>336</v>
      </c>
      <c r="AM21" s="15" t="s">
        <v>336</v>
      </c>
      <c r="AN21" s="15" t="s">
        <v>336</v>
      </c>
      <c r="AO21" s="15" t="s">
        <v>336</v>
      </c>
      <c r="AP21" s="49" t="s">
        <v>336</v>
      </c>
      <c r="AR21" s="28" t="b">
        <f t="shared" si="0"/>
        <v>1</v>
      </c>
      <c r="AS21" s="29" t="str">
        <f t="shared" si="1"/>
        <v>title: "Basilica of Our Lady of Charity of El Cobre"</v>
      </c>
      <c r="AT21" s="29" t="str">
        <f t="shared" si="2"/>
        <v>location: {lat: 20.0507965212156, lng: -75.9489705484828}</v>
      </c>
      <c r="AU21" s="29" t="str">
        <f t="shared" si="3"/>
        <v>level: global</v>
      </c>
      <c r="AV21" s="29" t="str">
        <f>"- "&amp;VLOOKUP(B21,'(Ref) Countries'!A:C,3,)</f>
        <v>- cuba</v>
      </c>
      <c r="AW21" s="29" t="str">
        <f t="shared" si="4"/>
        <v/>
      </c>
      <c r="AX21" s="29" t="str">
        <f t="shared" si="5"/>
        <v>- churches</v>
      </c>
      <c r="AY21" s="29" t="str">
        <f t="shared" si="6"/>
        <v>- marian-sites</v>
      </c>
      <c r="AZ21" s="29" t="str">
        <f t="shared" si="7"/>
        <v/>
      </c>
      <c r="BA21" s="29" t="str">
        <f t="shared" si="8"/>
        <v/>
      </c>
      <c r="BB21" s="29" t="str">
        <f t="shared" si="9"/>
        <v/>
      </c>
      <c r="BC21" s="29" t="str">
        <f t="shared" si="10"/>
        <v/>
      </c>
      <c r="BD21" s="29" t="str">
        <f t="shared" si="11"/>
        <v/>
      </c>
      <c r="BE21" s="29" t="str">
        <f t="shared" si="12"/>
        <v/>
      </c>
      <c r="BF21" s="29" t="str">
        <f t="shared" si="13"/>
        <v/>
      </c>
      <c r="BG21" s="29" t="str">
        <f t="shared" si="14"/>
        <v/>
      </c>
      <c r="BH21" s="29" t="str">
        <f t="shared" si="15"/>
        <v/>
      </c>
      <c r="BI21" s="29" t="str">
        <f t="shared" si="16"/>
        <v/>
      </c>
      <c r="BJ21" s="29" t="str">
        <f t="shared" si="17"/>
        <v/>
      </c>
      <c r="BK21" s="29" t="str">
        <f t="shared" si="33"/>
        <v xml:space="preserve">tags:
- cuba_x000D_
- churches_x000D_
- marian-sites_x000D_
</v>
      </c>
      <c r="BL21" s="30" t="str">
        <f t="shared" si="18"/>
        <v/>
      </c>
      <c r="BM21" s="30" t="str">
        <f t="shared" si="19"/>
        <v/>
      </c>
      <c r="BN21" s="30" t="str">
        <f t="shared" si="20"/>
        <v/>
      </c>
      <c r="BO21" s="30" t="str">
        <f t="shared" si="21"/>
        <v/>
      </c>
      <c r="BP21" s="30" t="str">
        <f t="shared" si="34"/>
        <v/>
      </c>
      <c r="BQ21" s="30" t="str">
        <f t="shared" si="22"/>
        <v>[Link](http://www.therealpresence.org/eucharst/misc/BVM/102_CUBA_96x96.pdf)</v>
      </c>
      <c r="BR21" s="30" t="str">
        <f t="shared" si="23"/>
        <v/>
      </c>
      <c r="BS21" s="30" t="str">
        <f t="shared" si="24"/>
        <v/>
      </c>
      <c r="BT21" s="30" t="str">
        <f>IF(LEN(concat(BQ21:BS21))&gt;0,concat("| ",BQ21," | ",BR21," | ",BS21," |"),"")</f>
        <v>| [Link](http://www.therealpresence.org/eucharst/misc/BVM/102_CUBA_96x96.pdf) |  |  |</v>
      </c>
      <c r="BU21" s="29" t="str">
        <f t="shared" si="25"/>
        <v xml:space="preserve">| The Real Presence | Miracle Hunter | MaryPages |_x000D_
| --- | --- | --- |_x000D_
| [Link](http://www.therealpresence.org/eucharst/misc/BVM/102_CUBA_96x96.pdf) |  |  |_x000D_
</v>
      </c>
      <c r="BV21" s="29" t="str">
        <f>IF(LEN(BP21&amp;BU21)&gt;0,concatll("#### More Information",BP21,BU21),"")</f>
        <v xml:space="preserve">#### More Information_x000D_
_x000D_
| The Real Presence | Miracle Hunter | MaryPages |_x000D_
| --- | --- | --- |_x000D_
| [Link](http://www.therealpresence.org/eucharst/misc/BVM/102_CUBA_96x96.pdf) |  |  |_x000D_
_x000D_
_x000D_
</v>
      </c>
      <c r="BW21" s="29" t="str">
        <f>IF(LEN(M21)&gt;1,concatll("#### Author's Note",M21),"")</f>
        <v/>
      </c>
      <c r="BX21" s="23" t="str">
        <f>IF(AR21,concatll(concatl("---",AS21:AU21,BK21,"---"),L21,BV21:BW21),"")</f>
        <v xml:space="preserve">---_x000D_
title: "Basilica of Our Lady of Charity of El Cobre"_x000D_
location: {lat: 20.0507965212156, lng: -75.9489705484828}_x000D_
level: global_x000D_
tags:
- cuba_x000D_
- churches_x000D_
- marian-sites_x000D_
_x000D_
---_x000D_
_x000D_
_x000D_
_Research in progress__x000D_
_x000D_
#### More Information_x000D_
_x000D_
| The Real Presence | Miracle Hunter | MaryPages |_x000D_
| --- | --- | --- |_x000D_
| [Link](http://www.therealpresence.org/eucharst/misc/BVM/102_CUBA_96x96.pdf) |  |  |_x000D_
_x000D_
_x000D_
_x000D_
_x000D_
</v>
      </c>
      <c r="BY21" s="23" t="str">
        <f>IF(AR21,VLOOKUP(B21,'(Ref) Countries'!A:B,2,)&amp;IF(LEN(C21)&gt;1,"-"&amp;LOWER(SUBSTITUTE(C21," ","-")),"")&amp;"-"&amp;LOWER(SUBSTITUTE(G21," ","-"))&amp;".md","")</f>
        <v>cu-basilica-of-el-cobre.md</v>
      </c>
      <c r="BZ21" s="29" t="str">
        <f>IF(LEN(Y21)&gt;1,VLOOKUP(Y21,'Tag List'!$A:$B,2,),"")</f>
        <v/>
      </c>
      <c r="CA21" s="29" t="str">
        <f>IF(LEN(Z21)&gt;1,VLOOKUP(Z21,'Tag List'!$A:$B,2,),"")</f>
        <v/>
      </c>
      <c r="CB21" s="29" t="str">
        <f>IF(LEN(AA21)&gt;1,VLOOKUP(AA21,'Tag List'!$A:$B,2,),"")</f>
        <v/>
      </c>
      <c r="CC21" s="30" t="str">
        <f>IF(LEN(Y21)&gt;1,GetTagPage(BZ21,Y21),"")</f>
        <v/>
      </c>
      <c r="CD21" s="30" t="str">
        <f>IF(LEN(Z21)&gt;1,GetTagPage(CA21,Z21),"")</f>
        <v/>
      </c>
      <c r="CE21" s="30" t="str">
        <f>IF(LEN(AA21)&gt;1,GetTagPage(CB21,AA21),"")</f>
        <v/>
      </c>
      <c r="CF21" s="30" t="str">
        <f t="shared" si="35"/>
        <v xml:space="preserve">| </v>
      </c>
      <c r="CG21" s="30" t="str">
        <f t="shared" si="27"/>
        <v xml:space="preserve">| [El Cobre](/places/cu-basilica-of-el-cobre) </v>
      </c>
      <c r="CH21" s="30" t="str">
        <f>"| "&amp;IF(AR21,GetTagPage(B21,VLOOKUP(B21,'(Ref) Countries'!A:C,3,)),B21)&amp; " "</f>
        <v xml:space="preserve">| [Cuba](/tags/cuba) </v>
      </c>
      <c r="CI21" s="30" t="str">
        <f t="shared" si="28"/>
        <v xml:space="preserve">| 1612 </v>
      </c>
      <c r="CJ21" s="30" t="str">
        <f t="shared" si="36"/>
        <v xml:space="preserve">| [Link](/places/cu-basilica-of-el-cobre) </v>
      </c>
      <c r="CK21" s="29" t="str">
        <f t="shared" si="37"/>
        <v xml:space="preserve">
| [El Cobre](/places/cu-basilica-of-el-cobre) | [Cuba](/tags/cuba) | 1612 | [Link](/places/cu-basilica-of-el-cobre) [Link](http://www.therealpresence.org/eucharst/misc/BVM/102_CUBA_96x96.pdf)| |</v>
      </c>
    </row>
    <row r="22" spans="1:89" ht="76.5" x14ac:dyDescent="0.25">
      <c r="A22" s="14" t="s">
        <v>1322</v>
      </c>
      <c r="B22" s="24" t="s">
        <v>557</v>
      </c>
      <c r="D22" s="15">
        <v>44.521201599999998</v>
      </c>
      <c r="E22" s="49">
        <v>6.1521160000000004</v>
      </c>
      <c r="F22" s="24" t="s">
        <v>1010</v>
      </c>
      <c r="G22" s="53" t="s">
        <v>1010</v>
      </c>
      <c r="H22" s="15" t="s">
        <v>1720</v>
      </c>
      <c r="I22" s="25" t="b">
        <v>1</v>
      </c>
      <c r="J22" s="15" t="b">
        <v>1</v>
      </c>
      <c r="K22" s="15" t="b">
        <v>1</v>
      </c>
      <c r="L22" s="24" t="s">
        <v>468</v>
      </c>
      <c r="M22" s="55" t="s">
        <v>1744</v>
      </c>
      <c r="N22" s="15" t="s">
        <v>419</v>
      </c>
      <c r="O22" s="15" t="s">
        <v>336</v>
      </c>
      <c r="Y22" s="36" t="s">
        <v>487</v>
      </c>
      <c r="Z22" s="36"/>
      <c r="AA22" s="36"/>
      <c r="AB22" s="36"/>
      <c r="AC22" s="36"/>
      <c r="AD22" s="36"/>
      <c r="AE22" s="36"/>
      <c r="AF22" s="36"/>
      <c r="AG22" s="36"/>
      <c r="AH22" s="84"/>
      <c r="AI22" s="98" t="s">
        <v>1009</v>
      </c>
      <c r="AJ22" s="99" t="s">
        <v>1012</v>
      </c>
      <c r="AK22" s="15" t="s">
        <v>272</v>
      </c>
      <c r="AL22" s="15" t="s">
        <v>336</v>
      </c>
      <c r="AM22" s="15" t="s">
        <v>469</v>
      </c>
      <c r="AN22" s="15" t="s">
        <v>336</v>
      </c>
      <c r="AO22" s="15" t="s">
        <v>470</v>
      </c>
      <c r="AP22" s="49" t="s">
        <v>336</v>
      </c>
      <c r="AR22" s="28" t="b">
        <f t="shared" si="0"/>
        <v>1</v>
      </c>
      <c r="AS22" s="29" t="str">
        <f t="shared" si="1"/>
        <v>title: "Sanctuary of Our Lady of Laus"</v>
      </c>
      <c r="AT22" s="29" t="str">
        <f t="shared" si="2"/>
        <v>location: {lat: 44.5212016, lng: 6.152116}</v>
      </c>
      <c r="AU22" s="29" t="str">
        <f t="shared" si="3"/>
        <v>level: global</v>
      </c>
      <c r="AV22" s="29" t="str">
        <f>"- "&amp;VLOOKUP(B22,'(Ref) Countries'!A:C,3,)</f>
        <v>- france</v>
      </c>
      <c r="AW22" s="29" t="str">
        <f t="shared" si="4"/>
        <v/>
      </c>
      <c r="AX22" s="29" t="str">
        <f t="shared" si="5"/>
        <v>- churches</v>
      </c>
      <c r="AY22" s="29" t="str">
        <f t="shared" si="6"/>
        <v>- marian-sites</v>
      </c>
      <c r="AZ22" s="29" t="str">
        <f t="shared" si="7"/>
        <v>- holy-persons</v>
      </c>
      <c r="BA22" s="29" t="str">
        <f t="shared" si="8"/>
        <v>- benoite-rencurel</v>
      </c>
      <c r="BB22" s="29" t="str">
        <f t="shared" si="9"/>
        <v/>
      </c>
      <c r="BC22" s="29" t="str">
        <f t="shared" si="10"/>
        <v/>
      </c>
      <c r="BD22" s="29" t="str">
        <f t="shared" si="11"/>
        <v/>
      </c>
      <c r="BE22" s="29" t="str">
        <f t="shared" si="12"/>
        <v/>
      </c>
      <c r="BF22" s="29" t="str">
        <f t="shared" si="13"/>
        <v/>
      </c>
      <c r="BG22" s="29" t="str">
        <f t="shared" si="14"/>
        <v/>
      </c>
      <c r="BH22" s="29" t="str">
        <f t="shared" si="15"/>
        <v/>
      </c>
      <c r="BI22" s="29" t="str">
        <f t="shared" si="16"/>
        <v/>
      </c>
      <c r="BJ22" s="29" t="str">
        <f t="shared" si="17"/>
        <v/>
      </c>
      <c r="BK22" s="29" t="str">
        <f t="shared" si="33"/>
        <v xml:space="preserve">tags:
- france_x000D_
- churches_x000D_
- marian-sites_x000D_
- holy-persons_x000D_
- benoite-rencurel_x000D_
</v>
      </c>
      <c r="BL22" s="30" t="str">
        <f t="shared" si="18"/>
        <v>[Official site](https://www.sanctuaire-notredamedulaus.com/)</v>
      </c>
      <c r="BM22" s="30" t="str">
        <f t="shared" si="19"/>
        <v/>
      </c>
      <c r="BN22" s="30" t="str">
        <f t="shared" si="20"/>
        <v/>
      </c>
      <c r="BO22" s="30" t="str">
        <f t="shared" si="21"/>
        <v/>
      </c>
      <c r="BP22" s="30" t="str">
        <f t="shared" si="34"/>
        <v xml:space="preserve">* [Official site](https://www.sanctuaire-notredamedulaus.com/)
</v>
      </c>
      <c r="BQ22" s="30" t="str">
        <f t="shared" si="22"/>
        <v>[Link](http://www.therealpresence.org/eucharst/misc/BVM/69_LAUS_140x96.pdf)</v>
      </c>
      <c r="BR22" s="30" t="str">
        <f t="shared" si="23"/>
        <v>[Link](https://www.miraclehunter.com/marian_apparitions/approved_apparitions/laus/index.html)</v>
      </c>
      <c r="BS22" s="30" t="str">
        <f t="shared" si="24"/>
        <v>[Link](https://www.marypages.com/laus-(france)-en.html)</v>
      </c>
      <c r="BT22" s="30" t="str">
        <f>IF(LEN(concat(BQ22:BS22))&gt;0,concat("| ",BQ22," | ",BR22," | ",BS22," |"),"")</f>
        <v>| [Link](http://www.therealpresence.org/eucharst/misc/BVM/69_LAUS_140x96.pdf) | [Link](https://www.miraclehunter.com/marian_apparitions/approved_apparitions/laus/index.html) | [Link](https://www.marypages.com/laus-(france)-en.html) |</v>
      </c>
      <c r="BU22" s="29" t="str">
        <f t="shared" si="25"/>
        <v xml:space="preserve">| The Real Presence | Miracle Hunter | MaryPages |_x000D_
| --- | --- | --- |_x000D_
| [Link](http://www.therealpresence.org/eucharst/misc/BVM/69_LAUS_140x96.pdf) | [Link](https://www.miraclehunter.com/marian_apparitions/approved_apparitions/laus/index.html) | [Link](https://www.marypages.com/laus-(france)-en.html) |_x000D_
</v>
      </c>
      <c r="BV22" s="29" t="str">
        <f>IF(LEN(BP22&amp;BU22)&gt;0,concatll("#### More Information",BP22,BU22),"")</f>
        <v xml:space="preserve">#### More Information_x000D_
_x000D_
* [Official site](https://www.sanctuaire-notredamedulaus.com/)
_x000D_
_x000D_
| The Real Presence | Miracle Hunter | MaryPages |_x000D_
| --- | --- | --- |_x000D_
| [Link](http://www.therealpresence.org/eucharst/misc/BVM/69_LAUS_140x96.pdf) | [Link](https://www.miraclehunter.com/marian_apparitions/approved_apparitions/laus/index.html) | [Link](https://www.marypages.com/laus-(france)-en.html) |_x000D_
_x000D_
_x000D_
</v>
      </c>
      <c r="BW22" s="29" t="str">
        <f>IF(LEN(M22)&gt;1,concatll("#### Author's Note",M22),"")</f>
        <v xml:space="preserve">#### Author's Note_x000D_
_x000D_
One of the most picturesque apparition sites to visit!  The road between Laus and nearby [La Salette](/places/fr-sanctuary-of-our-lady-of-la-salette) winds through the French Alpine countryside.
-JMM_x000D_
_x000D_
</v>
      </c>
      <c r="BX22" s="23" t="str">
        <f>IF(AR22,concatll(concatl("---",AS22:AU22,BK22,"---"),L22,BV22:BW22),"")</f>
        <v xml:space="preserve">---_x000D_
title: "Sanctuary of Our Lady of Laus"_x000D_
location: {lat: 44.5212016, lng: 6.152116}_x000D_
level: global_x000D_
tags:
- france_x000D_
- churches_x000D_
- marian-sites_x000D_
- holy-persons_x000D_
- benoite-rencurel_x000D_
_x000D_
---_x000D_
_x000D_
_x000D_
Benoite Rencurel, a poor shepherdess, received apparitions from the Virgin Mary from 1664 until her death in 1718.  During the apparitions, the Blessed Mother asked for a church and a house for priests to be built, with the intent of drawing people to greater conversion, especially through the sacrament of penance.  The holy site now draws 120,000 pilgrims annually, and is associated with numerous physical healings._x000D_
_x000D_
#### More Information_x000D_
_x000D_
* [Official site](https://www.sanctuaire-notredamedulaus.com/)
_x000D_
_x000D_
| The Real Presence | Miracle Hunter | MaryPages |_x000D_
| --- | --- | --- |_x000D_
| [Link](http://www.therealpresence.org/eucharst/misc/BVM/69_LAUS_140x96.pdf) | [Link](https://www.miraclehunter.com/marian_apparitions/approved_apparitions/laus/index.html) | [Link](https://www.marypages.com/laus-(france)-en.html) |_x000D_
_x000D_
_x000D_
_x000D_
_x000D_
#### Author's Note_x000D_
_x000D_
One of the most picturesque apparition sites to visit!  The road between Laus and nearby [La Salette](/places/fr-sanctuary-of-our-lady-of-la-salette) winds through the French Alpine countryside.
-JMM_x000D_
_x000D_
_x000D_
_x000D_
</v>
      </c>
      <c r="BY22" s="23" t="str">
        <f>IF(AR22,VLOOKUP(B22,'(Ref) Countries'!A:B,2,)&amp;IF(LEN(C22)&gt;1,"-"&amp;LOWER(SUBSTITUTE(C22," ","-")),"")&amp;"-"&amp;LOWER(SUBSTITUTE(G22," ","-"))&amp;".md","")</f>
        <v>fr-sanctuary-of-our-lady-of-laus.md</v>
      </c>
      <c r="BZ22" s="38" t="str">
        <f>IF(LEN(Y22)&gt;1,VLOOKUP(Y22,'Tag List'!$A:$B,2,),"")</f>
        <v>Ven. Benoite Rencurel</v>
      </c>
      <c r="CA22" s="38" t="str">
        <f>IF(LEN(Z22)&gt;1,VLOOKUP(Z22,'Tag List'!$A:$B,2,),"")</f>
        <v/>
      </c>
      <c r="CB22" s="38" t="str">
        <f>IF(LEN(AA22)&gt;1,VLOOKUP(AA22,'Tag List'!$A:$B,2,),"")</f>
        <v/>
      </c>
      <c r="CC22" s="30" t="str">
        <f>IF(LEN(Y22)&gt;1,GetTagPage(BZ22,Y22),"")</f>
        <v>[Ven. Benoite Rencurel](/tags/benoite-rencurel)</v>
      </c>
      <c r="CD22" s="30" t="str">
        <f>IF(LEN(Z22)&gt;1,GetTagPage(CA22,Z22),"")</f>
        <v/>
      </c>
      <c r="CE22" s="30" t="str">
        <f>IF(LEN(AA22)&gt;1,GetTagPage(CB22,AA22),"")</f>
        <v/>
      </c>
      <c r="CF22" s="30" t="str">
        <f t="shared" si="35"/>
        <v xml:space="preserve">| [Ven. Benoite Rencurel](/tags/benoite-rencurel) </v>
      </c>
      <c r="CG22" s="30" t="str">
        <f t="shared" si="27"/>
        <v xml:space="preserve">| [Laus](/places/fr-sanctuary-of-our-lady-of-laus) </v>
      </c>
      <c r="CH22" s="30" t="str">
        <f>"| "&amp;IF(AR22,GetTagPage(B22,VLOOKUP(B22,'(Ref) Countries'!A:C,3,)),B22)&amp; " "</f>
        <v xml:space="preserve">| [France](/tags/france) </v>
      </c>
      <c r="CI22" s="30" t="str">
        <f t="shared" si="28"/>
        <v xml:space="preserve">| 1664-1718 </v>
      </c>
      <c r="CJ22" s="30" t="str">
        <f t="shared" si="36"/>
        <v xml:space="preserve">| [Link](/places/fr-sanctuary-of-our-lady-of-laus) </v>
      </c>
      <c r="CK22" s="29" t="str">
        <f t="shared" si="37"/>
        <v xml:space="preserve">
| [Laus](/places/fr-sanctuary-of-our-lady-of-laus) | [France](/tags/france) | 1664-1718 | [Link](/places/fr-sanctuary-of-our-lady-of-laus) [Official site](https://www.sanctuaire-notredamedulaus.com/)[Link](http://www.therealpresence.org/eucharst/misc/BVM/69_LAUS_140x96.pdf)[Link](https://www.miraclehunter.com/marian_apparitions/approved_apparitions/laus/index.html)[Link](https://www.marypages.com/laus-(france)-en.html)| [Ven. Benoite Rencurel](/tags/benoite-rencurel) |</v>
      </c>
    </row>
    <row r="23" spans="1:89" ht="216.75" x14ac:dyDescent="0.25">
      <c r="A23" s="14" t="s">
        <v>1322</v>
      </c>
      <c r="B23" s="24" t="s">
        <v>534</v>
      </c>
      <c r="D23" s="15">
        <v>0.80532486588234498</v>
      </c>
      <c r="E23" s="49">
        <v>-77.585922676282493</v>
      </c>
      <c r="F23" s="24" t="s">
        <v>1332</v>
      </c>
      <c r="G23" s="53" t="s">
        <v>1333</v>
      </c>
      <c r="H23" s="15" t="s">
        <v>1720</v>
      </c>
      <c r="I23" s="25" t="b">
        <v>1</v>
      </c>
      <c r="J23" s="15" t="b">
        <v>1</v>
      </c>
      <c r="L23" s="24" t="s">
        <v>1344</v>
      </c>
      <c r="M23" s="58" t="s">
        <v>1753</v>
      </c>
      <c r="N23" s="15" t="s">
        <v>1334</v>
      </c>
      <c r="O23" s="15" t="s">
        <v>336</v>
      </c>
      <c r="Y23" s="15" t="s">
        <v>336</v>
      </c>
      <c r="AI23" s="98" t="s">
        <v>1275</v>
      </c>
      <c r="AJ23" s="99">
        <v>1754</v>
      </c>
      <c r="AK23" s="15" t="s">
        <v>282</v>
      </c>
      <c r="AL23" s="15" t="s">
        <v>336</v>
      </c>
      <c r="AM23" s="15" t="s">
        <v>1331</v>
      </c>
      <c r="AN23" s="15" t="s">
        <v>336</v>
      </c>
      <c r="AO23" s="15" t="s">
        <v>336</v>
      </c>
      <c r="AP23" s="49" t="s">
        <v>336</v>
      </c>
      <c r="AR23" s="28" t="b">
        <f t="shared" si="0"/>
        <v>1</v>
      </c>
      <c r="AS23" s="29" t="str">
        <f t="shared" si="1"/>
        <v>title: "National Shrine Basilica of Our Lady of Las Lajas"</v>
      </c>
      <c r="AT23" s="29" t="str">
        <f t="shared" si="2"/>
        <v>location: {lat: 0.805324865882345, lng: -77.5859226762825}</v>
      </c>
      <c r="AU23" s="29" t="str">
        <f t="shared" si="3"/>
        <v>level: global</v>
      </c>
      <c r="AV23" s="29" t="str">
        <f>"- "&amp;VLOOKUP(B23,'(Ref) Countries'!A:C,3,)</f>
        <v>- colombia</v>
      </c>
      <c r="AW23" s="29" t="str">
        <f t="shared" si="4"/>
        <v/>
      </c>
      <c r="AX23" s="29" t="str">
        <f t="shared" si="5"/>
        <v>- churches</v>
      </c>
      <c r="AY23" s="29" t="str">
        <f t="shared" si="6"/>
        <v>- marian-sites</v>
      </c>
      <c r="AZ23" s="29" t="str">
        <f t="shared" si="7"/>
        <v/>
      </c>
      <c r="BA23" s="29" t="str">
        <f t="shared" si="8"/>
        <v/>
      </c>
      <c r="BB23" s="29" t="str">
        <f t="shared" si="9"/>
        <v/>
      </c>
      <c r="BC23" s="29" t="str">
        <f t="shared" si="10"/>
        <v/>
      </c>
      <c r="BD23" s="29" t="str">
        <f t="shared" si="11"/>
        <v/>
      </c>
      <c r="BE23" s="29" t="str">
        <f t="shared" si="12"/>
        <v/>
      </c>
      <c r="BF23" s="29" t="str">
        <f t="shared" si="13"/>
        <v/>
      </c>
      <c r="BG23" s="29" t="str">
        <f t="shared" si="14"/>
        <v/>
      </c>
      <c r="BH23" s="29" t="str">
        <f t="shared" si="15"/>
        <v/>
      </c>
      <c r="BI23" s="29" t="str">
        <f t="shared" si="16"/>
        <v/>
      </c>
      <c r="BJ23" s="29" t="str">
        <f t="shared" si="17"/>
        <v/>
      </c>
      <c r="BK23" s="29" t="str">
        <f t="shared" si="33"/>
        <v xml:space="preserve">tags:
- colombia_x000D_
- churches_x000D_
- marian-sites_x000D_
</v>
      </c>
      <c r="BL23" s="30" t="str">
        <f t="shared" si="18"/>
        <v>[Official site](https://www.laslajas.org/)</v>
      </c>
      <c r="BM23" s="30" t="str">
        <f t="shared" si="19"/>
        <v/>
      </c>
      <c r="BN23" s="30" t="str">
        <f t="shared" si="20"/>
        <v/>
      </c>
      <c r="BO23" s="30" t="str">
        <f t="shared" si="21"/>
        <v/>
      </c>
      <c r="BP23" s="30" t="str">
        <f t="shared" si="34"/>
        <v xml:space="preserve">* [Official site](https://www.laslajas.org/)
</v>
      </c>
      <c r="BQ23" s="30" t="str">
        <f t="shared" si="22"/>
        <v>[Link](http://www.therealpresence.org/eucharst/misc/BVM/109_LAJAS_96x96.pdf)</v>
      </c>
      <c r="BR23" s="30" t="str">
        <f t="shared" si="23"/>
        <v>[Link](http://www.miraclehunter.com/marian_apparitions/approved_apparitions/guaitara/index.html)</v>
      </c>
      <c r="BS23" s="30" t="str">
        <f t="shared" si="24"/>
        <v/>
      </c>
      <c r="BT23" s="30" t="str">
        <f>IF(LEN(concat(BQ23:BS23))&gt;0,concat("| ",BQ23," | ",BR23," | ",BS23," |"),"")</f>
        <v>| [Link](http://www.therealpresence.org/eucharst/misc/BVM/109_LAJAS_96x96.pdf) | [Link](http://www.miraclehunter.com/marian_apparitions/approved_apparitions/guaitara/index.html) |  |</v>
      </c>
      <c r="BU23" s="29" t="str">
        <f t="shared" si="25"/>
        <v xml:space="preserve">| The Real Presence | Miracle Hunter | MaryPages |_x000D_
| --- | --- | --- |_x000D_
| [Link](http://www.therealpresence.org/eucharst/misc/BVM/109_LAJAS_96x96.pdf) | [Link](http://www.miraclehunter.com/marian_apparitions/approved_apparitions/guaitara/index.html) |  |_x000D_
</v>
      </c>
      <c r="BV23" s="29" t="str">
        <f>IF(LEN(BP23&amp;BU23)&gt;0,concatll("#### More Information",BP23,BU23),"")</f>
        <v xml:space="preserve">#### More Information_x000D_
_x000D_
* [Official site](https://www.laslajas.org/)
_x000D_
_x000D_
| The Real Presence | Miracle Hunter | MaryPages |_x000D_
| --- | --- | --- |_x000D_
| [Link](http://www.therealpresence.org/eucharst/misc/BVM/109_LAJAS_96x96.pdf) | [Link](http://www.miraclehunter.com/marian_apparitions/approved_apparitions/guaitara/index.html) |  |_x000D_
_x000D_
_x000D_
</v>
      </c>
      <c r="BW23" s="29" t="str">
        <f>IF(LEN(M23)&gt;1,concatll("#### Author's Note",M23),"")</f>
        <v xml:space="preserve">#### Author's Note_x000D_
_x000D_
Mass intentions requested at the gift shop will be prayed for at the very next mass.  Similar to the custom at [Our Lady of the Miraculous Medal](/places/fr-paris-chapel-of-our-lady-of-the-miraculous-medal), grateful pilgrims have given thanks for answered prayers in the form of plaques lining the stairway down to the shrine.
-JMM_x000D_
_x000D_
</v>
      </c>
      <c r="BX23" s="23" t="str">
        <f>IF(AR23,concatll(concatl("---",AS23:AU23,BK23,"---"),L23,BV23:BW23),"")</f>
        <v xml:space="preserve">---_x000D_
title: "National Shrine Basilica of Our Lady of Las Lajas"_x000D_
location: {lat: 0.805324865882345, lng: -77.5859226762825}_x000D_
level: global_x000D_
tags:
- colombia_x000D_
- churches_x000D_
- marian-sites_x000D_
_x000D_
---_x000D_
_x000D_
_x000D_
In 1754, an Indian mother and her deaf-mute daughter Rosa were caught in a strong storm and sought refuge in a canyon between the lajas.  Rosa exclaimed with her first words "the mestiza is calling me," describing the figures of a woman and child.  When returning later, the mother saw an apparition of Our Lady and Child.
Some months later, Rosa died but returned to life when her mother prayed again at the cave. When the townspeople came to see, a miraculous image was burned into the rocks.
In the image, the Madonna presents a rosary to St. Dominic, keeling at her right.  Jesus gives a cord to St. Francis, kneeling to his left.
Testing has shown the image to be of indeterminate origin. Geologists from Germany bored core samples from several spots in the image.  There is no paint, no dye, nor any other pigment on the surface of the rock.  The colors are the colors of the rock itself and run uniformly to a depth of several feet._x000D_
_x000D_
#### More Information_x000D_
_x000D_
* [Official site](https://www.laslajas.org/)
_x000D_
_x000D_
| The Real Presence | Miracle Hunter | MaryPages |_x000D_
| --- | --- | --- |_x000D_
| [Link](http://www.therealpresence.org/eucharst/misc/BVM/109_LAJAS_96x96.pdf) | [Link](http://www.miraclehunter.com/marian_apparitions/approved_apparitions/guaitara/index.html) |  |_x000D_
_x000D_
_x000D_
_x000D_
_x000D_
#### Author's Note_x000D_
_x000D_
Mass intentions requested at the gift shop will be prayed for at the very next mass.  Similar to the custom at [Our Lady of the Miraculous Medal](/places/fr-paris-chapel-of-our-lady-of-the-miraculous-medal), grateful pilgrims have given thanks for answered prayers in the form of plaques lining the stairway down to the shrine.
-JMM_x000D_
_x000D_
_x000D_
_x000D_
</v>
      </c>
      <c r="BY23" s="23" t="str">
        <f>IF(AR23,VLOOKUP(B23,'(Ref) Countries'!A:B,2,)&amp;IF(LEN(C23)&gt;1,"-"&amp;LOWER(SUBSTITUTE(C23," ","-")),"")&amp;"-"&amp;LOWER(SUBSTITUTE(G23," ","-"))&amp;".md","")</f>
        <v>co-basilica-of-our-lady-of-las-lajas.md</v>
      </c>
      <c r="BZ23" s="29" t="str">
        <f>IF(LEN(Y23)&gt;1,VLOOKUP(Y23,'Tag List'!$A:$B,2,),"")</f>
        <v/>
      </c>
      <c r="CA23" s="29" t="str">
        <f>IF(LEN(Z23)&gt;1,VLOOKUP(Z23,'Tag List'!$A:$B,2,),"")</f>
        <v/>
      </c>
      <c r="CB23" s="29" t="str">
        <f>IF(LEN(AA23)&gt;1,VLOOKUP(AA23,'Tag List'!$A:$B,2,),"")</f>
        <v/>
      </c>
      <c r="CC23" s="30" t="str">
        <f>IF(LEN(Y23)&gt;1,GetTagPage(BZ23,Y23),"")</f>
        <v/>
      </c>
      <c r="CD23" s="30" t="str">
        <f>IF(LEN(Z23)&gt;1,GetTagPage(CA23,Z23),"")</f>
        <v/>
      </c>
      <c r="CE23" s="30" t="str">
        <f>IF(LEN(AA23)&gt;1,GetTagPage(CB23,AA23),"")</f>
        <v/>
      </c>
      <c r="CF23" s="30" t="str">
        <f t="shared" si="35"/>
        <v xml:space="preserve">| </v>
      </c>
      <c r="CG23" s="30" t="str">
        <f t="shared" si="27"/>
        <v xml:space="preserve">| [Las Lajas](/places/co-basilica-of-our-lady-of-las-lajas) </v>
      </c>
      <c r="CH23" s="30" t="str">
        <f>"| "&amp;IF(AR23,GetTagPage(B23,VLOOKUP(B23,'(Ref) Countries'!A:C,3,)),B23)&amp; " "</f>
        <v xml:space="preserve">| [Colombia](/tags/colombia) </v>
      </c>
      <c r="CI23" s="30" t="str">
        <f t="shared" si="28"/>
        <v xml:space="preserve">| 1754 </v>
      </c>
      <c r="CJ23" s="30" t="str">
        <f t="shared" si="36"/>
        <v xml:space="preserve">| [Link](/places/co-basilica-of-our-lady-of-las-lajas) </v>
      </c>
      <c r="CK23" s="29" t="str">
        <f t="shared" si="37"/>
        <v xml:space="preserve">
| [Las Lajas](/places/co-basilica-of-our-lady-of-las-lajas) | [Colombia](/tags/colombia) | 1754 | [Link](/places/co-basilica-of-our-lady-of-las-lajas) [Official site](https://www.laslajas.org/)[Link](http://www.therealpresence.org/eucharst/misc/BVM/109_LAJAS_96x96.pdf)[Link](http://www.miraclehunter.com/marian_apparitions/approved_apparitions/guaitara/index.html)| |</v>
      </c>
    </row>
    <row r="24" spans="1:89" ht="102" x14ac:dyDescent="0.25">
      <c r="A24" s="14" t="s">
        <v>1322</v>
      </c>
      <c r="B24" s="24" t="s">
        <v>742</v>
      </c>
      <c r="D24" s="15">
        <v>16.705491099922099</v>
      </c>
      <c r="E24" s="49">
        <v>107.19601082359701</v>
      </c>
      <c r="F24" s="24" t="s">
        <v>1371</v>
      </c>
      <c r="G24" s="53" t="s">
        <v>1371</v>
      </c>
      <c r="H24" s="15" t="s">
        <v>1720</v>
      </c>
      <c r="I24" s="25" t="b">
        <v>1</v>
      </c>
      <c r="J24" s="15" t="b">
        <v>1</v>
      </c>
      <c r="L24" s="24" t="s">
        <v>1370</v>
      </c>
      <c r="M24" s="55" t="s">
        <v>1745</v>
      </c>
      <c r="N24" s="15" t="s">
        <v>336</v>
      </c>
      <c r="O24" s="15" t="s">
        <v>336</v>
      </c>
      <c r="Y24" s="15" t="s">
        <v>336</v>
      </c>
      <c r="AI24" s="98" t="s">
        <v>1277</v>
      </c>
      <c r="AJ24" s="99">
        <v>1798</v>
      </c>
      <c r="AK24" s="15" t="s">
        <v>284</v>
      </c>
      <c r="AL24" s="15" t="s">
        <v>336</v>
      </c>
      <c r="AM24" s="15" t="s">
        <v>1369</v>
      </c>
      <c r="AN24" s="15" t="s">
        <v>336</v>
      </c>
      <c r="AO24" s="15" t="s">
        <v>1372</v>
      </c>
      <c r="AP24" s="49" t="s">
        <v>336</v>
      </c>
      <c r="AR24" s="28" t="b">
        <f t="shared" si="0"/>
        <v>1</v>
      </c>
      <c r="AS24" s="29" t="str">
        <f t="shared" si="1"/>
        <v>title: "Basilica of Our Lady of La Vang"</v>
      </c>
      <c r="AT24" s="29" t="str">
        <f t="shared" si="2"/>
        <v>location: {lat: 16.7054910999221, lng: 107.196010823597}</v>
      </c>
      <c r="AU24" s="29" t="str">
        <f t="shared" si="3"/>
        <v>level: global</v>
      </c>
      <c r="AV24" s="29" t="str">
        <f>"- "&amp;VLOOKUP(B24,'(Ref) Countries'!A:C,3,)</f>
        <v>- vietnam</v>
      </c>
      <c r="AW24" s="29" t="str">
        <f t="shared" si="4"/>
        <v/>
      </c>
      <c r="AX24" s="29" t="str">
        <f t="shared" si="5"/>
        <v>- churches</v>
      </c>
      <c r="AY24" s="29" t="str">
        <f t="shared" si="6"/>
        <v>- marian-sites</v>
      </c>
      <c r="AZ24" s="29" t="str">
        <f t="shared" si="7"/>
        <v/>
      </c>
      <c r="BA24" s="29" t="str">
        <f t="shared" si="8"/>
        <v/>
      </c>
      <c r="BB24" s="29" t="str">
        <f t="shared" si="9"/>
        <v/>
      </c>
      <c r="BC24" s="29" t="str">
        <f t="shared" si="10"/>
        <v/>
      </c>
      <c r="BD24" s="29" t="str">
        <f t="shared" si="11"/>
        <v/>
      </c>
      <c r="BE24" s="29" t="str">
        <f t="shared" si="12"/>
        <v/>
      </c>
      <c r="BF24" s="29" t="str">
        <f t="shared" si="13"/>
        <v/>
      </c>
      <c r="BG24" s="29" t="str">
        <f t="shared" si="14"/>
        <v/>
      </c>
      <c r="BH24" s="29" t="str">
        <f t="shared" si="15"/>
        <v/>
      </c>
      <c r="BI24" s="29" t="str">
        <f t="shared" si="16"/>
        <v/>
      </c>
      <c r="BJ24" s="29" t="str">
        <f t="shared" si="17"/>
        <v/>
      </c>
      <c r="BK24" s="29" t="str">
        <f t="shared" si="33"/>
        <v xml:space="preserve">tags:
- vietnam_x000D_
- churches_x000D_
- marian-sites_x000D_
</v>
      </c>
      <c r="BL24" s="30" t="str">
        <f t="shared" si="18"/>
        <v/>
      </c>
      <c r="BM24" s="30" t="str">
        <f t="shared" si="19"/>
        <v/>
      </c>
      <c r="BN24" s="30" t="str">
        <f t="shared" si="20"/>
        <v/>
      </c>
      <c r="BO24" s="30" t="str">
        <f t="shared" si="21"/>
        <v/>
      </c>
      <c r="BP24" s="30" t="str">
        <f t="shared" si="34"/>
        <v/>
      </c>
      <c r="BQ24" s="30" t="str">
        <f t="shared" si="22"/>
        <v>[Link](http://www.therealpresence.org/eucharst/misc/BVM/21_LAVANG_60x96.pdf)</v>
      </c>
      <c r="BR24" s="30" t="str">
        <f t="shared" si="23"/>
        <v>[Link](http://www.miraclehunter.com/marian_apparitions/approved_apparitions/lavang/index.html)</v>
      </c>
      <c r="BS24" s="30" t="str">
        <f t="shared" si="24"/>
        <v>[Link](https://www.marypages.com/la-vang-vietnam-en.html)</v>
      </c>
      <c r="BT24" s="30" t="str">
        <f>IF(LEN(concat(BQ24:BS24))&gt;0,concat("| ",BQ24," | ",BR24," | ",BS24," |"),"")</f>
        <v>| [Link](http://www.therealpresence.org/eucharst/misc/BVM/21_LAVANG_60x96.pdf) | [Link](http://www.miraclehunter.com/marian_apparitions/approved_apparitions/lavang/index.html) | [Link](https://www.marypages.com/la-vang-vietnam-en.html) |</v>
      </c>
      <c r="BU24" s="29" t="str">
        <f t="shared" si="25"/>
        <v xml:space="preserve">| The Real Presence | Miracle Hunter | MaryPages |_x000D_
| --- | --- | --- |_x000D_
| [Link](http://www.therealpresence.org/eucharst/misc/BVM/21_LAVANG_60x96.pdf) | [Link](http://www.miraclehunter.com/marian_apparitions/approved_apparitions/lavang/index.html) | [Link](https://www.marypages.com/la-vang-vietnam-en.html) |_x000D_
</v>
      </c>
      <c r="BV24" s="29" t="str">
        <f>IF(LEN(BP24&amp;BU24)&gt;0,concatll("#### More Information",BP24,BU24),"")</f>
        <v xml:space="preserve">#### More Information_x000D_
_x000D_
| The Real Presence | Miracle Hunter | MaryPages |_x000D_
| --- | --- | --- |_x000D_
| [Link](http://www.therealpresence.org/eucharst/misc/BVM/21_LAVANG_60x96.pdf) | [Link](http://www.miraclehunter.com/marian_apparitions/approved_apparitions/lavang/index.html) | [Link](https://www.marypages.com/la-vang-vietnam-en.html) |_x000D_
_x000D_
_x000D_
</v>
      </c>
      <c r="BW24" s="29" t="str">
        <f>IF(LEN(M24)&gt;1,concatll("#### Author's Note",M24),"")</f>
        <v xml:space="preserve">#### Author's Note_x000D_
_x000D_
We can't find an official website or other social media page for the basilica.  If you know of one, please [contact us](/contact).
-JMM_x000D_
_x000D_
</v>
      </c>
      <c r="BX24" s="23" t="str">
        <f>IF(AR24,concatll(concatl("---",AS24:AU24,BK24,"---"),L24,BV24:BW24),"")</f>
        <v xml:space="preserve">---_x000D_
title: "Basilica of Our Lady of La Vang"_x000D_
location: {lat: 16.7054910999221, lng: 107.196010823597}_x000D_
level: global_x000D_
tags:
- vietnam_x000D_
- churches_x000D_
- marian-sites_x000D_
_x000D_
---_x000D_
_x000D_
_x000D_
In 1798, many Christians took refuge in the Vietnamese jungle and prepared themselves for martyrdom.  At night, they often gathered in small groups to pray the rosary.  Unexpectedly, one night they were visited by an apparition of Our Blessed Mother in a long cape, holding a child in her arms, with two angels at her sides.  She comforted them and told them to boil the leaves from the surrounding trees to use as medicine.  She also told them that from that day on, all those who came to this place to pray, would have their prayers heard and answered.  All those who were present witnessed this miracle._x000D_
_x000D_
#### More Information_x000D_
_x000D_
| The Real Presence | Miracle Hunter | MaryPages |_x000D_
| --- | --- | --- |_x000D_
| [Link](http://www.therealpresence.org/eucharst/misc/BVM/21_LAVANG_60x96.pdf) | [Link](http://www.miraclehunter.com/marian_apparitions/approved_apparitions/lavang/index.html) | [Link](https://www.marypages.com/la-vang-vietnam-en.html) |_x000D_
_x000D_
_x000D_
_x000D_
_x000D_
#### Author's Note_x000D_
_x000D_
We can't find an official website or other social media page for the basilica.  If you know of one, please [contact us](/contact).
-JMM_x000D_
_x000D_
_x000D_
_x000D_
</v>
      </c>
      <c r="BY24" s="23" t="str">
        <f>IF(AR24,VLOOKUP(B24,'(Ref) Countries'!A:B,2,)&amp;IF(LEN(C24)&gt;1,"-"&amp;LOWER(SUBSTITUTE(C24," ","-")),"")&amp;"-"&amp;LOWER(SUBSTITUTE(G24," ","-"))&amp;".md","")</f>
        <v>vn-basilica-of-our-lady-of-la-vang.md</v>
      </c>
      <c r="BZ24" s="29" t="str">
        <f>IF(LEN(Y24)&gt;1,VLOOKUP(Y24,'Tag List'!$A:$B,2,),"")</f>
        <v/>
      </c>
      <c r="CA24" s="29" t="str">
        <f>IF(LEN(Z24)&gt;1,VLOOKUP(Z24,'Tag List'!$A:$B,2,),"")</f>
        <v/>
      </c>
      <c r="CB24" s="29" t="str">
        <f>IF(LEN(AA24)&gt;1,VLOOKUP(AA24,'Tag List'!$A:$B,2,),"")</f>
        <v/>
      </c>
      <c r="CC24" s="30" t="str">
        <f>IF(LEN(Y24)&gt;1,GetTagPage(BZ24,Y24),"")</f>
        <v/>
      </c>
      <c r="CD24" s="30" t="str">
        <f>IF(LEN(Z24)&gt;1,GetTagPage(CA24,Z24),"")</f>
        <v/>
      </c>
      <c r="CE24" s="30" t="str">
        <f>IF(LEN(AA24)&gt;1,GetTagPage(CB24,AA24),"")</f>
        <v/>
      </c>
      <c r="CF24" s="30" t="str">
        <f t="shared" si="35"/>
        <v xml:space="preserve">| </v>
      </c>
      <c r="CG24" s="30" t="str">
        <f t="shared" si="27"/>
        <v xml:space="preserve">| [La Vang](/places/vn-basilica-of-our-lady-of-la-vang) </v>
      </c>
      <c r="CH24" s="30" t="str">
        <f>"| "&amp;IF(AR24,GetTagPage(B24,VLOOKUP(B24,'(Ref) Countries'!A:C,3,)),B24)&amp; " "</f>
        <v xml:space="preserve">| [Vietnam](/tags/vietnam) </v>
      </c>
      <c r="CI24" s="30" t="str">
        <f t="shared" si="28"/>
        <v xml:space="preserve">| 1798 </v>
      </c>
      <c r="CJ24" s="30" t="str">
        <f t="shared" si="36"/>
        <v xml:space="preserve">| [Link](/places/vn-basilica-of-our-lady-of-la-vang) </v>
      </c>
      <c r="CK24" s="29" t="str">
        <f t="shared" si="37"/>
        <v xml:space="preserve">
| [La Vang](/places/vn-basilica-of-our-lady-of-la-vang) | [Vietnam](/tags/vietnam) | 1798 | [Link](/places/vn-basilica-of-our-lady-of-la-vang) [Link](http://www.therealpresence.org/eucharst/misc/BVM/21_LAVANG_60x96.pdf)[Link](http://www.miraclehunter.com/marian_apparitions/approved_apparitions/lavang/index.html)[Link](https://www.marypages.com/la-vang-vietnam-en.html)| |</v>
      </c>
    </row>
    <row r="25" spans="1:89" ht="63.75" x14ac:dyDescent="0.25">
      <c r="A25" s="14" t="s">
        <v>1322</v>
      </c>
      <c r="B25" s="24" t="s">
        <v>651</v>
      </c>
      <c r="D25" s="15">
        <v>52.323705849375003</v>
      </c>
      <c r="E25" s="49">
        <v>18.358432557028099</v>
      </c>
      <c r="F25" s="24" t="s">
        <v>1023</v>
      </c>
      <c r="G25" s="53" t="s">
        <v>1024</v>
      </c>
      <c r="H25" s="15" t="s">
        <v>1720</v>
      </c>
      <c r="I25" s="25" t="b">
        <v>1</v>
      </c>
      <c r="J25" s="15" t="b">
        <v>1</v>
      </c>
      <c r="L25" s="24" t="s">
        <v>479</v>
      </c>
      <c r="N25" s="15" t="s">
        <v>377</v>
      </c>
      <c r="O25" s="15" t="s">
        <v>336</v>
      </c>
      <c r="Y25" s="16" t="s">
        <v>336</v>
      </c>
      <c r="Z25" s="16"/>
      <c r="AA25" s="16"/>
      <c r="AB25" s="16"/>
      <c r="AC25" s="16"/>
      <c r="AD25" s="16"/>
      <c r="AE25" s="16"/>
      <c r="AF25" s="16"/>
      <c r="AG25" s="16"/>
      <c r="AH25" s="87"/>
      <c r="AI25" s="98" t="s">
        <v>1021</v>
      </c>
      <c r="AJ25" s="99" t="s">
        <v>1022</v>
      </c>
      <c r="AK25" s="15" t="s">
        <v>286</v>
      </c>
      <c r="AL25" s="15" t="s">
        <v>336</v>
      </c>
      <c r="AM25" s="15" t="s">
        <v>356</v>
      </c>
      <c r="AN25" s="15" t="s">
        <v>336</v>
      </c>
      <c r="AO25" s="15" t="s">
        <v>480</v>
      </c>
      <c r="AP25" s="49" t="s">
        <v>336</v>
      </c>
      <c r="AR25" s="28" t="b">
        <f t="shared" si="0"/>
        <v>1</v>
      </c>
      <c r="AS25" s="29" t="str">
        <f t="shared" si="1"/>
        <v>title: "Basilica of Our Lady of Licheń (Holy Mother of Sorrows, Queen of Poland)"</v>
      </c>
      <c r="AT25" s="29" t="str">
        <f t="shared" si="2"/>
        <v>location: {lat: 52.323705849375, lng: 18.3584325570281}</v>
      </c>
      <c r="AU25" s="29" t="str">
        <f t="shared" si="3"/>
        <v>level: global</v>
      </c>
      <c r="AV25" s="29" t="str">
        <f>"- "&amp;VLOOKUP(B25,'(Ref) Countries'!A:C,3,)</f>
        <v>- poland</v>
      </c>
      <c r="AW25" s="29" t="str">
        <f t="shared" si="4"/>
        <v/>
      </c>
      <c r="AX25" s="29" t="str">
        <f t="shared" si="5"/>
        <v>- churches</v>
      </c>
      <c r="AY25" s="29" t="str">
        <f t="shared" si="6"/>
        <v>- marian-sites</v>
      </c>
      <c r="AZ25" s="29" t="str">
        <f t="shared" si="7"/>
        <v/>
      </c>
      <c r="BA25" s="29" t="str">
        <f t="shared" si="8"/>
        <v/>
      </c>
      <c r="BB25" s="29" t="str">
        <f t="shared" si="9"/>
        <v/>
      </c>
      <c r="BC25" s="29" t="str">
        <f t="shared" si="10"/>
        <v/>
      </c>
      <c r="BD25" s="29" t="str">
        <f t="shared" si="11"/>
        <v/>
      </c>
      <c r="BE25" s="29" t="str">
        <f t="shared" si="12"/>
        <v/>
      </c>
      <c r="BF25" s="29" t="str">
        <f t="shared" si="13"/>
        <v/>
      </c>
      <c r="BG25" s="29" t="str">
        <f t="shared" si="14"/>
        <v/>
      </c>
      <c r="BH25" s="29" t="str">
        <f t="shared" si="15"/>
        <v/>
      </c>
      <c r="BI25" s="29" t="str">
        <f t="shared" si="16"/>
        <v/>
      </c>
      <c r="BJ25" s="29" t="str">
        <f t="shared" si="17"/>
        <v/>
      </c>
      <c r="BK25" s="29" t="str">
        <f t="shared" si="33"/>
        <v xml:space="preserve">tags:
- poland_x000D_
- churches_x000D_
- marian-sites_x000D_
</v>
      </c>
      <c r="BL25" s="30" t="str">
        <f t="shared" si="18"/>
        <v>[Official site](https://www.lichen.pl/)</v>
      </c>
      <c r="BM25" s="30" t="str">
        <f t="shared" si="19"/>
        <v/>
      </c>
      <c r="BN25" s="30" t="str">
        <f t="shared" si="20"/>
        <v/>
      </c>
      <c r="BO25" s="30" t="str">
        <f t="shared" si="21"/>
        <v/>
      </c>
      <c r="BP25" s="30" t="str">
        <f t="shared" si="34"/>
        <v xml:space="preserve">* [Official site](https://www.lichen.pl/)
</v>
      </c>
      <c r="BQ25" s="30" t="str">
        <f t="shared" si="22"/>
        <v>[Link](http://www.therealpresence.org/eucharst/misc/BVM/110_LICHEN_96x96.pdf)</v>
      </c>
      <c r="BR25" s="30" t="str">
        <f t="shared" si="23"/>
        <v>[Link](http://www.miraclehunter.com/marian_apparitions/approved_apparitions/gietrzwald/index.html)</v>
      </c>
      <c r="BS25" s="30" t="str">
        <f t="shared" si="24"/>
        <v>[Link](https://www.marypages.com/lichen-(poland)-holy-mother-of-sorrow-en.html)</v>
      </c>
      <c r="BT25" s="30" t="str">
        <f>IF(LEN(concat(BQ25:BS25))&gt;0,concat("| ",BQ25," | ",BR25," | ",BS25," |"),"")</f>
        <v>| [Link](http://www.therealpresence.org/eucharst/misc/BVM/110_LICHEN_96x96.pdf) | [Link](http://www.miraclehunter.com/marian_apparitions/approved_apparitions/gietrzwald/index.html) | [Link](https://www.marypages.com/lichen-(poland)-holy-mother-of-sorrow-en.html) |</v>
      </c>
      <c r="BU25" s="29" t="str">
        <f t="shared" si="25"/>
        <v xml:space="preserve">| The Real Presence | Miracle Hunter | MaryPages |_x000D_
| --- | --- | --- |_x000D_
| [Link](http://www.therealpresence.org/eucharst/misc/BVM/110_LICHEN_96x96.pdf) | [Link](http://www.miraclehunter.com/marian_apparitions/approved_apparitions/gietrzwald/index.html) | [Link](https://www.marypages.com/lichen-(poland)-holy-mother-of-sorrow-en.html) |_x000D_
</v>
      </c>
      <c r="BV25" s="29" t="str">
        <f>IF(LEN(BP25&amp;BU25)&gt;0,concatll("#### More Information",BP25,BU25),"")</f>
        <v xml:space="preserve">#### More Information_x000D_
_x000D_
* [Official site](https://www.lichen.pl/)
_x000D_
_x000D_
| The Real Presence | Miracle Hunter | MaryPages |_x000D_
| --- | --- | --- |_x000D_
| [Link](http://www.therealpresence.org/eucharst/misc/BVM/110_LICHEN_96x96.pdf) | [Link](http://www.miraclehunter.com/marian_apparitions/approved_apparitions/gietrzwald/index.html) | [Link](https://www.marypages.com/lichen-(poland)-holy-mother-of-sorrow-en.html) |_x000D_
_x000D_
_x000D_
</v>
      </c>
      <c r="BW25" s="29" t="str">
        <f>IF(LEN(M25)&gt;1,concatll("#### Author's Note",M25),"")</f>
        <v/>
      </c>
      <c r="BX25" s="23" t="str">
        <f>IF(AR25,concatll(concatl("---",AS25:AU25,BK25,"---"),L25,BV25:BW25),"")</f>
        <v xml:space="preserve">---_x000D_
title: "Basilica of Our Lady of Licheń (Holy Mother of Sorrows, Queen of Poland)"_x000D_
location: {lat: 52.323705849375, lng: 18.3584325570281}_x000D_
level: global_x000D_
tags:
- poland_x000D_
- churches_x000D_
- marian-sites_x000D_
_x000D_
---_x000D_
_x000D_
_x000D_
According to legend, the Virgin Mary appeared in Licheń, Poland to Tomasz Klossowski, a wounded soldier, in 1813 who was healed and discovered a miraculous portrait of Our Lady.  She then appeared to a poor shepherd, Mikolaj Sikatka, in 1850 who promoted her devotion.  She foretold of a cholera epidemic and interceded for the healing of many who sought her help._x000D_
_x000D_
#### More Information_x000D_
_x000D_
* [Official site](https://www.lichen.pl/)
_x000D_
_x000D_
| The Real Presence | Miracle Hunter | MaryPages |_x000D_
| --- | --- | --- |_x000D_
| [Link](http://www.therealpresence.org/eucharst/misc/BVM/110_LICHEN_96x96.pdf) | [Link](http://www.miraclehunter.com/marian_apparitions/approved_apparitions/gietrzwald/index.html) | [Link](https://www.marypages.com/lichen-(poland)-holy-mother-of-sorrow-en.html) |_x000D_
_x000D_
_x000D_
_x000D_
_x000D_
</v>
      </c>
      <c r="BY25" s="23" t="str">
        <f>IF(AR25,VLOOKUP(B25,'(Ref) Countries'!A:B,2,)&amp;IF(LEN(C25)&gt;1,"-"&amp;LOWER(SUBSTITUTE(C25," ","-")),"")&amp;"-"&amp;LOWER(SUBSTITUTE(G25," ","-"))&amp;".md","")</f>
        <v>pl-basilica-of-our-lady-of-lichen.md</v>
      </c>
      <c r="BZ25" s="30" t="str">
        <f>IF(LEN(Y25)&gt;1,VLOOKUP(Y25,'Tag List'!$A:$B,2,),"")</f>
        <v/>
      </c>
      <c r="CA25" s="30" t="str">
        <f>IF(LEN(Z25)&gt;1,VLOOKUP(Z25,'Tag List'!$A:$B,2,),"")</f>
        <v/>
      </c>
      <c r="CB25" s="30" t="str">
        <f>IF(LEN(AA25)&gt;1,VLOOKUP(AA25,'Tag List'!$A:$B,2,),"")</f>
        <v/>
      </c>
      <c r="CC25" s="30" t="str">
        <f>IF(LEN(Y25)&gt;1,GetTagPage(BZ25,Y25),"")</f>
        <v/>
      </c>
      <c r="CD25" s="30" t="str">
        <f>IF(LEN(Z25)&gt;1,GetTagPage(CA25,Z25),"")</f>
        <v/>
      </c>
      <c r="CE25" s="30" t="str">
        <f>IF(LEN(AA25)&gt;1,GetTagPage(CB25,AA25),"")</f>
        <v/>
      </c>
      <c r="CF25" s="30" t="str">
        <f t="shared" si="35"/>
        <v xml:space="preserve">| </v>
      </c>
      <c r="CG25" s="30" t="str">
        <f t="shared" si="27"/>
        <v xml:space="preserve">| [Licheń](/places/pl-basilica-of-our-lady-of-lichen) </v>
      </c>
      <c r="CH25" s="30" t="str">
        <f>"| "&amp;IF(AR25,GetTagPage(B25,VLOOKUP(B25,'(Ref) Countries'!A:C,3,)),B25)&amp; " "</f>
        <v xml:space="preserve">| [Poland](/tags/poland) </v>
      </c>
      <c r="CI25" s="30" t="str">
        <f t="shared" si="28"/>
        <v xml:space="preserve">| 1813-1850 </v>
      </c>
      <c r="CJ25" s="30" t="str">
        <f t="shared" si="36"/>
        <v xml:space="preserve">| [Link](/places/pl-basilica-of-our-lady-of-lichen) </v>
      </c>
      <c r="CK25" s="29" t="str">
        <f t="shared" si="37"/>
        <v xml:space="preserve">
| [Licheń](/places/pl-basilica-of-our-lady-of-lichen) | [Poland](/tags/poland) | 1813-1850 | [Link](/places/pl-basilica-of-our-lady-of-lichen) [Official site](https://www.lichen.pl/)[Link](http://www.therealpresence.org/eucharst/misc/BVM/110_LICHEN_96x96.pdf)[Link](http://www.miraclehunter.com/marian_apparitions/approved_apparitions/gietrzwald/index.html)[Link](https://www.marypages.com/lichen-(poland)-holy-mother-of-sorrow-en.html)| |</v>
      </c>
    </row>
    <row r="26" spans="1:89" ht="229.5" x14ac:dyDescent="0.25">
      <c r="A26" s="14" t="s">
        <v>1322</v>
      </c>
      <c r="B26" s="27" t="s">
        <v>557</v>
      </c>
      <c r="C26" s="35" t="s">
        <v>1025</v>
      </c>
      <c r="D26" s="15">
        <v>48.850785899999998</v>
      </c>
      <c r="E26" s="49">
        <v>2.3229912000000001</v>
      </c>
      <c r="F26" s="24" t="s">
        <v>459</v>
      </c>
      <c r="G26" s="53" t="s">
        <v>459</v>
      </c>
      <c r="H26" s="15" t="s">
        <v>1720</v>
      </c>
      <c r="I26" s="25" t="b">
        <v>1</v>
      </c>
      <c r="J26" s="15" t="b">
        <v>1</v>
      </c>
      <c r="K26" s="15" t="b">
        <v>1</v>
      </c>
      <c r="L26" s="45" t="s">
        <v>1724</v>
      </c>
      <c r="M26" s="58" t="s">
        <v>1754</v>
      </c>
      <c r="N26" s="15" t="s">
        <v>416</v>
      </c>
      <c r="O26" s="15" t="s">
        <v>336</v>
      </c>
      <c r="Y26" s="36" t="s">
        <v>488</v>
      </c>
      <c r="Z26" s="37" t="s">
        <v>1707</v>
      </c>
      <c r="AA26" s="46" t="s">
        <v>1725</v>
      </c>
      <c r="AB26" s="46"/>
      <c r="AC26" s="46"/>
      <c r="AD26" s="46"/>
      <c r="AE26" s="46"/>
      <c r="AF26" s="46"/>
      <c r="AG26" s="46"/>
      <c r="AH26" s="88"/>
      <c r="AI26" s="98" t="s">
        <v>1025</v>
      </c>
      <c r="AJ26" s="99">
        <v>1830</v>
      </c>
      <c r="AK26" s="15" t="s">
        <v>287</v>
      </c>
      <c r="AL26" s="15" t="s">
        <v>336</v>
      </c>
      <c r="AM26" s="15" t="s">
        <v>461</v>
      </c>
      <c r="AN26" s="15" t="s">
        <v>336</v>
      </c>
      <c r="AO26" s="15" t="s">
        <v>460</v>
      </c>
      <c r="AP26" s="49" t="s">
        <v>336</v>
      </c>
      <c r="AR26" s="28" t="b">
        <f t="shared" si="0"/>
        <v>1</v>
      </c>
      <c r="AS26" s="29" t="str">
        <f t="shared" si="1"/>
        <v>title: "Chapel of Our Lady of the Miraculous Medal"</v>
      </c>
      <c r="AT26" s="29" t="str">
        <f t="shared" si="2"/>
        <v>location: {lat: 48.8507859, lng: 2.3229912}</v>
      </c>
      <c r="AU26" s="29" t="str">
        <f t="shared" si="3"/>
        <v>level: global</v>
      </c>
      <c r="AV26" s="29" t="str">
        <f>"- "&amp;VLOOKUP(B26,'(Ref) Countries'!A:C,3,)</f>
        <v>- france</v>
      </c>
      <c r="AW26" s="29" t="str">
        <f t="shared" si="4"/>
        <v>- paris</v>
      </c>
      <c r="AX26" s="29" t="str">
        <f t="shared" si="5"/>
        <v>- churches</v>
      </c>
      <c r="AY26" s="29" t="str">
        <f t="shared" si="6"/>
        <v>- marian-sites</v>
      </c>
      <c r="AZ26" s="29" t="str">
        <f t="shared" si="7"/>
        <v>- holy-persons</v>
      </c>
      <c r="BA26" s="29" t="str">
        <f t="shared" si="8"/>
        <v>- catherine-laboure</v>
      </c>
      <c r="BB26" s="29" t="str">
        <f t="shared" si="9"/>
        <v>- vincent-de-paul</v>
      </c>
      <c r="BC26" s="29" t="str">
        <f t="shared" si="10"/>
        <v>- louise-de-marillac</v>
      </c>
      <c r="BD26" s="29" t="str">
        <f t="shared" si="11"/>
        <v/>
      </c>
      <c r="BE26" s="29" t="str">
        <f t="shared" si="12"/>
        <v/>
      </c>
      <c r="BF26" s="29" t="str">
        <f t="shared" si="13"/>
        <v/>
      </c>
      <c r="BG26" s="29" t="str">
        <f t="shared" si="14"/>
        <v/>
      </c>
      <c r="BH26" s="29" t="str">
        <f t="shared" si="15"/>
        <v/>
      </c>
      <c r="BI26" s="29" t="str">
        <f t="shared" si="16"/>
        <v/>
      </c>
      <c r="BJ26" s="29" t="str">
        <f t="shared" si="17"/>
        <v/>
      </c>
      <c r="BK26" s="29" t="str">
        <f t="shared" si="33"/>
        <v xml:space="preserve">tags:
- france_x000D_
- paris_x000D_
- churches_x000D_
- marian-sites_x000D_
- holy-persons_x000D_
- catherine-laboure_x000D_
- vincent-de-paul_x000D_
- louise-de-marillac_x000D_
</v>
      </c>
      <c r="BL26" s="30" t="str">
        <f t="shared" si="18"/>
        <v>[Official site](https://www.chapellenotredamedelamedaillemiraculeuse.com/)</v>
      </c>
      <c r="BM26" s="30" t="str">
        <f t="shared" si="19"/>
        <v/>
      </c>
      <c r="BN26" s="30" t="str">
        <f t="shared" si="20"/>
        <v/>
      </c>
      <c r="BO26" s="30" t="str">
        <f t="shared" si="21"/>
        <v/>
      </c>
      <c r="BP26" s="30" t="str">
        <f t="shared" si="34"/>
        <v xml:space="preserve">* [Official site](https://www.chapellenotredamedelamedaillemiraculeuse.com/)
</v>
      </c>
      <c r="BQ26" s="30" t="str">
        <f t="shared" si="22"/>
        <v>[Link](http://www.therealpresence.org/eucharst/misc/BVM/06_PARIGI_60x96.pdf)</v>
      </c>
      <c r="BR26" s="30" t="str">
        <f t="shared" si="23"/>
        <v>[Link](https://www.miraclehunter.com/marian_apparitions/approved_apparitions/ruedubac/index.html)</v>
      </c>
      <c r="BS26" s="30" t="str">
        <f t="shared" si="24"/>
        <v>[Link](https://www.marypages.com/paris-(france)-en.html)</v>
      </c>
      <c r="BT26" s="30" t="str">
        <f>IF(LEN(concat(BQ26:BS26))&gt;0,concat("| ",BQ26," | ",BR26," | ",BS26," |"),"")</f>
        <v>| [Link](http://www.therealpresence.org/eucharst/misc/BVM/06_PARIGI_60x96.pdf) | [Link](https://www.miraclehunter.com/marian_apparitions/approved_apparitions/ruedubac/index.html) | [Link](https://www.marypages.com/paris-(france)-en.html) |</v>
      </c>
      <c r="BU26" s="29" t="str">
        <f t="shared" si="25"/>
        <v xml:space="preserve">| The Real Presence | Miracle Hunter | MaryPages |_x000D_
| --- | --- | --- |_x000D_
| [Link](http://www.therealpresence.org/eucharst/misc/BVM/06_PARIGI_60x96.pdf) | [Link](https://www.miraclehunter.com/marian_apparitions/approved_apparitions/ruedubac/index.html) | [Link](https://www.marypages.com/paris-(france)-en.html) |_x000D_
</v>
      </c>
      <c r="BV26" s="29" t="str">
        <f>IF(LEN(BP26&amp;BU26)&gt;0,concatll("#### More Information",BP26,BU26),"")</f>
        <v xml:space="preserve">#### More Information_x000D_
_x000D_
* [Official site](https://www.chapellenotredamedelamedaillemiraculeuse.com/)
_x000D_
_x000D_
| The Real Presence | Miracle Hunter | MaryPages |_x000D_
| --- | --- | --- |_x000D_
| [Link](http://www.therealpresence.org/eucharst/misc/BVM/06_PARIGI_60x96.pdf) | [Link](https://www.miraclehunter.com/marian_apparitions/approved_apparitions/ruedubac/index.html) | [Link](https://www.marypages.com/paris-(france)-en.html) |_x000D_
_x000D_
_x000D_
</v>
      </c>
      <c r="BW26" s="29" t="str">
        <f>IF(LEN(M26)&gt;1,concatll("#### Author's Note",M26),"")</f>
        <v xml:space="preserve">#### Author's Note_x000D_
_x000D_
Located in central Paris, OLMM is one of the more easily accessible Marian apparition sites, and often draws large crowds of pilgrims.  The nearby [St. Vincent de Paul Chapel](fr-paris-st-vincent-de-paul-chapel) is a short walk away and is often more peaceful.
OLMM is also a rare apparition site where the exact location of Our Blessed Mother is documented in precise detail.  The giftshop sells postcards detailing where in the chapel Mary appeared in each apparition to St. Catherine Laboure.
See also the related apparition of [Our Lady of Zion](/places/it-rome-sant-andrea-delle-fratte) in Rome.
-JMM_x000D_
_x000D_
</v>
      </c>
      <c r="BX26" s="23" t="str">
        <f>IF(AR26,concatll(concatl("---",AS26:AU26,BK26,"---"),L26,BV26:BW26),"")</f>
        <v xml:space="preserve">---_x000D_
title: "Chapel of Our Lady of the Miraculous Medal"_x000D_
location: {lat: 48.8507859, lng: 2.3229912}_x000D_
level: global_x000D_
tags:
- france_x000D_
- paris_x000D_
- churches_x000D_
- marian-sites_x000D_
- holy-persons_x000D_
- catherine-laboure_x000D_
- vincent-de-paul_x000D_
- louise-de-marillac_x000D_
_x000D_
---_x000D_
_x000D_
_x000D_
Catherine Laboure, a novitiate in the order of the Sisters of Charity, received various visions of St. Vincent de Paul and of Jesus present in the Eucharist, before also experiencing two apparitions of the Blessed Virgin Mary.  In the first vision, 1830, Catherine was told of the impending travails of France and of an unspecified future mission.  Several months later she received a message detailing the designs for a medal, later known as the Miraculous Medal, now reproduced over a billion times and distributed around the world.  The apparition was investigated in 1836 and later approved.  St. Catherine worked for 46 more years in hospices of her Order tending to the aged and infirmed, and is now known as the patroness of seniors.  Her body currently lies incorrupt at the site of the apparition in Paris (immediate right side of the altar), alongside St. Louise de Marillac (left of the altar) and the heart of St. Vincent de Paul (furthest right)._x000D_
_x000D_
#### More Information_x000D_
_x000D_
* [Official site](https://www.chapellenotredamedelamedaillemiraculeuse.com/)
_x000D_
_x000D_
| The Real Presence | Miracle Hunter | MaryPages |_x000D_
| --- | --- | --- |_x000D_
| [Link](http://www.therealpresence.org/eucharst/misc/BVM/06_PARIGI_60x96.pdf) | [Link](https://www.miraclehunter.com/marian_apparitions/approved_apparitions/ruedubac/index.html) | [Link](https://www.marypages.com/paris-(france)-en.html) |_x000D_
_x000D_
_x000D_
_x000D_
_x000D_
#### Author's Note_x000D_
_x000D_
Located in central Paris, OLMM is one of the more easily accessible Marian apparition sites, and often draws large crowds of pilgrims.  The nearby [St. Vincent de Paul Chapel](fr-paris-st-vincent-de-paul-chapel) is a short walk away and is often more peaceful.
OLMM is also a rare apparition site where the exact location of Our Blessed Mother is documented in precise detail.  The giftshop sells postcards detailing where in the chapel Mary appeared in each apparition to St. Catherine Laboure.
See also the related apparition of [Our Lady of Zion](/places/it-rome-sant-andrea-delle-fratte) in Rome.
-JMM_x000D_
_x000D_
_x000D_
_x000D_
</v>
      </c>
      <c r="BY26" s="23" t="str">
        <f>IF(AR26,VLOOKUP(B26,'(Ref) Countries'!A:B,2,)&amp;IF(LEN(C26)&gt;1,"-"&amp;LOWER(SUBSTITUTE(C26," ","-")),"")&amp;"-"&amp;LOWER(SUBSTITUTE(G26," ","-"))&amp;".md","")</f>
        <v>fr-paris-chapel-of-our-lady-of-the-miraculous-medal.md</v>
      </c>
      <c r="BZ26" s="38" t="str">
        <f>IF(LEN(Y26)&gt;1,VLOOKUP(Y26,'Tag List'!$A:$B,2,),"")</f>
        <v>St. Catherine Laboure</v>
      </c>
      <c r="CA26" s="38" t="str">
        <f>IF(LEN(Z26)&gt;1,VLOOKUP(Z26,'Tag List'!$A:$B,2,),"")</f>
        <v>St. Vincent de Paul</v>
      </c>
      <c r="CB26" s="38" t="str">
        <f>IF(LEN(AA26)&gt;1,VLOOKUP(AA26,'Tag List'!$A:$B,2,),"")</f>
        <v>St. Louise de Marillac</v>
      </c>
      <c r="CC26" s="30" t="str">
        <f>IF(LEN(Y26)&gt;1,GetTagPage(BZ26,Y26),"")</f>
        <v>[St. Catherine Laboure](/tags/catherine-laboure)</v>
      </c>
      <c r="CD26" s="30" t="str">
        <f>IF(LEN(Z26)&gt;1,GetTagPage(CA26,Z26),"")</f>
        <v>[St. Vincent de Paul](/tags/vincent-de-paul)</v>
      </c>
      <c r="CE26" s="30" t="str">
        <f>IF(LEN(AA26)&gt;1,GetTagPage(CB26,AA26),"")</f>
        <v>[St. Louise de Marillac](/tags/louise-de-marillac)</v>
      </c>
      <c r="CF26" s="30" t="str">
        <f t="shared" si="35"/>
        <v xml:space="preserve">| [St. Catherine Laboure](/tags/catherine-laboure), [St. Vincent de Paul](/tags/vincent-de-paul), [St. Louise de Marillac](/tags/louise-de-marillac) </v>
      </c>
      <c r="CG26" s="30" t="str">
        <f t="shared" si="27"/>
        <v xml:space="preserve">| [Paris](/places/fr-paris-chapel-of-our-lady-of-the-miraculous-medal) </v>
      </c>
      <c r="CH26" s="30" t="str">
        <f>"| "&amp;IF(AR26,GetTagPage(B26,VLOOKUP(B26,'(Ref) Countries'!A:C,3,)),B26)&amp; " "</f>
        <v xml:space="preserve">| [France](/tags/france) </v>
      </c>
      <c r="CI26" s="30" t="str">
        <f t="shared" si="28"/>
        <v xml:space="preserve">| 1830 </v>
      </c>
      <c r="CJ26" s="30" t="str">
        <f t="shared" si="36"/>
        <v xml:space="preserve">| [Link](/places/fr-paris-chapel-of-our-lady-of-the-miraculous-medal) </v>
      </c>
      <c r="CK26" s="29" t="str">
        <f t="shared" si="37"/>
        <v xml:space="preserve">
| [Paris](/places/fr-paris-chapel-of-our-lady-of-the-miraculous-medal) | [France](/tags/france) | 1830 | [Link](/places/fr-paris-chapel-of-our-lady-of-the-miraculous-medal) [Official site](https://www.chapellenotredamedelamedaillemiraculeuse.com/)[Link](http://www.therealpresence.org/eucharst/misc/BVM/06_PARIGI_60x96.pdf)[Link](https://www.miraclehunter.com/marian_apparitions/approved_apparitions/ruedubac/index.html)[Link](https://www.marypages.com/paris-(france)-en.html)| [St. Catherine Laboure](/tags/catherine-laboure), [St. Vincent de Paul](/tags/vincent-de-paul), [St. Louise de Marillac](/tags/louise-de-marillac) |</v>
      </c>
    </row>
    <row r="27" spans="1:89" ht="76.5" x14ac:dyDescent="0.25">
      <c r="A27" s="14" t="s">
        <v>1322</v>
      </c>
      <c r="B27" s="24" t="s">
        <v>11</v>
      </c>
      <c r="C27" s="35" t="s">
        <v>1004</v>
      </c>
      <c r="D27" s="15">
        <v>41.903563699999999</v>
      </c>
      <c r="E27" s="49">
        <v>12.483673899999999</v>
      </c>
      <c r="F27" s="24" t="s">
        <v>1028</v>
      </c>
      <c r="G27" s="53" t="s">
        <v>1029</v>
      </c>
      <c r="H27" s="15" t="s">
        <v>1720</v>
      </c>
      <c r="I27" s="25" t="b">
        <v>1</v>
      </c>
      <c r="J27" s="15" t="b">
        <v>1</v>
      </c>
      <c r="L27" s="45" t="s">
        <v>1755</v>
      </c>
      <c r="N27" s="15" t="s">
        <v>414</v>
      </c>
      <c r="O27" s="15" t="s">
        <v>336</v>
      </c>
      <c r="Y27" s="36" t="s">
        <v>489</v>
      </c>
      <c r="Z27" s="37"/>
      <c r="AA27" s="36"/>
      <c r="AB27" s="36"/>
      <c r="AC27" s="36"/>
      <c r="AD27" s="36"/>
      <c r="AE27" s="36"/>
      <c r="AF27" s="36"/>
      <c r="AG27" s="36"/>
      <c r="AH27" s="84"/>
      <c r="AI27" s="98" t="s">
        <v>1004</v>
      </c>
      <c r="AJ27" s="99">
        <v>1842</v>
      </c>
      <c r="AK27" s="15" t="s">
        <v>288</v>
      </c>
      <c r="AL27" s="15" t="s">
        <v>336</v>
      </c>
      <c r="AM27" s="15" t="s">
        <v>457</v>
      </c>
      <c r="AN27" s="15" t="s">
        <v>336</v>
      </c>
      <c r="AO27" s="15" t="s">
        <v>458</v>
      </c>
      <c r="AP27" s="49" t="s">
        <v>336</v>
      </c>
      <c r="AR27" s="28" t="b">
        <f t="shared" si="0"/>
        <v>1</v>
      </c>
      <c r="AS27" s="29" t="str">
        <f t="shared" si="1"/>
        <v>title: "Sant'Andrea delle Fratte (Shrine of Our Lady of the Miracle, Our Lady of Zion)"</v>
      </c>
      <c r="AT27" s="29" t="str">
        <f t="shared" si="2"/>
        <v>location: {lat: 41.9035637, lng: 12.4836739}</v>
      </c>
      <c r="AU27" s="29" t="str">
        <f t="shared" si="3"/>
        <v>level: global</v>
      </c>
      <c r="AV27" s="29" t="str">
        <f>"- "&amp;VLOOKUP(B27,'(Ref) Countries'!A:C,3,)</f>
        <v>- italy</v>
      </c>
      <c r="AW27" s="29" t="str">
        <f t="shared" si="4"/>
        <v>- rome</v>
      </c>
      <c r="AX27" s="29" t="str">
        <f t="shared" si="5"/>
        <v>- churches</v>
      </c>
      <c r="AY27" s="29" t="str">
        <f t="shared" si="6"/>
        <v>- marian-sites</v>
      </c>
      <c r="AZ27" s="29" t="str">
        <f t="shared" si="7"/>
        <v/>
      </c>
      <c r="BA27" s="29" t="str">
        <f t="shared" si="8"/>
        <v>- marie-alphonse-ratisbonne</v>
      </c>
      <c r="BB27" s="29" t="str">
        <f t="shared" si="9"/>
        <v/>
      </c>
      <c r="BC27" s="29" t="str">
        <f t="shared" si="10"/>
        <v/>
      </c>
      <c r="BD27" s="29" t="str">
        <f t="shared" si="11"/>
        <v/>
      </c>
      <c r="BE27" s="29" t="str">
        <f t="shared" si="12"/>
        <v/>
      </c>
      <c r="BF27" s="29" t="str">
        <f t="shared" si="13"/>
        <v/>
      </c>
      <c r="BG27" s="29" t="str">
        <f t="shared" si="14"/>
        <v/>
      </c>
      <c r="BH27" s="29" t="str">
        <f t="shared" si="15"/>
        <v/>
      </c>
      <c r="BI27" s="29" t="str">
        <f t="shared" si="16"/>
        <v/>
      </c>
      <c r="BJ27" s="29" t="str">
        <f t="shared" si="17"/>
        <v/>
      </c>
      <c r="BK27" s="29" t="str">
        <f t="shared" si="33"/>
        <v xml:space="preserve">tags:
- italy_x000D_
- rome_x000D_
- churches_x000D_
- marian-sites_x000D_
- marie-alphonse-ratisbonne_x000D_
</v>
      </c>
      <c r="BL27" s="30" t="str">
        <f t="shared" si="18"/>
        <v>[Official site](https://www.madonnadelmiracolo.it/)</v>
      </c>
      <c r="BM27" s="30" t="str">
        <f t="shared" si="19"/>
        <v/>
      </c>
      <c r="BN27" s="30" t="str">
        <f t="shared" si="20"/>
        <v/>
      </c>
      <c r="BO27" s="30" t="str">
        <f t="shared" si="21"/>
        <v/>
      </c>
      <c r="BP27" s="30" t="str">
        <f t="shared" si="34"/>
        <v xml:space="preserve">* [Official site](https://www.madonnadelmiracolo.it/)
</v>
      </c>
      <c r="BQ27" s="30" t="str">
        <f t="shared" si="22"/>
        <v>[Link](http://www.therealpresence.org/eucharst/misc/BVM/23_ROMA_60x96.pdf)</v>
      </c>
      <c r="BR27" s="30" t="str">
        <f t="shared" si="23"/>
        <v>[Link](https://www.miraclehunter.com/marian_apparitions/approved_apparitions/rome1842/index.html)</v>
      </c>
      <c r="BS27" s="30" t="str">
        <f t="shared" si="24"/>
        <v>[Link](https://www.marypages.com/rome-(itali%C3%AB).html)</v>
      </c>
      <c r="BT27" s="30" t="str">
        <f>IF(LEN(concat(BQ27:BS27))&gt;0,concat("| ",BQ27," | ",BR27," | ",BS27," |"),"")</f>
        <v>| [Link](http://www.therealpresence.org/eucharst/misc/BVM/23_ROMA_60x96.pdf) | [Link](https://www.miraclehunter.com/marian_apparitions/approved_apparitions/rome1842/index.html) | [Link](https://www.marypages.com/rome-(itali%C3%AB).html) |</v>
      </c>
      <c r="BU27" s="29" t="str">
        <f t="shared" si="25"/>
        <v xml:space="preserve">| The Real Presence | Miracle Hunter | MaryPages |_x000D_
| --- | --- | --- |_x000D_
| [Link](http://www.therealpresence.org/eucharst/misc/BVM/23_ROMA_60x96.pdf) | [Link](https://www.miraclehunter.com/marian_apparitions/approved_apparitions/rome1842/index.html) | [Link](https://www.marypages.com/rome-(itali%C3%AB).html) |_x000D_
</v>
      </c>
      <c r="BV27" s="29" t="str">
        <f>IF(LEN(BP27&amp;BU27)&gt;0,concatll("#### More Information",BP27,BU27),"")</f>
        <v xml:space="preserve">#### More Information_x000D_
_x000D_
* [Official site](https://www.madonnadelmiracolo.it/)
_x000D_
_x000D_
| The Real Presence | Miracle Hunter | MaryPages |_x000D_
| --- | --- | --- |_x000D_
| [Link](http://www.therealpresence.org/eucharst/misc/BVM/23_ROMA_60x96.pdf) | [Link](https://www.miraclehunter.com/marian_apparitions/approved_apparitions/rome1842/index.html) | [Link](https://www.marypages.com/rome-(itali%C3%AB).html) |_x000D_
_x000D_
_x000D_
</v>
      </c>
      <c r="BW27" s="29" t="str">
        <f>IF(LEN(M27)&gt;1,concatll("#### Author's Note",M27),"")</f>
        <v/>
      </c>
      <c r="BX27" s="23" t="str">
        <f>IF(AR27,concatll(concatl("---",AS27:AU27,BK27,"---"),L27,BV27:BW27),"")</f>
        <v xml:space="preserve">---_x000D_
title: "Sant'Andrea delle Fratte (Shrine of Our Lady of the Miracle, Our Lady of Zion)"_x000D_
location: {lat: 41.9035637, lng: 12.4836739}_x000D_
level: global_x000D_
tags:
- italy_x000D_
- rome_x000D_
- churches_x000D_
- marian-sites_x000D_
- marie-alphonse-ratisbonne_x000D_
_x000D_
---_x000D_
_x000D_
_x000D_
Marie Alphonse Ratisbonne, an anti-Catholic Jew, befriended a baron in Rome and began wearing the [Miraculous Medal](/places/fr-paris-chapel-of-our-lady-of-the-miraculous-medal) as a simple test.  On January 20, 1842, after entering the church of Sant'Andrea delle Fratte, Ratisbonne experienced a vision of the Blessed Virgin Mary.  He converted to Catholicism, joined the priesthood, and began a ministry for the conversion of Jews._x000D_
_x000D_
#### More Information_x000D_
_x000D_
* [Official site](https://www.madonnadelmiracolo.it/)
_x000D_
_x000D_
| The Real Presence | Miracle Hunter | MaryPages |_x000D_
| --- | --- | --- |_x000D_
| [Link](http://www.therealpresence.org/eucharst/misc/BVM/23_ROMA_60x96.pdf) | [Link](https://www.miraclehunter.com/marian_apparitions/approved_apparitions/rome1842/index.html) | [Link](https://www.marypages.com/rome-(itali%C3%AB).html) |_x000D_
_x000D_
_x000D_
_x000D_
_x000D_
</v>
      </c>
      <c r="BY27" s="23" t="str">
        <f>IF(AR27,VLOOKUP(B27,'(Ref) Countries'!A:B,2,)&amp;IF(LEN(C27)&gt;1,"-"&amp;LOWER(SUBSTITUTE(C27," ","-")),"")&amp;"-"&amp;LOWER(SUBSTITUTE(G27," ","-"))&amp;".md","")</f>
        <v>it-rome-sant-andrea-delle-fratte.md</v>
      </c>
      <c r="BZ27" s="38" t="str">
        <f>IF(LEN(Y27)&gt;1,VLOOKUP(Y27,'Tag List'!$A:$B,2,),"")</f>
        <v>Fr. Marie-Alphonse Ratisbonne</v>
      </c>
      <c r="CA27" s="38" t="str">
        <f>IF(LEN(Z27)&gt;1,VLOOKUP(Z27,'Tag List'!$A:$B,2,),"")</f>
        <v/>
      </c>
      <c r="CB27" s="38" t="str">
        <f>IF(LEN(AA27)&gt;1,VLOOKUP(AA27,'Tag List'!$A:$B,2,),"")</f>
        <v/>
      </c>
      <c r="CC27" s="30" t="str">
        <f>IF(LEN(Y27)&gt;1,GetTagPage(BZ27,Y27),"")</f>
        <v>[Fr. Marie-Alphonse Ratisbonne](/tags/marie-alphonse-ratisbonne)</v>
      </c>
      <c r="CD27" s="30" t="str">
        <f>IF(LEN(Z27)&gt;1,GetTagPage(CA27,Z27),"")</f>
        <v/>
      </c>
      <c r="CE27" s="30" t="str">
        <f>IF(LEN(AA27)&gt;1,GetTagPage(CB27,AA27),"")</f>
        <v/>
      </c>
      <c r="CF27" s="30" t="str">
        <f t="shared" si="35"/>
        <v xml:space="preserve">| [Fr. Marie-Alphonse Ratisbonne](/tags/marie-alphonse-ratisbonne) </v>
      </c>
      <c r="CG27" s="30" t="str">
        <f t="shared" si="27"/>
        <v xml:space="preserve">| [Rome](/places/it-rome-sant-andrea-delle-fratte) </v>
      </c>
      <c r="CH27" s="30" t="str">
        <f>"| "&amp;IF(AR27,GetTagPage(B27,VLOOKUP(B27,'(Ref) Countries'!A:C,3,)),B27)&amp; " "</f>
        <v xml:space="preserve">| [Italy](/tags/italy) </v>
      </c>
      <c r="CI27" s="30" t="str">
        <f t="shared" si="28"/>
        <v xml:space="preserve">| 1842 </v>
      </c>
      <c r="CJ27" s="30" t="str">
        <f t="shared" si="36"/>
        <v xml:space="preserve">| [Link](/places/it-rome-sant-andrea-delle-fratte) </v>
      </c>
      <c r="CK27" s="29" t="str">
        <f t="shared" si="37"/>
        <v xml:space="preserve">
| [Rome](/places/it-rome-sant-andrea-delle-fratte) | [Italy](/tags/italy) | 1842 | [Link](/places/it-rome-sant-andrea-delle-fratte) [Official site](https://www.madonnadelmiracolo.it/)[Link](http://www.therealpresence.org/eucharst/misc/BVM/23_ROMA_60x96.pdf)[Link](https://www.miraclehunter.com/marian_apparitions/approved_apparitions/rome1842/index.html)[Link](https://www.marypages.com/rome-(itali%C3%AB).html)| [Fr. Marie-Alphonse Ratisbonne](/tags/marie-alphonse-ratisbonne) |</v>
      </c>
    </row>
    <row r="28" spans="1:89" ht="51" x14ac:dyDescent="0.25">
      <c r="A28" s="14" t="s">
        <v>1322</v>
      </c>
      <c r="B28" s="24" t="s">
        <v>557</v>
      </c>
      <c r="D28" s="15">
        <v>44.8586296</v>
      </c>
      <c r="E28" s="49">
        <v>5.9788043999999996</v>
      </c>
      <c r="F28" s="24" t="s">
        <v>1027</v>
      </c>
      <c r="G28" s="53" t="s">
        <v>1027</v>
      </c>
      <c r="H28" s="15" t="s">
        <v>1720</v>
      </c>
      <c r="I28" s="25" t="b">
        <v>1</v>
      </c>
      <c r="J28" s="15" t="b">
        <v>1</v>
      </c>
      <c r="L28" s="24" t="s">
        <v>475</v>
      </c>
      <c r="N28" s="15" t="s">
        <v>412</v>
      </c>
      <c r="O28" s="15" t="s">
        <v>336</v>
      </c>
      <c r="Y28" s="16" t="s">
        <v>336</v>
      </c>
      <c r="Z28" s="16"/>
      <c r="AA28" s="16"/>
      <c r="AB28" s="16"/>
      <c r="AC28" s="16"/>
      <c r="AD28" s="16"/>
      <c r="AE28" s="16"/>
      <c r="AF28" s="16"/>
      <c r="AG28" s="16"/>
      <c r="AH28" s="87"/>
      <c r="AI28" s="98" t="s">
        <v>1026</v>
      </c>
      <c r="AJ28" s="99">
        <v>1846</v>
      </c>
      <c r="AK28" s="15" t="s">
        <v>289</v>
      </c>
      <c r="AL28" s="15" t="s">
        <v>336</v>
      </c>
      <c r="AM28" s="15" t="s">
        <v>476</v>
      </c>
      <c r="AN28" s="15" t="s">
        <v>336</v>
      </c>
      <c r="AO28" s="15" t="s">
        <v>477</v>
      </c>
      <c r="AP28" s="49" t="s">
        <v>336</v>
      </c>
      <c r="AR28" s="28" t="b">
        <f t="shared" si="0"/>
        <v>1</v>
      </c>
      <c r="AS28" s="29" t="str">
        <f t="shared" si="1"/>
        <v>title: "Sanctuary of Our Lady of La Salette"</v>
      </c>
      <c r="AT28" s="29" t="str">
        <f t="shared" si="2"/>
        <v>location: {lat: 44.8586296, lng: 5.9788044}</v>
      </c>
      <c r="AU28" s="29" t="str">
        <f t="shared" si="3"/>
        <v>level: global</v>
      </c>
      <c r="AV28" s="29" t="str">
        <f>"- "&amp;VLOOKUP(B28,'(Ref) Countries'!A:C,3,)</f>
        <v>- france</v>
      </c>
      <c r="AW28" s="29" t="str">
        <f t="shared" si="4"/>
        <v/>
      </c>
      <c r="AX28" s="29" t="str">
        <f t="shared" si="5"/>
        <v>- churches</v>
      </c>
      <c r="AY28" s="29" t="str">
        <f t="shared" si="6"/>
        <v>- marian-sites</v>
      </c>
      <c r="AZ28" s="29" t="str">
        <f t="shared" si="7"/>
        <v/>
      </c>
      <c r="BA28" s="29" t="str">
        <f t="shared" si="8"/>
        <v/>
      </c>
      <c r="BB28" s="29" t="str">
        <f t="shared" si="9"/>
        <v/>
      </c>
      <c r="BC28" s="29" t="str">
        <f t="shared" si="10"/>
        <v/>
      </c>
      <c r="BD28" s="29" t="str">
        <f t="shared" si="11"/>
        <v/>
      </c>
      <c r="BE28" s="29" t="str">
        <f t="shared" si="12"/>
        <v/>
      </c>
      <c r="BF28" s="29" t="str">
        <f t="shared" si="13"/>
        <v/>
      </c>
      <c r="BG28" s="29" t="str">
        <f t="shared" si="14"/>
        <v/>
      </c>
      <c r="BH28" s="29" t="str">
        <f t="shared" si="15"/>
        <v/>
      </c>
      <c r="BI28" s="29" t="str">
        <f t="shared" si="16"/>
        <v/>
      </c>
      <c r="BJ28" s="29" t="str">
        <f t="shared" si="17"/>
        <v/>
      </c>
      <c r="BK28" s="29" t="str">
        <f t="shared" si="33"/>
        <v xml:space="preserve">tags:
- france_x000D_
- churches_x000D_
- marian-sites_x000D_
</v>
      </c>
      <c r="BL28" s="30" t="str">
        <f t="shared" si="18"/>
        <v>[Official site](https://lasalette.cef.fr/)</v>
      </c>
      <c r="BM28" s="30" t="str">
        <f t="shared" si="19"/>
        <v/>
      </c>
      <c r="BN28" s="30" t="str">
        <f t="shared" si="20"/>
        <v/>
      </c>
      <c r="BO28" s="30" t="str">
        <f t="shared" si="21"/>
        <v/>
      </c>
      <c r="BP28" s="30" t="str">
        <f t="shared" si="34"/>
        <v xml:space="preserve">* [Official site](https://lasalette.cef.fr/)
</v>
      </c>
      <c r="BQ28" s="30" t="str">
        <f t="shared" si="22"/>
        <v>[Link](http://www.therealpresence.org/eucharst/misc/BVM/30_LA_SALETTE_96x96.pdf)</v>
      </c>
      <c r="BR28" s="30" t="str">
        <f t="shared" si="23"/>
        <v>[Link](https://www.miraclehunter.com/marian_apparitions/approved_apparitions/lasalette/index.html)</v>
      </c>
      <c r="BS28" s="30" t="str">
        <f t="shared" si="24"/>
        <v>[Link](https://www.marypages.com/la-salette-(france)-en.html)</v>
      </c>
      <c r="BT28" s="30" t="str">
        <f>IF(LEN(concat(BQ28:BS28))&gt;0,concat("| ",BQ28," | ",BR28," | ",BS28," |"),"")</f>
        <v>| [Link](http://www.therealpresence.org/eucharst/misc/BVM/30_LA_SALETTE_96x96.pdf) | [Link](https://www.miraclehunter.com/marian_apparitions/approved_apparitions/lasalette/index.html) | [Link](https://www.marypages.com/la-salette-(france)-en.html) |</v>
      </c>
      <c r="BU28" s="29" t="str">
        <f t="shared" si="25"/>
        <v xml:space="preserve">| The Real Presence | Miracle Hunter | MaryPages |_x000D_
| --- | --- | --- |_x000D_
| [Link](http://www.therealpresence.org/eucharst/misc/BVM/30_LA_SALETTE_96x96.pdf) | [Link](https://www.miraclehunter.com/marian_apparitions/approved_apparitions/lasalette/index.html) | [Link](https://www.marypages.com/la-salette-(france)-en.html) |_x000D_
</v>
      </c>
      <c r="BV28" s="29" t="str">
        <f>IF(LEN(BP28&amp;BU28)&gt;0,concatll("#### More Information",BP28,BU28),"")</f>
        <v xml:space="preserve">#### More Information_x000D_
_x000D_
* [Official site](https://lasalette.cef.fr/)
_x000D_
_x000D_
| The Real Presence | Miracle Hunter | MaryPages |_x000D_
| --- | --- | --- |_x000D_
| [Link](http://www.therealpresence.org/eucharst/misc/BVM/30_LA_SALETTE_96x96.pdf) | [Link](https://www.miraclehunter.com/marian_apparitions/approved_apparitions/lasalette/index.html) | [Link](https://www.marypages.com/la-salette-(france)-en.html) |_x000D_
_x000D_
_x000D_
</v>
      </c>
      <c r="BW28" s="29" t="str">
        <f>IF(LEN(M28)&gt;1,concatll("#### Author's Note",M28),"")</f>
        <v/>
      </c>
      <c r="BX28" s="23" t="str">
        <f>IF(AR28,concatll(concatl("---",AS28:AU28,BK28,"---"),L28,BV28:BW28),"")</f>
        <v xml:space="preserve">---_x000D_
title: "Sanctuary of Our Lady of La Salette"_x000D_
location: {lat: 44.8586296, lng: 5.9788044}_x000D_
level: global_x000D_
tags:
- france_x000D_
- churches_x000D_
- marian-sites_x000D_
_x000D_
---_x000D_
_x000D_
_x000D_
In 1846, the Blessed Virgin Mary appeared to 11-year-old Maximin Giraud and 14-year-old Melanie Calvat-Mathieu while they tended sheep in a small French Alpine village.  Her appearance in sorrow and tears called for conversion and repentance._x000D_
_x000D_
#### More Information_x000D_
_x000D_
* [Official site](https://lasalette.cef.fr/)
_x000D_
_x000D_
| The Real Presence | Miracle Hunter | MaryPages |_x000D_
| --- | --- | --- |_x000D_
| [Link](http://www.therealpresence.org/eucharst/misc/BVM/30_LA_SALETTE_96x96.pdf) | [Link](https://www.miraclehunter.com/marian_apparitions/approved_apparitions/lasalette/index.html) | [Link](https://www.marypages.com/la-salette-(france)-en.html) |_x000D_
_x000D_
_x000D_
_x000D_
_x000D_
</v>
      </c>
      <c r="BY28" s="23" t="str">
        <f>IF(AR28,VLOOKUP(B28,'(Ref) Countries'!A:B,2,)&amp;IF(LEN(C28)&gt;1,"-"&amp;LOWER(SUBSTITUTE(C28," ","-")),"")&amp;"-"&amp;LOWER(SUBSTITUTE(G28," ","-"))&amp;".md","")</f>
        <v>fr-sanctuary-of-our-lady-of-la-salette.md</v>
      </c>
      <c r="BZ28" s="30" t="str">
        <f>IF(LEN(Y28)&gt;1,VLOOKUP(Y28,'Tag List'!$A:$B,2,),"")</f>
        <v/>
      </c>
      <c r="CA28" s="30" t="str">
        <f>IF(LEN(Z28)&gt;1,VLOOKUP(Z28,'Tag List'!$A:$B,2,),"")</f>
        <v/>
      </c>
      <c r="CB28" s="30" t="str">
        <f>IF(LEN(AA28)&gt;1,VLOOKUP(AA28,'Tag List'!$A:$B,2,),"")</f>
        <v/>
      </c>
      <c r="CC28" s="30" t="str">
        <f>IF(LEN(Y28)&gt;1,GetTagPage(BZ28,Y28),"")</f>
        <v/>
      </c>
      <c r="CD28" s="30" t="str">
        <f>IF(LEN(Z28)&gt;1,GetTagPage(CA28,Z28),"")</f>
        <v/>
      </c>
      <c r="CE28" s="30" t="str">
        <f>IF(LEN(AA28)&gt;1,GetTagPage(CB28,AA28),"")</f>
        <v/>
      </c>
      <c r="CF28" s="30" t="str">
        <f t="shared" si="35"/>
        <v xml:space="preserve">| </v>
      </c>
      <c r="CG28" s="30" t="str">
        <f t="shared" si="27"/>
        <v xml:space="preserve">| [La Salette](/places/fr-sanctuary-of-our-lady-of-la-salette) </v>
      </c>
      <c r="CH28" s="30" t="str">
        <f>"| "&amp;IF(AR28,GetTagPage(B28,VLOOKUP(B28,'(Ref) Countries'!A:C,3,)),B28)&amp; " "</f>
        <v xml:space="preserve">| [France](/tags/france) </v>
      </c>
      <c r="CI28" s="30" t="str">
        <f t="shared" si="28"/>
        <v xml:space="preserve">| 1846 </v>
      </c>
      <c r="CJ28" s="30" t="str">
        <f t="shared" si="36"/>
        <v xml:space="preserve">| [Link](/places/fr-sanctuary-of-our-lady-of-la-salette) </v>
      </c>
      <c r="CK28" s="29" t="str">
        <f t="shared" si="37"/>
        <v xml:space="preserve">
| [La Salette](/places/fr-sanctuary-of-our-lady-of-la-salette) | [France](/tags/france) | 1846 | [Link](/places/fr-sanctuary-of-our-lady-of-la-salette) [Official site](https://lasalette.cef.fr/)[Link](http://www.therealpresence.org/eucharst/misc/BVM/30_LA_SALETTE_96x96.pdf)[Link](https://www.miraclehunter.com/marian_apparitions/approved_apparitions/lasalette/index.html)[Link](https://www.marypages.com/la-salette-(france)-en.html)| |</v>
      </c>
    </row>
    <row r="29" spans="1:89" ht="51" x14ac:dyDescent="0.25">
      <c r="A29" s="14" t="s">
        <v>1322</v>
      </c>
      <c r="B29" s="24" t="s">
        <v>557</v>
      </c>
      <c r="D29" s="15">
        <v>43.0974206</v>
      </c>
      <c r="E29" s="49">
        <v>-5.8261100000000003E-2</v>
      </c>
      <c r="F29" s="24" t="s">
        <v>1011</v>
      </c>
      <c r="G29" s="53" t="s">
        <v>1011</v>
      </c>
      <c r="H29" s="15" t="s">
        <v>1720</v>
      </c>
      <c r="I29" s="15" t="b">
        <v>1</v>
      </c>
      <c r="J29" s="15" t="b">
        <v>1</v>
      </c>
      <c r="K29" s="15" t="b">
        <v>1</v>
      </c>
      <c r="L29" s="24" t="s">
        <v>465</v>
      </c>
      <c r="N29" s="15" t="s">
        <v>428</v>
      </c>
      <c r="O29" s="15" t="s">
        <v>336</v>
      </c>
      <c r="Y29" s="36" t="s">
        <v>490</v>
      </c>
      <c r="Z29" s="36"/>
      <c r="AA29" s="36"/>
      <c r="AB29" s="36"/>
      <c r="AC29" s="36"/>
      <c r="AD29" s="36"/>
      <c r="AE29" s="36"/>
      <c r="AF29" s="36"/>
      <c r="AG29" s="36"/>
      <c r="AH29" s="84"/>
      <c r="AI29" s="98" t="s">
        <v>999</v>
      </c>
      <c r="AJ29" s="99">
        <v>1858</v>
      </c>
      <c r="AK29" s="15" t="s">
        <v>292</v>
      </c>
      <c r="AL29" s="15" t="s">
        <v>336</v>
      </c>
      <c r="AM29" s="15" t="s">
        <v>466</v>
      </c>
      <c r="AN29" s="15" t="s">
        <v>336</v>
      </c>
      <c r="AO29" s="15" t="s">
        <v>467</v>
      </c>
      <c r="AP29" s="49" t="s">
        <v>336</v>
      </c>
      <c r="AR29" s="28" t="b">
        <f t="shared" si="0"/>
        <v>1</v>
      </c>
      <c r="AS29" s="29" t="str">
        <f t="shared" si="1"/>
        <v>title: "Sanctuary of Our Lady of Lourdes"</v>
      </c>
      <c r="AT29" s="29" t="str">
        <f t="shared" si="2"/>
        <v>location: {lat: 43.0974206, lng: -0.0582611}</v>
      </c>
      <c r="AU29" s="29" t="str">
        <f t="shared" si="3"/>
        <v>level: global</v>
      </c>
      <c r="AV29" s="29" t="str">
        <f>"- "&amp;VLOOKUP(B29,'(Ref) Countries'!A:C,3,)</f>
        <v>- france</v>
      </c>
      <c r="AW29" s="29" t="str">
        <f t="shared" si="4"/>
        <v/>
      </c>
      <c r="AX29" s="29" t="str">
        <f t="shared" si="5"/>
        <v>- churches</v>
      </c>
      <c r="AY29" s="29" t="str">
        <f t="shared" si="6"/>
        <v>- marian-sites</v>
      </c>
      <c r="AZ29" s="29" t="str">
        <f t="shared" si="7"/>
        <v>- holy-persons</v>
      </c>
      <c r="BA29" s="29" t="str">
        <f t="shared" si="8"/>
        <v>- bernadette-soubirous</v>
      </c>
      <c r="BB29" s="29" t="str">
        <f t="shared" si="9"/>
        <v/>
      </c>
      <c r="BC29" s="29" t="str">
        <f t="shared" si="10"/>
        <v/>
      </c>
      <c r="BD29" s="29" t="str">
        <f t="shared" si="11"/>
        <v/>
      </c>
      <c r="BE29" s="29" t="str">
        <f t="shared" si="12"/>
        <v/>
      </c>
      <c r="BF29" s="29" t="str">
        <f t="shared" si="13"/>
        <v/>
      </c>
      <c r="BG29" s="29" t="str">
        <f t="shared" si="14"/>
        <v/>
      </c>
      <c r="BH29" s="29" t="str">
        <f t="shared" si="15"/>
        <v/>
      </c>
      <c r="BI29" s="29" t="str">
        <f t="shared" si="16"/>
        <v/>
      </c>
      <c r="BJ29" s="29" t="str">
        <f t="shared" si="17"/>
        <v/>
      </c>
      <c r="BK29" s="29" t="str">
        <f t="shared" si="33"/>
        <v xml:space="preserve">tags:
- france_x000D_
- churches_x000D_
- marian-sites_x000D_
- holy-persons_x000D_
- bernadette-soubirous_x000D_
</v>
      </c>
      <c r="BL29" s="30" t="str">
        <f t="shared" si="18"/>
        <v>[Official site](https://www.lourdes-france.org/)</v>
      </c>
      <c r="BM29" s="30" t="str">
        <f t="shared" si="19"/>
        <v/>
      </c>
      <c r="BN29" s="30" t="str">
        <f t="shared" si="20"/>
        <v/>
      </c>
      <c r="BO29" s="30" t="str">
        <f t="shared" si="21"/>
        <v/>
      </c>
      <c r="BP29" s="30" t="str">
        <f t="shared" si="34"/>
        <v xml:space="preserve">* [Official site](https://www.lourdes-france.org/)
</v>
      </c>
      <c r="BQ29" s="30" t="str">
        <f t="shared" si="22"/>
        <v>[Link](http://www.therealpresence.org/eucharst/misc/BVM/40_LOURDES_140x96.pdf)</v>
      </c>
      <c r="BR29" s="30" t="str">
        <f t="shared" si="23"/>
        <v>[Link](https://www.miraclehunter.com/marian_apparitions/approved_apparitions/lourdes/index.html)</v>
      </c>
      <c r="BS29" s="30" t="str">
        <f t="shared" si="24"/>
        <v>[Link](https://www.marypages.com/lourdes-(frankrijk)-1858/)</v>
      </c>
      <c r="BT29" s="30" t="str">
        <f>IF(LEN(concat(BQ29:BS29))&gt;0,concat("| ",BQ29," | ",BR29," | ",BS29," |"),"")</f>
        <v>| [Link](http://www.therealpresence.org/eucharst/misc/BVM/40_LOURDES_140x96.pdf) | [Link](https://www.miraclehunter.com/marian_apparitions/approved_apparitions/lourdes/index.html) | [Link](https://www.marypages.com/lourdes-(frankrijk)-1858/) |</v>
      </c>
      <c r="BU29" s="29" t="str">
        <f t="shared" si="25"/>
        <v xml:space="preserve">| The Real Presence | Miracle Hunter | MaryPages |_x000D_
| --- | --- | --- |_x000D_
| [Link](http://www.therealpresence.org/eucharst/misc/BVM/40_LOURDES_140x96.pdf) | [Link](https://www.miraclehunter.com/marian_apparitions/approved_apparitions/lourdes/index.html) | [Link](https://www.marypages.com/lourdes-(frankrijk)-1858/) |_x000D_
</v>
      </c>
      <c r="BV29" s="29" t="str">
        <f>IF(LEN(BP29&amp;BU29)&gt;0,concatll("#### More Information",BP29,BU29),"")</f>
        <v xml:space="preserve">#### More Information_x000D_
_x000D_
* [Official site](https://www.lourdes-france.org/)
_x000D_
_x000D_
| The Real Presence | Miracle Hunter | MaryPages |_x000D_
| --- | --- | --- |_x000D_
| [Link](http://www.therealpresence.org/eucharst/misc/BVM/40_LOURDES_140x96.pdf) | [Link](https://www.miraclehunter.com/marian_apparitions/approved_apparitions/lourdes/index.html) | [Link](https://www.marypages.com/lourdes-(frankrijk)-1858/) |_x000D_
_x000D_
_x000D_
</v>
      </c>
      <c r="BW29" s="29" t="str">
        <f>IF(LEN(M29)&gt;1,concatll("#### Author's Note",M29),"")</f>
        <v/>
      </c>
      <c r="BX29" s="23" t="str">
        <f>IF(AR29,concatll(concatl("---",AS29:AU29,BK29,"---"),L29,BV29:BW29),"")</f>
        <v xml:space="preserve">---_x000D_
title: "Sanctuary of Our Lady of Lourdes"_x000D_
location: {lat: 43.0974206, lng: -0.0582611}_x000D_
level: global_x000D_
tags:
- france_x000D_
- churches_x000D_
- marian-sites_x000D_
- holy-persons_x000D_
- bernadette-soubirous_x000D_
_x000D_
---_x000D_
_x000D_
_x000D_
In a series of apparitions in 1858, the Virgin Mary appeared to St. Bernadette Soubirous.  The stream of holy water which St. Bernadette uncovered has become a well-known source of healing, and Lourdes is now a major pilgrimage destination._x000D_
_x000D_
#### More Information_x000D_
_x000D_
* [Official site](https://www.lourdes-france.org/)
_x000D_
_x000D_
| The Real Presence | Miracle Hunter | MaryPages |_x000D_
| --- | --- | --- |_x000D_
| [Link](http://www.therealpresence.org/eucharst/misc/BVM/40_LOURDES_140x96.pdf) | [Link](https://www.miraclehunter.com/marian_apparitions/approved_apparitions/lourdes/index.html) | [Link](https://www.marypages.com/lourdes-(frankrijk)-1858/) |_x000D_
_x000D_
_x000D_
_x000D_
_x000D_
</v>
      </c>
      <c r="BY29" s="23" t="str">
        <f>IF(AR29,VLOOKUP(B29,'(Ref) Countries'!A:B,2,)&amp;IF(LEN(C29)&gt;1,"-"&amp;LOWER(SUBSTITUTE(C29," ","-")),"")&amp;"-"&amp;LOWER(SUBSTITUTE(G29," ","-"))&amp;".md","")</f>
        <v>fr-sanctuary-of-our-lady-of-lourdes.md</v>
      </c>
      <c r="BZ29" s="38" t="str">
        <f>IF(LEN(Y29)&gt;1,VLOOKUP(Y29,'Tag List'!$A:$B,2,),"")</f>
        <v>St. Bernadette of Lourdes</v>
      </c>
      <c r="CA29" s="38" t="str">
        <f>IF(LEN(Z29)&gt;1,VLOOKUP(Z29,'Tag List'!$A:$B,2,),"")</f>
        <v/>
      </c>
      <c r="CB29" s="38" t="str">
        <f>IF(LEN(AA29)&gt;1,VLOOKUP(AA29,'Tag List'!$A:$B,2,),"")</f>
        <v/>
      </c>
      <c r="CC29" s="30" t="str">
        <f>IF(LEN(Y29)&gt;1,GetTagPage(BZ29,Y29),"")</f>
        <v>[St. Bernadette of Lourdes](/tags/bernadette-soubirous)</v>
      </c>
      <c r="CD29" s="30" t="str">
        <f>IF(LEN(Z29)&gt;1,GetTagPage(CA29,Z29),"")</f>
        <v/>
      </c>
      <c r="CE29" s="30" t="str">
        <f>IF(LEN(AA29)&gt;1,GetTagPage(CB29,AA29),"")</f>
        <v/>
      </c>
      <c r="CF29" s="30" t="str">
        <f t="shared" si="35"/>
        <v xml:space="preserve">| [St. Bernadette of Lourdes](/tags/bernadette-soubirous) </v>
      </c>
      <c r="CG29" s="30" t="str">
        <f t="shared" si="27"/>
        <v xml:space="preserve">| [Lourdes](/places/fr-sanctuary-of-our-lady-of-lourdes) </v>
      </c>
      <c r="CH29" s="30" t="str">
        <f>"| "&amp;IF(AR29,GetTagPage(B29,VLOOKUP(B29,'(Ref) Countries'!A:C,3,)),B29)&amp; " "</f>
        <v xml:space="preserve">| [France](/tags/france) </v>
      </c>
      <c r="CI29" s="30" t="str">
        <f t="shared" si="28"/>
        <v xml:space="preserve">| 1858 </v>
      </c>
      <c r="CJ29" s="30" t="str">
        <f t="shared" si="36"/>
        <v xml:space="preserve">| [Link](/places/fr-sanctuary-of-our-lady-of-lourdes) </v>
      </c>
      <c r="CK29" s="29" t="str">
        <f t="shared" si="37"/>
        <v xml:space="preserve">
| [Lourdes](/places/fr-sanctuary-of-our-lady-of-lourdes) | [France](/tags/france) | 1858 | [Link](/places/fr-sanctuary-of-our-lady-of-lourdes) [Official site](https://www.lourdes-france.org/)[Link](http://www.therealpresence.org/eucharst/misc/BVM/40_LOURDES_140x96.pdf)[Link](https://www.miraclehunter.com/marian_apparitions/approved_apparitions/lourdes/index.html)[Link](https://www.marypages.com/lourdes-(frankrijk)-1858/)| [St. Bernadette of Lourdes](/tags/bernadette-soubirous) |</v>
      </c>
    </row>
    <row r="30" spans="1:89" ht="102" x14ac:dyDescent="0.25">
      <c r="A30" s="14" t="s">
        <v>1322</v>
      </c>
      <c r="B30" s="24" t="s">
        <v>541</v>
      </c>
      <c r="D30" s="15">
        <v>50.980685700000002</v>
      </c>
      <c r="E30" s="49">
        <v>14.597349899999999</v>
      </c>
      <c r="F30" s="24" t="s">
        <v>368</v>
      </c>
      <c r="G30" s="53" t="s">
        <v>368</v>
      </c>
      <c r="H30" s="15" t="s">
        <v>1720</v>
      </c>
      <c r="I30" s="25" t="b">
        <v>1</v>
      </c>
      <c r="J30" s="15" t="b">
        <v>1</v>
      </c>
      <c r="L30" s="24" t="s">
        <v>365</v>
      </c>
      <c r="M30" s="55" t="s">
        <v>1746</v>
      </c>
      <c r="N30" s="15" t="s">
        <v>367</v>
      </c>
      <c r="O30" s="48"/>
      <c r="P30" s="94" t="s">
        <v>1827</v>
      </c>
      <c r="Q30" s="15" t="s">
        <v>1823</v>
      </c>
      <c r="Y30" s="16" t="s">
        <v>336</v>
      </c>
      <c r="Z30" s="16"/>
      <c r="AA30" s="16"/>
      <c r="AB30" s="16"/>
      <c r="AC30" s="16"/>
      <c r="AD30" s="16"/>
      <c r="AE30" s="16"/>
      <c r="AF30" s="16"/>
      <c r="AG30" s="16"/>
      <c r="AH30" s="87"/>
      <c r="AI30" s="98" t="s">
        <v>997</v>
      </c>
      <c r="AJ30" s="99">
        <v>1866</v>
      </c>
      <c r="AK30" s="15" t="s">
        <v>295</v>
      </c>
      <c r="AL30" s="15" t="s">
        <v>336</v>
      </c>
      <c r="AM30" s="15" t="s">
        <v>366</v>
      </c>
      <c r="AN30" s="15" t="s">
        <v>336</v>
      </c>
      <c r="AO30" s="15" t="s">
        <v>336</v>
      </c>
      <c r="AP30" s="49" t="s">
        <v>336</v>
      </c>
      <c r="AR30" s="28" t="b">
        <f t="shared" si="0"/>
        <v>1</v>
      </c>
      <c r="AS30" s="29" t="str">
        <f t="shared" si="1"/>
        <v>title: "Basilica of Our Lady Help of Christians"</v>
      </c>
      <c r="AT30" s="29" t="str">
        <f t="shared" si="2"/>
        <v>location: {lat: 50.9806857, lng: 14.5973499}</v>
      </c>
      <c r="AU30" s="29" t="str">
        <f t="shared" si="3"/>
        <v>level: global</v>
      </c>
      <c r="AV30" s="29" t="str">
        <f>"- "&amp;VLOOKUP(B30,'(Ref) Countries'!A:C,3,)</f>
        <v>- czechia</v>
      </c>
      <c r="AW30" s="29" t="str">
        <f t="shared" si="4"/>
        <v/>
      </c>
      <c r="AX30" s="29" t="str">
        <f t="shared" si="5"/>
        <v>- churches</v>
      </c>
      <c r="AY30" s="29" t="str">
        <f t="shared" si="6"/>
        <v>- marian-sites</v>
      </c>
      <c r="AZ30" s="29" t="str">
        <f t="shared" si="7"/>
        <v/>
      </c>
      <c r="BA30" s="29" t="str">
        <f t="shared" si="8"/>
        <v/>
      </c>
      <c r="BB30" s="29" t="str">
        <f t="shared" si="9"/>
        <v/>
      </c>
      <c r="BC30" s="29" t="str">
        <f t="shared" si="10"/>
        <v/>
      </c>
      <c r="BD30" s="29" t="str">
        <f t="shared" si="11"/>
        <v/>
      </c>
      <c r="BE30" s="29" t="str">
        <f t="shared" si="12"/>
        <v/>
      </c>
      <c r="BF30" s="29" t="str">
        <f t="shared" si="13"/>
        <v/>
      </c>
      <c r="BG30" s="29" t="str">
        <f t="shared" si="14"/>
        <v/>
      </c>
      <c r="BH30" s="29" t="str">
        <f t="shared" si="15"/>
        <v/>
      </c>
      <c r="BI30" s="29" t="str">
        <f t="shared" si="16"/>
        <v/>
      </c>
      <c r="BJ30" s="29" t="str">
        <f t="shared" si="17"/>
        <v/>
      </c>
      <c r="BK30" s="29" t="str">
        <f t="shared" si="33"/>
        <v xml:space="preserve">tags:
- czechia_x000D_
- churches_x000D_
- marian-sites_x000D_
</v>
      </c>
      <c r="BL30" s="30" t="str">
        <f t="shared" si="18"/>
        <v>[Official site](http://cz.poutni-mista-sluknovsko.cz/bazilika-minor-panny-marie-pomocnice-krestanu-filipov.html)</v>
      </c>
      <c r="BM30" s="30" t="str">
        <f t="shared" si="19"/>
        <v>[Official Facebook page](https://www.facebook.com/poutnimistofilipov)</v>
      </c>
      <c r="BN30" s="30" t="str">
        <f t="shared" si="20"/>
        <v/>
      </c>
      <c r="BO30" s="30" t="str">
        <f t="shared" si="21"/>
        <v/>
      </c>
      <c r="BP30" s="30" t="str">
        <f t="shared" si="34"/>
        <v xml:space="preserve">* [Official site](http://cz.poutni-mista-sluknovsko.cz/bazilika-minor-panny-marie-pomocnice-krestanu-filipov.html)
* [Official Facebook page](https://www.facebook.com/poutnimistofilipov)
</v>
      </c>
      <c r="BQ30" s="30" t="str">
        <f t="shared" si="22"/>
        <v>[Link](http://www.therealpresence.org/eucharst/misc/BVM/89_FILIPOV_96x96.pdf)</v>
      </c>
      <c r="BR30" s="30" t="str">
        <f t="shared" si="23"/>
        <v>[Link](https://www.miraclehunter.com/marian_apparitions/approved_apparitions/filippsdorf/index.html)</v>
      </c>
      <c r="BS30" s="30" t="str">
        <f t="shared" si="24"/>
        <v/>
      </c>
      <c r="BT30" s="30" t="str">
        <f>IF(LEN(concat(BQ30:BS30))&gt;0,concat("| ",BQ30," | ",BR30," | ",BS30," |"),"")</f>
        <v>| [Link](http://www.therealpresence.org/eucharst/misc/BVM/89_FILIPOV_96x96.pdf) | [Link](https://www.miraclehunter.com/marian_apparitions/approved_apparitions/filippsdorf/index.html) |  |</v>
      </c>
      <c r="BU30" s="29" t="str">
        <f t="shared" si="25"/>
        <v xml:space="preserve">| The Real Presence | Miracle Hunter | MaryPages |_x000D_
| --- | --- | --- |_x000D_
| [Link](http://www.therealpresence.org/eucharst/misc/BVM/89_FILIPOV_96x96.pdf) | [Link](https://www.miraclehunter.com/marian_apparitions/approved_apparitions/filippsdorf/index.html) |  |_x000D_
</v>
      </c>
      <c r="BV30" s="29" t="str">
        <f>IF(LEN(BP30&amp;BU30)&gt;0,concatll("#### More Information",BP30,BU30),"")</f>
        <v xml:space="preserve">#### More Information_x000D_
_x000D_
* [Official site](http://cz.poutni-mista-sluknovsko.cz/bazilika-minor-panny-marie-pomocnice-krestanu-filipov.html)
* [Official Facebook page](https://www.facebook.com/poutnimistofilipov)
_x000D_
_x000D_
| The Real Presence | Miracle Hunter | MaryPages |_x000D_
| --- | --- | --- |_x000D_
| [Link](http://www.therealpresence.org/eucharst/misc/BVM/89_FILIPOV_96x96.pdf) | [Link](https://www.miraclehunter.com/marian_apparitions/approved_apparitions/filippsdorf/index.html) |  |_x000D_
_x000D_
_x000D_
</v>
      </c>
      <c r="BW30" s="29" t="str">
        <f>IF(LEN(M30)&gt;1,concatll("#### Author's Note",M30),"")</f>
        <v xml:space="preserve">#### Author's Note_x000D_
_x000D_
It has been extremely difficult to find information on this pilgrimage site.  The "official site" above seems to reference several pilgrimage destinations in the area, and its worship times are outdated at time of writing.  We'd recommend checking the Facebook site for more up-to-date information.
-JMM_x000D_
_x000D_
</v>
      </c>
      <c r="BX30" s="23" t="str">
        <f>IF(AR30,concatll(concatl("---",AS30:AU30,BK30,"---"),L30,BV30:BW30),"")</f>
        <v xml:space="preserve">---_x000D_
title: "Basilica of Our Lady Help of Christians"_x000D_
location: {lat: 50.9806857, lng: 14.5973499}_x000D_
level: global_x000D_
tags:
- czechia_x000D_
- churches_x000D_
- marian-sites_x000D_
_x000D_
---_x000D_
_x000D_
_x000D_
In 1866, Magdalene Kade, an orphaned 31 year woman bedridden due to many illnesses, received a vision of the Blessed Virgin Mary, who immediately cured her.  A bishop's commission examined the miraculous event and recognized the healing and supernatural character.  A church was built by 1885 and elevated to a minor basilica by Pope Leo XIII, who officially consecrated it and dedicated to Mary, "Help of Christians."_x000D_
_x000D_
#### More Information_x000D_
_x000D_
* [Official site](http://cz.poutni-mista-sluknovsko.cz/bazilika-minor-panny-marie-pomocnice-krestanu-filipov.html)
* [Official Facebook page](https://www.facebook.com/poutnimistofilipov)
_x000D_
_x000D_
| The Real Presence | Miracle Hunter | MaryPages |_x000D_
| --- | --- | --- |_x000D_
| [Link](http://www.therealpresence.org/eucharst/misc/BVM/89_FILIPOV_96x96.pdf) | [Link](https://www.miraclehunter.com/marian_apparitions/approved_apparitions/filippsdorf/index.html) |  |_x000D_
_x000D_
_x000D_
_x000D_
_x000D_
#### Author's Note_x000D_
_x000D_
It has been extremely difficult to find information on this pilgrimage site.  The "official site" above seems to reference several pilgrimage destinations in the area, and its worship times are outdated at time of writing.  We'd recommend checking the Facebook site for more up-to-date information.
-JMM_x000D_
_x000D_
_x000D_
_x000D_
</v>
      </c>
      <c r="BY30" s="23" t="str">
        <f>IF(AR30,VLOOKUP(B30,'(Ref) Countries'!A:B,2,)&amp;IF(LEN(C30)&gt;1,"-"&amp;LOWER(SUBSTITUTE(C30," ","-")),"")&amp;"-"&amp;LOWER(SUBSTITUTE(G30," ","-"))&amp;".md","")</f>
        <v>cz-basilica-of-our-lady-help-of-christians.md</v>
      </c>
      <c r="BZ30" s="30" t="str">
        <f>IF(LEN(Y30)&gt;1,VLOOKUP(Y30,'Tag List'!$A:$B,2,),"")</f>
        <v/>
      </c>
      <c r="CA30" s="30" t="str">
        <f>IF(LEN(Z30)&gt;1,VLOOKUP(Z30,'Tag List'!$A:$B,2,),"")</f>
        <v/>
      </c>
      <c r="CB30" s="30" t="str">
        <f>IF(LEN(AA30)&gt;1,VLOOKUP(AA30,'Tag List'!$A:$B,2,),"")</f>
        <v/>
      </c>
      <c r="CC30" s="30" t="str">
        <f>IF(LEN(Y30)&gt;1,GetTagPage(BZ30,Y30),"")</f>
        <v/>
      </c>
      <c r="CD30" s="30" t="str">
        <f>IF(LEN(Z30)&gt;1,GetTagPage(CA30,Z30),"")</f>
        <v/>
      </c>
      <c r="CE30" s="30" t="str">
        <f>IF(LEN(AA30)&gt;1,GetTagPage(CB30,AA30),"")</f>
        <v/>
      </c>
      <c r="CF30" s="30" t="str">
        <f t="shared" si="35"/>
        <v xml:space="preserve">| </v>
      </c>
      <c r="CG30" s="30" t="str">
        <f t="shared" si="27"/>
        <v xml:space="preserve">| [Filipov](/places/cz-basilica-of-our-lady-help-of-christians) </v>
      </c>
      <c r="CH30" s="30" t="str">
        <f>"| "&amp;IF(AR30,GetTagPage(B30,VLOOKUP(B30,'(Ref) Countries'!A:C,3,)),B30)&amp; " "</f>
        <v xml:space="preserve">| [Czechia](/tags/czechia) </v>
      </c>
      <c r="CI30" s="30" t="str">
        <f t="shared" si="28"/>
        <v xml:space="preserve">| 1866 </v>
      </c>
      <c r="CJ30" s="30" t="str">
        <f t="shared" si="36"/>
        <v xml:space="preserve">| [Link](/places/cz-basilica-of-our-lady-help-of-christians) </v>
      </c>
      <c r="CK30" s="29" t="str">
        <f t="shared" si="37"/>
        <v xml:space="preserve">
| [Filipov](/places/cz-basilica-of-our-lady-help-of-christians) | [Czechia](/tags/czechia) | 1866 | [Link](/places/cz-basilica-of-our-lady-help-of-christians) [Official site](http://cz.poutni-mista-sluknovsko.cz/bazilika-minor-panny-marie-pomocnice-krestanu-filipov.html)[Link](http://www.therealpresence.org/eucharst/misc/BVM/89_FILIPOV_96x96.pdf)[Link](https://www.miraclehunter.com/marian_apparitions/approved_apparitions/filippsdorf/index.html)| |</v>
      </c>
    </row>
    <row r="31" spans="1:89" ht="51" x14ac:dyDescent="0.25">
      <c r="A31" s="14" t="s">
        <v>1322</v>
      </c>
      <c r="B31" s="24" t="s">
        <v>557</v>
      </c>
      <c r="D31" s="15">
        <v>48.439602100000002</v>
      </c>
      <c r="E31" s="49">
        <v>-1.0592325</v>
      </c>
      <c r="F31" s="24" t="s">
        <v>478</v>
      </c>
      <c r="G31" s="53" t="s">
        <v>992</v>
      </c>
      <c r="H31" s="15" t="s">
        <v>1720</v>
      </c>
      <c r="I31" s="25" t="b">
        <v>1</v>
      </c>
      <c r="J31" s="15" t="b">
        <v>1</v>
      </c>
      <c r="L31" s="24" t="s">
        <v>361</v>
      </c>
      <c r="N31" s="15" t="s">
        <v>364</v>
      </c>
      <c r="O31" s="15" t="s">
        <v>336</v>
      </c>
      <c r="Y31" s="16" t="s">
        <v>336</v>
      </c>
      <c r="Z31" s="16"/>
      <c r="AA31" s="16"/>
      <c r="AB31" s="16"/>
      <c r="AC31" s="16"/>
      <c r="AD31" s="16"/>
      <c r="AE31" s="16"/>
      <c r="AF31" s="16"/>
      <c r="AG31" s="16"/>
      <c r="AH31" s="87"/>
      <c r="AI31" s="98" t="s">
        <v>998</v>
      </c>
      <c r="AJ31" s="99">
        <v>1871</v>
      </c>
      <c r="AK31" s="15" t="s">
        <v>296</v>
      </c>
      <c r="AL31" s="15" t="s">
        <v>336</v>
      </c>
      <c r="AM31" s="15" t="s">
        <v>362</v>
      </c>
      <c r="AN31" s="15" t="s">
        <v>336</v>
      </c>
      <c r="AO31" s="15" t="s">
        <v>363</v>
      </c>
      <c r="AP31" s="49" t="s">
        <v>336</v>
      </c>
      <c r="AR31" s="28" t="b">
        <f t="shared" si="0"/>
        <v>1</v>
      </c>
      <c r="AS31" s="29" t="str">
        <f t="shared" si="1"/>
        <v>title: "Sanctuary of Pontmain (Mother of Hope)"</v>
      </c>
      <c r="AT31" s="29" t="str">
        <f t="shared" si="2"/>
        <v>location: {lat: 48.4396021, lng: -1.0592325}</v>
      </c>
      <c r="AU31" s="29" t="str">
        <f t="shared" si="3"/>
        <v>level: global</v>
      </c>
      <c r="AV31" s="29" t="str">
        <f>"- "&amp;VLOOKUP(B31,'(Ref) Countries'!A:C,3,)</f>
        <v>- france</v>
      </c>
      <c r="AW31" s="29" t="str">
        <f t="shared" si="4"/>
        <v/>
      </c>
      <c r="AX31" s="29" t="str">
        <f t="shared" si="5"/>
        <v>- churches</v>
      </c>
      <c r="AY31" s="29" t="str">
        <f t="shared" si="6"/>
        <v>- marian-sites</v>
      </c>
      <c r="AZ31" s="29" t="str">
        <f t="shared" si="7"/>
        <v/>
      </c>
      <c r="BA31" s="29" t="str">
        <f t="shared" si="8"/>
        <v/>
      </c>
      <c r="BB31" s="29" t="str">
        <f t="shared" si="9"/>
        <v/>
      </c>
      <c r="BC31" s="29" t="str">
        <f t="shared" si="10"/>
        <v/>
      </c>
      <c r="BD31" s="29" t="str">
        <f t="shared" si="11"/>
        <v/>
      </c>
      <c r="BE31" s="29" t="str">
        <f t="shared" si="12"/>
        <v/>
      </c>
      <c r="BF31" s="29" t="str">
        <f t="shared" si="13"/>
        <v/>
      </c>
      <c r="BG31" s="29" t="str">
        <f t="shared" si="14"/>
        <v/>
      </c>
      <c r="BH31" s="29" t="str">
        <f t="shared" si="15"/>
        <v/>
      </c>
      <c r="BI31" s="29" t="str">
        <f t="shared" si="16"/>
        <v/>
      </c>
      <c r="BJ31" s="29" t="str">
        <f t="shared" si="17"/>
        <v/>
      </c>
      <c r="BK31" s="29" t="str">
        <f t="shared" si="33"/>
        <v xml:space="preserve">tags:
- france_x000D_
- churches_x000D_
- marian-sites_x000D_
</v>
      </c>
      <c r="BL31" s="30" t="str">
        <f t="shared" si="18"/>
        <v>[Official site](https://sanctuaire-pontmain.com/)</v>
      </c>
      <c r="BM31" s="30" t="str">
        <f t="shared" si="19"/>
        <v/>
      </c>
      <c r="BN31" s="30" t="str">
        <f t="shared" si="20"/>
        <v/>
      </c>
      <c r="BO31" s="30" t="str">
        <f t="shared" si="21"/>
        <v/>
      </c>
      <c r="BP31" s="30" t="str">
        <f t="shared" si="34"/>
        <v xml:space="preserve">* [Official site](https://sanctuaire-pontmain.com/)
</v>
      </c>
      <c r="BQ31" s="30" t="str">
        <f t="shared" si="22"/>
        <v>[Link](http://www.therealpresence.org/eucharst/misc/BVM/26_PONTMAIN_60x96.pdf)</v>
      </c>
      <c r="BR31" s="30" t="str">
        <f t="shared" si="23"/>
        <v>[Link](https://www.miraclehunter.com/marian_apparitions/approved_apparitions/pontmain/index.html))</v>
      </c>
      <c r="BS31" s="30" t="str">
        <f t="shared" si="24"/>
        <v>[Link](https://www.marypages.com/pontmain-(france)-en.html)</v>
      </c>
      <c r="BT31" s="30" t="str">
        <f>IF(LEN(concat(BQ31:BS31))&gt;0,concat("| ",BQ31," | ",BR31," | ",BS31," |"),"")</f>
        <v>| [Link](http://www.therealpresence.org/eucharst/misc/BVM/26_PONTMAIN_60x96.pdf) | [Link](https://www.miraclehunter.com/marian_apparitions/approved_apparitions/pontmain/index.html)) | [Link](https://www.marypages.com/pontmain-(france)-en.html) |</v>
      </c>
      <c r="BU31" s="29" t="str">
        <f t="shared" si="25"/>
        <v xml:space="preserve">| The Real Presence | Miracle Hunter | MaryPages |_x000D_
| --- | --- | --- |_x000D_
| [Link](http://www.therealpresence.org/eucharst/misc/BVM/26_PONTMAIN_60x96.pdf) | [Link](https://www.miraclehunter.com/marian_apparitions/approved_apparitions/pontmain/index.html)) | [Link](https://www.marypages.com/pontmain-(france)-en.html) |_x000D_
</v>
      </c>
      <c r="BV31" s="29" t="str">
        <f>IF(LEN(BP31&amp;BU31)&gt;0,concatll("#### More Information",BP31,BU31),"")</f>
        <v xml:space="preserve">#### More Information_x000D_
_x000D_
* [Official site](https://sanctuaire-pontmain.com/)
_x000D_
_x000D_
| The Real Presence | Miracle Hunter | MaryPages |_x000D_
| --- | --- | --- |_x000D_
| [Link](http://www.therealpresence.org/eucharst/misc/BVM/26_PONTMAIN_60x96.pdf) | [Link](https://www.miraclehunter.com/marian_apparitions/approved_apparitions/pontmain/index.html)) | [Link](https://www.marypages.com/pontmain-(france)-en.html) |_x000D_
_x000D_
_x000D_
</v>
      </c>
      <c r="BW31" s="29" t="str">
        <f>IF(LEN(M31)&gt;1,concatll("#### Author's Note",M31),"")</f>
        <v/>
      </c>
      <c r="BX31" s="23" t="str">
        <f>IF(AR31,concatll(concatl("---",AS31:AU31,BK31,"---"),L31,BV31:BW31),"")</f>
        <v xml:space="preserve">---_x000D_
title: "Sanctuary of Pontmain (Mother of Hope)"_x000D_
location: {lat: 48.4396021, lng: -1.0592325}_x000D_
level: global_x000D_
tags:
- france_x000D_
- churches_x000D_
- marian-sites_x000D_
_x000D_
---_x000D_
_x000D_
_x000D_
In 1871, during the Franco-Prussian War, Mary appeared on a farm to students at the nearby convent school.  Her message was written on a banner that unfurled from her feet: "But pray my children. God will hear you in a short time. My Son allows Himself to be moved by compassion."_x000D_
_x000D_
#### More Information_x000D_
_x000D_
* [Official site](https://sanctuaire-pontmain.com/)
_x000D_
_x000D_
| The Real Presence | Miracle Hunter | MaryPages |_x000D_
| --- | --- | --- |_x000D_
| [Link](http://www.therealpresence.org/eucharst/misc/BVM/26_PONTMAIN_60x96.pdf) | [Link](https://www.miraclehunter.com/marian_apparitions/approved_apparitions/pontmain/index.html)) | [Link](https://www.marypages.com/pontmain-(france)-en.html) |_x000D_
_x000D_
_x000D_
_x000D_
_x000D_
</v>
      </c>
      <c r="BY31" s="23" t="str">
        <f>IF(AR31,VLOOKUP(B31,'(Ref) Countries'!A:B,2,)&amp;IF(LEN(C31)&gt;1,"-"&amp;LOWER(SUBSTITUTE(C31," ","-")),"")&amp;"-"&amp;LOWER(SUBSTITUTE(G31," ","-"))&amp;".md","")</f>
        <v>fr-sanctuary-of-pontmain.md</v>
      </c>
      <c r="BZ31" s="30" t="str">
        <f>IF(LEN(Y31)&gt;1,VLOOKUP(Y31,'Tag List'!$A:$B,2,),"")</f>
        <v/>
      </c>
      <c r="CA31" s="30" t="str">
        <f>IF(LEN(Z31)&gt;1,VLOOKUP(Z31,'Tag List'!$A:$B,2,),"")</f>
        <v/>
      </c>
      <c r="CB31" s="30" t="str">
        <f>IF(LEN(AA31)&gt;1,VLOOKUP(AA31,'Tag List'!$A:$B,2,),"")</f>
        <v/>
      </c>
      <c r="CC31" s="30" t="str">
        <f>IF(LEN(Y31)&gt;1,GetTagPage(BZ31,Y31),"")</f>
        <v/>
      </c>
      <c r="CD31" s="30" t="str">
        <f>IF(LEN(Z31)&gt;1,GetTagPage(CA31,Z31),"")</f>
        <v/>
      </c>
      <c r="CE31" s="30" t="str">
        <f>IF(LEN(AA31)&gt;1,GetTagPage(CB31,AA31),"")</f>
        <v/>
      </c>
      <c r="CF31" s="30" t="str">
        <f t="shared" si="35"/>
        <v xml:space="preserve">| </v>
      </c>
      <c r="CG31" s="30" t="str">
        <f t="shared" si="27"/>
        <v xml:space="preserve">| [Pontmain](/places/fr-sanctuary-of-pontmain) </v>
      </c>
      <c r="CH31" s="30" t="str">
        <f>"| "&amp;IF(AR31,GetTagPage(B31,VLOOKUP(B31,'(Ref) Countries'!A:C,3,)),B31)&amp; " "</f>
        <v xml:space="preserve">| [France](/tags/france) </v>
      </c>
      <c r="CI31" s="30" t="str">
        <f t="shared" si="28"/>
        <v xml:space="preserve">| 1871 </v>
      </c>
      <c r="CJ31" s="30" t="str">
        <f t="shared" si="36"/>
        <v xml:space="preserve">| [Link](/places/fr-sanctuary-of-pontmain) </v>
      </c>
      <c r="CK31" s="29" t="str">
        <f t="shared" si="37"/>
        <v xml:space="preserve">
| [Pontmain](/places/fr-sanctuary-of-pontmain) | [France](/tags/france) | 1871 | [Link](/places/fr-sanctuary-of-pontmain) [Official site](https://sanctuaire-pontmain.com/)[Link](http://www.therealpresence.org/eucharst/misc/BVM/26_PONTMAIN_60x96.pdf)[Link](https://www.miraclehunter.com/marian_apparitions/approved_apparitions/pontmain/index.html))[Link](https://www.marypages.com/pontmain-(france)-en.html)| |</v>
      </c>
    </row>
    <row r="32" spans="1:89" x14ac:dyDescent="0.25">
      <c r="A32" s="14" t="s">
        <v>1051</v>
      </c>
      <c r="B32" s="24" t="s">
        <v>557</v>
      </c>
      <c r="D32" s="15">
        <v>46.982858987663199</v>
      </c>
      <c r="E32" s="49">
        <v>1.4171181142389</v>
      </c>
      <c r="F32" s="27" t="s">
        <v>1703</v>
      </c>
      <c r="G32" s="53" t="s">
        <v>1703</v>
      </c>
      <c r="H32" s="15" t="s">
        <v>1720</v>
      </c>
      <c r="I32" s="25" t="b">
        <v>1</v>
      </c>
      <c r="J32" s="15" t="b">
        <v>1</v>
      </c>
      <c r="L32" s="27" t="s">
        <v>1335</v>
      </c>
      <c r="N32" s="15" t="s">
        <v>1704</v>
      </c>
      <c r="O32" s="15" t="s">
        <v>336</v>
      </c>
      <c r="Y32" s="15" t="s">
        <v>336</v>
      </c>
      <c r="AI32" s="98" t="s">
        <v>1285</v>
      </c>
      <c r="AJ32" s="99">
        <v>1876</v>
      </c>
      <c r="AK32" s="15" t="s">
        <v>299</v>
      </c>
      <c r="AL32" s="15" t="s">
        <v>336</v>
      </c>
      <c r="AM32" s="15" t="s">
        <v>1705</v>
      </c>
      <c r="AN32" s="15" t="s">
        <v>336</v>
      </c>
      <c r="AO32" s="15" t="s">
        <v>1706</v>
      </c>
      <c r="AP32" s="49" t="s">
        <v>336</v>
      </c>
      <c r="AR32" s="28" t="b">
        <f t="shared" si="0"/>
        <v>1</v>
      </c>
      <c r="AS32" s="29" t="str">
        <f t="shared" si="1"/>
        <v>title: "Sanctuary of Pellevoisin"</v>
      </c>
      <c r="AT32" s="29" t="str">
        <f t="shared" si="2"/>
        <v>location: {lat: 46.9828589876632, lng: 1.4171181142389}</v>
      </c>
      <c r="AU32" s="29" t="str">
        <f t="shared" si="3"/>
        <v>level: global</v>
      </c>
      <c r="AV32" s="29" t="str">
        <f>"- "&amp;VLOOKUP(B32,'(Ref) Countries'!A:C,3,)</f>
        <v>- france</v>
      </c>
      <c r="AW32" s="29" t="str">
        <f t="shared" si="4"/>
        <v/>
      </c>
      <c r="AX32" s="29" t="str">
        <f t="shared" si="5"/>
        <v>- churches</v>
      </c>
      <c r="AY32" s="29" t="str">
        <f t="shared" si="6"/>
        <v>- marian-sites</v>
      </c>
      <c r="AZ32" s="29" t="str">
        <f t="shared" si="7"/>
        <v/>
      </c>
      <c r="BA32" s="29" t="str">
        <f t="shared" si="8"/>
        <v/>
      </c>
      <c r="BB32" s="29" t="str">
        <f t="shared" si="9"/>
        <v/>
      </c>
      <c r="BC32" s="29" t="str">
        <f t="shared" si="10"/>
        <v/>
      </c>
      <c r="BD32" s="29" t="str">
        <f t="shared" si="11"/>
        <v/>
      </c>
      <c r="BE32" s="29" t="str">
        <f t="shared" si="12"/>
        <v/>
      </c>
      <c r="BF32" s="29" t="str">
        <f t="shared" si="13"/>
        <v/>
      </c>
      <c r="BG32" s="29" t="str">
        <f t="shared" si="14"/>
        <v/>
      </c>
      <c r="BH32" s="29" t="str">
        <f t="shared" si="15"/>
        <v/>
      </c>
      <c r="BI32" s="29" t="str">
        <f t="shared" si="16"/>
        <v/>
      </c>
      <c r="BJ32" s="29" t="str">
        <f t="shared" si="17"/>
        <v/>
      </c>
      <c r="BK32" s="29" t="str">
        <f t="shared" si="33"/>
        <v xml:space="preserve">tags:
- france_x000D_
- churches_x000D_
- marian-sites_x000D_
</v>
      </c>
      <c r="BL32" s="30" t="str">
        <f t="shared" si="18"/>
        <v>[Official site](https://www.pellevoisin.net/)</v>
      </c>
      <c r="BM32" s="30" t="str">
        <f t="shared" si="19"/>
        <v/>
      </c>
      <c r="BN32" s="30" t="str">
        <f t="shared" si="20"/>
        <v/>
      </c>
      <c r="BO32" s="30" t="str">
        <f t="shared" si="21"/>
        <v/>
      </c>
      <c r="BP32" s="30" t="str">
        <f t="shared" si="34"/>
        <v xml:space="preserve">* [Official site](https://www.pellevoisin.net/)
</v>
      </c>
      <c r="BQ32" s="30" t="str">
        <f t="shared" si="22"/>
        <v>[Link](http://www.therealpresence.org/eucharst/misc/BVM/07_PELLEVOISIN_60x96.pdf)</v>
      </c>
      <c r="BR32" s="30" t="str">
        <f t="shared" si="23"/>
        <v>[Link](https://www.miraclehunter.com/marian_apparitions/approved_apparitions/pellevoisin/index.html)</v>
      </c>
      <c r="BS32" s="30" t="str">
        <f t="shared" si="24"/>
        <v>[Link](https://www.marypages.com/pellevoisin-france-en.html)</v>
      </c>
      <c r="BT32" s="30" t="str">
        <f>IF(LEN(concat(BQ32:BS32))&gt;0,concat("| ",BQ32," | ",BR32," | ",BS32," |"),"")</f>
        <v>| [Link](http://www.therealpresence.org/eucharst/misc/BVM/07_PELLEVOISIN_60x96.pdf) | [Link](https://www.miraclehunter.com/marian_apparitions/approved_apparitions/pellevoisin/index.html) | [Link](https://www.marypages.com/pellevoisin-france-en.html) |</v>
      </c>
      <c r="BU32" s="29" t="str">
        <f t="shared" si="25"/>
        <v xml:space="preserve">| The Real Presence | Miracle Hunter | MaryPages |_x000D_
| --- | --- | --- |_x000D_
| [Link](http://www.therealpresence.org/eucharst/misc/BVM/07_PELLEVOISIN_60x96.pdf) | [Link](https://www.miraclehunter.com/marian_apparitions/approved_apparitions/pellevoisin/index.html) | [Link](https://www.marypages.com/pellevoisin-france-en.html) |_x000D_
</v>
      </c>
      <c r="BV32" s="29" t="str">
        <f>IF(LEN(BP32&amp;BU32)&gt;0,concatll("#### More Information",BP32,BU32),"")</f>
        <v xml:space="preserve">#### More Information_x000D_
_x000D_
* [Official site](https://www.pellevoisin.net/)
_x000D_
_x000D_
| The Real Presence | Miracle Hunter | MaryPages |_x000D_
| --- | --- | --- |_x000D_
| [Link](http://www.therealpresence.org/eucharst/misc/BVM/07_PELLEVOISIN_60x96.pdf) | [Link](https://www.miraclehunter.com/marian_apparitions/approved_apparitions/pellevoisin/index.html) | [Link](https://www.marypages.com/pellevoisin-france-en.html) |_x000D_
_x000D_
_x000D_
</v>
      </c>
      <c r="BW32" s="29" t="str">
        <f>IF(LEN(M32)&gt;1,concatll("#### Author's Note",M32),"")</f>
        <v/>
      </c>
      <c r="BX32" s="23" t="str">
        <f>IF(AR32,concatll(concatl("---",AS32:AU32,BK32,"---"),L32,BV32:BW32),"")</f>
        <v xml:space="preserve">---_x000D_
title: "Sanctuary of Pellevoisin"_x000D_
location: {lat: 46.9828589876632, lng: 1.4171181142389}_x000D_
level: global_x000D_
tags:
- france_x000D_
- churches_x000D_
- marian-sites_x000D_
_x000D_
---_x000D_
_x000D_
_x000D_
_Research in progress__x000D_
_x000D_
#### More Information_x000D_
_x000D_
* [Official site](https://www.pellevoisin.net/)
_x000D_
_x000D_
| The Real Presence | Miracle Hunter | MaryPages |_x000D_
| --- | --- | --- |_x000D_
| [Link](http://www.therealpresence.org/eucharst/misc/BVM/07_PELLEVOISIN_60x96.pdf) | [Link](https://www.miraclehunter.com/marian_apparitions/approved_apparitions/pellevoisin/index.html) | [Link](https://www.marypages.com/pellevoisin-france-en.html) |_x000D_
_x000D_
_x000D_
_x000D_
_x000D_
</v>
      </c>
      <c r="BY32" s="23" t="str">
        <f>IF(AR32,VLOOKUP(B32,'(Ref) Countries'!A:B,2,)&amp;IF(LEN(C32)&gt;1,"-"&amp;LOWER(SUBSTITUTE(C32," ","-")),"")&amp;"-"&amp;LOWER(SUBSTITUTE(G32," ","-"))&amp;".md","")</f>
        <v>fr-sanctuary-of-pellevoisin.md</v>
      </c>
      <c r="BZ32" s="29" t="str">
        <f>IF(LEN(Y32)&gt;1,VLOOKUP(Y32,'Tag List'!$A:$B,2,),"")</f>
        <v/>
      </c>
      <c r="CA32" s="29" t="str">
        <f>IF(LEN(Z32)&gt;1,VLOOKUP(Z32,'Tag List'!$A:$B,2,),"")</f>
        <v/>
      </c>
      <c r="CB32" s="29" t="str">
        <f>IF(LEN(AA32)&gt;1,VLOOKUP(AA32,'Tag List'!$A:$B,2,),"")</f>
        <v/>
      </c>
      <c r="CC32" s="30" t="str">
        <f>IF(LEN(Y32)&gt;1,GetTagPage(BZ32,Y32),"")</f>
        <v/>
      </c>
      <c r="CD32" s="30" t="str">
        <f>IF(LEN(Z32)&gt;1,GetTagPage(CA32,Z32),"")</f>
        <v/>
      </c>
      <c r="CE32" s="30" t="str">
        <f>IF(LEN(AA32)&gt;1,GetTagPage(CB32,AA32),"")</f>
        <v/>
      </c>
      <c r="CF32" s="30" t="str">
        <f t="shared" si="35"/>
        <v xml:space="preserve">| </v>
      </c>
      <c r="CG32" s="30" t="str">
        <f t="shared" si="27"/>
        <v xml:space="preserve">| [Pellovoisin](/places/fr-sanctuary-of-pellevoisin) </v>
      </c>
      <c r="CH32" s="30" t="str">
        <f>"| "&amp;IF(AR32,GetTagPage(B32,VLOOKUP(B32,'(Ref) Countries'!A:C,3,)),B32)&amp; " "</f>
        <v xml:space="preserve">| [France](/tags/france) </v>
      </c>
      <c r="CI32" s="30" t="str">
        <f t="shared" si="28"/>
        <v xml:space="preserve">| 1876 </v>
      </c>
      <c r="CJ32" s="30" t="str">
        <f t="shared" si="36"/>
        <v xml:space="preserve">| [Link](/places/fr-sanctuary-of-pellevoisin) </v>
      </c>
      <c r="CK32" s="29" t="str">
        <f t="shared" si="37"/>
        <v xml:space="preserve">
| [Pellovoisin](/places/fr-sanctuary-of-pellevoisin) | [France](/tags/france) | 1876 | [Link](/places/fr-sanctuary-of-pellevoisin) [Official site](https://www.pellevoisin.net/)[Link](http://www.therealpresence.org/eucharst/misc/BVM/07_PELLEVOISIN_60x96.pdf)[Link](https://www.miraclehunter.com/marian_apparitions/approved_apparitions/pellevoisin/index.html)[Link](https://www.marypages.com/pellevoisin-france-en.html)| |</v>
      </c>
    </row>
    <row r="33" spans="1:89" ht="51" x14ac:dyDescent="0.25">
      <c r="A33" s="14" t="s">
        <v>1322</v>
      </c>
      <c r="B33" s="24" t="s">
        <v>651</v>
      </c>
      <c r="D33" s="15">
        <v>53.7480853</v>
      </c>
      <c r="E33" s="49">
        <v>20.235602400000001</v>
      </c>
      <c r="F33" s="24" t="s">
        <v>474</v>
      </c>
      <c r="G33" s="53" t="s">
        <v>474</v>
      </c>
      <c r="H33" s="15" t="s">
        <v>1720</v>
      </c>
      <c r="I33" s="25" t="b">
        <v>1</v>
      </c>
      <c r="J33" s="15" t="b">
        <v>1</v>
      </c>
      <c r="L33" s="24" t="s">
        <v>354</v>
      </c>
      <c r="N33" s="15" t="s">
        <v>357</v>
      </c>
      <c r="O33" s="15" t="s">
        <v>336</v>
      </c>
      <c r="Y33" s="36" t="s">
        <v>336</v>
      </c>
      <c r="Z33" s="36"/>
      <c r="AA33" s="36"/>
      <c r="AB33" s="36"/>
      <c r="AC33" s="36"/>
      <c r="AD33" s="36"/>
      <c r="AE33" s="36"/>
      <c r="AF33" s="36"/>
      <c r="AG33" s="36"/>
      <c r="AH33" s="84"/>
      <c r="AI33" s="98" t="s">
        <v>996</v>
      </c>
      <c r="AJ33" s="99">
        <v>1877</v>
      </c>
      <c r="AK33" s="15" t="s">
        <v>300</v>
      </c>
      <c r="AL33" s="15" t="s">
        <v>336</v>
      </c>
      <c r="AM33" s="15" t="s">
        <v>356</v>
      </c>
      <c r="AN33" s="15" t="s">
        <v>336</v>
      </c>
      <c r="AO33" s="15" t="s">
        <v>355</v>
      </c>
      <c r="AP33" s="49" t="s">
        <v>336</v>
      </c>
      <c r="AR33" s="28" t="b">
        <f t="shared" si="0"/>
        <v>1</v>
      </c>
      <c r="AS33" s="29" t="str">
        <f t="shared" si="1"/>
        <v>title: "Sanctuary of Our Lady of Gietrzwałd"</v>
      </c>
      <c r="AT33" s="29" t="str">
        <f t="shared" si="2"/>
        <v>location: {lat: 53.7480853, lng: 20.2356024}</v>
      </c>
      <c r="AU33" s="29" t="str">
        <f t="shared" si="3"/>
        <v>level: global</v>
      </c>
      <c r="AV33" s="29" t="str">
        <f>"- "&amp;VLOOKUP(B33,'(Ref) Countries'!A:C,3,)</f>
        <v>- poland</v>
      </c>
      <c r="AW33" s="29" t="str">
        <f t="shared" si="4"/>
        <v/>
      </c>
      <c r="AX33" s="29" t="str">
        <f t="shared" si="5"/>
        <v>- churches</v>
      </c>
      <c r="AY33" s="29" t="str">
        <f t="shared" si="6"/>
        <v>- marian-sites</v>
      </c>
      <c r="AZ33" s="29" t="str">
        <f t="shared" si="7"/>
        <v/>
      </c>
      <c r="BA33" s="29" t="str">
        <f t="shared" si="8"/>
        <v/>
      </c>
      <c r="BB33" s="29" t="str">
        <f t="shared" si="9"/>
        <v/>
      </c>
      <c r="BC33" s="29" t="str">
        <f t="shared" si="10"/>
        <v/>
      </c>
      <c r="BD33" s="29" t="str">
        <f t="shared" si="11"/>
        <v/>
      </c>
      <c r="BE33" s="29" t="str">
        <f t="shared" si="12"/>
        <v/>
      </c>
      <c r="BF33" s="29" t="str">
        <f t="shared" si="13"/>
        <v/>
      </c>
      <c r="BG33" s="29" t="str">
        <f t="shared" si="14"/>
        <v/>
      </c>
      <c r="BH33" s="29" t="str">
        <f t="shared" si="15"/>
        <v/>
      </c>
      <c r="BI33" s="29" t="str">
        <f t="shared" si="16"/>
        <v/>
      </c>
      <c r="BJ33" s="29" t="str">
        <f t="shared" si="17"/>
        <v/>
      </c>
      <c r="BK33" s="29" t="str">
        <f t="shared" si="33"/>
        <v xml:space="preserve">tags:
- poland_x000D_
- churches_x000D_
- marian-sites_x000D_
</v>
      </c>
      <c r="BL33" s="30" t="str">
        <f t="shared" si="18"/>
        <v>[Official site](https://sanktuariummaryjne.pl/)</v>
      </c>
      <c r="BM33" s="30" t="str">
        <f t="shared" si="19"/>
        <v/>
      </c>
      <c r="BN33" s="30" t="str">
        <f t="shared" si="20"/>
        <v/>
      </c>
      <c r="BO33" s="30" t="str">
        <f t="shared" si="21"/>
        <v/>
      </c>
      <c r="BP33" s="30" t="str">
        <f t="shared" si="34"/>
        <v xml:space="preserve">* [Official site](https://sanktuariummaryjne.pl/)
</v>
      </c>
      <c r="BQ33" s="30" t="str">
        <f t="shared" si="22"/>
        <v>[Link](http://www.therealpresence.org/eucharst/misc/BVM/85_GIETRZALD_96x96.pdf)</v>
      </c>
      <c r="BR33" s="30" t="str">
        <f t="shared" si="23"/>
        <v>[Link](http://www.miraclehunter.com/marian_apparitions/approved_apparitions/gietrzwald/index.html)</v>
      </c>
      <c r="BS33" s="30" t="str">
        <f t="shared" si="24"/>
        <v>[Link](https://www.marypages.com/giertzwald-(poland)-en.html)</v>
      </c>
      <c r="BT33" s="30" t="str">
        <f>IF(LEN(concat(BQ33:BS33))&gt;0,concat("| ",BQ33," | ",BR33," | ",BS33," |"),"")</f>
        <v>| [Link](http://www.therealpresence.org/eucharst/misc/BVM/85_GIETRZALD_96x96.pdf) | [Link](http://www.miraclehunter.com/marian_apparitions/approved_apparitions/gietrzwald/index.html) | [Link](https://www.marypages.com/giertzwald-(poland)-en.html) |</v>
      </c>
      <c r="BU33" s="29" t="str">
        <f t="shared" si="25"/>
        <v xml:space="preserve">| The Real Presence | Miracle Hunter | MaryPages |_x000D_
| --- | --- | --- |_x000D_
| [Link](http://www.therealpresence.org/eucharst/misc/BVM/85_GIETRZALD_96x96.pdf) | [Link](http://www.miraclehunter.com/marian_apparitions/approved_apparitions/gietrzwald/index.html) | [Link](https://www.marypages.com/giertzwald-(poland)-en.html) |_x000D_
</v>
      </c>
      <c r="BV33" s="29" t="str">
        <f>IF(LEN(BP33&amp;BU33)&gt;0,concatll("#### More Information",BP33,BU33),"")</f>
        <v xml:space="preserve">#### More Information_x000D_
_x000D_
* [Official site](https://sanktuariummaryjne.pl/)
_x000D_
_x000D_
| The Real Presence | Miracle Hunter | MaryPages |_x000D_
| --- | --- | --- |_x000D_
| [Link](http://www.therealpresence.org/eucharst/misc/BVM/85_GIETRZALD_96x96.pdf) | [Link](http://www.miraclehunter.com/marian_apparitions/approved_apparitions/gietrzwald/index.html) | [Link](https://www.marypages.com/giertzwald-(poland)-en.html) |_x000D_
_x000D_
_x000D_
</v>
      </c>
      <c r="BW33" s="29" t="str">
        <f>IF(LEN(M33)&gt;1,concatll("#### Author's Note",M33),"")</f>
        <v/>
      </c>
      <c r="BX33" s="23" t="str">
        <f>IF(AR33,concatll(concatl("---",AS33:AU33,BK33,"---"),L33,BV33:BW33),"")</f>
        <v xml:space="preserve">---_x000D_
title: "Sanctuary of Our Lady of Gietrzwałd"_x000D_
location: {lat: 53.7480853, lng: 20.2356024}_x000D_
level: global_x000D_
tags:
- poland_x000D_
- churches_x000D_
- marian-sites_x000D_
_x000D_
---_x000D_
_x000D_
_x000D_
In 1877, Our Lady appeared to Justyna Szafrynska (13) just before receiving her First Holy Communion.  The next day, Barbara Samulowska (12) also saw the "Bright Lady" sitting on the throne with Infant Christ among angels.  The Blessed Mother's ask of the girls was for them to pray the rosary daily._x000D_
_x000D_
#### More Information_x000D_
_x000D_
* [Official site](https://sanktuariummaryjne.pl/)
_x000D_
_x000D_
| The Real Presence | Miracle Hunter | MaryPages |_x000D_
| --- | --- | --- |_x000D_
| [Link](http://www.therealpresence.org/eucharst/misc/BVM/85_GIETRZALD_96x96.pdf) | [Link](http://www.miraclehunter.com/marian_apparitions/approved_apparitions/gietrzwald/index.html) | [Link](https://www.marypages.com/giertzwald-(poland)-en.html) |_x000D_
_x000D_
_x000D_
_x000D_
_x000D_
</v>
      </c>
      <c r="BY33" s="23" t="str">
        <f>IF(AR33,VLOOKUP(B33,'(Ref) Countries'!A:B,2,)&amp;IF(LEN(C33)&gt;1,"-"&amp;LOWER(SUBSTITUTE(C33," ","-")),"")&amp;"-"&amp;LOWER(SUBSTITUTE(G33," ","-"))&amp;".md","")</f>
        <v>pl-sanctuary-of-our-lady-of-gietrzwałd.md</v>
      </c>
      <c r="BZ33" s="38" t="str">
        <f>IF(LEN(Y33)&gt;1,VLOOKUP(Y33,'Tag List'!$A:$B,2,),"")</f>
        <v/>
      </c>
      <c r="CA33" s="38" t="str">
        <f>IF(LEN(Z33)&gt;1,VLOOKUP(Z33,'Tag List'!$A:$B,2,),"")</f>
        <v/>
      </c>
      <c r="CB33" s="38" t="str">
        <f>IF(LEN(AA33)&gt;1,VLOOKUP(AA33,'Tag List'!$A:$B,2,),"")</f>
        <v/>
      </c>
      <c r="CC33" s="30" t="str">
        <f>IF(LEN(Y33)&gt;1,GetTagPage(BZ33,Y33),"")</f>
        <v/>
      </c>
      <c r="CD33" s="30" t="str">
        <f>IF(LEN(Z33)&gt;1,GetTagPage(CA33,Z33),"")</f>
        <v/>
      </c>
      <c r="CE33" s="30" t="str">
        <f>IF(LEN(AA33)&gt;1,GetTagPage(CB33,AA33),"")</f>
        <v/>
      </c>
      <c r="CF33" s="30" t="str">
        <f t="shared" si="35"/>
        <v xml:space="preserve">| </v>
      </c>
      <c r="CG33" s="30" t="str">
        <f t="shared" si="27"/>
        <v xml:space="preserve">| [Gietrzwald](/places/pl-sanctuary-of-our-lady-of-gietrzwałd) </v>
      </c>
      <c r="CH33" s="30" t="str">
        <f>"| "&amp;IF(AR33,GetTagPage(B33,VLOOKUP(B33,'(Ref) Countries'!A:C,3,)),B33)&amp; " "</f>
        <v xml:space="preserve">| [Poland](/tags/poland) </v>
      </c>
      <c r="CI33" s="30" t="str">
        <f t="shared" si="28"/>
        <v xml:space="preserve">| 1877 </v>
      </c>
      <c r="CJ33" s="30" t="str">
        <f t="shared" si="36"/>
        <v xml:space="preserve">| [Link](/places/pl-sanctuary-of-our-lady-of-gietrzwałd) </v>
      </c>
      <c r="CK33" s="29" t="str">
        <f t="shared" si="37"/>
        <v xml:space="preserve">
| [Gietrzwald](/places/pl-sanctuary-of-our-lady-of-gietrzwałd) | [Poland](/tags/poland) | 1877 | [Link](/places/pl-sanctuary-of-our-lady-of-gietrzwałd) [Official site](https://sanktuariummaryjne.pl/)[Link](http://www.therealpresence.org/eucharst/misc/BVM/85_GIETRZALD_96x96.pdf)[Link](http://www.miraclehunter.com/marian_apparitions/approved_apparitions/gietrzwald/index.html)[Link](https://www.marypages.com/giertzwald-(poland)-en.html)| |</v>
      </c>
    </row>
    <row r="34" spans="1:89" ht="102" x14ac:dyDescent="0.25">
      <c r="A34" s="14" t="s">
        <v>1322</v>
      </c>
      <c r="B34" s="24" t="s">
        <v>583</v>
      </c>
      <c r="D34" s="15">
        <v>53.792756199999999</v>
      </c>
      <c r="E34" s="49">
        <v>-8.9189810000000005</v>
      </c>
      <c r="F34" s="24" t="s">
        <v>348</v>
      </c>
      <c r="G34" s="53" t="s">
        <v>404</v>
      </c>
      <c r="H34" s="15" t="s">
        <v>1720</v>
      </c>
      <c r="I34" s="25" t="b">
        <v>1</v>
      </c>
      <c r="J34" s="15" t="b">
        <v>1</v>
      </c>
      <c r="L34" s="24" t="s">
        <v>1002</v>
      </c>
      <c r="M34" s="55" t="s">
        <v>1747</v>
      </c>
      <c r="N34" s="15" t="s">
        <v>349</v>
      </c>
      <c r="O34" s="15" t="s">
        <v>336</v>
      </c>
      <c r="Y34" s="36" t="s">
        <v>336</v>
      </c>
      <c r="Z34" s="36"/>
      <c r="AA34" s="36"/>
      <c r="AB34" s="36"/>
      <c r="AC34" s="36"/>
      <c r="AD34" s="36"/>
      <c r="AE34" s="36"/>
      <c r="AF34" s="36"/>
      <c r="AG34" s="36"/>
      <c r="AH34" s="84"/>
      <c r="AI34" s="98" t="s">
        <v>995</v>
      </c>
      <c r="AJ34" s="99">
        <v>1879</v>
      </c>
      <c r="AK34" s="15" t="s">
        <v>301</v>
      </c>
      <c r="AL34" s="15" t="s">
        <v>336</v>
      </c>
      <c r="AM34" s="15" t="s">
        <v>351</v>
      </c>
      <c r="AN34" s="15" t="s">
        <v>336</v>
      </c>
      <c r="AO34" s="15" t="s">
        <v>352</v>
      </c>
      <c r="AP34" s="49" t="s">
        <v>336</v>
      </c>
      <c r="AR34" s="28" t="b">
        <f t="shared" ref="AR34:AR65" si="38">IF(OR(A34="Done",A34="In Progress"),TRUE)</f>
        <v>1</v>
      </c>
      <c r="AS34" s="29" t="str">
        <f t="shared" ref="AS34:AS53" si="39">"title: """&amp;F34&amp;""""</f>
        <v>title: "Knock Shrine (Our Lady of Knock)"</v>
      </c>
      <c r="AT34" s="29" t="str">
        <f t="shared" ref="AT34:AT65" si="40">"location: {lat: "&amp;D34&amp;", lng: "&amp;E34&amp;"}"</f>
        <v>location: {lat: 53.7927562, lng: -8.918981}</v>
      </c>
      <c r="AU34" s="29" t="str">
        <f t="shared" ref="AU34:AU53" si="41">"level: "&amp;H34</f>
        <v>level: global</v>
      </c>
      <c r="AV34" s="29" t="str">
        <f>"- "&amp;VLOOKUP(B34,'(Ref) Countries'!A:C,3,)</f>
        <v>- ireland</v>
      </c>
      <c r="AW34" s="29" t="str">
        <f t="shared" ref="AW34:AW65" si="42">IF(LEN(C34)&gt;1,"- "&amp;LOWER(SUBSTITUTE(C34," ","-")),"")</f>
        <v/>
      </c>
      <c r="AX34" s="29" t="str">
        <f t="shared" ref="AX34:AX65" si="43">IF(I34,"- churches","")</f>
        <v>- churches</v>
      </c>
      <c r="AY34" s="29" t="str">
        <f t="shared" ref="AY34:AY65" si="44">IF(J34,"- marian-sites","")</f>
        <v>- marian-sites</v>
      </c>
      <c r="AZ34" s="29" t="str">
        <f t="shared" ref="AZ34:AZ65" si="45">IF(K34,"- holy-persons","")</f>
        <v/>
      </c>
      <c r="BA34" s="29" t="str">
        <f t="shared" si="8"/>
        <v/>
      </c>
      <c r="BB34" s="29" t="str">
        <f t="shared" si="9"/>
        <v/>
      </c>
      <c r="BC34" s="29" t="str">
        <f t="shared" si="10"/>
        <v/>
      </c>
      <c r="BD34" s="29" t="str">
        <f t="shared" si="11"/>
        <v/>
      </c>
      <c r="BE34" s="29" t="str">
        <f t="shared" si="12"/>
        <v/>
      </c>
      <c r="BF34" s="29" t="str">
        <f t="shared" si="13"/>
        <v/>
      </c>
      <c r="BG34" s="29" t="str">
        <f t="shared" si="14"/>
        <v/>
      </c>
      <c r="BH34" s="29" t="str">
        <f t="shared" si="15"/>
        <v/>
      </c>
      <c r="BI34" s="29" t="str">
        <f t="shared" si="16"/>
        <v/>
      </c>
      <c r="BJ34" s="29" t="str">
        <f t="shared" si="17"/>
        <v/>
      </c>
      <c r="BK34" s="29" t="str">
        <f t="shared" si="33"/>
        <v xml:space="preserve">tags:
- ireland_x000D_
- churches_x000D_
- marian-sites_x000D_
</v>
      </c>
      <c r="BL34" s="30" t="str">
        <f t="shared" ref="BL34:BL65" si="46">IF(LEN(N34)&gt;0,TRIM(CONCATENATE("[Official site](",N34,") ",O34)),"")</f>
        <v>[Official site](https://www.knockshrine.ie/)</v>
      </c>
      <c r="BM34" s="30" t="str">
        <f t="shared" ref="BM34:BM65" si="47">IF(LEN(Q34)&gt;0,TRIM(CONCATENATE("["&amp;P34&amp;"](",Q34,") ",R34)),"")</f>
        <v/>
      </c>
      <c r="BN34" s="30" t="str">
        <f t="shared" ref="BN34:BN65" si="48">IF(LEN(T34)&gt;0,TRIM(CONCATENATE("["&amp;S34&amp;"](",T34,") ",U34)),"")</f>
        <v/>
      </c>
      <c r="BO34" s="30" t="str">
        <f t="shared" ref="BO34:BO65" si="49">IF(LEN(W34)&gt;0,TRIM(CONCATENATE("["&amp;V34&amp;"](",W34,") ",X34)),"")</f>
        <v/>
      </c>
      <c r="BP34" s="30" t="str">
        <f t="shared" si="34"/>
        <v xml:space="preserve">* [Official site](https://www.knockshrine.ie/)
</v>
      </c>
      <c r="BQ34" s="30" t="str">
        <f t="shared" ref="BQ34:BQ65" si="50">IF(LEN(AK34)&gt;0,TRIM(CONCATENATE("[Link](",AK34,") ",AL34)),"")</f>
        <v>[Link](http://www.therealpresence.org/eucharst/misc/BVM/63_KNOCK_60x96.pdf)</v>
      </c>
      <c r="BR34" s="30" t="str">
        <f t="shared" ref="BR34:BR65" si="51">IF(LEN(AM34)&gt;0,TRIM(CONCATENATE("[Link](",AM34,") ",AN34)),"")</f>
        <v>[Link](http://www.miraclehunter.com/marian_apparitions/approved_apparitions/knock/index.html)</v>
      </c>
      <c r="BS34" s="30" t="str">
        <f t="shared" ref="BS34:BS65" si="52">IF(LEN(AO34)&gt;0,TRIM(CONCATENATE("[Link](",AO34,") ",AP34)),"")</f>
        <v>[Link](https://www.marypages.com/knock-(ireland)-en.html)</v>
      </c>
      <c r="BT34" s="30" t="str">
        <f>IF(LEN(concat(BQ34:BS34))&gt;0,concat("| ",BQ34," | ",BR34," | ",BS34," |"),"")</f>
        <v>| [Link](http://www.therealpresence.org/eucharst/misc/BVM/63_KNOCK_60x96.pdf) | [Link](http://www.miraclehunter.com/marian_apparitions/approved_apparitions/knock/index.html) | [Link](https://www.marypages.com/knock-(ireland)-en.html) |</v>
      </c>
      <c r="BU34" s="29" t="str">
        <f t="shared" ref="BU34:BU65" si="53">IF(J34,concatl("| The Real Presence | Miracle Hunter | MaryPages |","| --- | --- | --- |",BT34),"")</f>
        <v xml:space="preserve">| The Real Presence | Miracle Hunter | MaryPages |_x000D_
| --- | --- | --- |_x000D_
| [Link](http://www.therealpresence.org/eucharst/misc/BVM/63_KNOCK_60x96.pdf) | [Link](http://www.miraclehunter.com/marian_apparitions/approved_apparitions/knock/index.html) | [Link](https://www.marypages.com/knock-(ireland)-en.html) |_x000D_
</v>
      </c>
      <c r="BV34" s="29" t="str">
        <f>IF(LEN(BP34&amp;BU34)&gt;0,concatll("#### More Information",BP34,BU34),"")</f>
        <v xml:space="preserve">#### More Information_x000D_
_x000D_
* [Official site](https://www.knockshrine.ie/)
_x000D_
_x000D_
| The Real Presence | Miracle Hunter | MaryPages |_x000D_
| --- | --- | --- |_x000D_
| [Link](http://www.therealpresence.org/eucharst/misc/BVM/63_KNOCK_60x96.pdf) | [Link](http://www.miraclehunter.com/marian_apparitions/approved_apparitions/knock/index.html) | [Link](https://www.marypages.com/knock-(ireland)-en.html) |_x000D_
_x000D_
_x000D_
</v>
      </c>
      <c r="BW34" s="29" t="str">
        <f>IF(LEN(M34)&gt;1,concatll("#### Author's Note",M34),"")</f>
        <v xml:space="preserve">#### Author's Note_x000D_
_x000D_
Thanks to the testimonies of the visionaries, pilgrims today can experience a very accurate representation of the original apparition.  The statues have been placed in the same place as the apparition, in front of the church wall and slightly above ground level.
-JMM_x000D_
_x000D_
</v>
      </c>
      <c r="BX34" s="23" t="str">
        <f>IF(AR34,concatll(concatl("---",AS34:AU34,BK34,"---"),L34,BV34:BW34),"")</f>
        <v xml:space="preserve">---_x000D_
title: "Knock Shrine (Our Lady of Knock)"_x000D_
location: {lat: 53.7927562, lng: -8.918981}_x000D_
level: global_x000D_
tags:
- ireland_x000D_
- churches_x000D_
- marian-sites_x000D_
_x000D_
---_x000D_
_x000D_
_x000D_
In 1879, 15 individuals witnessed the figures of Mary, Joseph, John the Evangelist, and a lamb and cross atop an altar, all enveloped in a bright light outside the local church.  The imagery is unique to Knock and holds eschatological significance for Catholics._x000D_
_x000D_
#### More Information_x000D_
_x000D_
* [Official site](https://www.knockshrine.ie/)
_x000D_
_x000D_
| The Real Presence | Miracle Hunter | MaryPages |_x000D_
| --- | --- | --- |_x000D_
| [Link](http://www.therealpresence.org/eucharst/misc/BVM/63_KNOCK_60x96.pdf) | [Link](http://www.miraclehunter.com/marian_apparitions/approved_apparitions/knock/index.html) | [Link](https://www.marypages.com/knock-(ireland)-en.html) |_x000D_
_x000D_
_x000D_
_x000D_
_x000D_
#### Author's Note_x000D_
_x000D_
Thanks to the testimonies of the visionaries, pilgrims today can experience a very accurate representation of the original apparition.  The statues have been placed in the same place as the apparition, in front of the church wall and slightly above ground level.
-JMM_x000D_
_x000D_
_x000D_
_x000D_
</v>
      </c>
      <c r="BY34" s="23" t="str">
        <f>IF(AR34,VLOOKUP(B34,'(Ref) Countries'!A:B,2,)&amp;IF(LEN(C34)&gt;1,"-"&amp;LOWER(SUBSTITUTE(C34," ","-")),"")&amp;"-"&amp;LOWER(SUBSTITUTE(G34," ","-"))&amp;".md","")</f>
        <v>ie-knock-shrine.md</v>
      </c>
      <c r="BZ34" s="38" t="str">
        <f>IF(LEN(Y34)&gt;1,VLOOKUP(Y34,'Tag List'!$A:$B,2,),"")</f>
        <v/>
      </c>
      <c r="CA34" s="38" t="str">
        <f>IF(LEN(Z34)&gt;1,VLOOKUP(Z34,'Tag List'!$A:$B,2,),"")</f>
        <v/>
      </c>
      <c r="CB34" s="38" t="str">
        <f>IF(LEN(AA34)&gt;1,VLOOKUP(AA34,'Tag List'!$A:$B,2,),"")</f>
        <v/>
      </c>
      <c r="CC34" s="30" t="str">
        <f>IF(LEN(Y34)&gt;1,GetTagPage(BZ34,Y34),"")</f>
        <v/>
      </c>
      <c r="CD34" s="30" t="str">
        <f>IF(LEN(Z34)&gt;1,GetTagPage(CA34,Z34),"")</f>
        <v/>
      </c>
      <c r="CE34" s="30" t="str">
        <f>IF(LEN(AA34)&gt;1,GetTagPage(CB34,AA34),"")</f>
        <v/>
      </c>
      <c r="CF34" s="30" t="str">
        <f t="shared" si="35"/>
        <v xml:space="preserve">| </v>
      </c>
      <c r="CG34" s="30" t="str">
        <f t="shared" ref="CG34:CG65" si="54">"| "&amp;IF(AR34,"["&amp;AI34&amp;"](/places/"&amp;SUBSTITUTE(BY34,".md","")&amp;")",AI34)&amp;" "</f>
        <v xml:space="preserve">| [Knock](/places/ie-knock-shrine) </v>
      </c>
      <c r="CH34" s="30" t="str">
        <f>"| "&amp;IF(AR34,GetTagPage(B34,VLOOKUP(B34,'(Ref) Countries'!A:C,3,)),B34)&amp; " "</f>
        <v xml:space="preserve">| [Ireland](/tags/ireland) </v>
      </c>
      <c r="CI34" s="30" t="str">
        <f t="shared" ref="CI34:CI65" si="55">"| "&amp;AJ34&amp;" "</f>
        <v xml:space="preserve">| 1879 </v>
      </c>
      <c r="CJ34" s="30" t="str">
        <f t="shared" si="36"/>
        <v xml:space="preserve">| [Link](/places/ie-knock-shrine) </v>
      </c>
      <c r="CK34" s="29" t="str">
        <f t="shared" si="37"/>
        <v xml:space="preserve">
| [Knock](/places/ie-knock-shrine) | [Ireland](/tags/ireland) | 1879 | [Link](/places/ie-knock-shrine) [Official site](https://www.knockshrine.ie/)[Link](http://www.therealpresence.org/eucharst/misc/BVM/63_KNOCK_60x96.pdf)[Link](http://www.miraclehunter.com/marian_apparitions/approved_apparitions/knock/index.html)[Link](https://www.marypages.com/knock-(ireland)-en.html)| |</v>
      </c>
    </row>
    <row r="35" spans="1:89" ht="63.75" x14ac:dyDescent="0.25">
      <c r="A35" s="14" t="s">
        <v>1322</v>
      </c>
      <c r="B35" s="24" t="s">
        <v>655</v>
      </c>
      <c r="D35" s="15">
        <v>39.631263799999999</v>
      </c>
      <c r="E35" s="49">
        <v>-8.6731570999999992</v>
      </c>
      <c r="F35" s="24" t="s">
        <v>1032</v>
      </c>
      <c r="G35" s="53" t="s">
        <v>727</v>
      </c>
      <c r="H35" s="15" t="s">
        <v>1720</v>
      </c>
      <c r="I35" s="25" t="b">
        <v>1</v>
      </c>
      <c r="J35" s="15" t="b">
        <v>1</v>
      </c>
      <c r="K35" s="15" t="b">
        <v>1</v>
      </c>
      <c r="L35" s="24" t="s">
        <v>471</v>
      </c>
      <c r="N35" s="15" t="s">
        <v>426</v>
      </c>
      <c r="O35" s="15" t="s">
        <v>336</v>
      </c>
      <c r="Y35" s="36" t="s">
        <v>1427</v>
      </c>
      <c r="Z35" s="36" t="s">
        <v>1428</v>
      </c>
      <c r="AA35" s="36"/>
      <c r="AB35" s="36"/>
      <c r="AC35" s="36"/>
      <c r="AD35" s="36"/>
      <c r="AE35" s="36"/>
      <c r="AF35" s="36"/>
      <c r="AG35" s="36"/>
      <c r="AH35" s="84"/>
      <c r="AI35" s="98" t="s">
        <v>726</v>
      </c>
      <c r="AJ35" s="99">
        <v>1916</v>
      </c>
      <c r="AK35" s="15" t="s">
        <v>306</v>
      </c>
      <c r="AL35" s="15" t="s">
        <v>1330</v>
      </c>
      <c r="AM35" s="15" t="s">
        <v>472</v>
      </c>
      <c r="AN35" s="15" t="s">
        <v>336</v>
      </c>
      <c r="AO35" s="15" t="s">
        <v>473</v>
      </c>
      <c r="AP35" s="49" t="s">
        <v>336</v>
      </c>
      <c r="AR35" s="28" t="b">
        <f t="shared" si="38"/>
        <v>1</v>
      </c>
      <c r="AS35" s="29" t="str">
        <f t="shared" si="39"/>
        <v>title: "Sanctuary of Our Lady of the Rosary of Fatima"</v>
      </c>
      <c r="AT35" s="29" t="str">
        <f t="shared" si="40"/>
        <v>location: {lat: 39.6312638, lng: -8.6731571}</v>
      </c>
      <c r="AU35" s="29" t="str">
        <f t="shared" si="41"/>
        <v>level: global</v>
      </c>
      <c r="AV35" s="29" t="str">
        <f>"- "&amp;VLOOKUP(B35,'(Ref) Countries'!A:C,3,)</f>
        <v>- portugal</v>
      </c>
      <c r="AW35" s="29" t="str">
        <f t="shared" si="42"/>
        <v/>
      </c>
      <c r="AX35" s="29" t="str">
        <f t="shared" si="43"/>
        <v>- churches</v>
      </c>
      <c r="AY35" s="29" t="str">
        <f t="shared" si="44"/>
        <v>- marian-sites</v>
      </c>
      <c r="AZ35" s="29" t="str">
        <f t="shared" si="45"/>
        <v>- holy-persons</v>
      </c>
      <c r="BA35" s="29" t="str">
        <f t="shared" si="8"/>
        <v>- lucia-dos-santos</v>
      </c>
      <c r="BB35" s="29" t="str">
        <f t="shared" si="9"/>
        <v>- francisco-and-jacinta-marto</v>
      </c>
      <c r="BC35" s="29" t="str">
        <f t="shared" si="10"/>
        <v/>
      </c>
      <c r="BD35" s="29" t="str">
        <f t="shared" si="11"/>
        <v/>
      </c>
      <c r="BE35" s="29" t="str">
        <f t="shared" si="12"/>
        <v/>
      </c>
      <c r="BF35" s="29" t="str">
        <f t="shared" si="13"/>
        <v/>
      </c>
      <c r="BG35" s="29" t="str">
        <f t="shared" si="14"/>
        <v/>
      </c>
      <c r="BH35" s="29" t="str">
        <f t="shared" si="15"/>
        <v/>
      </c>
      <c r="BI35" s="29" t="str">
        <f t="shared" si="16"/>
        <v/>
      </c>
      <c r="BJ35" s="29" t="str">
        <f t="shared" si="17"/>
        <v/>
      </c>
      <c r="BK35" s="29" t="str">
        <f t="shared" ref="BK35:BK45" si="56">"tags:"&amp;CHAR(10)&amp;concatl(AV35:BJ35)</f>
        <v xml:space="preserve">tags:
- portugal_x000D_
- churches_x000D_
- marian-sites_x000D_
- holy-persons_x000D_
- lucia-dos-santos_x000D_
- francisco-and-jacinta-marto_x000D_
</v>
      </c>
      <c r="BL35" s="30" t="str">
        <f t="shared" si="46"/>
        <v>[Official site](https://www.fatima.pt/)</v>
      </c>
      <c r="BM35" s="30" t="str">
        <f t="shared" si="47"/>
        <v/>
      </c>
      <c r="BN35" s="30" t="str">
        <f t="shared" si="48"/>
        <v/>
      </c>
      <c r="BO35" s="30" t="str">
        <f t="shared" si="49"/>
        <v/>
      </c>
      <c r="BP35" s="30" t="str">
        <f t="shared" ref="BP35:BP45" si="57">IF(LEN(BL35)&gt;0,"* "&amp;BL35&amp;CHAR(10),"")&amp;
IF(LEN(BM35)&gt;0,"* "&amp;BM35&amp;CHAR(10),"")&amp;
IF(LEN(BN35)&gt;0,"* "&amp;BN35&amp;CHAR(10),"")&amp;
IF(LEN(BO35)&gt;0,"* "&amp;BO35&amp;CHAR(10),"")</f>
        <v xml:space="preserve">* [Official site](https://www.fatima.pt/)
</v>
      </c>
      <c r="BQ35" s="30" t="str">
        <f t="shared" si="50"/>
        <v>[Link](http://www.therealpresence.org/eucharst/misc/BVM/154_FATIMA_96x96_1.pdf) , [Link](http://www.therealpresence.org/eucharst/misc/BVM/154_FATIMA_140x96_2.pdf), [Link](http://www.therealpresence.org/eucharst/misc/BVM/154_FATIMA_96x96_3.pdf)</v>
      </c>
      <c r="BR35" s="30" t="str">
        <f t="shared" si="51"/>
        <v>[Link](https://www.miraclehunter.com/marian_apparitions/approved_apparitions/fatima/index.html)</v>
      </c>
      <c r="BS35" s="30" t="str">
        <f t="shared" si="52"/>
        <v>[Link](https://www.marypages.com/fatima-(portugal)-1917.html)</v>
      </c>
      <c r="BT35" s="30" t="str">
        <f>IF(LEN(concat(BQ35:BS35))&gt;0,concat("| ",BQ35," | ",BR35," | ",BS35," |"),"")</f>
        <v>| [Link](http://www.therealpresence.org/eucharst/misc/BVM/154_FATIMA_96x96_1.pdf) , [Link](http://www.therealpresence.org/eucharst/misc/BVM/154_FATIMA_140x96_2.pdf), [Link](http://www.therealpresence.org/eucharst/misc/BVM/154_FATIMA_96x96_3.pdf) | [Link](https://www.miraclehunter.com/marian_apparitions/approved_apparitions/fatima/index.html) | [Link](https://www.marypages.com/fatima-(portugal)-1917.html) |</v>
      </c>
      <c r="BU35" s="29" t="str">
        <f t="shared" si="53"/>
        <v xml:space="preserve">| The Real Presence | Miracle Hunter | MaryPages |_x000D_
| --- | --- | --- |_x000D_
| [Link](http://www.therealpresence.org/eucharst/misc/BVM/154_FATIMA_96x96_1.pdf) , [Link](http://www.therealpresence.org/eucharst/misc/BVM/154_FATIMA_140x96_2.pdf), [Link](http://www.therealpresence.org/eucharst/misc/BVM/154_FATIMA_96x96_3.pdf) | [Link](https://www.miraclehunter.com/marian_apparitions/approved_apparitions/fatima/index.html) | [Link](https://www.marypages.com/fatima-(portugal)-1917.html) |_x000D_
</v>
      </c>
      <c r="BV35" s="29" t="str">
        <f>IF(LEN(BP35&amp;BU35)&gt;0,concatll("#### More Information",BP35,BU35),"")</f>
        <v xml:space="preserve">#### More Information_x000D_
_x000D_
* [Official site](https://www.fatima.pt/)
_x000D_
_x000D_
| The Real Presence | Miracle Hunter | MaryPages |_x000D_
| --- | --- | --- |_x000D_
| [Link](http://www.therealpresence.org/eucharst/misc/BVM/154_FATIMA_96x96_1.pdf) , [Link](http://www.therealpresence.org/eucharst/misc/BVM/154_FATIMA_140x96_2.pdf), [Link](http://www.therealpresence.org/eucharst/misc/BVM/154_FATIMA_96x96_3.pdf) | [Link](https://www.miraclehunter.com/marian_apparitions/approved_apparitions/fatima/index.html) | [Link](https://www.marypages.com/fatima-(portugal)-1917.html) |_x000D_
_x000D_
_x000D_
</v>
      </c>
      <c r="BW35" s="29" t="str">
        <f>IF(LEN(M35)&gt;1,concatll("#### Author's Note",M35),"")</f>
        <v/>
      </c>
      <c r="BX35" s="23" t="str">
        <f>IF(AR35,concatll(concatl("---",AS35:AU35,BK35,"---"),L35,BV35:BW35),"")</f>
        <v xml:space="preserve">---_x000D_
title: "Sanctuary of Our Lady of the Rosary of Fatima"_x000D_
location: {lat: 39.6312638, lng: -8.6731571}_x000D_
level: global_x000D_
tags:
- portugal_x000D_
- churches_x000D_
- marian-sites_x000D_
- holy-persons_x000D_
- lucia-dos-santos_x000D_
- francisco-and-jacinta-marto_x000D_
_x000D_
---_x000D_
_x000D_
_x000D_
While tending sheep in a field called the Cova de Iria, Lucia de Santos (aged 10) and her two cousins, Francisco and Jacinta Marto, reported six apparitions of Mary, who identified herself as "Our Lady of the Rosary."  Mary urged prayer of the rosary, penance for the conversion of sinners and consecration of Russia to her Immaculate Heart._x000D_
_x000D_
#### More Information_x000D_
_x000D_
* [Official site](https://www.fatima.pt/)
_x000D_
_x000D_
| The Real Presence | Miracle Hunter | MaryPages |_x000D_
| --- | --- | --- |_x000D_
| [Link](http://www.therealpresence.org/eucharst/misc/BVM/154_FATIMA_96x96_1.pdf) , [Link](http://www.therealpresence.org/eucharst/misc/BVM/154_FATIMA_140x96_2.pdf), [Link](http://www.therealpresence.org/eucharst/misc/BVM/154_FATIMA_96x96_3.pdf) | [Link](https://www.miraclehunter.com/marian_apparitions/approved_apparitions/fatima/index.html) | [Link](https://www.marypages.com/fatima-(portugal)-1917.html) |_x000D_
_x000D_
_x000D_
_x000D_
_x000D_
</v>
      </c>
      <c r="BY35" s="23" t="str">
        <f>IF(AR35,VLOOKUP(B35,'(Ref) Countries'!A:B,2,)&amp;IF(LEN(C35)&gt;1,"-"&amp;LOWER(SUBSTITUTE(C35," ","-")),"")&amp;"-"&amp;LOWER(SUBSTITUTE(G35," ","-"))&amp;".md","")</f>
        <v>pt-shrine-of-fatima.md</v>
      </c>
      <c r="BZ35" s="38" t="str">
        <f>IF(LEN(Y35)&gt;1,VLOOKUP(Y35,'Tag List'!$A:$B,2,),"")</f>
        <v>Bl. Lucia dos Santos</v>
      </c>
      <c r="CA35" s="38" t="str">
        <f>IF(LEN(Z35)&gt;1,VLOOKUP(Z35,'Tag List'!$A:$B,2,),"")</f>
        <v>Sts. Francisco and Jacinta Marto</v>
      </c>
      <c r="CB35" s="38" t="str">
        <f>IF(LEN(AA35)&gt;1,VLOOKUP(AA35,'Tag List'!$A:$B,2,),"")</f>
        <v/>
      </c>
      <c r="CC35" s="30" t="str">
        <f>IF(LEN(Y35)&gt;1,GetTagPage(BZ35,Y35),"")</f>
        <v>[Bl. Lucia dos Santos](/tags/lucia-dos-santos)</v>
      </c>
      <c r="CD35" s="30" t="str">
        <f>IF(LEN(Z35)&gt;1,GetTagPage(CA35,Z35),"")</f>
        <v>[Sts. Francisco and Jacinta Marto](/tags/francisco-and-jacinta-marto)</v>
      </c>
      <c r="CE35" s="30" t="str">
        <f>IF(LEN(AA35)&gt;1,GetTagPage(CB35,AA35),"")</f>
        <v/>
      </c>
      <c r="CF35" s="30" t="str">
        <f t="shared" ref="CF35:CF45" si="58">"|"&amp;IF(LEN(CC35)&gt;1," "&amp;CC35,"")&amp;IF(LEN(CD35)&gt;1,", "&amp;CD35,"")&amp;IF(LEN(CE35)&gt;1,", "&amp;CE35,"")&amp;" "</f>
        <v xml:space="preserve">| [Bl. Lucia dos Santos](/tags/lucia-dos-santos), [Sts. Francisco and Jacinta Marto](/tags/francisco-and-jacinta-marto) </v>
      </c>
      <c r="CG35" s="30" t="str">
        <f t="shared" si="54"/>
        <v xml:space="preserve">| [Fatima](/places/pt-shrine-of-fatima) </v>
      </c>
      <c r="CH35" s="30" t="str">
        <f>"| "&amp;IF(AR35,GetTagPage(B35,VLOOKUP(B35,'(Ref) Countries'!A:C,3,)),B35)&amp; " "</f>
        <v xml:space="preserve">| [Portugal](/tags/portugal) </v>
      </c>
      <c r="CI35" s="30" t="str">
        <f t="shared" si="55"/>
        <v xml:space="preserve">| 1916 </v>
      </c>
      <c r="CJ35" s="30" t="str">
        <f t="shared" ref="CJ35:CJ45" si="59">"|"&amp;IF(AR35," [Link](/places/"&amp;SUBSTITUTE(BY35,".md","")&amp;")","")&amp;" "</f>
        <v xml:space="preserve">| [Link](/places/pt-shrine-of-fatima) </v>
      </c>
      <c r="CK35" s="29" t="str">
        <f t="shared" ref="CK35:CK45" si="60">"
"&amp;CG35&amp;CH35&amp;CI35&amp;CJ35&amp;BL35&amp;BQ35&amp;BR35&amp;BS35&amp;CF35&amp;"|"</f>
        <v xml:space="preserve">
| [Fatima](/places/pt-shrine-of-fatima) | [Portugal](/tags/portugal) | 1916 | [Link](/places/pt-shrine-of-fatima) [Official site](https://www.fatima.pt/)[Link](http://www.therealpresence.org/eucharst/misc/BVM/154_FATIMA_96x96_1.pdf) , [Link](http://www.therealpresence.org/eucharst/misc/BVM/154_FATIMA_140x96_2.pdf), [Link](http://www.therealpresence.org/eucharst/misc/BVM/154_FATIMA_96x96_3.pdf)[Link](https://www.miraclehunter.com/marian_apparitions/approved_apparitions/fatima/index.html)[Link](https://www.marypages.com/fatima-(portugal)-1917.html)| [Bl. Lucia dos Santos](/tags/lucia-dos-santos), [Sts. Francisco and Jacinta Marto](/tags/francisco-and-jacinta-marto) |</v>
      </c>
    </row>
    <row r="36" spans="1:89" ht="25.5" x14ac:dyDescent="0.25">
      <c r="A36" s="14" t="s">
        <v>1051</v>
      </c>
      <c r="B36" s="24" t="s">
        <v>2</v>
      </c>
      <c r="D36" s="15">
        <v>8.352427276057</v>
      </c>
      <c r="E36" s="49">
        <v>77.663576934286198</v>
      </c>
      <c r="F36" s="40" t="s">
        <v>1723</v>
      </c>
      <c r="G36" s="54" t="s">
        <v>1721</v>
      </c>
      <c r="H36" s="15" t="s">
        <v>1720</v>
      </c>
      <c r="I36" s="25" t="b">
        <v>1</v>
      </c>
      <c r="J36" s="15" t="b">
        <v>1</v>
      </c>
      <c r="L36" s="40" t="s">
        <v>1335</v>
      </c>
      <c r="N36" s="15" t="s">
        <v>1722</v>
      </c>
      <c r="O36" s="15" t="s">
        <v>336</v>
      </c>
      <c r="Y36" s="15" t="s">
        <v>336</v>
      </c>
      <c r="AI36" s="98" t="s">
        <v>1297</v>
      </c>
      <c r="AJ36" s="99">
        <v>1939</v>
      </c>
      <c r="AK36" s="15" t="s">
        <v>316</v>
      </c>
      <c r="AL36" s="15" t="s">
        <v>336</v>
      </c>
      <c r="AM36" s="15" t="s">
        <v>336</v>
      </c>
      <c r="AN36" s="15" t="s">
        <v>336</v>
      </c>
      <c r="AO36" s="15" t="s">
        <v>336</v>
      </c>
      <c r="AP36" s="49" t="s">
        <v>336</v>
      </c>
      <c r="AR36" s="28" t="b">
        <f t="shared" si="38"/>
        <v>1</v>
      </c>
      <c r="AS36" s="29" t="str">
        <f t="shared" si="39"/>
        <v>title: "Athisaya Panimatha (Our Lady of Snows) Shrine, Kallikulam"</v>
      </c>
      <c r="AT36" s="29" t="str">
        <f t="shared" si="40"/>
        <v>location: {lat: 8.352427276057, lng: 77.6635769342862}</v>
      </c>
      <c r="AU36" s="29" t="str">
        <f t="shared" si="41"/>
        <v>level: global</v>
      </c>
      <c r="AV36" s="29" t="str">
        <f>"- "&amp;VLOOKUP(B36,'(Ref) Countries'!A:C,3,)</f>
        <v>- india</v>
      </c>
      <c r="AW36" s="29" t="str">
        <f t="shared" si="42"/>
        <v/>
      </c>
      <c r="AX36" s="29" t="str">
        <f t="shared" si="43"/>
        <v>- churches</v>
      </c>
      <c r="AY36" s="29" t="str">
        <f t="shared" si="44"/>
        <v>- marian-sites</v>
      </c>
      <c r="AZ36" s="29" t="str">
        <f t="shared" si="45"/>
        <v/>
      </c>
      <c r="BA36" s="29" t="str">
        <f t="shared" si="8"/>
        <v/>
      </c>
      <c r="BB36" s="29" t="str">
        <f t="shared" si="9"/>
        <v/>
      </c>
      <c r="BC36" s="29" t="str">
        <f t="shared" si="10"/>
        <v/>
      </c>
      <c r="BD36" s="29" t="str">
        <f t="shared" si="11"/>
        <v/>
      </c>
      <c r="BE36" s="29" t="str">
        <f t="shared" si="12"/>
        <v/>
      </c>
      <c r="BF36" s="29" t="str">
        <f t="shared" si="13"/>
        <v/>
      </c>
      <c r="BG36" s="29" t="str">
        <f t="shared" si="14"/>
        <v/>
      </c>
      <c r="BH36" s="29" t="str">
        <f t="shared" si="15"/>
        <v/>
      </c>
      <c r="BI36" s="29" t="str">
        <f t="shared" si="16"/>
        <v/>
      </c>
      <c r="BJ36" s="29" t="str">
        <f t="shared" si="17"/>
        <v/>
      </c>
      <c r="BK36" s="29" t="str">
        <f t="shared" si="56"/>
        <v xml:space="preserve">tags:
- india_x000D_
- churches_x000D_
- marian-sites_x000D_
</v>
      </c>
      <c r="BL36" s="30" t="str">
        <f t="shared" si="46"/>
        <v>[Official site](https://www.athisayapanimatha.com/)</v>
      </c>
      <c r="BM36" s="30" t="str">
        <f t="shared" si="47"/>
        <v/>
      </c>
      <c r="BN36" s="30" t="str">
        <f t="shared" si="48"/>
        <v/>
      </c>
      <c r="BO36" s="30" t="str">
        <f t="shared" si="49"/>
        <v/>
      </c>
      <c r="BP36" s="30" t="str">
        <f t="shared" si="57"/>
        <v xml:space="preserve">* [Official site](https://www.athisayapanimatha.com/)
</v>
      </c>
      <c r="BQ36" s="30" t="str">
        <f t="shared" si="50"/>
        <v>[Link](http://www.therealpresence.org/eucharst/misc/BVM/128_KALLIKULAM_60x96.pdf)</v>
      </c>
      <c r="BR36" s="30" t="str">
        <f t="shared" si="51"/>
        <v/>
      </c>
      <c r="BS36" s="30" t="str">
        <f t="shared" si="52"/>
        <v/>
      </c>
      <c r="BT36" s="30" t="str">
        <f>IF(LEN(concat(BQ36:BS36))&gt;0,concat("| ",BQ36," | ",BR36," | ",BS36," |"),"")</f>
        <v>| [Link](http://www.therealpresence.org/eucharst/misc/BVM/128_KALLIKULAM_60x96.pdf) |  |  |</v>
      </c>
      <c r="BU36" s="29" t="str">
        <f t="shared" si="53"/>
        <v xml:space="preserve">| The Real Presence | Miracle Hunter | MaryPages |_x000D_
| --- | --- | --- |_x000D_
| [Link](http://www.therealpresence.org/eucharst/misc/BVM/128_KALLIKULAM_60x96.pdf) |  |  |_x000D_
</v>
      </c>
      <c r="BV36" s="29" t="str">
        <f>IF(LEN(BP36&amp;BU36)&gt;0,concatll("#### More Information",BP36,BU36),"")</f>
        <v xml:space="preserve">#### More Information_x000D_
_x000D_
* [Official site](https://www.athisayapanimatha.com/)
_x000D_
_x000D_
| The Real Presence | Miracle Hunter | MaryPages |_x000D_
| --- | --- | --- |_x000D_
| [Link](http://www.therealpresence.org/eucharst/misc/BVM/128_KALLIKULAM_60x96.pdf) |  |  |_x000D_
_x000D_
_x000D_
</v>
      </c>
      <c r="BW36" s="29" t="str">
        <f>IF(LEN(M36)&gt;1,concatll("#### Author's Note",M36),"")</f>
        <v/>
      </c>
      <c r="BX36" s="23" t="str">
        <f>IF(AR36,concatll(concatl("---",AS36:AU36,BK36,"---"),L36,BV36:BW36),"")</f>
        <v xml:space="preserve">---_x000D_
title: "Athisaya Panimatha (Our Lady of Snows) Shrine, Kallikulam"_x000D_
location: {lat: 8.352427276057, lng: 77.6635769342862}_x000D_
level: global_x000D_
tags:
- india_x000D_
- churches_x000D_
- marian-sites_x000D_
_x000D_
---_x000D_
_x000D_
_x000D_
_Research in progress__x000D_
_x000D_
#### More Information_x000D_
_x000D_
* [Official site](https://www.athisayapanimatha.com/)
_x000D_
_x000D_
| The Real Presence | Miracle Hunter | MaryPages |_x000D_
| --- | --- | --- |_x000D_
| [Link](http://www.therealpresence.org/eucharst/misc/BVM/128_KALLIKULAM_60x96.pdf) |  |  |_x000D_
_x000D_
_x000D_
_x000D_
_x000D_
</v>
      </c>
      <c r="BY36" s="23" t="str">
        <f>IF(AR36,VLOOKUP(B36,'(Ref) Countries'!A:B,2,)&amp;IF(LEN(C36)&gt;1,"-"&amp;LOWER(SUBSTITUTE(C36," ","-")),"")&amp;"-"&amp;LOWER(SUBSTITUTE(G36," ","-"))&amp;".md","")</f>
        <v>in-athisaya-panimatha-shrine.md</v>
      </c>
      <c r="BZ36" s="29" t="str">
        <f>IF(LEN(Y36)&gt;1,VLOOKUP(Y36,'Tag List'!$A:$B,2,),"")</f>
        <v/>
      </c>
      <c r="CA36" s="29" t="str">
        <f>IF(LEN(Z36)&gt;1,VLOOKUP(Z36,'Tag List'!$A:$B,2,),"")</f>
        <v/>
      </c>
      <c r="CB36" s="29" t="str">
        <f>IF(LEN(AA36)&gt;1,VLOOKUP(AA36,'Tag List'!$A:$B,2,),"")</f>
        <v/>
      </c>
      <c r="CC36" s="30" t="str">
        <f>IF(LEN(Y36)&gt;1,GetTagPage(BZ36,Y36),"")</f>
        <v/>
      </c>
      <c r="CD36" s="30" t="str">
        <f>IF(LEN(Z36)&gt;1,GetTagPage(CA36,Z36),"")</f>
        <v/>
      </c>
      <c r="CE36" s="30" t="str">
        <f>IF(LEN(AA36)&gt;1,GetTagPage(CB36,AA36),"")</f>
        <v/>
      </c>
      <c r="CF36" s="30" t="str">
        <f t="shared" si="58"/>
        <v xml:space="preserve">| </v>
      </c>
      <c r="CG36" s="30" t="str">
        <f t="shared" si="54"/>
        <v xml:space="preserve">| [Kallikulam](/places/in-athisaya-panimatha-shrine) </v>
      </c>
      <c r="CH36" s="30" t="str">
        <f>"| "&amp;IF(AR36,GetTagPage(B36,VLOOKUP(B36,'(Ref) Countries'!A:C,3,)),B36)&amp; " "</f>
        <v xml:space="preserve">| [India](/tags/india) </v>
      </c>
      <c r="CI36" s="30" t="str">
        <f t="shared" si="55"/>
        <v xml:space="preserve">| 1939 </v>
      </c>
      <c r="CJ36" s="30" t="str">
        <f t="shared" si="59"/>
        <v xml:space="preserve">| [Link](/places/in-athisaya-panimatha-shrine) </v>
      </c>
      <c r="CK36" s="29" t="str">
        <f t="shared" si="60"/>
        <v xml:space="preserve">
| [Kallikulam](/places/in-athisaya-panimatha-shrine) | [India](/tags/india) | 1939 | [Link](/places/in-athisaya-panimatha-shrine) [Official site](https://www.athisayapanimatha.com/)[Link](http://www.therealpresence.org/eucharst/misc/BVM/128_KALLIKULAM_60x96.pdf)| |</v>
      </c>
    </row>
    <row r="37" spans="1:89" ht="25.5" x14ac:dyDescent="0.25">
      <c r="A37" s="14" t="s">
        <v>1051</v>
      </c>
      <c r="B37" s="24" t="s">
        <v>706</v>
      </c>
      <c r="D37" s="15">
        <v>-27.855349035650701</v>
      </c>
      <c r="E37" s="49">
        <v>31.453787971164701</v>
      </c>
      <c r="F37" s="24" t="s">
        <v>1320</v>
      </c>
      <c r="G37" s="53" t="s">
        <v>1320</v>
      </c>
      <c r="H37" s="15" t="s">
        <v>1720</v>
      </c>
      <c r="I37" s="25" t="b">
        <v>1</v>
      </c>
      <c r="J37" s="15" t="b">
        <v>1</v>
      </c>
      <c r="L37" s="24" t="s">
        <v>1335</v>
      </c>
      <c r="M37" s="55"/>
      <c r="N37" s="15" t="s">
        <v>1336</v>
      </c>
      <c r="O37" s="48" t="s">
        <v>1826</v>
      </c>
      <c r="P37" s="60" t="s">
        <v>1827</v>
      </c>
      <c r="Q37" s="15" t="s">
        <v>1824</v>
      </c>
      <c r="Y37" s="15" t="s">
        <v>1321</v>
      </c>
      <c r="AI37" s="98" t="s">
        <v>1305</v>
      </c>
      <c r="AJ37" s="99" t="s">
        <v>1177</v>
      </c>
      <c r="AK37" s="15" t="s">
        <v>324</v>
      </c>
      <c r="AL37" s="15" t="s">
        <v>336</v>
      </c>
      <c r="AM37" s="15" t="s">
        <v>336</v>
      </c>
      <c r="AN37" s="15" t="s">
        <v>336</v>
      </c>
      <c r="AO37" s="15" t="s">
        <v>336</v>
      </c>
      <c r="AP37" s="49" t="s">
        <v>336</v>
      </c>
      <c r="AR37" s="28" t="b">
        <f t="shared" si="38"/>
        <v>1</v>
      </c>
      <c r="AS37" s="29" t="str">
        <f t="shared" si="39"/>
        <v>title: "Ngome Marian Shrine"</v>
      </c>
      <c r="AT37" s="29" t="str">
        <f t="shared" si="40"/>
        <v>location: {lat: -27.8553490356507, lng: 31.4537879711647}</v>
      </c>
      <c r="AU37" s="29" t="str">
        <f t="shared" si="41"/>
        <v>level: global</v>
      </c>
      <c r="AV37" s="29" t="str">
        <f>"- "&amp;VLOOKUP(B37,'(Ref) Countries'!A:C,3,)</f>
        <v>- south-africa</v>
      </c>
      <c r="AW37" s="29" t="str">
        <f t="shared" si="42"/>
        <v/>
      </c>
      <c r="AX37" s="29" t="str">
        <f t="shared" si="43"/>
        <v>- churches</v>
      </c>
      <c r="AY37" s="29" t="str">
        <f t="shared" si="44"/>
        <v>- marian-sites</v>
      </c>
      <c r="AZ37" s="29" t="str">
        <f t="shared" si="45"/>
        <v/>
      </c>
      <c r="BA37" s="29" t="str">
        <f t="shared" ref="BA37:BE45" si="61">IF(LEN(Y37)&gt;0,"- "&amp;Y37,"")</f>
        <v>- reinolda-may</v>
      </c>
      <c r="BB37" s="29" t="str">
        <f t="shared" si="61"/>
        <v/>
      </c>
      <c r="BC37" s="29" t="str">
        <f t="shared" si="61"/>
        <v/>
      </c>
      <c r="BD37" s="29" t="str">
        <f t="shared" si="61"/>
        <v/>
      </c>
      <c r="BE37" s="29" t="str">
        <f t="shared" si="61"/>
        <v/>
      </c>
      <c r="BF37" s="29" t="str">
        <f t="shared" ref="BF37:BJ45" si="62">IF(LEN(AD37)&gt;0,"- "&amp;AD37,"")</f>
        <v/>
      </c>
      <c r="BG37" s="29" t="str">
        <f t="shared" si="62"/>
        <v/>
      </c>
      <c r="BH37" s="29" t="str">
        <f t="shared" si="62"/>
        <v/>
      </c>
      <c r="BI37" s="29" t="str">
        <f t="shared" si="62"/>
        <v/>
      </c>
      <c r="BJ37" s="29" t="str">
        <f t="shared" si="62"/>
        <v/>
      </c>
      <c r="BK37" s="29" t="str">
        <f t="shared" si="56"/>
        <v xml:space="preserve">tags:
- south-africa_x000D_
- churches_x000D_
- marian-sites_x000D_
- reinolda-may_x000D_
</v>
      </c>
      <c r="BL37" s="30" t="str">
        <f t="shared" si="46"/>
        <v>[Official site](http://www.ngome.co.za/) (note: website not active at time of writing)</v>
      </c>
      <c r="BM37" s="30" t="str">
        <f t="shared" si="47"/>
        <v>[Official Facebook page](https://www.facebook.com/ngomemarianshrine/)</v>
      </c>
      <c r="BN37" s="30" t="str">
        <f t="shared" si="48"/>
        <v/>
      </c>
      <c r="BO37" s="30" t="str">
        <f t="shared" si="49"/>
        <v/>
      </c>
      <c r="BP37" s="30" t="str">
        <f t="shared" si="57"/>
        <v xml:space="preserve">* [Official site](http://www.ngome.co.za/) (note: website not active at time of writing)
* [Official Facebook page](https://www.facebook.com/ngomemarianshrine/)
</v>
      </c>
      <c r="BQ37" s="30" t="str">
        <f t="shared" si="50"/>
        <v>[Link](http://www.therealpresence.org/eucharst/misc/BVM/124_NGOME_140x96.pdf)</v>
      </c>
      <c r="BR37" s="30" t="str">
        <f t="shared" si="51"/>
        <v/>
      </c>
      <c r="BS37" s="30" t="str">
        <f t="shared" si="52"/>
        <v/>
      </c>
      <c r="BT37" s="30" t="str">
        <f>IF(LEN(concat(BQ37:BS37))&gt;0,concat("| ",BQ37," | ",BR37," | ",BS37," |"),"")</f>
        <v>| [Link](http://www.therealpresence.org/eucharst/misc/BVM/124_NGOME_140x96.pdf) |  |  |</v>
      </c>
      <c r="BU37" s="29" t="str">
        <f t="shared" si="53"/>
        <v xml:space="preserve">| The Real Presence | Miracle Hunter | MaryPages |_x000D_
| --- | --- | --- |_x000D_
| [Link](http://www.therealpresence.org/eucharst/misc/BVM/124_NGOME_140x96.pdf) |  |  |_x000D_
</v>
      </c>
      <c r="BV37" s="29" t="str">
        <f>IF(LEN(BP37&amp;BU37)&gt;0,concatll("#### More Information",BP37,BU37),"")</f>
        <v xml:space="preserve">#### More Information_x000D_
_x000D_
* [Official site](http://www.ngome.co.za/) (note: website not active at time of writing)
* [Official Facebook page](https://www.facebook.com/ngomemarianshrine/)
_x000D_
_x000D_
| The Real Presence | Miracle Hunter | MaryPages |_x000D_
| --- | --- | --- |_x000D_
| [Link](http://www.therealpresence.org/eucharst/misc/BVM/124_NGOME_140x96.pdf) |  |  |_x000D_
_x000D_
_x000D_
</v>
      </c>
      <c r="BW37" s="29" t="str">
        <f>IF(LEN(M37)&gt;1,concatll("#### Author's Note",M37),"")</f>
        <v/>
      </c>
      <c r="BX37" s="23" t="str">
        <f>IF(AR37,concatll(concatl("---",AS37:AU37,BK37,"---"),L37,BV37:BW37),"")</f>
        <v xml:space="preserve">---_x000D_
title: "Ngome Marian Shrine"_x000D_
location: {lat: -27.8553490356507, lng: 31.4537879711647}_x000D_
level: global_x000D_
tags:
- south-africa_x000D_
- churches_x000D_
- marian-sites_x000D_
- reinolda-may_x000D_
_x000D_
---_x000D_
_x000D_
_x000D_
_Research in progress__x000D_
_x000D_
#### More Information_x000D_
_x000D_
* [Official site](http://www.ngome.co.za/) (note: website not active at time of writing)
* [Official Facebook page](https://www.facebook.com/ngomemarianshrine/)
_x000D_
_x000D_
| The Real Presence | Miracle Hunter | MaryPages |_x000D_
| --- | --- | --- |_x000D_
| [Link](http://www.therealpresence.org/eucharst/misc/BVM/124_NGOME_140x96.pdf) |  |  |_x000D_
_x000D_
_x000D_
_x000D_
_x000D_
</v>
      </c>
      <c r="BY37" s="23" t="str">
        <f>IF(AR37,VLOOKUP(B37,'(Ref) Countries'!A:B,2,)&amp;IF(LEN(C37)&gt;1,"-"&amp;LOWER(SUBSTITUTE(C37," ","-")),"")&amp;"-"&amp;LOWER(SUBSTITUTE(G37," ","-"))&amp;".md","")</f>
        <v>za-ngome-marian-shrine.md</v>
      </c>
      <c r="BZ37" s="29" t="str">
        <f>IF(LEN(Y37)&gt;1,VLOOKUP(Y37,'Tag List'!$A:$B,2,),"")</f>
        <v>S.D. Reinolda May, OSB</v>
      </c>
      <c r="CA37" s="29" t="str">
        <f>IF(LEN(Z37)&gt;1,VLOOKUP(Z37,'Tag List'!$A:$B,2,),"")</f>
        <v/>
      </c>
      <c r="CB37" s="29" t="str">
        <f>IF(LEN(AA37)&gt;1,VLOOKUP(AA37,'Tag List'!$A:$B,2,),"")</f>
        <v/>
      </c>
      <c r="CC37" s="30" t="str">
        <f>IF(LEN(Y37)&gt;1,GetTagPage(BZ37,Y37),"")</f>
        <v>[S.D. Reinolda May, OSB](/tags/reinolda-may)</v>
      </c>
      <c r="CD37" s="30" t="str">
        <f>IF(LEN(Z37)&gt;1,GetTagPage(CA37,Z37),"")</f>
        <v/>
      </c>
      <c r="CE37" s="30" t="str">
        <f>IF(LEN(AA37)&gt;1,GetTagPage(CB37,AA37),"")</f>
        <v/>
      </c>
      <c r="CF37" s="30" t="str">
        <f t="shared" si="58"/>
        <v xml:space="preserve">| [S.D. Reinolda May, OSB](/tags/reinolda-may) </v>
      </c>
      <c r="CG37" s="30" t="str">
        <f t="shared" si="54"/>
        <v xml:space="preserve">| [Ngome](/places/za-ngome-marian-shrine) </v>
      </c>
      <c r="CH37" s="30" t="str">
        <f>"| "&amp;IF(AR37,GetTagPage(B37,VLOOKUP(B37,'(Ref) Countries'!A:C,3,)),B37)&amp; " "</f>
        <v xml:space="preserve">| [South Africa](/tags/south-africa) </v>
      </c>
      <c r="CI37" s="30" t="str">
        <f t="shared" si="55"/>
        <v xml:space="preserve">| 1955-1971 </v>
      </c>
      <c r="CJ37" s="30" t="str">
        <f t="shared" si="59"/>
        <v xml:space="preserve">| [Link](/places/za-ngome-marian-shrine) </v>
      </c>
      <c r="CK37" s="29" t="str">
        <f t="shared" si="60"/>
        <v xml:space="preserve">
| [Ngome](/places/za-ngome-marian-shrine) | [South Africa](/tags/south-africa) | 1955-1971 | [Link](/places/za-ngome-marian-shrine) [Official site](http://www.ngome.co.za/) (note: website not active at time of writing)[Link](http://www.therealpresence.org/eucharst/misc/BVM/124_NGOME_140x96.pdf)| [S.D. Reinolda May, OSB](/tags/reinolda-may) |</v>
      </c>
    </row>
    <row r="38" spans="1:89" ht="127.5" x14ac:dyDescent="0.25">
      <c r="A38" s="14" t="s">
        <v>1322</v>
      </c>
      <c r="B38" s="24" t="s">
        <v>21</v>
      </c>
      <c r="D38" s="15">
        <v>30.104622926940898</v>
      </c>
      <c r="E38" s="49">
        <v>31.315544743810101</v>
      </c>
      <c r="F38" s="24" t="s">
        <v>1015</v>
      </c>
      <c r="G38" s="53" t="s">
        <v>1014</v>
      </c>
      <c r="H38" s="15" t="s">
        <v>1720</v>
      </c>
      <c r="I38" s="25" t="b">
        <v>1</v>
      </c>
      <c r="J38" s="15" t="b">
        <v>1</v>
      </c>
      <c r="L38" s="24" t="s">
        <v>1016</v>
      </c>
      <c r="M38" s="55" t="s">
        <v>1748</v>
      </c>
      <c r="N38" s="15" t="s">
        <v>1019</v>
      </c>
      <c r="O38" s="15" t="s">
        <v>336</v>
      </c>
      <c r="Y38" s="15" t="s">
        <v>1020</v>
      </c>
      <c r="AI38" s="98" t="s">
        <v>1030</v>
      </c>
      <c r="AJ38" s="99" t="s">
        <v>1013</v>
      </c>
      <c r="AK38" s="15" t="s">
        <v>326</v>
      </c>
      <c r="AL38" s="15" t="s">
        <v>336</v>
      </c>
      <c r="AM38" s="15" t="s">
        <v>1017</v>
      </c>
      <c r="AN38" s="15" t="s">
        <v>336</v>
      </c>
      <c r="AO38" s="15" t="s">
        <v>1018</v>
      </c>
      <c r="AP38" s="49" t="s">
        <v>336</v>
      </c>
      <c r="AR38" s="28" t="b">
        <f t="shared" si="38"/>
        <v>1</v>
      </c>
      <c r="AS38" s="29" t="str">
        <f t="shared" si="39"/>
        <v>title: "Virgin Mary Church in Zeitoun (Our Lady of Zeitoun, Our Lady of Light)"</v>
      </c>
      <c r="AT38" s="29" t="str">
        <f t="shared" si="40"/>
        <v>location: {lat: 30.1046229269409, lng: 31.3155447438101}</v>
      </c>
      <c r="AU38" s="29" t="str">
        <f t="shared" si="41"/>
        <v>level: global</v>
      </c>
      <c r="AV38" s="29" t="str">
        <f>"- "&amp;VLOOKUP(B38,'(Ref) Countries'!A:C,3,)</f>
        <v>- egypt</v>
      </c>
      <c r="AW38" s="29" t="str">
        <f t="shared" si="42"/>
        <v/>
      </c>
      <c r="AX38" s="29" t="str">
        <f t="shared" si="43"/>
        <v>- churches</v>
      </c>
      <c r="AY38" s="29" t="str">
        <f t="shared" si="44"/>
        <v>- marian-sites</v>
      </c>
      <c r="AZ38" s="29" t="str">
        <f t="shared" si="45"/>
        <v/>
      </c>
      <c r="BA38" s="29" t="str">
        <f t="shared" si="61"/>
        <v>- coptic</v>
      </c>
      <c r="BB38" s="29" t="str">
        <f t="shared" si="61"/>
        <v/>
      </c>
      <c r="BC38" s="29" t="str">
        <f t="shared" si="61"/>
        <v/>
      </c>
      <c r="BD38" s="29" t="str">
        <f t="shared" si="61"/>
        <v/>
      </c>
      <c r="BE38" s="29" t="str">
        <f t="shared" si="61"/>
        <v/>
      </c>
      <c r="BF38" s="29" t="str">
        <f t="shared" si="62"/>
        <v/>
      </c>
      <c r="BG38" s="29" t="str">
        <f t="shared" si="62"/>
        <v/>
      </c>
      <c r="BH38" s="29" t="str">
        <f t="shared" si="62"/>
        <v/>
      </c>
      <c r="BI38" s="29" t="str">
        <f t="shared" si="62"/>
        <v/>
      </c>
      <c r="BJ38" s="29" t="str">
        <f t="shared" si="62"/>
        <v/>
      </c>
      <c r="BK38" s="29" t="str">
        <f t="shared" si="56"/>
        <v xml:space="preserve">tags:
- egypt_x000D_
- churches_x000D_
- marian-sites_x000D_
- coptic_x000D_
</v>
      </c>
      <c r="BL38" s="30" t="str">
        <f t="shared" si="46"/>
        <v>[Official site](https://www.stmaryztn.org/saintmary/en/)</v>
      </c>
      <c r="BM38" s="30" t="str">
        <f t="shared" si="47"/>
        <v/>
      </c>
      <c r="BN38" s="30" t="str">
        <f t="shared" si="48"/>
        <v/>
      </c>
      <c r="BO38" s="30" t="str">
        <f t="shared" si="49"/>
        <v/>
      </c>
      <c r="BP38" s="30" t="str">
        <f t="shared" si="57"/>
        <v xml:space="preserve">* [Official site](https://www.stmaryztn.org/saintmary/en/)
</v>
      </c>
      <c r="BQ38" s="30" t="str">
        <f t="shared" si="50"/>
        <v>[Link](http://www.therealpresence.org/eucharst/misc/BVM/144_ZEITUN_96x96.pdf)</v>
      </c>
      <c r="BR38" s="30" t="str">
        <f t="shared" si="51"/>
        <v>[Link](https://www.miraclehunter.com/marian_apparitions/approved_apparitions/zeitun/index.html)</v>
      </c>
      <c r="BS38" s="30" t="str">
        <f t="shared" si="52"/>
        <v>[Link](https://www.marypages.com/zeitoen-ca%C3%AFro-(egypt)-en.html)</v>
      </c>
      <c r="BT38" s="30" t="str">
        <f>IF(LEN(concat(BQ38:BS38))&gt;0,concat("| ",BQ38," | ",BR38," | ",BS38," |"),"")</f>
        <v>| [Link](http://www.therealpresence.org/eucharst/misc/BVM/144_ZEITUN_96x96.pdf) | [Link](https://www.miraclehunter.com/marian_apparitions/approved_apparitions/zeitun/index.html) | [Link](https://www.marypages.com/zeitoen-ca%C3%AFro-(egypt)-en.html) |</v>
      </c>
      <c r="BU38" s="29" t="str">
        <f t="shared" si="53"/>
        <v xml:space="preserve">| The Real Presence | Miracle Hunter | MaryPages |_x000D_
| --- | --- | --- |_x000D_
| [Link](http://www.therealpresence.org/eucharst/misc/BVM/144_ZEITUN_96x96.pdf) | [Link](https://www.miraclehunter.com/marian_apparitions/approved_apparitions/zeitun/index.html) | [Link](https://www.marypages.com/zeitoen-ca%C3%AFro-(egypt)-en.html) |_x000D_
</v>
      </c>
      <c r="BV38" s="29" t="str">
        <f>IF(LEN(BP38&amp;BU38)&gt;0,concatll("#### More Information",BP38,BU38),"")</f>
        <v xml:space="preserve">#### More Information_x000D_
_x000D_
* [Official site](https://www.stmaryztn.org/saintmary/en/)
_x000D_
_x000D_
| The Real Presence | Miracle Hunter | MaryPages |_x000D_
| --- | --- | --- |_x000D_
| [Link](http://www.therealpresence.org/eucharst/misc/BVM/144_ZEITUN_96x96.pdf) | [Link](https://www.miraclehunter.com/marian_apparitions/approved_apparitions/zeitun/index.html) | [Link](https://www.marypages.com/zeitoen-ca%C3%AFro-(egypt)-en.html) |_x000D_
_x000D_
_x000D_
</v>
      </c>
      <c r="BW38" s="29" t="str">
        <f>IF(LEN(M38)&gt;1,concatll("#### Author's Note",M38),"")</f>
        <v xml:space="preserve">#### Author's Note_x000D_
_x000D_
You can read the statement issued by the Papal Residence in Cairo [here](https://www.stmaryztn.org/saintmary/en/apparition-story/papal-statment).
-JMM_x000D_
_x000D_
</v>
      </c>
      <c r="BX38" s="23" t="str">
        <f>IF(AR38,concatll(concatl("---",AS38:AU38,BK38,"---"),L38,BV38:BW38),"")</f>
        <v xml:space="preserve">---_x000D_
title: "Virgin Mary Church in Zeitoun (Our Lady of Zeitoun, Our Lady of Light)"_x000D_
location: {lat: 30.1046229269409, lng: 31.3155447438101}_x000D_
level: global_x000D_
tags:
- egypt_x000D_
- churches_x000D_
- marian-sites_x000D_
- coptic_x000D_
_x000D_
---_x000D_
_x000D_
_x000D_
In 1968 Our Lady began appearing over St. Mary's Coptic Orthodox church in Zeitoun, Egypt.  The church lies on the Matariya Road through which the Holy Family is traditionally known to have passed during their stay in Egypt.
For three years Our Lady appeared on many occasions, taking many forms and sometimes accompanied by doves and other phenomena. It is estimated that 40 million people across a variety of faiths witnessed these events.
The apparitions have been verified by both the Coptic Orthodox Church and the Roman Catholic Church through the Papal Residence in Cairo._x000D_
_x000D_
#### More Information_x000D_
_x000D_
* [Official site](https://www.stmaryztn.org/saintmary/en/)
_x000D_
_x000D_
| The Real Presence | Miracle Hunter | MaryPages |_x000D_
| --- | --- | --- |_x000D_
| [Link](http://www.therealpresence.org/eucharst/misc/BVM/144_ZEITUN_96x96.pdf) | [Link](https://www.miraclehunter.com/marian_apparitions/approved_apparitions/zeitun/index.html) | [Link](https://www.marypages.com/zeitoen-ca%C3%AFro-(egypt)-en.html) |_x000D_
_x000D_
_x000D_
_x000D_
_x000D_
#### Author's Note_x000D_
_x000D_
You can read the statement issued by the Papal Residence in Cairo [here](https://www.stmaryztn.org/saintmary/en/apparition-story/papal-statment).
-JMM_x000D_
_x000D_
_x000D_
_x000D_
</v>
      </c>
      <c r="BY38" s="23" t="str">
        <f>IF(AR38,VLOOKUP(B38,'(Ref) Countries'!A:B,2,)&amp;IF(LEN(C38)&gt;1,"-"&amp;LOWER(SUBSTITUTE(C38," ","-")),"")&amp;"-"&amp;LOWER(SUBSTITUTE(G38," ","-"))&amp;".md","")</f>
        <v>eg-virgin-mary-church-in-zeitoun.md</v>
      </c>
      <c r="BZ38" s="29" t="str">
        <f>IF(LEN(Y38)&gt;1,VLOOKUP(Y38,'Tag List'!$A:$B,2,),"")</f>
        <v>Coptic Church</v>
      </c>
      <c r="CA38" s="29" t="str">
        <f>IF(LEN(Z38)&gt;1,VLOOKUP(Z38,'Tag List'!$A:$B,2,),"")</f>
        <v/>
      </c>
      <c r="CB38" s="29" t="str">
        <f>IF(LEN(AA38)&gt;1,VLOOKUP(AA38,'Tag List'!$A:$B,2,),"")</f>
        <v/>
      </c>
      <c r="CC38" s="30" t="str">
        <f>IF(LEN(Y38)&gt;1,GetTagPage(BZ38,Y38),"")</f>
        <v>[Coptic Church](/tags/coptic)</v>
      </c>
      <c r="CD38" s="30" t="str">
        <f>IF(LEN(Z38)&gt;1,GetTagPage(CA38,Z38),"")</f>
        <v/>
      </c>
      <c r="CE38" s="30" t="str">
        <f>IF(LEN(AA38)&gt;1,GetTagPage(CB38,AA38),"")</f>
        <v/>
      </c>
      <c r="CF38" s="30" t="str">
        <f t="shared" si="58"/>
        <v xml:space="preserve">| [Coptic Church](/tags/coptic) </v>
      </c>
      <c r="CG38" s="30" t="str">
        <f t="shared" si="54"/>
        <v xml:space="preserve">| [Zeitoun](/places/eg-virgin-mary-church-in-zeitoun) </v>
      </c>
      <c r="CH38" s="30" t="str">
        <f>"| "&amp;IF(AR38,GetTagPage(B38,VLOOKUP(B38,'(Ref) Countries'!A:C,3,)),B38)&amp; " "</f>
        <v xml:space="preserve">| [Egypt](/tags/egypt) </v>
      </c>
      <c r="CI38" s="30" t="str">
        <f t="shared" si="55"/>
        <v xml:space="preserve">| 1968-1970 </v>
      </c>
      <c r="CJ38" s="30" t="str">
        <f t="shared" si="59"/>
        <v xml:space="preserve">| [Link](/places/eg-virgin-mary-church-in-zeitoun) </v>
      </c>
      <c r="CK38" s="29" t="str">
        <f t="shared" si="60"/>
        <v xml:space="preserve">
| [Zeitoun](/places/eg-virgin-mary-church-in-zeitoun) | [Egypt](/tags/egypt) | 1968-1970 | [Link](/places/eg-virgin-mary-church-in-zeitoun) [Official site](https://www.stmaryztn.org/saintmary/en/)[Link](http://www.therealpresence.org/eucharst/misc/BVM/144_ZEITUN_96x96.pdf)[Link](https://www.miraclehunter.com/marian_apparitions/approved_apparitions/zeitun/index.html)[Link](https://www.marypages.com/zeitoen-ca%C3%AFro-(egypt)-en.html)| [Coptic Church](/tags/coptic) |</v>
      </c>
    </row>
    <row r="39" spans="1:89" ht="51" x14ac:dyDescent="0.25">
      <c r="A39" s="14" t="s">
        <v>1322</v>
      </c>
      <c r="B39" s="24" t="s">
        <v>592</v>
      </c>
      <c r="D39" s="15">
        <v>39.759224404162097</v>
      </c>
      <c r="E39" s="49">
        <v>140.14975314135</v>
      </c>
      <c r="F39" s="24" t="s">
        <v>1357</v>
      </c>
      <c r="G39" s="53" t="s">
        <v>1358</v>
      </c>
      <c r="H39" s="15" t="s">
        <v>1720</v>
      </c>
      <c r="I39" s="25" t="b">
        <v>1</v>
      </c>
      <c r="J39" s="15" t="b">
        <v>1</v>
      </c>
      <c r="L39" s="24" t="s">
        <v>1373</v>
      </c>
      <c r="N39" s="15" t="s">
        <v>1359</v>
      </c>
      <c r="O39" s="15" t="s">
        <v>336</v>
      </c>
      <c r="Y39" s="15" t="s">
        <v>336</v>
      </c>
      <c r="AI39" s="98" t="s">
        <v>1307</v>
      </c>
      <c r="AJ39" s="99">
        <v>1973</v>
      </c>
      <c r="AK39" s="15" t="s">
        <v>327</v>
      </c>
      <c r="AL39" s="15" t="s">
        <v>336</v>
      </c>
      <c r="AM39" s="15" t="s">
        <v>1351</v>
      </c>
      <c r="AN39" s="15" t="s">
        <v>336</v>
      </c>
      <c r="AO39" s="15" t="s">
        <v>1350</v>
      </c>
      <c r="AP39" s="49" t="s">
        <v>336</v>
      </c>
      <c r="AR39" s="28" t="b">
        <f t="shared" si="38"/>
        <v>1</v>
      </c>
      <c r="AS39" s="29" t="str">
        <f t="shared" si="39"/>
        <v>title: "Seitai Hoshikai (Our Lady of Akita)"</v>
      </c>
      <c r="AT39" s="29" t="str">
        <f t="shared" si="40"/>
        <v>location: {lat: 39.7592244041621, lng: 140.14975314135}</v>
      </c>
      <c r="AU39" s="29" t="str">
        <f t="shared" si="41"/>
        <v>level: global</v>
      </c>
      <c r="AV39" s="29" t="str">
        <f>"- "&amp;VLOOKUP(B39,'(Ref) Countries'!A:C,3,)</f>
        <v>- japan</v>
      </c>
      <c r="AW39" s="29" t="str">
        <f t="shared" si="42"/>
        <v/>
      </c>
      <c r="AX39" s="29" t="str">
        <f t="shared" si="43"/>
        <v>- churches</v>
      </c>
      <c r="AY39" s="29" t="str">
        <f t="shared" si="44"/>
        <v>- marian-sites</v>
      </c>
      <c r="AZ39" s="29" t="str">
        <f t="shared" si="45"/>
        <v/>
      </c>
      <c r="BA39" s="29" t="str">
        <f t="shared" si="61"/>
        <v/>
      </c>
      <c r="BB39" s="29" t="str">
        <f t="shared" si="61"/>
        <v/>
      </c>
      <c r="BC39" s="29" t="str">
        <f t="shared" si="61"/>
        <v/>
      </c>
      <c r="BD39" s="29" t="str">
        <f t="shared" si="61"/>
        <v/>
      </c>
      <c r="BE39" s="29" t="str">
        <f t="shared" si="61"/>
        <v/>
      </c>
      <c r="BF39" s="29" t="str">
        <f t="shared" si="62"/>
        <v/>
      </c>
      <c r="BG39" s="29" t="str">
        <f t="shared" si="62"/>
        <v/>
      </c>
      <c r="BH39" s="29" t="str">
        <f t="shared" si="62"/>
        <v/>
      </c>
      <c r="BI39" s="29" t="str">
        <f t="shared" si="62"/>
        <v/>
      </c>
      <c r="BJ39" s="29" t="str">
        <f t="shared" si="62"/>
        <v/>
      </c>
      <c r="BK39" s="29" t="str">
        <f t="shared" si="56"/>
        <v xml:space="preserve">tags:
- japan_x000D_
- churches_x000D_
- marian-sites_x000D_
</v>
      </c>
      <c r="BL39" s="30" t="str">
        <f t="shared" si="46"/>
        <v>[Official site](https://www.seitaihoshikai.com/)</v>
      </c>
      <c r="BM39" s="30" t="str">
        <f t="shared" si="47"/>
        <v/>
      </c>
      <c r="BN39" s="30" t="str">
        <f t="shared" si="48"/>
        <v/>
      </c>
      <c r="BO39" s="30" t="str">
        <f t="shared" si="49"/>
        <v/>
      </c>
      <c r="BP39" s="30" t="str">
        <f t="shared" si="57"/>
        <v xml:space="preserve">* [Official site](https://www.seitaihoshikai.com/)
</v>
      </c>
      <c r="BQ39" s="30" t="str">
        <f t="shared" si="50"/>
        <v>[Link](http://www.therealpresence.org/eucharst/misc/BVM/01_AKITA_60x96.pdf)</v>
      </c>
      <c r="BR39" s="30" t="str">
        <f t="shared" si="51"/>
        <v>[Link](https://www.miraclehunter.com/marian_apparitions/approved_apparitions/akita/index.html)</v>
      </c>
      <c r="BS39" s="30" t="str">
        <f t="shared" si="52"/>
        <v>[Link](https://www.marypages.com/akita-(japan)-en.html)</v>
      </c>
      <c r="BT39" s="30" t="str">
        <f>IF(LEN(concat(BQ39:BS39))&gt;0,concat("| ",BQ39," | ",BR39," | ",BS39," |"),"")</f>
        <v>| [Link](http://www.therealpresence.org/eucharst/misc/BVM/01_AKITA_60x96.pdf) | [Link](https://www.miraclehunter.com/marian_apparitions/approved_apparitions/akita/index.html) | [Link](https://www.marypages.com/akita-(japan)-en.html) |</v>
      </c>
      <c r="BU39" s="29" t="str">
        <f t="shared" si="53"/>
        <v xml:space="preserve">| The Real Presence | Miracle Hunter | MaryPages |_x000D_
| --- | --- | --- |_x000D_
| [Link](http://www.therealpresence.org/eucharst/misc/BVM/01_AKITA_60x96.pdf) | [Link](https://www.miraclehunter.com/marian_apparitions/approved_apparitions/akita/index.html) | [Link](https://www.marypages.com/akita-(japan)-en.html) |_x000D_
</v>
      </c>
      <c r="BV39" s="29" t="str">
        <f>IF(LEN(BP39&amp;BU39)&gt;0,concatll("#### More Information",BP39,BU39),"")</f>
        <v xml:space="preserve">#### More Information_x000D_
_x000D_
* [Official site](https://www.seitaihoshikai.com/)
_x000D_
_x000D_
| The Real Presence | Miracle Hunter | MaryPages |_x000D_
| --- | --- | --- |_x000D_
| [Link](http://www.therealpresence.org/eucharst/misc/BVM/01_AKITA_60x96.pdf) | [Link](https://www.miraclehunter.com/marian_apparitions/approved_apparitions/akita/index.html) | [Link](https://www.marypages.com/akita-(japan)-en.html) |_x000D_
_x000D_
_x000D_
</v>
      </c>
      <c r="BW39" s="29" t="str">
        <f>IF(LEN(M39)&gt;1,concatll("#### Author's Note",M39),"")</f>
        <v/>
      </c>
      <c r="BX39" s="23" t="str">
        <f>IF(AR39,concatll(concatl("---",AS39:AU39,BK39,"---"),L39,BV39:BW39),"")</f>
        <v xml:space="preserve">---_x000D_
title: "Seitai Hoshikai (Our Lady of Akita)"_x000D_
location: {lat: 39.7592244041621, lng: 140.14975314135}_x000D_
level: global_x000D_
tags:
- japan_x000D_
- churches_x000D_
- marian-sites_x000D_
_x000D_
---_x000D_
_x000D_
_x000D_
Sister Agnes Sasagawa received visions of an angel and messages emanating from a wooden statue of Our Lady which wept 101 times, including one instance which was broadcast on Japanese national television in December 1973._x000D_
_x000D_
#### More Information_x000D_
_x000D_
* [Official site](https://www.seitaihoshikai.com/)
_x000D_
_x000D_
| The Real Presence | Miracle Hunter | MaryPages |_x000D_
| --- | --- | --- |_x000D_
| [Link](http://www.therealpresence.org/eucharst/misc/BVM/01_AKITA_60x96.pdf) | [Link](https://www.miraclehunter.com/marian_apparitions/approved_apparitions/akita/index.html) | [Link](https://www.marypages.com/akita-(japan)-en.html) |_x000D_
_x000D_
_x000D_
_x000D_
_x000D_
</v>
      </c>
      <c r="BY39" s="23" t="str">
        <f>IF(AR39,VLOOKUP(B39,'(Ref) Countries'!A:B,2,)&amp;IF(LEN(C39)&gt;1,"-"&amp;LOWER(SUBSTITUTE(C39," ","-")),"")&amp;"-"&amp;LOWER(SUBSTITUTE(G39," ","-"))&amp;".md","")</f>
        <v>jp-seitai-hoshikai.md</v>
      </c>
      <c r="BZ39" s="29" t="str">
        <f>IF(LEN(Y39)&gt;1,VLOOKUP(Y39,'Tag List'!$A:$B,2,),"")</f>
        <v/>
      </c>
      <c r="CA39" s="29" t="str">
        <f>IF(LEN(Z39)&gt;1,VLOOKUP(Z39,'Tag List'!$A:$B,2,),"")</f>
        <v/>
      </c>
      <c r="CB39" s="29" t="str">
        <f>IF(LEN(AA39)&gt;1,VLOOKUP(AA39,'Tag List'!$A:$B,2,),"")</f>
        <v/>
      </c>
      <c r="CC39" s="30" t="str">
        <f>IF(LEN(Y39)&gt;1,GetTagPage(BZ39,Y39),"")</f>
        <v/>
      </c>
      <c r="CD39" s="30" t="str">
        <f>IF(LEN(Z39)&gt;1,GetTagPage(CA39,Z39),"")</f>
        <v/>
      </c>
      <c r="CE39" s="30" t="str">
        <f>IF(LEN(AA39)&gt;1,GetTagPage(CB39,AA39),"")</f>
        <v/>
      </c>
      <c r="CF39" s="30" t="str">
        <f t="shared" si="58"/>
        <v xml:space="preserve">| </v>
      </c>
      <c r="CG39" s="30" t="str">
        <f t="shared" si="54"/>
        <v xml:space="preserve">| [Akita](/places/jp-seitai-hoshikai) </v>
      </c>
      <c r="CH39" s="30" t="str">
        <f>"| "&amp;IF(AR39,GetTagPage(B39,VLOOKUP(B39,'(Ref) Countries'!A:C,3,)),B39)&amp; " "</f>
        <v xml:space="preserve">| [Japan](/tags/japan) </v>
      </c>
      <c r="CI39" s="30" t="str">
        <f t="shared" si="55"/>
        <v xml:space="preserve">| 1973 </v>
      </c>
      <c r="CJ39" s="30" t="str">
        <f t="shared" si="59"/>
        <v xml:space="preserve">| [Link](/places/jp-seitai-hoshikai) </v>
      </c>
      <c r="CK39" s="29" t="str">
        <f t="shared" si="60"/>
        <v xml:space="preserve">
| [Akita](/places/jp-seitai-hoshikai) | [Japan](/tags/japan) | 1973 | [Link](/places/jp-seitai-hoshikai) [Official site](https://www.seitaihoshikai.com/)[Link](http://www.therealpresence.org/eucharst/misc/BVM/01_AKITA_60x96.pdf)[Link](https://www.miraclehunter.com/marian_apparitions/approved_apparitions/akita/index.html)[Link](https://www.marypages.com/akita-(japan)-en.html)| |</v>
      </c>
    </row>
    <row r="40" spans="1:89" ht="51" x14ac:dyDescent="0.25">
      <c r="A40" s="14" t="s">
        <v>1051</v>
      </c>
      <c r="B40" s="24" t="s">
        <v>638</v>
      </c>
      <c r="D40" s="15">
        <v>12.250924807686999</v>
      </c>
      <c r="E40" s="49">
        <v>-85.378274608161107</v>
      </c>
      <c r="F40" s="24" t="s">
        <v>1348</v>
      </c>
      <c r="G40" s="53" t="s">
        <v>1347</v>
      </c>
      <c r="H40" s="15" t="s">
        <v>1720</v>
      </c>
      <c r="I40" s="25" t="b">
        <v>1</v>
      </c>
      <c r="J40" s="15" t="b">
        <v>1</v>
      </c>
      <c r="L40" s="24" t="s">
        <v>1335</v>
      </c>
      <c r="M40" s="55" t="s">
        <v>1749</v>
      </c>
      <c r="N40" s="15" t="s">
        <v>1349</v>
      </c>
      <c r="O40" s="15" t="s">
        <v>336</v>
      </c>
      <c r="Y40" s="15" t="s">
        <v>336</v>
      </c>
      <c r="AI40" s="98" t="s">
        <v>1308</v>
      </c>
      <c r="AJ40" s="99">
        <v>1980</v>
      </c>
      <c r="AK40" s="15" t="s">
        <v>328</v>
      </c>
      <c r="AL40" s="15" t="s">
        <v>336</v>
      </c>
      <c r="AM40" s="15" t="s">
        <v>1346</v>
      </c>
      <c r="AN40" s="15" t="s">
        <v>336</v>
      </c>
      <c r="AO40" s="15" t="s">
        <v>1345</v>
      </c>
      <c r="AP40" s="49" t="s">
        <v>336</v>
      </c>
      <c r="AR40" s="28" t="b">
        <f t="shared" si="38"/>
        <v>1</v>
      </c>
      <c r="AS40" s="29" t="str">
        <f t="shared" si="39"/>
        <v>title: "National Sanctuary of Our Lady of Cuapa"</v>
      </c>
      <c r="AT40" s="29" t="str">
        <f t="shared" si="40"/>
        <v>location: {lat: 12.250924807687, lng: -85.3782746081611}</v>
      </c>
      <c r="AU40" s="29" t="str">
        <f t="shared" si="41"/>
        <v>level: global</v>
      </c>
      <c r="AV40" s="29" t="str">
        <f>"- "&amp;VLOOKUP(B40,'(Ref) Countries'!A:C,3,)</f>
        <v>- nicaragua</v>
      </c>
      <c r="AW40" s="29" t="str">
        <f t="shared" si="42"/>
        <v/>
      </c>
      <c r="AX40" s="29" t="str">
        <f t="shared" si="43"/>
        <v>- churches</v>
      </c>
      <c r="AY40" s="29" t="str">
        <f t="shared" si="44"/>
        <v>- marian-sites</v>
      </c>
      <c r="AZ40" s="29" t="str">
        <f t="shared" si="45"/>
        <v/>
      </c>
      <c r="BA40" s="29" t="str">
        <f t="shared" si="61"/>
        <v/>
      </c>
      <c r="BB40" s="29" t="str">
        <f t="shared" si="61"/>
        <v/>
      </c>
      <c r="BC40" s="29" t="str">
        <f t="shared" si="61"/>
        <v/>
      </c>
      <c r="BD40" s="29" t="str">
        <f t="shared" si="61"/>
        <v/>
      </c>
      <c r="BE40" s="29" t="str">
        <f t="shared" si="61"/>
        <v/>
      </c>
      <c r="BF40" s="29" t="str">
        <f t="shared" si="62"/>
        <v/>
      </c>
      <c r="BG40" s="29" t="str">
        <f t="shared" si="62"/>
        <v/>
      </c>
      <c r="BH40" s="29" t="str">
        <f t="shared" si="62"/>
        <v/>
      </c>
      <c r="BI40" s="29" t="str">
        <f t="shared" si="62"/>
        <v/>
      </c>
      <c r="BJ40" s="29" t="str">
        <f t="shared" si="62"/>
        <v/>
      </c>
      <c r="BK40" s="29" t="str">
        <f t="shared" si="56"/>
        <v xml:space="preserve">tags:
- nicaragua_x000D_
- churches_x000D_
- marian-sites_x000D_
</v>
      </c>
      <c r="BL40" s="30" t="str">
        <f t="shared" si="46"/>
        <v>[Official site](https://www.facebook.com/SDVirgendeCuapa)</v>
      </c>
      <c r="BM40" s="30" t="str">
        <f t="shared" si="47"/>
        <v/>
      </c>
      <c r="BN40" s="30" t="str">
        <f t="shared" si="48"/>
        <v/>
      </c>
      <c r="BO40" s="30" t="str">
        <f t="shared" si="49"/>
        <v/>
      </c>
      <c r="BP40" s="30" t="str">
        <f t="shared" si="57"/>
        <v xml:space="preserve">* [Official site](https://www.facebook.com/SDVirgendeCuapa)
</v>
      </c>
      <c r="BQ40" s="30" t="str">
        <f t="shared" si="50"/>
        <v>[Link](http://www.therealpresence.org/eucharst/misc/BVM/16_CUAPA_60x96.pdf)</v>
      </c>
      <c r="BR40" s="30" t="str">
        <f t="shared" si="51"/>
        <v>[Link](http://www.miraclehunter.com/marian_apparitions/approved_apparitions/cuapa/index.html)</v>
      </c>
      <c r="BS40" s="30" t="str">
        <f t="shared" si="52"/>
        <v>[Link](https://www.marypages.com/our-lady-of-cuapa-also-known-as-our-lady-of-nicaragua-en.html)</v>
      </c>
      <c r="BT40" s="30" t="str">
        <f>IF(LEN(concat(BQ40:BS40))&gt;0,concat("| ",BQ40," | ",BR40," | ",BS40," |"),"")</f>
        <v>| [Link](http://www.therealpresence.org/eucharst/misc/BVM/16_CUAPA_60x96.pdf) | [Link](http://www.miraclehunter.com/marian_apparitions/approved_apparitions/cuapa/index.html) | [Link](https://www.marypages.com/our-lady-of-cuapa-also-known-as-our-lady-of-nicaragua-en.html) |</v>
      </c>
      <c r="BU40" s="29" t="str">
        <f t="shared" si="53"/>
        <v xml:space="preserve">| The Real Presence | Miracle Hunter | MaryPages |_x000D_
| --- | --- | --- |_x000D_
| [Link](http://www.therealpresence.org/eucharst/misc/BVM/16_CUAPA_60x96.pdf) | [Link](http://www.miraclehunter.com/marian_apparitions/approved_apparitions/cuapa/index.html) | [Link](https://www.marypages.com/our-lady-of-cuapa-also-known-as-our-lady-of-nicaragua-en.html) |_x000D_
</v>
      </c>
      <c r="BV40" s="29" t="str">
        <f>IF(LEN(BP40&amp;BU40)&gt;0,concatll("#### More Information",BP40,BU40),"")</f>
        <v xml:space="preserve">#### More Information_x000D_
_x000D_
* [Official site](https://www.facebook.com/SDVirgendeCuapa)
_x000D_
_x000D_
| The Real Presence | Miracle Hunter | MaryPages |_x000D_
| --- | --- | --- |_x000D_
| [Link](http://www.therealpresence.org/eucharst/misc/BVM/16_CUAPA_60x96.pdf) | [Link](http://www.miraclehunter.com/marian_apparitions/approved_apparitions/cuapa/index.html) | [Link](https://www.marypages.com/our-lady-of-cuapa-also-known-as-our-lady-of-nicaragua-en.html) |_x000D_
_x000D_
_x000D_
</v>
      </c>
      <c r="BW40" s="29" t="str">
        <f>IF(LEN(M40)&gt;1,concatll("#### Author's Note",M40),"")</f>
        <v xml:space="preserve">#### Author's Note_x000D_
_x000D_
We can't find an official website for the parish; their Facebook page has been listed for now.
-JMM_x000D_
_x000D_
</v>
      </c>
      <c r="BX40" s="23" t="str">
        <f>IF(AR40,concatll(concatl("---",AS40:AU40,BK40,"---"),L40,BV40:BW40),"")</f>
        <v xml:space="preserve">---_x000D_
title: "National Sanctuary of Our Lady of Cuapa"_x000D_
location: {lat: 12.250924807687, lng: -85.3782746081611}_x000D_
level: global_x000D_
tags:
- nicaragua_x000D_
- churches_x000D_
- marian-sites_x000D_
_x000D_
---_x000D_
_x000D_
_x000D_
_Research in progress__x000D_
_x000D_
#### More Information_x000D_
_x000D_
* [Official site](https://www.facebook.com/SDVirgendeCuapa)
_x000D_
_x000D_
| The Real Presence | Miracle Hunter | MaryPages |_x000D_
| --- | --- | --- |_x000D_
| [Link](http://www.therealpresence.org/eucharst/misc/BVM/16_CUAPA_60x96.pdf) | [Link](http://www.miraclehunter.com/marian_apparitions/approved_apparitions/cuapa/index.html) | [Link](https://www.marypages.com/our-lady-of-cuapa-also-known-as-our-lady-of-nicaragua-en.html) |_x000D_
_x000D_
_x000D_
_x000D_
_x000D_
#### Author's Note_x000D_
_x000D_
We can't find an official website for the parish; their Facebook page has been listed for now.
-JMM_x000D_
_x000D_
_x000D_
_x000D_
</v>
      </c>
      <c r="BY40" s="23" t="str">
        <f>IF(AR40,VLOOKUP(B40,'(Ref) Countries'!A:B,2,)&amp;IF(LEN(C40)&gt;1,"-"&amp;LOWER(SUBSTITUTE(C40," ","-")),"")&amp;"-"&amp;LOWER(SUBSTITUTE(G40," ","-"))&amp;".md","")</f>
        <v>ni-sanctuary-of-our-lady-of-cuapa.md</v>
      </c>
      <c r="BZ40" s="29" t="str">
        <f>IF(LEN(Y40)&gt;1,VLOOKUP(Y40,'Tag List'!$A:$B,2,),"")</f>
        <v/>
      </c>
      <c r="CA40" s="29" t="str">
        <f>IF(LEN(Z40)&gt;1,VLOOKUP(Z40,'Tag List'!$A:$B,2,),"")</f>
        <v/>
      </c>
      <c r="CB40" s="29" t="str">
        <f>IF(LEN(AA40)&gt;1,VLOOKUP(AA40,'Tag List'!$A:$B,2,),"")</f>
        <v/>
      </c>
      <c r="CC40" s="30" t="str">
        <f>IF(LEN(Y40)&gt;1,GetTagPage(BZ40,Y40),"")</f>
        <v/>
      </c>
      <c r="CD40" s="30" t="str">
        <f>IF(LEN(Z40)&gt;1,GetTagPage(CA40,Z40),"")</f>
        <v/>
      </c>
      <c r="CE40" s="30" t="str">
        <f>IF(LEN(AA40)&gt;1,GetTagPage(CB40,AA40),"")</f>
        <v/>
      </c>
      <c r="CF40" s="30" t="str">
        <f t="shared" si="58"/>
        <v xml:space="preserve">| </v>
      </c>
      <c r="CG40" s="30" t="str">
        <f t="shared" si="54"/>
        <v xml:space="preserve">| [Cuapa](/places/ni-sanctuary-of-our-lady-of-cuapa) </v>
      </c>
      <c r="CH40" s="30" t="str">
        <f>"| "&amp;IF(AR40,GetTagPage(B40,VLOOKUP(B40,'(Ref) Countries'!A:C,3,)),B40)&amp; " "</f>
        <v xml:space="preserve">| [Nicaragua](/tags/nicaragua) </v>
      </c>
      <c r="CI40" s="30" t="str">
        <f t="shared" si="55"/>
        <v xml:space="preserve">| 1980 </v>
      </c>
      <c r="CJ40" s="30" t="str">
        <f t="shared" si="59"/>
        <v xml:space="preserve">| [Link](/places/ni-sanctuary-of-our-lady-of-cuapa) </v>
      </c>
      <c r="CK40" s="29" t="str">
        <f t="shared" si="60"/>
        <v xml:space="preserve">
| [Cuapa](/places/ni-sanctuary-of-our-lady-of-cuapa) | [Nicaragua](/tags/nicaragua) | 1980 | [Link](/places/ni-sanctuary-of-our-lady-of-cuapa) [Official site](https://www.facebook.com/SDVirgendeCuapa)[Link](http://www.therealpresence.org/eucharst/misc/BVM/16_CUAPA_60x96.pdf)[Link](http://www.miraclehunter.com/marian_apparitions/approved_apparitions/cuapa/index.html)[Link](https://www.marypages.com/our-lady-of-cuapa-also-known-as-our-lady-of-nicaragua-en.html)| |</v>
      </c>
    </row>
    <row r="41" spans="1:89" ht="76.5" x14ac:dyDescent="0.25">
      <c r="A41" s="14" t="s">
        <v>1322</v>
      </c>
      <c r="B41" s="24" t="s">
        <v>482</v>
      </c>
      <c r="D41" s="15">
        <v>-2.6496097000000001</v>
      </c>
      <c r="E41" s="49">
        <v>29.553281200000001</v>
      </c>
      <c r="F41" s="24" t="s">
        <v>481</v>
      </c>
      <c r="G41" s="53" t="s">
        <v>400</v>
      </c>
      <c r="H41" s="15" t="s">
        <v>1720</v>
      </c>
      <c r="I41" s="25" t="b">
        <v>1</v>
      </c>
      <c r="J41" s="15" t="b">
        <v>1</v>
      </c>
      <c r="L41" s="24" t="s">
        <v>358</v>
      </c>
      <c r="N41" s="15" t="s">
        <v>340</v>
      </c>
      <c r="O41" s="15" t="s">
        <v>336</v>
      </c>
      <c r="Y41" s="36" t="s">
        <v>336</v>
      </c>
      <c r="Z41" s="36"/>
      <c r="AA41" s="36"/>
      <c r="AB41" s="36"/>
      <c r="AC41" s="36"/>
      <c r="AD41" s="36"/>
      <c r="AE41" s="36"/>
      <c r="AF41" s="36"/>
      <c r="AG41" s="36"/>
      <c r="AH41" s="84"/>
      <c r="AI41" s="98" t="s">
        <v>484</v>
      </c>
      <c r="AJ41" s="99">
        <v>1981</v>
      </c>
      <c r="AK41" s="15" t="s">
        <v>329</v>
      </c>
      <c r="AL41" s="15" t="s">
        <v>336</v>
      </c>
      <c r="AM41" s="15" t="s">
        <v>359</v>
      </c>
      <c r="AN41" s="15" t="s">
        <v>336</v>
      </c>
      <c r="AO41" s="15" t="s">
        <v>360</v>
      </c>
      <c r="AP41" s="49" t="s">
        <v>336</v>
      </c>
      <c r="AR41" s="28" t="b">
        <f t="shared" si="38"/>
        <v>1</v>
      </c>
      <c r="AS41" s="29" t="str">
        <f t="shared" si="39"/>
        <v>title: "Shrine of Our Lady of Kibeho (Mother of the Word)"</v>
      </c>
      <c r="AT41" s="29" t="str">
        <f t="shared" si="40"/>
        <v>location: {lat: -2.6496097, lng: 29.5532812}</v>
      </c>
      <c r="AU41" s="29" t="str">
        <f t="shared" si="41"/>
        <v>level: global</v>
      </c>
      <c r="AV41" s="29" t="str">
        <f>"- "&amp;VLOOKUP(B41,'(Ref) Countries'!A:C,3,)</f>
        <v>- rwanda</v>
      </c>
      <c r="AW41" s="29" t="str">
        <f t="shared" si="42"/>
        <v/>
      </c>
      <c r="AX41" s="29" t="str">
        <f t="shared" si="43"/>
        <v>- churches</v>
      </c>
      <c r="AY41" s="29" t="str">
        <f t="shared" si="44"/>
        <v>- marian-sites</v>
      </c>
      <c r="AZ41" s="29" t="str">
        <f t="shared" si="45"/>
        <v/>
      </c>
      <c r="BA41" s="29" t="str">
        <f t="shared" si="61"/>
        <v/>
      </c>
      <c r="BB41" s="29" t="str">
        <f t="shared" si="61"/>
        <v/>
      </c>
      <c r="BC41" s="29" t="str">
        <f t="shared" si="61"/>
        <v/>
      </c>
      <c r="BD41" s="29" t="str">
        <f t="shared" si="61"/>
        <v/>
      </c>
      <c r="BE41" s="29" t="str">
        <f t="shared" si="61"/>
        <v/>
      </c>
      <c r="BF41" s="29" t="str">
        <f t="shared" si="62"/>
        <v/>
      </c>
      <c r="BG41" s="29" t="str">
        <f t="shared" si="62"/>
        <v/>
      </c>
      <c r="BH41" s="29" t="str">
        <f t="shared" si="62"/>
        <v/>
      </c>
      <c r="BI41" s="29" t="str">
        <f t="shared" si="62"/>
        <v/>
      </c>
      <c r="BJ41" s="29" t="str">
        <f t="shared" si="62"/>
        <v/>
      </c>
      <c r="BK41" s="29" t="str">
        <f t="shared" si="56"/>
        <v xml:space="preserve">tags:
- rwanda_x000D_
- churches_x000D_
- marian-sites_x000D_
</v>
      </c>
      <c r="BL41" s="30" t="str">
        <f t="shared" si="46"/>
        <v>[Official site](https://kibeho-sanctuary.com/)</v>
      </c>
      <c r="BM41" s="30" t="str">
        <f t="shared" si="47"/>
        <v/>
      </c>
      <c r="BN41" s="30" t="str">
        <f t="shared" si="48"/>
        <v/>
      </c>
      <c r="BO41" s="30" t="str">
        <f t="shared" si="49"/>
        <v/>
      </c>
      <c r="BP41" s="30" t="str">
        <f t="shared" si="57"/>
        <v xml:space="preserve">* [Official site](https://kibeho-sanctuary.com/)
</v>
      </c>
      <c r="BQ41" s="30" t="str">
        <f t="shared" si="50"/>
        <v>[Link](http://www.therealpresence.org/eucharst/misc/BVM/20_KIBEHO_96x96.pdf)</v>
      </c>
      <c r="BR41" s="30" t="str">
        <f t="shared" si="51"/>
        <v>[Link](https://www.miraclehunter.com/marian_apparitions/approved_apparitions/kibeho_rwanda/index.html)</v>
      </c>
      <c r="BS41" s="30" t="str">
        <f t="shared" si="52"/>
        <v>[Link](https://www.marypages.com/kibeho-(rwanda)-en.html)</v>
      </c>
      <c r="BT41" s="30" t="str">
        <f>IF(LEN(concat(BQ41:BS41))&gt;0,concat("| ",BQ41," | ",BR41," | ",BS41," |"),"")</f>
        <v>| [Link](http://www.therealpresence.org/eucharst/misc/BVM/20_KIBEHO_96x96.pdf) | [Link](https://www.miraclehunter.com/marian_apparitions/approved_apparitions/kibeho_rwanda/index.html) | [Link](https://www.marypages.com/kibeho-(rwanda)-en.html) |</v>
      </c>
      <c r="BU41" s="29" t="str">
        <f t="shared" si="53"/>
        <v xml:space="preserve">| The Real Presence | Miracle Hunter | MaryPages |_x000D_
| --- | --- | --- |_x000D_
| [Link](http://www.therealpresence.org/eucharst/misc/BVM/20_KIBEHO_96x96.pdf) | [Link](https://www.miraclehunter.com/marian_apparitions/approved_apparitions/kibeho_rwanda/index.html) | [Link](https://www.marypages.com/kibeho-(rwanda)-en.html) |_x000D_
</v>
      </c>
      <c r="BV41" s="29" t="str">
        <f>IF(LEN(BP41&amp;BU41)&gt;0,concatll("#### More Information",BP41,BU41),"")</f>
        <v xml:space="preserve">#### More Information_x000D_
_x000D_
* [Official site](https://kibeho-sanctuary.com/)
_x000D_
_x000D_
| The Real Presence | Miracle Hunter | MaryPages |_x000D_
| --- | --- | --- |_x000D_
| [Link](http://www.therealpresence.org/eucharst/misc/BVM/20_KIBEHO_96x96.pdf) | [Link](https://www.miraclehunter.com/marian_apparitions/approved_apparitions/kibeho_rwanda/index.html) | [Link](https://www.marypages.com/kibeho-(rwanda)-en.html) |_x000D_
_x000D_
_x000D_
</v>
      </c>
      <c r="BW41" s="29" t="str">
        <f>IF(LEN(M41)&gt;1,concatll("#### Author's Note",M41),"")</f>
        <v/>
      </c>
      <c r="BX41" s="23" t="str">
        <f>IF(AR41,concatll(concatl("---",AS41:AU41,BK41,"---"),L41,BV41:BW41),"")</f>
        <v xml:space="preserve">---_x000D_
title: "Shrine of Our Lady of Kibeho (Mother of the Word)"_x000D_
location: {lat: -2.6496097, lng: 29.5532812}_x000D_
level: global_x000D_
tags:
- rwanda_x000D_
- churches_x000D_
- marian-sites_x000D_
_x000D_
---_x000D_
_x000D_
_x000D_
Between 1981 and 1989, the Virgin Mary appeared to several girls in Rwanda.  She appeared to them with the name "Nyina wa Jambo" ("Mother of the Word"), synonymous with "Umubyeyl W'iamna" ("Mother of God").  Mary emphasized the call to pray the rosary and asked for penance and fasting.  The three girls reported a vision foreshadowing the Rwandan Genocide which would occur just 13 years later, which would claim one of their lives._x000D_
_x000D_
#### More Information_x000D_
_x000D_
* [Official site](https://kibeho-sanctuary.com/)
_x000D_
_x000D_
| The Real Presence | Miracle Hunter | MaryPages |_x000D_
| --- | --- | --- |_x000D_
| [Link](http://www.therealpresence.org/eucharst/misc/BVM/20_KIBEHO_96x96.pdf) | [Link](https://www.miraclehunter.com/marian_apparitions/approved_apparitions/kibeho_rwanda/index.html) | [Link](https://www.marypages.com/kibeho-(rwanda)-en.html) |_x000D_
_x000D_
_x000D_
_x000D_
_x000D_
</v>
      </c>
      <c r="BY41" s="23" t="str">
        <f>IF(AR41,VLOOKUP(B41,'(Ref) Countries'!A:B,2,)&amp;IF(LEN(C41)&gt;1,"-"&amp;LOWER(SUBSTITUTE(C41," ","-")),"")&amp;"-"&amp;LOWER(SUBSTITUTE(G41," ","-"))&amp;".md","")</f>
        <v>rw-shrine-of-our-lady-of-kibeho.md</v>
      </c>
      <c r="BZ41" s="38" t="str">
        <f>IF(LEN(Y41)&gt;1,VLOOKUP(Y41,'Tag List'!$A:$B,2,),"")</f>
        <v/>
      </c>
      <c r="CA41" s="38" t="str">
        <f>IF(LEN(Z41)&gt;1,VLOOKUP(Z41,'Tag List'!$A:$B,2,),"")</f>
        <v/>
      </c>
      <c r="CB41" s="38" t="str">
        <f>IF(LEN(AA41)&gt;1,VLOOKUP(AA41,'Tag List'!$A:$B,2,),"")</f>
        <v/>
      </c>
      <c r="CC41" s="30" t="str">
        <f>IF(LEN(Y41)&gt;1,GetTagPage(BZ41,Y41),"")</f>
        <v/>
      </c>
      <c r="CD41" s="30" t="str">
        <f>IF(LEN(Z41)&gt;1,GetTagPage(CA41,Z41),"")</f>
        <v/>
      </c>
      <c r="CE41" s="30" t="str">
        <f>IF(LEN(AA41)&gt;1,GetTagPage(CB41,AA41),"")</f>
        <v/>
      </c>
      <c r="CF41" s="30" t="str">
        <f t="shared" si="58"/>
        <v xml:space="preserve">| </v>
      </c>
      <c r="CG41" s="30" t="str">
        <f t="shared" si="54"/>
        <v xml:space="preserve">| [Kibeho](/places/rw-shrine-of-our-lady-of-kibeho) </v>
      </c>
      <c r="CH41" s="30" t="str">
        <f>"| "&amp;IF(AR41,GetTagPage(B41,VLOOKUP(B41,'(Ref) Countries'!A:C,3,)),B41)&amp; " "</f>
        <v xml:space="preserve">| [Rwanda](/tags/rwanda) </v>
      </c>
      <c r="CI41" s="30" t="str">
        <f t="shared" si="55"/>
        <v xml:space="preserve">| 1981 </v>
      </c>
      <c r="CJ41" s="30" t="str">
        <f t="shared" si="59"/>
        <v xml:space="preserve">| [Link](/places/rw-shrine-of-our-lady-of-kibeho) </v>
      </c>
      <c r="CK41" s="29" t="str">
        <f t="shared" si="60"/>
        <v xml:space="preserve">
| [Kibeho](/places/rw-shrine-of-our-lady-of-kibeho) | [Rwanda](/tags/rwanda) | 1981 | [Link](/places/rw-shrine-of-our-lady-of-kibeho) [Official site](https://kibeho-sanctuary.com/)[Link](http://www.therealpresence.org/eucharst/misc/BVM/20_KIBEHO_96x96.pdf)[Link](https://www.miraclehunter.com/marian_apparitions/approved_apparitions/kibeho_rwanda/index.html)[Link](https://www.marypages.com/kibeho-(rwanda)-en.html)| |</v>
      </c>
    </row>
    <row r="42" spans="1:89" ht="51" x14ac:dyDescent="0.25">
      <c r="A42" s="14" t="s">
        <v>1322</v>
      </c>
      <c r="B42" s="24" t="s">
        <v>651</v>
      </c>
      <c r="D42" s="15">
        <v>50.812751619291099</v>
      </c>
      <c r="E42" s="49">
        <v>19.096651748272901</v>
      </c>
      <c r="F42" s="27" t="s">
        <v>1057</v>
      </c>
      <c r="G42" s="53" t="s">
        <v>1058</v>
      </c>
      <c r="H42" s="15" t="s">
        <v>1720</v>
      </c>
      <c r="I42" s="25" t="b">
        <v>1</v>
      </c>
      <c r="J42" s="15" t="b">
        <v>1</v>
      </c>
      <c r="L42" s="27" t="s">
        <v>1062</v>
      </c>
      <c r="N42" s="15" t="s">
        <v>1059</v>
      </c>
      <c r="O42" s="15" t="s">
        <v>336</v>
      </c>
      <c r="Y42" s="24" t="s">
        <v>1426</v>
      </c>
      <c r="Z42" s="24" t="s">
        <v>1419</v>
      </c>
      <c r="AA42" s="24"/>
      <c r="AB42" s="24"/>
      <c r="AC42" s="24"/>
      <c r="AD42" s="24"/>
      <c r="AE42" s="24"/>
      <c r="AF42" s="24"/>
      <c r="AG42" s="24"/>
      <c r="AH42" s="86"/>
      <c r="AI42" s="98" t="s">
        <v>1055</v>
      </c>
      <c r="AJ42" s="99" t="s">
        <v>1056</v>
      </c>
      <c r="AK42" s="15" t="s">
        <v>336</v>
      </c>
      <c r="AL42" s="15" t="s">
        <v>336</v>
      </c>
      <c r="AM42" s="15" t="s">
        <v>1060</v>
      </c>
      <c r="AN42" s="15" t="s">
        <v>336</v>
      </c>
      <c r="AO42" s="15" t="s">
        <v>1061</v>
      </c>
      <c r="AP42" s="49" t="s">
        <v>336</v>
      </c>
      <c r="AR42" s="28" t="b">
        <f t="shared" si="38"/>
        <v>1</v>
      </c>
      <c r="AS42" s="29" t="str">
        <f t="shared" si="39"/>
        <v>title: "Jasna Gora Monastery (Our Lady of Czestochowa)"</v>
      </c>
      <c r="AT42" s="29" t="str">
        <f t="shared" si="40"/>
        <v>location: {lat: 50.8127516192911, lng: 19.0966517482729}</v>
      </c>
      <c r="AU42" s="29" t="str">
        <f t="shared" si="41"/>
        <v>level: global</v>
      </c>
      <c r="AV42" s="29" t="str">
        <f>"- "&amp;VLOOKUP(B42,'(Ref) Countries'!A:C,3,)</f>
        <v>- poland</v>
      </c>
      <c r="AW42" s="29" t="str">
        <f t="shared" si="42"/>
        <v/>
      </c>
      <c r="AX42" s="29" t="str">
        <f t="shared" si="43"/>
        <v>- churches</v>
      </c>
      <c r="AY42" s="29" t="str">
        <f t="shared" si="44"/>
        <v>- marian-sites</v>
      </c>
      <c r="AZ42" s="29" t="str">
        <f t="shared" si="45"/>
        <v/>
      </c>
      <c r="BA42" s="29" t="str">
        <f t="shared" si="61"/>
        <v>- communities</v>
      </c>
      <c r="BB42" s="29" t="str">
        <f t="shared" si="61"/>
        <v>- john-paul-ii</v>
      </c>
      <c r="BC42" s="29" t="str">
        <f t="shared" si="61"/>
        <v/>
      </c>
      <c r="BD42" s="29" t="str">
        <f t="shared" si="61"/>
        <v/>
      </c>
      <c r="BE42" s="29" t="str">
        <f t="shared" si="61"/>
        <v/>
      </c>
      <c r="BF42" s="29" t="str">
        <f t="shared" si="62"/>
        <v/>
      </c>
      <c r="BG42" s="29" t="str">
        <f t="shared" si="62"/>
        <v/>
      </c>
      <c r="BH42" s="29" t="str">
        <f t="shared" si="62"/>
        <v/>
      </c>
      <c r="BI42" s="29" t="str">
        <f t="shared" si="62"/>
        <v/>
      </c>
      <c r="BJ42" s="29" t="str">
        <f t="shared" si="62"/>
        <v/>
      </c>
      <c r="BK42" s="29" t="str">
        <f t="shared" si="56"/>
        <v xml:space="preserve">tags:
- poland_x000D_
- churches_x000D_
- marian-sites_x000D_
- communities_x000D_
- john-paul-ii_x000D_
</v>
      </c>
      <c r="BL42" s="30" t="str">
        <f t="shared" si="46"/>
        <v>[Official site](https://jasnagora.pl/)</v>
      </c>
      <c r="BM42" s="30" t="str">
        <f t="shared" si="47"/>
        <v/>
      </c>
      <c r="BN42" s="30" t="str">
        <f t="shared" si="48"/>
        <v/>
      </c>
      <c r="BO42" s="30" t="str">
        <f t="shared" si="49"/>
        <v/>
      </c>
      <c r="BP42" s="30" t="str">
        <f t="shared" si="57"/>
        <v xml:space="preserve">* [Official site](https://jasnagora.pl/)
</v>
      </c>
      <c r="BQ42" s="30" t="str">
        <f t="shared" si="50"/>
        <v/>
      </c>
      <c r="BR42" s="30" t="str">
        <f t="shared" si="51"/>
        <v>[Link](https://www.miraclehunter.com/marian_apparitions/approved_apparitions/czestochowa/)</v>
      </c>
      <c r="BS42" s="30" t="str">
        <f t="shared" si="52"/>
        <v>[Link](https://www.marypages.com/czestochowa-(poland)-en.html)</v>
      </c>
      <c r="BT42" s="30" t="str">
        <f>IF(LEN(concat(BQ42:BS42))&gt;0,concat("| ",BQ42," | ",BR42," | ",BS42," |"),"")</f>
        <v>|  | [Link](https://www.miraclehunter.com/marian_apparitions/approved_apparitions/czestochowa/) | [Link](https://www.marypages.com/czestochowa-(poland)-en.html) |</v>
      </c>
      <c r="BU42" s="29" t="str">
        <f t="shared" si="53"/>
        <v xml:space="preserve">| The Real Presence | Miracle Hunter | MaryPages |_x000D_
| --- | --- | --- |_x000D_
|  | [Link](https://www.miraclehunter.com/marian_apparitions/approved_apparitions/czestochowa/) | [Link](https://www.marypages.com/czestochowa-(poland)-en.html) |_x000D_
</v>
      </c>
      <c r="BV42" s="29" t="str">
        <f>IF(LEN(BP42&amp;BU42)&gt;0,concatll("#### More Information",BP42,BU42),"")</f>
        <v xml:space="preserve">#### More Information_x000D_
_x000D_
* [Official site](https://jasnagora.pl/)
_x000D_
_x000D_
| The Real Presence | Miracle Hunter | MaryPages |_x000D_
| --- | --- | --- |_x000D_
|  | [Link](https://www.miraclehunter.com/marian_apparitions/approved_apparitions/czestochowa/) | [Link](https://www.marypages.com/czestochowa-(poland)-en.html) |_x000D_
_x000D_
_x000D_
</v>
      </c>
      <c r="BW42" s="29" t="str">
        <f>IF(LEN(M42)&gt;1,concatll("#### Author's Note",M42),"")</f>
        <v/>
      </c>
      <c r="BX42" s="23" t="str">
        <f>IF(AR42,concatll(concatl("---",AS42:AU42,BK42,"---"),L42,BV42:BW42),"")</f>
        <v xml:space="preserve">---_x000D_
title: "Jasna Gora Monastery (Our Lady of Czestochowa)"_x000D_
location: {lat: 50.8127516192911, lng: 19.0966517482729}_x000D_
level: global_x000D_
tags:
- poland_x000D_
- churches_x000D_
- marian-sites_x000D_
- communities_x000D_
- john-paul-ii_x000D_
_x000D_
---_x000D_
_x000D_
_x000D_
The Monastery of Jasna Gora in Częstochowa, Poland, is the third-largest Catholic pilgrimage site in the world.  Home to the beloved miraculous icon of Our Lady of Częstochowa, the monastery is also the national shrine of Poland and a pillar of Polish Catholicism._x000D_
_x000D_
#### More Information_x000D_
_x000D_
* [Official site](https://jasnagora.pl/)
_x000D_
_x000D_
| The Real Presence | Miracle Hunter | MaryPages |_x000D_
| --- | --- | --- |_x000D_
|  | [Link](https://www.miraclehunter.com/marian_apparitions/approved_apparitions/czestochowa/) | [Link](https://www.marypages.com/czestochowa-(poland)-en.html) |_x000D_
_x000D_
_x000D_
_x000D_
_x000D_
</v>
      </c>
      <c r="BY42" s="23" t="str">
        <f>IF(AR42,VLOOKUP(B42,'(Ref) Countries'!A:B,2,)&amp;IF(LEN(C42)&gt;1,"-"&amp;LOWER(SUBSTITUTE(C42," ","-")),"")&amp;"-"&amp;LOWER(SUBSTITUTE(G42," ","-"))&amp;".md","")</f>
        <v>pl-jasna-gora-monastery.md</v>
      </c>
      <c r="BZ42" s="28" t="str">
        <f>IF(LEN(Y42)&gt;1,VLOOKUP(Y42,'Tag List'!$A:$B,2,),"")</f>
        <v>Religious Communities</v>
      </c>
      <c r="CA42" s="28" t="str">
        <f>IF(LEN(Z42)&gt;1,VLOOKUP(Z42,'Tag List'!$A:$B,2,),"")</f>
        <v>Pope St. John Paul II</v>
      </c>
      <c r="CB42" s="28" t="str">
        <f>IF(LEN(AA42)&gt;1,VLOOKUP(AA42,'Tag List'!$A:$B,2,),"")</f>
        <v/>
      </c>
      <c r="CC42" s="30" t="str">
        <f>IF(LEN(Y42)&gt;1,GetTagPage(BZ42,Y42),"")</f>
        <v>[Religious Communities](/tags/communities)</v>
      </c>
      <c r="CD42" s="30" t="str">
        <f>IF(LEN(Z42)&gt;1,GetTagPage(CA42,Z42),"")</f>
        <v>[Pope St. John Paul II](/tags/john-paul-ii)</v>
      </c>
      <c r="CE42" s="30" t="str">
        <f>IF(LEN(AA42)&gt;1,GetTagPage(CB42,AA42),"")</f>
        <v/>
      </c>
      <c r="CF42" s="30" t="str">
        <f t="shared" si="58"/>
        <v xml:space="preserve">| [Religious Communities](/tags/communities), [Pope St. John Paul II](/tags/john-paul-ii) </v>
      </c>
      <c r="CG42" s="30" t="str">
        <f t="shared" si="54"/>
        <v xml:space="preserve">| [Czestochowa](/places/pl-jasna-gora-monastery) </v>
      </c>
      <c r="CH42" s="30" t="str">
        <f>"| "&amp;IF(AR42,GetTagPage(B42,VLOOKUP(B42,'(Ref) Countries'!A:C,3,)),B42)&amp; " "</f>
        <v xml:space="preserve">| [Poland](/tags/poland) </v>
      </c>
      <c r="CI42" s="30" t="str">
        <f t="shared" si="55"/>
        <v xml:space="preserve">| Unknown </v>
      </c>
      <c r="CJ42" s="30" t="str">
        <f t="shared" si="59"/>
        <v xml:space="preserve">| [Link](/places/pl-jasna-gora-monastery) </v>
      </c>
      <c r="CK42" s="29" t="str">
        <f t="shared" si="60"/>
        <v xml:space="preserve">
| [Czestochowa](/places/pl-jasna-gora-monastery) | [Poland](/tags/poland) | Unknown | [Link](/places/pl-jasna-gora-monastery) [Official site](https://jasnagora.pl/)[Link](https://www.miraclehunter.com/marian_apparitions/approved_apparitions/czestochowa/)[Link](https://www.marypages.com/czestochowa-(poland)-en.html)| [Religious Communities](/tags/communities), [Pope St. John Paul II](/tags/john-paul-ii) |</v>
      </c>
    </row>
    <row r="43" spans="1:89" ht="51" x14ac:dyDescent="0.25">
      <c r="A43" s="14" t="s">
        <v>1051</v>
      </c>
      <c r="B43" s="45" t="s">
        <v>542</v>
      </c>
      <c r="C43" s="104" t="s">
        <v>1864</v>
      </c>
      <c r="D43" s="15">
        <v>48.369192631907303</v>
      </c>
      <c r="E43" s="49">
        <v>10.8982826487021</v>
      </c>
      <c r="F43" s="45" t="s">
        <v>1731</v>
      </c>
      <c r="G43" s="58" t="s">
        <v>1732</v>
      </c>
      <c r="H43" s="15" t="s">
        <v>1720</v>
      </c>
      <c r="I43" s="25" t="b">
        <v>1</v>
      </c>
      <c r="J43" s="15" t="b">
        <v>1</v>
      </c>
      <c r="L43" s="45" t="s">
        <v>1736</v>
      </c>
      <c r="M43" s="58" t="s">
        <v>1751</v>
      </c>
      <c r="N43" s="15" t="s">
        <v>1735</v>
      </c>
      <c r="O43" s="15" t="s">
        <v>336</v>
      </c>
      <c r="Y43" s="24"/>
      <c r="Z43" s="24"/>
      <c r="AA43" s="24"/>
      <c r="AB43" s="24"/>
      <c r="AC43" s="24"/>
      <c r="AD43" s="24"/>
      <c r="AE43" s="24"/>
      <c r="AF43" s="24"/>
      <c r="AG43" s="24"/>
      <c r="AH43" s="86"/>
      <c r="AI43" s="98" t="s">
        <v>1730</v>
      </c>
      <c r="AJ43" s="101" t="s">
        <v>1411</v>
      </c>
      <c r="AK43" s="15" t="s">
        <v>336</v>
      </c>
      <c r="AL43" s="15" t="s">
        <v>336</v>
      </c>
      <c r="AM43" s="15" t="s">
        <v>1734</v>
      </c>
      <c r="AN43" s="15" t="s">
        <v>336</v>
      </c>
      <c r="AO43" s="15" t="s">
        <v>1733</v>
      </c>
      <c r="AP43" s="49" t="s">
        <v>336</v>
      </c>
      <c r="AR43" s="28" t="b">
        <f t="shared" si="38"/>
        <v>1</v>
      </c>
      <c r="AS43" s="29" t="str">
        <f t="shared" si="39"/>
        <v>title: "St. Peter am Perlach (Mary Undoer of Knots)"</v>
      </c>
      <c r="AT43" s="29" t="str">
        <f t="shared" si="40"/>
        <v>location: {lat: 48.3691926319073, lng: 10.8982826487021}</v>
      </c>
      <c r="AU43" s="29" t="str">
        <f t="shared" si="41"/>
        <v>level: global</v>
      </c>
      <c r="AV43" s="29" t="str">
        <f>"- "&amp;VLOOKUP(B43,'(Ref) Countries'!A:C,3,)</f>
        <v>- germany</v>
      </c>
      <c r="AW43" s="29" t="str">
        <f t="shared" si="42"/>
        <v>- augsburg</v>
      </c>
      <c r="AX43" s="29" t="str">
        <f t="shared" si="43"/>
        <v>- churches</v>
      </c>
      <c r="AY43" s="29" t="str">
        <f t="shared" si="44"/>
        <v>- marian-sites</v>
      </c>
      <c r="AZ43" s="29" t="str">
        <f t="shared" si="45"/>
        <v/>
      </c>
      <c r="BA43" s="29" t="str">
        <f t="shared" si="61"/>
        <v/>
      </c>
      <c r="BB43" s="29" t="str">
        <f t="shared" si="61"/>
        <v/>
      </c>
      <c r="BC43" s="29" t="str">
        <f t="shared" si="61"/>
        <v/>
      </c>
      <c r="BD43" s="29" t="str">
        <f t="shared" si="61"/>
        <v/>
      </c>
      <c r="BE43" s="29" t="str">
        <f t="shared" si="61"/>
        <v/>
      </c>
      <c r="BF43" s="29" t="str">
        <f t="shared" si="62"/>
        <v/>
      </c>
      <c r="BG43" s="29" t="str">
        <f t="shared" si="62"/>
        <v/>
      </c>
      <c r="BH43" s="29" t="str">
        <f t="shared" si="62"/>
        <v/>
      </c>
      <c r="BI43" s="29" t="str">
        <f t="shared" si="62"/>
        <v/>
      </c>
      <c r="BJ43" s="29" t="str">
        <f t="shared" si="62"/>
        <v/>
      </c>
      <c r="BK43" s="29" t="str">
        <f t="shared" si="56"/>
        <v xml:space="preserve">tags:
- germany_x000D_
- augsburg_x000D_
- churches_x000D_
- marian-sites_x000D_
</v>
      </c>
      <c r="BL43" s="30" t="str">
        <f t="shared" si="46"/>
        <v>[Official site](https://sankt-peter-am-perlach.de)</v>
      </c>
      <c r="BM43" s="30" t="str">
        <f t="shared" si="47"/>
        <v/>
      </c>
      <c r="BN43" s="30" t="str">
        <f t="shared" si="48"/>
        <v/>
      </c>
      <c r="BO43" s="30" t="str">
        <f t="shared" si="49"/>
        <v/>
      </c>
      <c r="BP43" s="30" t="str">
        <f t="shared" si="57"/>
        <v xml:space="preserve">* [Official site](https://sankt-peter-am-perlach.de)
</v>
      </c>
      <c r="BQ43" s="30" t="str">
        <f t="shared" si="50"/>
        <v/>
      </c>
      <c r="BR43" s="30" t="str">
        <f t="shared" si="51"/>
        <v>[Link](https://www.miraclehunter.com/news/francis/francis-marian-devotion.html)</v>
      </c>
      <c r="BS43" s="30" t="str">
        <f t="shared" si="52"/>
        <v>[Link](https://www.marypages.com/mary-undoer-of-knots.html)</v>
      </c>
      <c r="BT43" s="30" t="str">
        <f>IF(LEN(concat(BQ43:BS43))&gt;0,concat("| ",BQ43," | ",BR43," | ",BS43," |"),"")</f>
        <v>|  | [Link](https://www.miraclehunter.com/news/francis/francis-marian-devotion.html) | [Link](https://www.marypages.com/mary-undoer-of-knots.html) |</v>
      </c>
      <c r="BU43" s="29" t="str">
        <f t="shared" si="53"/>
        <v xml:space="preserve">| The Real Presence | Miracle Hunter | MaryPages |_x000D_
| --- | --- | --- |_x000D_
|  | [Link](https://www.miraclehunter.com/news/francis/francis-marian-devotion.html) | [Link](https://www.marypages.com/mary-undoer-of-knots.html) |_x000D_
</v>
      </c>
      <c r="BV43" s="29" t="str">
        <f>IF(LEN(BP43&amp;BU43)&gt;0,concatll("#### More Information",BP43,BU43),"")</f>
        <v xml:space="preserve">#### More Information_x000D_
_x000D_
* [Official site](https://sankt-peter-am-perlach.de)
_x000D_
_x000D_
| The Real Presence | Miracle Hunter | MaryPages |_x000D_
| --- | --- | --- |_x000D_
|  | [Link](https://www.miraclehunter.com/news/francis/francis-marian-devotion.html) | [Link](https://www.marypages.com/mary-undoer-of-knots.html) |_x000D_
_x000D_
_x000D_
</v>
      </c>
      <c r="BW43" s="29" t="str">
        <f>IF(LEN(M43)&gt;1,concatll("#### Author's Note",M43),"")</f>
        <v xml:space="preserve">#### Author's Note_x000D_
_x000D_
Pope Francis has a special devotion to this image, explained in the Miracle Hunter link.
-JPY_x000D_
_x000D_
</v>
      </c>
      <c r="BX43" s="23" t="str">
        <f>IF(AR43,concatll(concatl("---",AS43:AU43,BK43,"---"),L43,BV43:BW43),"")</f>
        <v xml:space="preserve">---_x000D_
title: "St. Peter am Perlach (Mary Undoer of Knots)"_x000D_
location: {lat: 48.3691926319073, lng: 10.8982826487021}_x000D_
level: global_x000D_
tags:
- germany_x000D_
- augsburg_x000D_
- churches_x000D_
- marian-sites_x000D_
_x000D_
---_x000D_
_x000D_
_x000D_
Home of the image Our Lady Undoer of Knots._x000D_
_x000D_
#### More Information_x000D_
_x000D_
* [Official site](https://sankt-peter-am-perlach.de)
_x000D_
_x000D_
| The Real Presence | Miracle Hunter | MaryPages |_x000D_
| --- | --- | --- |_x000D_
|  | [Link](https://www.miraclehunter.com/news/francis/francis-marian-devotion.html) | [Link](https://www.marypages.com/mary-undoer-of-knots.html) |_x000D_
_x000D_
_x000D_
_x000D_
_x000D_
#### Author's Note_x000D_
_x000D_
Pope Francis has a special devotion to this image, explained in the Miracle Hunter link.
-JPY_x000D_
_x000D_
_x000D_
_x000D_
</v>
      </c>
      <c r="BY43" s="23" t="str">
        <f>IF(AR43,VLOOKUP(B43,'(Ref) Countries'!A:B,2,)&amp;IF(LEN(C43)&gt;1,"-"&amp;LOWER(SUBSTITUTE(C43," ","-")),"")&amp;"-"&amp;LOWER(SUBSTITUTE(G43," ","-"))&amp;".md","")</f>
        <v>de-augsburg-st-peter-am-perlach.md</v>
      </c>
      <c r="BZ43" s="28" t="str">
        <f>IF(LEN(Y43)&gt;1,VLOOKUP(Y43,'Tag List'!$A:$B,2,),"")</f>
        <v/>
      </c>
      <c r="CA43" s="28" t="str">
        <f>IF(LEN(Z43)&gt;1,VLOOKUP(Z43,'Tag List'!$A:$B,2,),"")</f>
        <v/>
      </c>
      <c r="CB43" s="28" t="str">
        <f>IF(LEN(AA43)&gt;1,VLOOKUP(AA43,'Tag List'!$A:$B,2,),"")</f>
        <v/>
      </c>
      <c r="CC43" s="30" t="str">
        <f>IF(LEN(Y43)&gt;1,GetTagPage(BZ43,Y43),"")</f>
        <v/>
      </c>
      <c r="CD43" s="30" t="str">
        <f>IF(LEN(Z43)&gt;1,GetTagPage(CA43,Z43),"")</f>
        <v/>
      </c>
      <c r="CE43" s="30" t="str">
        <f>IF(LEN(AA43)&gt;1,GetTagPage(CB43,AA43),"")</f>
        <v/>
      </c>
      <c r="CF43" s="30" t="str">
        <f t="shared" si="58"/>
        <v xml:space="preserve">| </v>
      </c>
      <c r="CG43" s="30" t="str">
        <f t="shared" si="54"/>
        <v xml:space="preserve">| [Augsberg](/places/de-augsburg-st-peter-am-perlach) </v>
      </c>
      <c r="CH43" s="30" t="str">
        <f>"| "&amp;IF(AR43,GetTagPage(B43,VLOOKUP(B43,'(Ref) Countries'!A:C,3,)),B43)&amp; " "</f>
        <v xml:space="preserve">| [Germany](/tags/germany) </v>
      </c>
      <c r="CI43" s="30" t="str">
        <f t="shared" si="55"/>
        <v xml:space="preserve">| c. 1700 </v>
      </c>
      <c r="CJ43" s="30" t="str">
        <f t="shared" si="59"/>
        <v xml:space="preserve">| [Link](/places/de-augsburg-st-peter-am-perlach) </v>
      </c>
      <c r="CK43" s="29" t="str">
        <f t="shared" si="60"/>
        <v xml:space="preserve">
| [Augsberg](/places/de-augsburg-st-peter-am-perlach) | [Germany](/tags/germany) | c. 1700 | [Link](/places/de-augsburg-st-peter-am-perlach) [Official site](https://sankt-peter-am-perlach.de)[Link](https://www.miraclehunter.com/news/francis/francis-marian-devotion.html)[Link](https://www.marypages.com/mary-undoer-of-knots.html)| |</v>
      </c>
    </row>
    <row r="44" spans="1:89" ht="178.5" x14ac:dyDescent="0.25">
      <c r="A44" s="14" t="s">
        <v>1322</v>
      </c>
      <c r="B44" s="24" t="s">
        <v>11</v>
      </c>
      <c r="C44" s="104" t="s">
        <v>1891</v>
      </c>
      <c r="D44" s="15">
        <v>41.457154000000003</v>
      </c>
      <c r="E44" s="49">
        <v>12.668148</v>
      </c>
      <c r="F44" s="96" t="s">
        <v>1893</v>
      </c>
      <c r="G44" s="103" t="s">
        <v>1894</v>
      </c>
      <c r="H44" s="35" t="s">
        <v>1767</v>
      </c>
      <c r="I44" s="25" t="b">
        <v>1</v>
      </c>
      <c r="J44" s="15" t="b">
        <v>1</v>
      </c>
      <c r="K44" s="15" t="b">
        <v>1</v>
      </c>
      <c r="L44" s="45" t="s">
        <v>1756</v>
      </c>
      <c r="M44" s="58" t="s">
        <v>1759</v>
      </c>
      <c r="N44" s="35" t="s">
        <v>1758</v>
      </c>
      <c r="O44" s="48" t="s">
        <v>1826</v>
      </c>
      <c r="P44" s="94" t="s">
        <v>1827</v>
      </c>
      <c r="Q44" s="35" t="s">
        <v>1825</v>
      </c>
      <c r="R44" s="106" t="s">
        <v>336</v>
      </c>
      <c r="S44" s="62"/>
      <c r="T44" s="35"/>
      <c r="U44" s="66"/>
      <c r="V44" s="35"/>
      <c r="W44" s="35"/>
      <c r="X44" s="112"/>
      <c r="Y44" s="35" t="s">
        <v>1760</v>
      </c>
      <c r="Z44" s="35" t="s">
        <v>1764</v>
      </c>
      <c r="AA44" s="35" t="s">
        <v>1763</v>
      </c>
      <c r="AB44" s="35"/>
      <c r="AC44" s="35"/>
      <c r="AD44" s="35"/>
      <c r="AE44" s="35"/>
      <c r="AF44" s="35"/>
      <c r="AG44" s="35"/>
      <c r="AH44" s="89"/>
      <c r="AI44" s="102" t="s">
        <v>1410</v>
      </c>
      <c r="AK44" s="15" t="s">
        <v>336</v>
      </c>
      <c r="AL44" s="15" t="s">
        <v>336</v>
      </c>
      <c r="AM44" s="15" t="s">
        <v>1386</v>
      </c>
      <c r="AN44" s="35" t="s">
        <v>1757</v>
      </c>
      <c r="AO44" s="15" t="s">
        <v>336</v>
      </c>
      <c r="AR44" s="28" t="b">
        <f t="shared" si="38"/>
        <v>1</v>
      </c>
      <c r="AS44" s="29" t="str">
        <f t="shared" si="39"/>
        <v>title: "Basilica of Our Lady of Graces and St. Maria Goretti"</v>
      </c>
      <c r="AT44" s="29" t="str">
        <f t="shared" si="40"/>
        <v>location: {lat: 41.457154, lng: 12.668148}</v>
      </c>
      <c r="AU44" s="29" t="str">
        <f t="shared" si="41"/>
        <v>level: regional</v>
      </c>
      <c r="AV44" s="29" t="str">
        <f>"- "&amp;VLOOKUP(B44,'(Ref) Countries'!A:C,3,)</f>
        <v>- italy</v>
      </c>
      <c r="AW44" s="29" t="str">
        <f t="shared" si="42"/>
        <v>- nettuno</v>
      </c>
      <c r="AX44" s="29" t="str">
        <f t="shared" si="43"/>
        <v>- churches</v>
      </c>
      <c r="AY44" s="29" t="str">
        <f t="shared" si="44"/>
        <v>- marian-sites</v>
      </c>
      <c r="AZ44" s="29" t="str">
        <f t="shared" si="45"/>
        <v>- holy-persons</v>
      </c>
      <c r="BA44" s="29" t="str">
        <f t="shared" si="61"/>
        <v>- maria-goretti</v>
      </c>
      <c r="BB44" s="29" t="str">
        <f t="shared" si="61"/>
        <v>- our-lady-of-grace</v>
      </c>
      <c r="BC44" s="29" t="str">
        <f t="shared" si="61"/>
        <v>- our-lady-of-ipswich</v>
      </c>
      <c r="BD44" s="29" t="str">
        <f t="shared" si="61"/>
        <v/>
      </c>
      <c r="BE44" s="29" t="str">
        <f t="shared" si="61"/>
        <v/>
      </c>
      <c r="BF44" s="29" t="str">
        <f t="shared" si="62"/>
        <v/>
      </c>
      <c r="BG44" s="29" t="str">
        <f t="shared" si="62"/>
        <v/>
      </c>
      <c r="BH44" s="29" t="str">
        <f t="shared" si="62"/>
        <v/>
      </c>
      <c r="BI44" s="29" t="str">
        <f t="shared" si="62"/>
        <v/>
      </c>
      <c r="BJ44" s="29" t="str">
        <f t="shared" si="62"/>
        <v/>
      </c>
      <c r="BK44" s="29" t="str">
        <f t="shared" si="56"/>
        <v xml:space="preserve">tags:
- italy_x000D_
- nettuno_x000D_
- churches_x000D_
- marian-sites_x000D_
- holy-persons_x000D_
- maria-goretti_x000D_
- our-lady-of-grace_x000D_
- our-lady-of-ipswich_x000D_
</v>
      </c>
      <c r="BL44" s="30" t="str">
        <f t="shared" si="46"/>
        <v>[Official site](http://www.santuarionettuno.it/) (note: website not active at time of writing)</v>
      </c>
      <c r="BM44" s="30" t="str">
        <f t="shared" si="47"/>
        <v>[Official Facebook page](https://www.facebook.com/profile.php?id=100069705631532)</v>
      </c>
      <c r="BN44" s="30" t="str">
        <f t="shared" si="48"/>
        <v/>
      </c>
      <c r="BO44" s="30" t="str">
        <f t="shared" si="49"/>
        <v/>
      </c>
      <c r="BP44" s="30" t="str">
        <f t="shared" si="57"/>
        <v xml:space="preserve">* [Official site](http://www.santuarionettuno.it/) (note: website not active at time of writing)
* [Official Facebook page](https://www.facebook.com/profile.php?id=100069705631532)
</v>
      </c>
      <c r="BQ44" s="30" t="str">
        <f t="shared" si="50"/>
        <v/>
      </c>
      <c r="BR44" s="30" t="str">
        <f t="shared" si="51"/>
        <v>[Link](https://www.miraclehunter.com/marian_apparitions/approved_apparitions/apparitions_1500-1599.html) (Search "Ipswich")</v>
      </c>
      <c r="BS44" s="30" t="str">
        <f t="shared" si="52"/>
        <v/>
      </c>
      <c r="BT44" s="30" t="str">
        <f>IF(LEN(concat(BQ44:BS44))&gt;0,concat("| ",BQ44," | ",BR44," | ",BS44," |"),"")</f>
        <v>|  | [Link](https://www.miraclehunter.com/marian_apparitions/approved_apparitions/apparitions_1500-1599.html) (Search "Ipswich") |  |</v>
      </c>
      <c r="BU44" s="29" t="str">
        <f t="shared" si="53"/>
        <v xml:space="preserve">| The Real Presence | Miracle Hunter | MaryPages |_x000D_
| --- | --- | --- |_x000D_
|  | [Link](https://www.miraclehunter.com/marian_apparitions/approved_apparitions/apparitions_1500-1599.html) (Search "Ipswich") |  |_x000D_
</v>
      </c>
      <c r="BV44" s="29" t="str">
        <f>IF(LEN(BP44&amp;BU44)&gt;0,concatll("#### More Information",BP44,BU44),"")</f>
        <v xml:space="preserve">#### More Information_x000D_
_x000D_
* [Official site](http://www.santuarionettuno.it/) (note: website not active at time of writing)
* [Official Facebook page](https://www.facebook.com/profile.php?id=100069705631532)
_x000D_
_x000D_
| The Real Presence | Miracle Hunter | MaryPages |_x000D_
| --- | --- | --- |_x000D_
|  | [Link](https://www.miraclehunter.com/marian_apparitions/approved_apparitions/apparitions_1500-1599.html) (Search "Ipswich") |  |_x000D_
_x000D_
_x000D_
</v>
      </c>
      <c r="BW44" s="29" t="str">
        <f>IF(LEN(M44)&gt;1,concatll("#### Author's Note",M44),"")</f>
        <v xml:space="preserve">#### Author's Note_x000D_
_x000D_
On the basilica grounds, to the left of the main nave is a gift shop.  The people there can help you get to St. Maria Goretti's home in La Ferriere.
-JPY
The statue is credited with at least one historic miracle by St. Thomas More, but details are lacking; Miracle Hunter's page references the associated [Wikipedia article](https://en.wikipedia.org/wiki/Our_Lady_of_Ipswich).
-JMM_x000D_
_x000D_
</v>
      </c>
      <c r="BX44" s="23" t="str">
        <f>IF(AR44,concatll(concatl("---",AS44:AU44,BK44,"---"),L44,BV44:BW44),"")</f>
        <v xml:space="preserve">---_x000D_
title: "Basilica of Our Lady of Graces and St. Maria Goretti"_x000D_
location: {lat: 41.457154, lng: 12.668148}_x000D_
level: regional_x000D_
tags:
- italy_x000D_
- nettuno_x000D_
- churches_x000D_
- marian-sites_x000D_
- holy-persons_x000D_
- maria-goretti_x000D_
- our-lady-of-grace_x000D_
- our-lady-of-ipswich_x000D_
_x000D_
---_x000D_
_x000D_
_x000D_
In Italian, Santuario di Nostra Signora delle Grazie e Santa Maria Goretti.  The church houses the remains of St. Maria Goretti, and what is believed to be the statue of Our Lady of Grace.
The remains of St. Maria Goretti lie in the crypt beneath the basilica.  The bones are encased in a wax statue; she is not incorrupt.
The church contains a statue called Our Lady of Grace, which may be the original statue from Ipswich.  Our Lady of Ipswich, along with Our Lady of Walsingham, was one of the largest pilgrimage sites in England up until the Reformation.  During this period, Our Lady of Grace may have been smuggled to Italy.  In modern times, the faithful hold a procession with the statue on the first Saturday each May._x000D_
_x000D_
#### More Information_x000D_
_x000D_
* [Official site](http://www.santuarionettuno.it/) (note: website not active at time of writing)
* [Official Facebook page](https://www.facebook.com/profile.php?id=100069705631532)
_x000D_
_x000D_
| The Real Presence | Miracle Hunter | MaryPages |_x000D_
| --- | --- | --- |_x000D_
|  | [Link](https://www.miraclehunter.com/marian_apparitions/approved_apparitions/apparitions_1500-1599.html) (Search "Ipswich") |  |_x000D_
_x000D_
_x000D_
_x000D_
_x000D_
#### Author's Note_x000D_
_x000D_
On the basilica grounds, to the left of the main nave is a gift shop.  The people there can help you get to St. Maria Goretti's home in La Ferriere.
-JPY
The statue is credited with at least one historic miracle by St. Thomas More, but details are lacking; Miracle Hunter's page references the associated [Wikipedia article](https://en.wikipedia.org/wiki/Our_Lady_of_Ipswich).
-JMM_x000D_
_x000D_
_x000D_
_x000D_
</v>
      </c>
      <c r="BY44" s="23" t="str">
        <f>IF(AR44,VLOOKUP(B44,'(Ref) Countries'!A:B,2,)&amp;IF(LEN(C44)&gt;1,"-"&amp;LOWER(SUBSTITUTE(C44," ","-")),"")&amp;"-"&amp;LOWER(SUBSTITUTE(G44," ","-"))&amp;".md","")</f>
        <v>it-nettuno-basilica-of-our-lady-of-graces.md</v>
      </c>
      <c r="BZ44" s="29" t="str">
        <f>IF(LEN(Y44)&gt;1,VLOOKUP(Y44,'Tag List'!$A:$B,2,),"")</f>
        <v>St. Maria Goretti</v>
      </c>
      <c r="CA44" s="29" t="str">
        <f>IF(LEN(Z44)&gt;1,VLOOKUP(Z44,'Tag List'!$A:$B,2,),"")</f>
        <v>Our Lady of Grace</v>
      </c>
      <c r="CB44" s="29" t="str">
        <f>IF(LEN(AA44)&gt;1,VLOOKUP(AA44,'Tag List'!$A:$B,2,),"")</f>
        <v>Our Lady of Ipswich</v>
      </c>
      <c r="CC44" s="30" t="str">
        <f>IF(LEN(Y44)&gt;1,GetTagPage(BZ44,Y44),"")</f>
        <v>[St. Maria Goretti](/tags/maria-goretti)</v>
      </c>
      <c r="CD44" s="30" t="str">
        <f>IF(LEN(Z44)&gt;1,GetTagPage(CA44,Z44),"")</f>
        <v>[Our Lady of Grace](/tags/our-lady-of-grace)</v>
      </c>
      <c r="CE44" s="30" t="str">
        <f>IF(LEN(AA44)&gt;1,GetTagPage(CB44,AA44),"")</f>
        <v>[Our Lady of Ipswich](/tags/our-lady-of-ipswich)</v>
      </c>
      <c r="CF44" s="30" t="str">
        <f t="shared" si="58"/>
        <v xml:space="preserve">| [St. Maria Goretti](/tags/maria-goretti), [Our Lady of Grace](/tags/our-lady-of-grace), [Our Lady of Ipswich](/tags/our-lady-of-ipswich) </v>
      </c>
      <c r="CG44" s="30" t="str">
        <f t="shared" si="54"/>
        <v xml:space="preserve">| [Our Lady of Grace and St. Maria Goretti](/places/it-nettuno-basilica-of-our-lady-of-graces) </v>
      </c>
      <c r="CH44" s="30" t="str">
        <f>"| "&amp;IF(AR44,GetTagPage(B44,VLOOKUP(B44,'(Ref) Countries'!A:C,3,)),B44)&amp; " "</f>
        <v xml:space="preserve">| [Italy](/tags/italy) </v>
      </c>
      <c r="CI44" s="30" t="str">
        <f t="shared" si="55"/>
        <v xml:space="preserve">|  </v>
      </c>
      <c r="CJ44" s="30" t="str">
        <f t="shared" si="59"/>
        <v xml:space="preserve">| [Link](/places/it-nettuno-basilica-of-our-lady-of-graces) </v>
      </c>
      <c r="CK44" s="29" t="str">
        <f t="shared" si="60"/>
        <v xml:space="preserve">
| [Our Lady of Grace and St. Maria Goretti](/places/it-nettuno-basilica-of-our-lady-of-graces) | [Italy](/tags/italy) |  | [Link](/places/it-nettuno-basilica-of-our-lady-of-graces) [Official site](http://www.santuarionettuno.it/) (note: website not active at time of writing)[Link](https://www.miraclehunter.com/marian_apparitions/approved_apparitions/apparitions_1500-1599.html) (Search "Ipswich")| [St. Maria Goretti](/tags/maria-goretti), [Our Lady of Grace](/tags/our-lady-of-grace), [Our Lady of Ipswich](/tags/our-lady-of-ipswich) |</v>
      </c>
    </row>
    <row r="45" spans="1:89" ht="102" x14ac:dyDescent="0.25">
      <c r="A45" s="14" t="s">
        <v>1322</v>
      </c>
      <c r="B45" s="45" t="s">
        <v>11</v>
      </c>
      <c r="D45" s="15">
        <v>45.6258893442062</v>
      </c>
      <c r="E45" s="49">
        <v>7.9823763846553701</v>
      </c>
      <c r="F45" s="45" t="s">
        <v>1770</v>
      </c>
      <c r="G45" s="58" t="s">
        <v>1769</v>
      </c>
      <c r="H45" s="35" t="s">
        <v>1767</v>
      </c>
      <c r="I45" s="25" t="b">
        <v>1</v>
      </c>
      <c r="J45" s="15" t="b">
        <v>1</v>
      </c>
      <c r="L45" s="45" t="s">
        <v>1774</v>
      </c>
      <c r="N45" s="15" t="s">
        <v>1771</v>
      </c>
      <c r="O45" s="15" t="s">
        <v>336</v>
      </c>
      <c r="Y45" s="15" t="s">
        <v>1772</v>
      </c>
      <c r="AI45" s="102" t="s">
        <v>1769</v>
      </c>
      <c r="AK45" s="15" t="s">
        <v>336</v>
      </c>
      <c r="AL45" s="15" t="s">
        <v>336</v>
      </c>
      <c r="AM45" s="15" t="s">
        <v>336</v>
      </c>
      <c r="AN45" s="15" t="s">
        <v>336</v>
      </c>
      <c r="AO45" s="15" t="s">
        <v>336</v>
      </c>
      <c r="AR45" s="28" t="b">
        <f t="shared" si="38"/>
        <v>1</v>
      </c>
      <c r="AS45" s="29" t="str">
        <f t="shared" si="39"/>
        <v>title: "Sanctuary of Oropa (Black Madonna of Oropa)"</v>
      </c>
      <c r="AT45" s="29" t="str">
        <f t="shared" si="40"/>
        <v>location: {lat: 45.6258893442062, lng: 7.98237638465537}</v>
      </c>
      <c r="AU45" s="29" t="str">
        <f t="shared" si="41"/>
        <v>level: regional</v>
      </c>
      <c r="AV45" s="29" t="str">
        <f>"- "&amp;VLOOKUP(B45,'(Ref) Countries'!A:C,3,)</f>
        <v>- italy</v>
      </c>
      <c r="AW45" s="29" t="str">
        <f t="shared" si="42"/>
        <v/>
      </c>
      <c r="AX45" s="29" t="str">
        <f t="shared" si="43"/>
        <v>- churches</v>
      </c>
      <c r="AY45" s="29" t="str">
        <f t="shared" si="44"/>
        <v>- marian-sites</v>
      </c>
      <c r="AZ45" s="29" t="str">
        <f t="shared" si="45"/>
        <v/>
      </c>
      <c r="BA45" s="29" t="str">
        <f t="shared" si="61"/>
        <v>- pier-giorgio-frassati</v>
      </c>
      <c r="BB45" s="29" t="str">
        <f t="shared" si="61"/>
        <v/>
      </c>
      <c r="BC45" s="29" t="str">
        <f t="shared" si="61"/>
        <v/>
      </c>
      <c r="BD45" s="29" t="str">
        <f t="shared" si="61"/>
        <v/>
      </c>
      <c r="BE45" s="29" t="str">
        <f t="shared" si="61"/>
        <v/>
      </c>
      <c r="BF45" s="29" t="str">
        <f t="shared" si="62"/>
        <v/>
      </c>
      <c r="BG45" s="29" t="str">
        <f t="shared" si="62"/>
        <v/>
      </c>
      <c r="BH45" s="29" t="str">
        <f t="shared" si="62"/>
        <v/>
      </c>
      <c r="BI45" s="29" t="str">
        <f t="shared" si="62"/>
        <v/>
      </c>
      <c r="BJ45" s="29" t="str">
        <f t="shared" si="62"/>
        <v/>
      </c>
      <c r="BK45" s="29" t="str">
        <f t="shared" si="56"/>
        <v xml:space="preserve">tags:
- italy_x000D_
- churches_x000D_
- marian-sites_x000D_
- pier-giorgio-frassati_x000D_
</v>
      </c>
      <c r="BL45" s="30" t="str">
        <f t="shared" si="46"/>
        <v>[Official site](https://www.santuariodioropa.it/en/)</v>
      </c>
      <c r="BM45" s="30" t="str">
        <f t="shared" si="47"/>
        <v/>
      </c>
      <c r="BN45" s="30" t="str">
        <f t="shared" si="48"/>
        <v/>
      </c>
      <c r="BO45" s="30" t="str">
        <f t="shared" si="49"/>
        <v/>
      </c>
      <c r="BP45" s="30" t="str">
        <f t="shared" si="57"/>
        <v xml:space="preserve">* [Official site](https://www.santuariodioropa.it/en/)
</v>
      </c>
      <c r="BQ45" s="30" t="str">
        <f t="shared" si="50"/>
        <v/>
      </c>
      <c r="BR45" s="30" t="str">
        <f t="shared" si="51"/>
        <v/>
      </c>
      <c r="BS45" s="30" t="str">
        <f t="shared" si="52"/>
        <v/>
      </c>
      <c r="BT45" s="30" t="str">
        <f>IF(LEN(concat(BQ45:BS45))&gt;0,concat("| ",BQ45," | ",BR45," | ",BS45," |"),"")</f>
        <v/>
      </c>
      <c r="BU45" s="29" t="str">
        <f t="shared" si="53"/>
        <v xml:space="preserve">| The Real Presence | Miracle Hunter | MaryPages |_x000D_
| --- | --- | --- |_x000D_
</v>
      </c>
      <c r="BV45" s="29" t="str">
        <f>IF(LEN(BP45&amp;BU45)&gt;0,concatll("#### More Information",BP45,BU45),"")</f>
        <v xml:space="preserve">#### More Information_x000D_
_x000D_
* [Official site](https://www.santuariodioropa.it/en/)
_x000D_
_x000D_
| The Real Presence | Miracle Hunter | MaryPages |_x000D_
| --- | --- | --- |_x000D_
_x000D_
_x000D_
</v>
      </c>
      <c r="BW45" s="29" t="str">
        <f>IF(LEN(M45)&gt;1,concatll("#### Author's Note",M45),"")</f>
        <v/>
      </c>
      <c r="BX45" s="23" t="str">
        <f>IF(AR45,concatll(concatl("---",AS45:AU45,BK45,"---"),L45,BV45:BW45),"")</f>
        <v xml:space="preserve">---_x000D_
title: "Sanctuary of Oropa (Black Madonna of Oropa)"_x000D_
location: {lat: 45.6258893442062, lng: 7.98237638465537}_x000D_
level: regional_x000D_
tags:
- italy_x000D_
- churches_x000D_
- marian-sites_x000D_
- pier-giorgio-frassati_x000D_
_x000D_
---_x000D_
_x000D_
_x000D_
According to tradition, this statue was brought to Italy from the Holy Land by Bishop Eusebius of Vercelli in the fourth century A.D.
Bl. Pier Giorgio Frassati would also hike in this area.  His family villa was nearby, and he would visit the shrine regularly.
![Santuario di Oropa](https://www.santuariodioropa.it/wp-content/uploads/2022/05/panoramica-oropa-foto-Tracanna-1024x576.jpg)_x000D_
_x000D_
#### More Information_x000D_
_x000D_
* [Official site](https://www.santuariodioropa.it/en/)
_x000D_
_x000D_
| The Real Presence | Miracle Hunter | MaryPages |_x000D_
| --- | --- | --- |_x000D_
_x000D_
_x000D_
_x000D_
_x000D_
</v>
      </c>
      <c r="BY45" s="23" t="str">
        <f>IF(AR45,VLOOKUP(B45,'(Ref) Countries'!A:B,2,)&amp;IF(LEN(C45)&gt;1,"-"&amp;LOWER(SUBSTITUTE(C45," ","-")),"")&amp;"-"&amp;LOWER(SUBSTITUTE(G45," ","-"))&amp;".md","")</f>
        <v>it-sanctuary-of-oropa.md</v>
      </c>
      <c r="BZ45" s="29" t="str">
        <f>IF(LEN(Y45)&gt;1,VLOOKUP(Y45,'Tag List'!$A:$B,2,),"")</f>
        <v>Bl. Pier Giorgio Frassati</v>
      </c>
      <c r="CA45" s="29" t="str">
        <f>IF(LEN(Z45)&gt;1,VLOOKUP(Z45,'Tag List'!$A:$B,2,),"")</f>
        <v/>
      </c>
      <c r="CB45" s="29" t="str">
        <f>IF(LEN(AA45)&gt;1,VLOOKUP(AA45,'Tag List'!$A:$B,2,),"")</f>
        <v/>
      </c>
      <c r="CC45" s="30" t="str">
        <f>IF(LEN(Y45)&gt;1,GetTagPage(BZ45,Y45),"")</f>
        <v>[Bl. Pier Giorgio Frassati](/tags/pier-giorgio-frassati)</v>
      </c>
      <c r="CD45" s="30" t="str">
        <f>IF(LEN(Z45)&gt;1,GetTagPage(CA45,Z45),"")</f>
        <v/>
      </c>
      <c r="CE45" s="30" t="str">
        <f>IF(LEN(AA45)&gt;1,GetTagPage(CB45,AA45),"")</f>
        <v/>
      </c>
      <c r="CF45" s="30" t="str">
        <f t="shared" si="58"/>
        <v xml:space="preserve">| [Bl. Pier Giorgio Frassati](/tags/pier-giorgio-frassati) </v>
      </c>
      <c r="CG45" s="30" t="str">
        <f t="shared" si="54"/>
        <v xml:space="preserve">| [Sanctuary of Oropa](/places/it-sanctuary-of-oropa) </v>
      </c>
      <c r="CH45" s="30" t="str">
        <f>"| "&amp;IF(AR45,GetTagPage(B45,VLOOKUP(B45,'(Ref) Countries'!A:C,3,)),B45)&amp; " "</f>
        <v xml:space="preserve">| [Italy](/tags/italy) </v>
      </c>
      <c r="CI45" s="30" t="str">
        <f t="shared" si="55"/>
        <v xml:space="preserve">|  </v>
      </c>
      <c r="CJ45" s="30" t="str">
        <f t="shared" si="59"/>
        <v xml:space="preserve">| [Link](/places/it-sanctuary-of-oropa) </v>
      </c>
      <c r="CK45" s="29" t="str">
        <f t="shared" si="60"/>
        <v xml:space="preserve">
| [Sanctuary of Oropa](/places/it-sanctuary-of-oropa) | [Italy](/tags/italy) |  | [Link](/places/it-sanctuary-of-oropa) [Official site](https://www.santuariodioropa.it/en/)| [Bl. Pier Giorgio Frassati](/tags/pier-giorgio-frassati) |</v>
      </c>
    </row>
    <row r="46" spans="1:89" ht="51" x14ac:dyDescent="0.25">
      <c r="A46" s="14" t="s">
        <v>1322</v>
      </c>
      <c r="B46" s="96" t="s">
        <v>509</v>
      </c>
      <c r="C46" s="104" t="s">
        <v>1832</v>
      </c>
      <c r="D46" s="15">
        <v>50.847874450660399</v>
      </c>
      <c r="E46" s="49">
        <v>4.35897312161425</v>
      </c>
      <c r="F46" s="96" t="s">
        <v>1829</v>
      </c>
      <c r="G46" s="103" t="s">
        <v>1838</v>
      </c>
      <c r="H46" s="104" t="s">
        <v>1767</v>
      </c>
      <c r="I46" s="15" t="b">
        <v>1</v>
      </c>
      <c r="L46" s="96" t="s">
        <v>1839</v>
      </c>
      <c r="M46" s="103" t="s">
        <v>1830</v>
      </c>
      <c r="N46" s="104" t="s">
        <v>1831</v>
      </c>
      <c r="O46" s="15" t="s">
        <v>336</v>
      </c>
      <c r="AR46" s="28" t="b">
        <f t="shared" si="38"/>
        <v>1</v>
      </c>
      <c r="AS46" s="29" t="str">
        <f t="shared" si="39"/>
        <v>title: "St. Michael and St. Gudula Cathedral (Brussels Cathedral)"</v>
      </c>
      <c r="AT46" s="29" t="str">
        <f t="shared" si="40"/>
        <v>location: {lat: 50.8478744506604, lng: 4.35897312161425}</v>
      </c>
      <c r="AU46" s="29" t="str">
        <f t="shared" si="41"/>
        <v>level: regional</v>
      </c>
      <c r="AV46" s="29" t="str">
        <f>"- "&amp;VLOOKUP(B46,'(Ref) Countries'!A:C,3,)</f>
        <v>- belgium</v>
      </c>
      <c r="AW46" s="29" t="str">
        <f t="shared" si="42"/>
        <v>- brussels</v>
      </c>
      <c r="AX46" s="29" t="str">
        <f t="shared" si="43"/>
        <v>- churches</v>
      </c>
      <c r="AY46" s="29" t="str">
        <f t="shared" si="44"/>
        <v/>
      </c>
      <c r="AZ46" s="29" t="str">
        <f t="shared" si="45"/>
        <v/>
      </c>
      <c r="BA46" s="29" t="str">
        <f t="shared" ref="BA46" si="63">IF(LEN(Y46)&gt;0,"- "&amp;Y46,"")</f>
        <v/>
      </c>
      <c r="BB46" s="29" t="str">
        <f t="shared" ref="BB46" si="64">IF(LEN(Z46)&gt;0,"- "&amp;Z46,"")</f>
        <v/>
      </c>
      <c r="BC46" s="29" t="str">
        <f t="shared" ref="BC46" si="65">IF(LEN(AA46)&gt;0,"- "&amp;AA46,"")</f>
        <v/>
      </c>
      <c r="BD46" s="29" t="str">
        <f t="shared" ref="BD46" si="66">IF(LEN(AB46)&gt;0,"- "&amp;AB46,"")</f>
        <v/>
      </c>
      <c r="BE46" s="29" t="str">
        <f t="shared" ref="BE46" si="67">IF(LEN(AC46)&gt;0,"- "&amp;AC46,"")</f>
        <v/>
      </c>
      <c r="BF46" s="29" t="str">
        <f t="shared" ref="BF46" si="68">IF(LEN(AD46)&gt;0,"- "&amp;AD46,"")</f>
        <v/>
      </c>
      <c r="BG46" s="29" t="str">
        <f t="shared" ref="BG46" si="69">IF(LEN(AE46)&gt;0,"- "&amp;AE46,"")</f>
        <v/>
      </c>
      <c r="BH46" s="29" t="str">
        <f t="shared" ref="BH46" si="70">IF(LEN(AF46)&gt;0,"- "&amp;AF46,"")</f>
        <v/>
      </c>
      <c r="BI46" s="29" t="str">
        <f t="shared" ref="BI46" si="71">IF(LEN(AG46)&gt;0,"- "&amp;AG46,"")</f>
        <v/>
      </c>
      <c r="BJ46" s="29" t="str">
        <f t="shared" ref="BJ46" si="72">IF(LEN(AH46)&gt;0,"- "&amp;AH46,"")</f>
        <v/>
      </c>
      <c r="BK46" s="29" t="str">
        <f t="shared" ref="BK46" si="73">"tags:"&amp;CHAR(10)&amp;concatl(AV46:BJ46)</f>
        <v xml:space="preserve">tags:
- belgium_x000D_
- brussels_x000D_
- churches_x000D_
</v>
      </c>
      <c r="BL46" s="30" t="str">
        <f t="shared" si="46"/>
        <v>[Official site](https://www.cathedralisbruxellensis.be/)</v>
      </c>
      <c r="BM46" s="30" t="str">
        <f t="shared" si="47"/>
        <v/>
      </c>
      <c r="BN46" s="30" t="str">
        <f t="shared" si="48"/>
        <v/>
      </c>
      <c r="BO46" s="30" t="str">
        <f t="shared" si="49"/>
        <v/>
      </c>
      <c r="BP46" s="30" t="str">
        <f t="shared" ref="BP46" si="74">IF(LEN(BL46)&gt;0,"* "&amp;BL46&amp;CHAR(10),"")&amp;
IF(LEN(BM46)&gt;0,"* "&amp;BM46&amp;CHAR(10),"")&amp;
IF(LEN(BN46)&gt;0,"* "&amp;BN46&amp;CHAR(10),"")&amp;
IF(LEN(BO46)&gt;0,"* "&amp;BO46&amp;CHAR(10),"")</f>
        <v xml:space="preserve">* [Official site](https://www.cathedralisbruxellensis.be/)
</v>
      </c>
      <c r="BQ46" s="30" t="str">
        <f t="shared" si="50"/>
        <v/>
      </c>
      <c r="BR46" s="30" t="str">
        <f t="shared" si="51"/>
        <v/>
      </c>
      <c r="BS46" s="30" t="str">
        <f t="shared" si="52"/>
        <v/>
      </c>
      <c r="BT46" s="30" t="str">
        <f>IF(LEN(concat(BQ46:BS46))&gt;0,concat("| ",BQ46," | ",BR46," | ",BS46," |"),"")</f>
        <v/>
      </c>
      <c r="BU46" s="29" t="str">
        <f t="shared" si="53"/>
        <v/>
      </c>
      <c r="BV46" s="29" t="str">
        <f>IF(LEN(BP46&amp;BU46)&gt;0,concatll("#### More Information",BP46,BU46),"")</f>
        <v xml:space="preserve">#### More Information_x000D_
_x000D_
* [Official site](https://www.cathedralisbruxellensis.be/)
_x000D_
_x000D_
</v>
      </c>
      <c r="BW46" s="29" t="str">
        <f>IF(LEN(M46)&gt;1,concatll("#### Author's Note",M46),"")</f>
        <v xml:space="preserve">#### Author's Note_x000D_
_x000D_
This church has the most awesome pulpit I have ever seen.
-JPY_x000D_
_x000D_
</v>
      </c>
      <c r="BX46" s="23" t="str">
        <f>IF(AR46,concatll(concatl("---",AS46:AU46,BK46,"---"),L46,BV46:BW46),"")</f>
        <v xml:space="preserve">---_x000D_
title: "St. Michael and St. Gudula Cathedral (Brussels Cathedral)"_x000D_
location: {lat: 50.8478744506604, lng: 4.35897312161425}_x000D_
level: regional_x000D_
tags:
- belgium_x000D_
- brussels_x000D_
- churches_x000D_
_x000D_
---_x000D_
_x000D_
_x000D_
National church of Belgium.  St. Gudula's relics were kept here until they were destroyed during the Reformation._x000D_
_x000D_
#### More Information_x000D_
_x000D_
* [Official site](https://www.cathedralisbruxellensis.be/)
_x000D_
_x000D_
_x000D_
_x000D_
#### Author's Note_x000D_
_x000D_
This church has the most awesome pulpit I have ever seen.
-JPY_x000D_
_x000D_
_x000D_
_x000D_
</v>
      </c>
      <c r="BY46" s="23" t="str">
        <f>IF(AR46,VLOOKUP(B46,'(Ref) Countries'!A:B,2,)&amp;IF(LEN(C46)&gt;1,"-"&amp;LOWER(SUBSTITUTE(C46," ","-")),"")&amp;"-"&amp;LOWER(SUBSTITUTE(G46," ","-"))&amp;".md","")</f>
        <v>be-brussels-cathedral.md</v>
      </c>
      <c r="BZ46" s="29" t="str">
        <f>IF(LEN(Y46)&gt;1,VLOOKUP(Y46,'Tag List'!$A:$B,2,),"")</f>
        <v/>
      </c>
      <c r="CA46" s="29" t="str">
        <f>IF(LEN(Z46)&gt;1,VLOOKUP(Z46,'Tag List'!$A:$B,2,),"")</f>
        <v/>
      </c>
      <c r="CB46" s="29" t="str">
        <f>IF(LEN(AA46)&gt;1,VLOOKUP(AA46,'Tag List'!$A:$B,2,),"")</f>
        <v/>
      </c>
      <c r="CC46" s="30" t="str">
        <f>IF(LEN(Y46)&gt;1,GetTagPage(BZ46,Y46),"")</f>
        <v/>
      </c>
      <c r="CD46" s="30" t="str">
        <f>IF(LEN(Z46)&gt;1,GetTagPage(CA46,Z46),"")</f>
        <v/>
      </c>
      <c r="CE46" s="30" t="str">
        <f>IF(LEN(AA46)&gt;1,GetTagPage(CB46,AA46),"")</f>
        <v/>
      </c>
      <c r="CF46" s="30" t="str">
        <f t="shared" ref="CF46" si="75">"|"&amp;IF(LEN(CC46)&gt;1," "&amp;CC46,"")&amp;IF(LEN(CD46)&gt;1,", "&amp;CD46,"")&amp;IF(LEN(CE46)&gt;1,", "&amp;CE46,"")&amp;" "</f>
        <v xml:space="preserve">| </v>
      </c>
      <c r="CG46" s="30" t="str">
        <f t="shared" si="54"/>
        <v xml:space="preserve">| [](/places/be-brussels-cathedral) </v>
      </c>
      <c r="CH46" s="30" t="str">
        <f>"| "&amp;IF(AR46,GetTagPage(B46,VLOOKUP(B46,'(Ref) Countries'!A:C,3,)),B46)&amp; " "</f>
        <v xml:space="preserve">| [Belgium](/tags/belgium) </v>
      </c>
      <c r="CI46" s="30" t="str">
        <f t="shared" si="55"/>
        <v xml:space="preserve">|  </v>
      </c>
      <c r="CJ46" s="30" t="str">
        <f t="shared" ref="CJ46" si="76">"|"&amp;IF(AR46," [Link](/places/"&amp;SUBSTITUTE(BY46,".md","")&amp;")","")&amp;" "</f>
        <v xml:space="preserve">| [Link](/places/be-brussels-cathedral) </v>
      </c>
      <c r="CK46" s="29" t="str">
        <f t="shared" ref="CK46" si="77">"
"&amp;CG46&amp;CH46&amp;CI46&amp;CJ46&amp;BL46&amp;BQ46&amp;BR46&amp;BS46&amp;CF46&amp;"|"</f>
        <v xml:space="preserve">
| [](/places/be-brussels-cathedral) | [Belgium](/tags/belgium) |  | [Link](/places/be-brussels-cathedral) [Official site](https://www.cathedralisbruxellensis.be/)| |</v>
      </c>
    </row>
    <row r="47" spans="1:89" ht="51" x14ac:dyDescent="0.25">
      <c r="A47" s="14" t="s">
        <v>1322</v>
      </c>
      <c r="B47" s="24" t="s">
        <v>509</v>
      </c>
      <c r="C47" s="15" t="s">
        <v>1832</v>
      </c>
      <c r="D47" s="15">
        <v>50.850689952510798</v>
      </c>
      <c r="E47" s="49">
        <v>4.3480492761285401</v>
      </c>
      <c r="F47" s="96" t="s">
        <v>1833</v>
      </c>
      <c r="G47" s="103" t="s">
        <v>1834</v>
      </c>
      <c r="H47" s="104" t="s">
        <v>1835</v>
      </c>
      <c r="I47" s="15" t="b">
        <v>1</v>
      </c>
      <c r="L47" s="96" t="s">
        <v>1836</v>
      </c>
      <c r="M47" s="103" t="s">
        <v>1837</v>
      </c>
      <c r="N47" s="15" t="s">
        <v>1831</v>
      </c>
      <c r="O47" s="15" t="s">
        <v>336</v>
      </c>
      <c r="AR47" s="28" t="b">
        <f t="shared" si="38"/>
        <v>1</v>
      </c>
      <c r="AS47" s="29" t="str">
        <f t="shared" si="39"/>
        <v>title: "St. Catherine's Church"</v>
      </c>
      <c r="AT47" s="29" t="str">
        <f t="shared" si="40"/>
        <v>location: {lat: 50.8506899525108, lng: 4.34804927612854}</v>
      </c>
      <c r="AU47" s="29" t="str">
        <f t="shared" si="41"/>
        <v>level: local</v>
      </c>
      <c r="AV47" s="29" t="str">
        <f>"- "&amp;VLOOKUP(B47,'(Ref) Countries'!A:C,3,)</f>
        <v>- belgium</v>
      </c>
      <c r="AW47" s="29" t="str">
        <f t="shared" si="42"/>
        <v>- brussels</v>
      </c>
      <c r="AX47" s="29" t="str">
        <f t="shared" si="43"/>
        <v>- churches</v>
      </c>
      <c r="AY47" s="29" t="str">
        <f t="shared" si="44"/>
        <v/>
      </c>
      <c r="AZ47" s="29" t="str">
        <f t="shared" si="45"/>
        <v/>
      </c>
      <c r="BA47" s="29" t="str">
        <f t="shared" ref="BA47" si="78">IF(LEN(Y47)&gt;0,"- "&amp;Y47,"")</f>
        <v/>
      </c>
      <c r="BB47" s="29" t="str">
        <f t="shared" ref="BB47" si="79">IF(LEN(Z47)&gt;0,"- "&amp;Z47,"")</f>
        <v/>
      </c>
      <c r="BC47" s="29" t="str">
        <f t="shared" ref="BC47" si="80">IF(LEN(AA47)&gt;0,"- "&amp;AA47,"")</f>
        <v/>
      </c>
      <c r="BD47" s="29" t="str">
        <f t="shared" ref="BD47" si="81">IF(LEN(AB47)&gt;0,"- "&amp;AB47,"")</f>
        <v/>
      </c>
      <c r="BE47" s="29" t="str">
        <f t="shared" ref="BE47" si="82">IF(LEN(AC47)&gt;0,"- "&amp;AC47,"")</f>
        <v/>
      </c>
      <c r="BF47" s="29" t="str">
        <f t="shared" ref="BF47" si="83">IF(LEN(AD47)&gt;0,"- "&amp;AD47,"")</f>
        <v/>
      </c>
      <c r="BG47" s="29" t="str">
        <f t="shared" ref="BG47" si="84">IF(LEN(AE47)&gt;0,"- "&amp;AE47,"")</f>
        <v/>
      </c>
      <c r="BH47" s="29" t="str">
        <f t="shared" ref="BH47" si="85">IF(LEN(AF47)&gt;0,"- "&amp;AF47,"")</f>
        <v/>
      </c>
      <c r="BI47" s="29" t="str">
        <f t="shared" ref="BI47" si="86">IF(LEN(AG47)&gt;0,"- "&amp;AG47,"")</f>
        <v/>
      </c>
      <c r="BJ47" s="29" t="str">
        <f t="shared" ref="BJ47" si="87">IF(LEN(AH47)&gt;0,"- "&amp;AH47,"")</f>
        <v/>
      </c>
      <c r="BK47" s="29" t="str">
        <f t="shared" ref="BK47" si="88">"tags:"&amp;CHAR(10)&amp;concatl(AV47:BJ47)</f>
        <v xml:space="preserve">tags:
- belgium_x000D_
- brussels_x000D_
- churches_x000D_
</v>
      </c>
      <c r="BL47" s="29" t="str">
        <f t="shared" si="46"/>
        <v>[Official site](https://www.cathedralisbruxellensis.be/)</v>
      </c>
      <c r="BM47" s="29" t="str">
        <f t="shared" si="47"/>
        <v/>
      </c>
      <c r="BN47" s="29" t="str">
        <f t="shared" si="48"/>
        <v/>
      </c>
      <c r="BO47" s="29" t="str">
        <f t="shared" si="49"/>
        <v/>
      </c>
      <c r="BP47" s="29" t="str">
        <f t="shared" ref="BP47" si="89">IF(LEN(BL47)&gt;0,"* "&amp;BL47&amp;CHAR(10),"")&amp;
IF(LEN(BM47)&gt;0,"* "&amp;BM47&amp;CHAR(10),"")&amp;
IF(LEN(BN47)&gt;0,"* "&amp;BN47&amp;CHAR(10),"")&amp;
IF(LEN(BO47)&gt;0,"* "&amp;BO47&amp;CHAR(10),"")</f>
        <v xml:space="preserve">* [Official site](https://www.cathedralisbruxellensis.be/)
</v>
      </c>
      <c r="BQ47" s="29" t="str">
        <f t="shared" si="50"/>
        <v/>
      </c>
      <c r="BR47" s="29" t="str">
        <f t="shared" si="51"/>
        <v/>
      </c>
      <c r="BS47" s="29" t="str">
        <f t="shared" si="52"/>
        <v/>
      </c>
      <c r="BT47" s="29" t="str">
        <f>IF(LEN(concat(BQ47:BS47))&gt;0,concat("| ",BQ47," | ",BR47," | ",BS47," |"),"")</f>
        <v/>
      </c>
      <c r="BU47" s="29" t="str">
        <f t="shared" si="53"/>
        <v/>
      </c>
      <c r="BV47" s="29" t="str">
        <f>IF(LEN(BP47&amp;BU47)&gt;0,concatll("#### More Information",BP47,BU47),"")</f>
        <v xml:space="preserve">#### More Information_x000D_
_x000D_
* [Official site](https://www.cathedralisbruxellensis.be/)
_x000D_
_x000D_
</v>
      </c>
      <c r="BW47" s="29" t="str">
        <f>IF(LEN(M47)&gt;1,concatll("#### Author's Note",M47),"")</f>
        <v xml:space="preserve">#### Author's Note_x000D_
_x000D_
As of 2023, this church has tons of confession times.
-JPY_x000D_
_x000D_
</v>
      </c>
      <c r="BX47" s="23" t="str">
        <f>IF(AR47,concatll(concatl("---",AS47:AU47,BK47,"---"),L47,BV47:BW47),"")</f>
        <v xml:space="preserve">---_x000D_
title: "St. Catherine's Church"_x000D_
location: {lat: 50.8506899525108, lng: 4.34804927612854}_x000D_
level: local_x000D_
tags:
- belgium_x000D_
- brussels_x000D_
- churches_x000D_
_x000D_
---_x000D_
_x000D_
_x000D_
Historic church in the former Port of Brussels, before the docks were covered over._x000D_
_x000D_
#### More Information_x000D_
_x000D_
* [Official site](https://www.cathedralisbruxellensis.be/)
_x000D_
_x000D_
_x000D_
_x000D_
#### Author's Note_x000D_
_x000D_
As of 2023, this church has tons of confession times.
-JPY_x000D_
_x000D_
_x000D_
_x000D_
</v>
      </c>
      <c r="BY47" s="31" t="str">
        <f>IF(AR47,VLOOKUP(B47,'(Ref) Countries'!A:B,2,)&amp;IF(LEN(C47)&gt;1,"-"&amp;LOWER(SUBSTITUTE(C47," ","-")),"")&amp;"-"&amp;LOWER(SUBSTITUTE(G47," ","-"))&amp;".md","")</f>
        <v>be-brussels-st-catherine.md</v>
      </c>
      <c r="BZ47" s="29" t="str">
        <f>IF(LEN(Y47)&gt;1,VLOOKUP(Y47,'Tag List'!$A:$B,2,),"")</f>
        <v/>
      </c>
      <c r="CA47" s="29" t="str">
        <f>IF(LEN(Z47)&gt;1,VLOOKUP(Z47,'Tag List'!$A:$B,2,),"")</f>
        <v/>
      </c>
      <c r="CB47" s="29" t="str">
        <f>IF(LEN(AA47)&gt;1,VLOOKUP(AA47,'Tag List'!$A:$B,2,),"")</f>
        <v/>
      </c>
      <c r="CC47" s="29" t="str">
        <f>IF(LEN(Y47)&gt;1,GetTagPage(BZ47,Y47),"")</f>
        <v/>
      </c>
      <c r="CD47" s="29" t="str">
        <f>IF(LEN(Z47)&gt;1,GetTagPage(CA47,Z47),"")</f>
        <v/>
      </c>
      <c r="CE47" s="29" t="str">
        <f>IF(LEN(AA47)&gt;1,GetTagPage(CB47,AA47),"")</f>
        <v/>
      </c>
      <c r="CF47" s="29" t="str">
        <f t="shared" ref="CF47" si="90">"|"&amp;IF(LEN(CC47)&gt;1," "&amp;CC47,"")&amp;IF(LEN(CD47)&gt;1,", "&amp;CD47,"")&amp;IF(LEN(CE47)&gt;1,", "&amp;CE47,"")&amp;" "</f>
        <v xml:space="preserve">| </v>
      </c>
      <c r="CG47" s="29" t="str">
        <f t="shared" si="54"/>
        <v xml:space="preserve">| [](/places/be-brussels-st-catherine) </v>
      </c>
      <c r="CH47" s="29" t="str">
        <f>"| "&amp;IF(AR47,GetTagPage(B47,VLOOKUP(B47,'(Ref) Countries'!A:C,3,)),B47)&amp; " "</f>
        <v xml:space="preserve">| [Belgium](/tags/belgium) </v>
      </c>
      <c r="CI47" s="29" t="str">
        <f t="shared" si="55"/>
        <v xml:space="preserve">|  </v>
      </c>
      <c r="CJ47" s="29" t="str">
        <f t="shared" ref="CJ47" si="91">"|"&amp;IF(AR47," [Link](/places/"&amp;SUBSTITUTE(BY47,".md","")&amp;")","")&amp;" "</f>
        <v xml:space="preserve">| [Link](/places/be-brussels-st-catherine) </v>
      </c>
      <c r="CK47" s="29" t="str">
        <f t="shared" ref="CK47" si="92">"
"&amp;CG47&amp;CH47&amp;CI47&amp;CJ47&amp;BL47&amp;BQ47&amp;BR47&amp;BS47&amp;CF47&amp;"|"</f>
        <v xml:space="preserve">
| [](/places/be-brussels-st-catherine) | [Belgium](/tags/belgium) |  | [Link](/places/be-brussels-st-catherine) [Official site](https://www.cathedralisbruxellensis.be/)| |</v>
      </c>
    </row>
    <row r="48" spans="1:89" ht="38.25" x14ac:dyDescent="0.25">
      <c r="A48" s="14" t="s">
        <v>1322</v>
      </c>
      <c r="B48" s="96" t="s">
        <v>542</v>
      </c>
      <c r="C48" s="104" t="s">
        <v>1864</v>
      </c>
      <c r="D48" s="15">
        <v>48.373341813628898</v>
      </c>
      <c r="E48" s="49">
        <v>10.8960887661434</v>
      </c>
      <c r="F48" s="24" t="s">
        <v>1840</v>
      </c>
      <c r="G48" s="103" t="s">
        <v>1841</v>
      </c>
      <c r="H48" s="104" t="s">
        <v>1767</v>
      </c>
      <c r="K48" s="15" t="b">
        <v>1</v>
      </c>
      <c r="L48" s="96" t="s">
        <v>1849</v>
      </c>
      <c r="N48" s="15" t="s">
        <v>1842</v>
      </c>
      <c r="O48" s="15" t="s">
        <v>336</v>
      </c>
      <c r="Y48" s="104" t="s">
        <v>1843</v>
      </c>
      <c r="Z48" s="104" t="s">
        <v>1844</v>
      </c>
      <c r="AA48" s="104" t="s">
        <v>1847</v>
      </c>
      <c r="AR48" s="28" t="b">
        <f t="shared" si="38"/>
        <v>1</v>
      </c>
      <c r="AS48" s="29" t="str">
        <f t="shared" si="39"/>
        <v>title: "Diocesan Museum of St. Afra"</v>
      </c>
      <c r="AT48" s="29" t="str">
        <f t="shared" si="40"/>
        <v>location: {lat: 48.3733418136289, lng: 10.8960887661434}</v>
      </c>
      <c r="AU48" s="29" t="str">
        <f t="shared" si="41"/>
        <v>level: regional</v>
      </c>
      <c r="AV48" s="29" t="str">
        <f>"- "&amp;VLOOKUP(B48,'(Ref) Countries'!A:C,3,)</f>
        <v>- germany</v>
      </c>
      <c r="AW48" s="29" t="str">
        <f t="shared" si="42"/>
        <v>- augsburg</v>
      </c>
      <c r="AX48" s="29" t="str">
        <f t="shared" si="43"/>
        <v/>
      </c>
      <c r="AY48" s="29" t="str">
        <f t="shared" si="44"/>
        <v/>
      </c>
      <c r="AZ48" s="29" t="str">
        <f t="shared" si="45"/>
        <v>- holy-persons</v>
      </c>
      <c r="BA48" s="29" t="str">
        <f t="shared" ref="BA48" si="93">IF(LEN(Y48)&gt;0,"- "&amp;Y48,"")</f>
        <v>- ulrich</v>
      </c>
      <c r="BB48" s="29" t="str">
        <f t="shared" ref="BB48" si="94">IF(LEN(Z48)&gt;0,"- "&amp;Z48,"")</f>
        <v>- afra</v>
      </c>
      <c r="BC48" s="29" t="str">
        <f t="shared" ref="BC48" si="95">IF(LEN(AA48)&gt;0,"- "&amp;AA48,"")</f>
        <v>- simpert</v>
      </c>
      <c r="BD48" s="29" t="str">
        <f t="shared" ref="BD48" si="96">IF(LEN(AB48)&gt;0,"- "&amp;AB48,"")</f>
        <v/>
      </c>
      <c r="BE48" s="29" t="str">
        <f t="shared" ref="BE48" si="97">IF(LEN(AC48)&gt;0,"- "&amp;AC48,"")</f>
        <v/>
      </c>
      <c r="BF48" s="29" t="str">
        <f t="shared" ref="BF48" si="98">IF(LEN(AD48)&gt;0,"- "&amp;AD48,"")</f>
        <v/>
      </c>
      <c r="BG48" s="29" t="str">
        <f t="shared" ref="BG48" si="99">IF(LEN(AE48)&gt;0,"- "&amp;AE48,"")</f>
        <v/>
      </c>
      <c r="BH48" s="29" t="str">
        <f t="shared" ref="BH48" si="100">IF(LEN(AF48)&gt;0,"- "&amp;AF48,"")</f>
        <v/>
      </c>
      <c r="BI48" s="29" t="str">
        <f t="shared" ref="BI48" si="101">IF(LEN(AG48)&gt;0,"- "&amp;AG48,"")</f>
        <v/>
      </c>
      <c r="BJ48" s="29" t="str">
        <f t="shared" ref="BJ48" si="102">IF(LEN(AH48)&gt;0,"- "&amp;AH48,"")</f>
        <v/>
      </c>
      <c r="BK48" s="29" t="str">
        <f t="shared" ref="BK48" si="103">"tags:"&amp;CHAR(10)&amp;concatl(AV48:BJ48)</f>
        <v xml:space="preserve">tags:
- germany_x000D_
- augsburg_x000D_
- holy-persons_x000D_
- ulrich_x000D_
- afra_x000D_
- simpert_x000D_
</v>
      </c>
      <c r="BL48" s="29" t="str">
        <f t="shared" si="46"/>
        <v>[Official site](https://www.museum-st-afra.de/en/)</v>
      </c>
      <c r="BM48" s="29" t="str">
        <f t="shared" si="47"/>
        <v/>
      </c>
      <c r="BN48" s="29" t="str">
        <f t="shared" si="48"/>
        <v/>
      </c>
      <c r="BO48" s="29" t="str">
        <f t="shared" si="49"/>
        <v/>
      </c>
      <c r="BP48" s="29" t="str">
        <f t="shared" ref="BP48" si="104">IF(LEN(BL48)&gt;0,"* "&amp;BL48&amp;CHAR(10),"")&amp;
IF(LEN(BM48)&gt;0,"* "&amp;BM48&amp;CHAR(10),"")&amp;
IF(LEN(BN48)&gt;0,"* "&amp;BN48&amp;CHAR(10),"")&amp;
IF(LEN(BO48)&gt;0,"* "&amp;BO48&amp;CHAR(10),"")</f>
        <v xml:space="preserve">* [Official site](https://www.museum-st-afra.de/en/)
</v>
      </c>
      <c r="BQ48" s="29" t="str">
        <f t="shared" si="50"/>
        <v/>
      </c>
      <c r="BR48" s="29" t="str">
        <f t="shared" si="51"/>
        <v/>
      </c>
      <c r="BS48" s="29" t="str">
        <f t="shared" si="52"/>
        <v/>
      </c>
      <c r="BT48" s="29" t="str">
        <f>IF(LEN(concat(BQ48:BS48))&gt;0,concat("| ",BQ48," | ",BR48," | ",BS48," |"),"")</f>
        <v/>
      </c>
      <c r="BU48" s="29" t="str">
        <f t="shared" si="53"/>
        <v/>
      </c>
      <c r="BV48" s="29" t="str">
        <f>IF(LEN(BP48&amp;BU48)&gt;0,concatll("#### More Information",BP48,BU48),"")</f>
        <v xml:space="preserve">#### More Information_x000D_
_x000D_
* [Official site](https://www.museum-st-afra.de/en/)
_x000D_
_x000D_
</v>
      </c>
      <c r="BW48" s="29" t="str">
        <f>IF(LEN(M48)&gt;1,concatll("#### Author's Note",M48),"")</f>
        <v/>
      </c>
      <c r="BX48" s="23" t="str">
        <f>IF(AR48,concatll(concatl("---",AS48:AU48,BK48,"---"),L48,BV48:BW48),"")</f>
        <v xml:space="preserve">---_x000D_
title: "Diocesan Museum of St. Afra"_x000D_
location: {lat: 48.3733418136289, lng: 10.8960887661434}_x000D_
level: regional_x000D_
tags:
- germany_x000D_
- augsburg_x000D_
- holy-persons_x000D_
- ulrich_x000D_
- afra_x000D_
- simpert_x000D_
_x000D_
---_x000D_
_x000D_
_x000D_
Museum of the Diocese of Augsburg, featuring vestments and other items owned by St. Ulrich.  Also presents history of Sts. Afra and Simpert, also of the Diocese of Augsburg._x000D_
_x000D_
#### More Information_x000D_
_x000D_
* [Official site](https://www.museum-st-afra.de/en/)
_x000D_
_x000D_
_x000D_
_x000D_
</v>
      </c>
      <c r="BY48" s="31" t="str">
        <f>IF(AR48,VLOOKUP(B48,'(Ref) Countries'!A:B,2,)&amp;IF(LEN(C48)&gt;1,"-"&amp;LOWER(SUBSTITUTE(C48," ","-")),"")&amp;"-"&amp;LOWER(SUBSTITUTE(G48," ","-"))&amp;".md","")</f>
        <v>de-augsburg-diocesan-museum.md</v>
      </c>
      <c r="BZ48" s="29" t="str">
        <f>IF(LEN(Y48)&gt;1,VLOOKUP(Y48,'Tag List'!$A:$B,2,),"")</f>
        <v>St. Ulrich</v>
      </c>
      <c r="CA48" s="29" t="str">
        <f>IF(LEN(Z48)&gt;1,VLOOKUP(Z48,'Tag List'!$A:$B,2,),"")</f>
        <v>St. Afra</v>
      </c>
      <c r="CB48" s="29" t="str">
        <f>IF(LEN(AA48)&gt;1,VLOOKUP(AA48,'Tag List'!$A:$B,2,),"")</f>
        <v>St. Simpert</v>
      </c>
      <c r="CC48" s="29" t="str">
        <f>IF(LEN(Y48)&gt;1,GetTagPage(BZ48,Y48),"")</f>
        <v>[St. Ulrich](/tags/ulrich)</v>
      </c>
      <c r="CD48" s="29" t="str">
        <f>IF(LEN(Z48)&gt;1,GetTagPage(CA48,Z48),"")</f>
        <v>[St. Afra](/tags/afra)</v>
      </c>
      <c r="CE48" s="29" t="str">
        <f>IF(LEN(AA48)&gt;1,GetTagPage(CB48,AA48),"")</f>
        <v>[St. Simpert](/tags/simpert)</v>
      </c>
      <c r="CF48" s="29" t="str">
        <f t="shared" ref="CF48" si="105">"|"&amp;IF(LEN(CC48)&gt;1," "&amp;CC48,"")&amp;IF(LEN(CD48)&gt;1,", "&amp;CD48,"")&amp;IF(LEN(CE48)&gt;1,", "&amp;CE48,"")&amp;" "</f>
        <v xml:space="preserve">| [St. Ulrich](/tags/ulrich), [St. Afra](/tags/afra), [St. Simpert](/tags/simpert) </v>
      </c>
      <c r="CG48" s="29" t="str">
        <f t="shared" si="54"/>
        <v xml:space="preserve">| [](/places/de-augsburg-diocesan-museum) </v>
      </c>
      <c r="CH48" s="29" t="str">
        <f>"| "&amp;IF(AR48,GetTagPage(B48,VLOOKUP(B48,'(Ref) Countries'!A:C,3,)),B48)&amp; " "</f>
        <v xml:space="preserve">| [Germany](/tags/germany) </v>
      </c>
      <c r="CI48" s="29" t="str">
        <f t="shared" si="55"/>
        <v xml:space="preserve">|  </v>
      </c>
      <c r="CJ48" s="29" t="str">
        <f t="shared" ref="CJ48" si="106">"|"&amp;IF(AR48," [Link](/places/"&amp;SUBSTITUTE(BY48,".md","")&amp;")","")&amp;" "</f>
        <v xml:space="preserve">| [Link](/places/de-augsburg-diocesan-museum) </v>
      </c>
      <c r="CK48" s="29" t="str">
        <f t="shared" ref="CK48" si="107">"
"&amp;CG48&amp;CH48&amp;CI48&amp;CJ48&amp;BL48&amp;BQ48&amp;BR48&amp;BS48&amp;CF48&amp;"|"</f>
        <v xml:space="preserve">
| [](/places/de-augsburg-diocesan-museum) | [Germany](/tags/germany) |  | [Link](/places/de-augsburg-diocesan-museum) [Official site](https://www.museum-st-afra.de/en/)| [St. Ulrich](/tags/ulrich), [St. Afra](/tags/afra), [St. Simpert](/tags/simpert) |</v>
      </c>
    </row>
    <row r="49" spans="1:89" ht="25.5" x14ac:dyDescent="0.25">
      <c r="A49" s="14" t="s">
        <v>1322</v>
      </c>
      <c r="B49" s="24" t="s">
        <v>542</v>
      </c>
      <c r="C49" s="15" t="s">
        <v>1864</v>
      </c>
      <c r="D49" s="15">
        <v>48.372656224858602</v>
      </c>
      <c r="E49" s="49">
        <v>10.896980204558901</v>
      </c>
      <c r="F49" s="96" t="s">
        <v>1851</v>
      </c>
      <c r="G49" s="103" t="s">
        <v>1838</v>
      </c>
      <c r="H49" s="104" t="s">
        <v>1835</v>
      </c>
      <c r="I49" s="15" t="b">
        <v>1</v>
      </c>
      <c r="K49" s="15" t="b">
        <v>1</v>
      </c>
      <c r="L49" s="96" t="s">
        <v>1850</v>
      </c>
      <c r="N49" s="15" t="s">
        <v>1852</v>
      </c>
      <c r="O49" s="15" t="s">
        <v>336</v>
      </c>
      <c r="Y49" s="15" t="s">
        <v>1853</v>
      </c>
      <c r="AR49" s="28" t="b">
        <f t="shared" si="38"/>
        <v>1</v>
      </c>
      <c r="AS49" s="29" t="str">
        <f t="shared" si="39"/>
        <v>title: "Augsburg Cathedral (Augsburgur Dom)"</v>
      </c>
      <c r="AT49" s="29" t="str">
        <f t="shared" si="40"/>
        <v>location: {lat: 48.3726562248586, lng: 10.8969802045589}</v>
      </c>
      <c r="AU49" s="29" t="str">
        <f t="shared" si="41"/>
        <v>level: local</v>
      </c>
      <c r="AV49" s="29" t="str">
        <f>"- "&amp;VLOOKUP(B49,'(Ref) Countries'!A:C,3,)</f>
        <v>- germany</v>
      </c>
      <c r="AW49" s="29" t="str">
        <f t="shared" si="42"/>
        <v>- augsburg</v>
      </c>
      <c r="AX49" s="29" t="str">
        <f t="shared" si="43"/>
        <v>- churches</v>
      </c>
      <c r="AY49" s="29" t="str">
        <f t="shared" si="44"/>
        <v/>
      </c>
      <c r="AZ49" s="29" t="str">
        <f t="shared" si="45"/>
        <v>- holy-persons</v>
      </c>
      <c r="BA49" s="29" t="str">
        <f t="shared" ref="BA49" si="108">IF(LEN(Y49)&gt;0,"- "&amp;Y49,"")</f>
        <v>- peter-canisius</v>
      </c>
      <c r="BB49" s="29" t="str">
        <f t="shared" ref="BB49" si="109">IF(LEN(Z49)&gt;0,"- "&amp;Z49,"")</f>
        <v/>
      </c>
      <c r="BC49" s="29" t="str">
        <f t="shared" ref="BC49" si="110">IF(LEN(AA49)&gt;0,"- "&amp;AA49,"")</f>
        <v/>
      </c>
      <c r="BD49" s="29" t="str">
        <f t="shared" ref="BD49" si="111">IF(LEN(AB49)&gt;0,"- "&amp;AB49,"")</f>
        <v/>
      </c>
      <c r="BE49" s="29" t="str">
        <f t="shared" ref="BE49" si="112">IF(LEN(AC49)&gt;0,"- "&amp;AC49,"")</f>
        <v/>
      </c>
      <c r="BF49" s="29" t="str">
        <f t="shared" ref="BF49" si="113">IF(LEN(AD49)&gt;0,"- "&amp;AD49,"")</f>
        <v/>
      </c>
      <c r="BG49" s="29" t="str">
        <f t="shared" ref="BG49" si="114">IF(LEN(AE49)&gt;0,"- "&amp;AE49,"")</f>
        <v/>
      </c>
      <c r="BH49" s="29" t="str">
        <f t="shared" ref="BH49" si="115">IF(LEN(AF49)&gt;0,"- "&amp;AF49,"")</f>
        <v/>
      </c>
      <c r="BI49" s="29" t="str">
        <f t="shared" ref="BI49" si="116">IF(LEN(AG49)&gt;0,"- "&amp;AG49,"")</f>
        <v/>
      </c>
      <c r="BJ49" s="29" t="str">
        <f t="shared" ref="BJ49" si="117">IF(LEN(AH49)&gt;0,"- "&amp;AH49,"")</f>
        <v/>
      </c>
      <c r="BK49" s="29" t="str">
        <f t="shared" ref="BK49" si="118">"tags:"&amp;CHAR(10)&amp;concatl(AV49:BJ49)</f>
        <v xml:space="preserve">tags:
- germany_x000D_
- augsburg_x000D_
- churches_x000D_
- holy-persons_x000D_
- peter-canisius_x000D_
</v>
      </c>
      <c r="BL49" s="29" t="str">
        <f t="shared" si="46"/>
        <v>[Official site](https://bistum-augsburg.de/Bistum/Unser-Bistum/Kathedrale/Hoher-Dom)</v>
      </c>
      <c r="BM49" s="29" t="str">
        <f t="shared" si="47"/>
        <v/>
      </c>
      <c r="BN49" s="29" t="str">
        <f t="shared" si="48"/>
        <v/>
      </c>
      <c r="BO49" s="29" t="str">
        <f t="shared" si="49"/>
        <v/>
      </c>
      <c r="BP49" s="29" t="str">
        <f t="shared" ref="BP49" si="119">IF(LEN(BL49)&gt;0,"* "&amp;BL49&amp;CHAR(10),"")&amp;
IF(LEN(BM49)&gt;0,"* "&amp;BM49&amp;CHAR(10),"")&amp;
IF(LEN(BN49)&gt;0,"* "&amp;BN49&amp;CHAR(10),"")&amp;
IF(LEN(BO49)&gt;0,"* "&amp;BO49&amp;CHAR(10),"")</f>
        <v xml:space="preserve">* [Official site](https://bistum-augsburg.de/Bistum/Unser-Bistum/Kathedrale/Hoher-Dom)
</v>
      </c>
      <c r="BQ49" s="29" t="str">
        <f t="shared" si="50"/>
        <v/>
      </c>
      <c r="BR49" s="29" t="str">
        <f t="shared" si="51"/>
        <v/>
      </c>
      <c r="BS49" s="29" t="str">
        <f t="shared" si="52"/>
        <v/>
      </c>
      <c r="BT49" s="29" t="str">
        <f>IF(LEN(concat(BQ49:BS49))&gt;0,concat("| ",BQ49," | ",BR49," | ",BS49," |"),"")</f>
        <v/>
      </c>
      <c r="BU49" s="29" t="str">
        <f t="shared" si="53"/>
        <v/>
      </c>
      <c r="BV49" s="29" t="str">
        <f>IF(LEN(BP49&amp;BU49)&gt;0,concatll("#### More Information",BP49,BU49),"")</f>
        <v xml:space="preserve">#### More Information_x000D_
_x000D_
* [Official site](https://bistum-augsburg.de/Bistum/Unser-Bistum/Kathedrale/Hoher-Dom)
_x000D_
_x000D_
</v>
      </c>
      <c r="BW49" s="29" t="str">
        <f>IF(LEN(M49)&gt;1,concatll("#### Author's Note",M49),"")</f>
        <v/>
      </c>
      <c r="BX49" s="23" t="str">
        <f>IF(AR49,concatll(concatl("---",AS49:AU49,BK49,"---"),L49,BV49:BW49),"")</f>
        <v xml:space="preserve">---_x000D_
title: "Augsburg Cathedral (Augsburgur Dom)"_x000D_
location: {lat: 48.3726562248586, lng: 10.8969802045589}_x000D_
level: local_x000D_
tags:
- germany_x000D_
- augsburg_x000D_
- churches_x000D_
- holy-persons_x000D_
- peter-canisius_x000D_
_x000D_
---_x000D_
_x000D_
_x000D_
Cathedral of the Diocese of Augsburg.  St. Peter Canisius was appointed the "cathedral preacher" here in 1559._x000D_
_x000D_
#### More Information_x000D_
_x000D_
* [Official site](https://bistum-augsburg.de/Bistum/Unser-Bistum/Kathedrale/Hoher-Dom)
_x000D_
_x000D_
_x000D_
_x000D_
</v>
      </c>
      <c r="BY49" s="31" t="str">
        <f>IF(AR49,VLOOKUP(B49,'(Ref) Countries'!A:B,2,)&amp;IF(LEN(C49)&gt;1,"-"&amp;LOWER(SUBSTITUTE(C49," ","-")),"")&amp;"-"&amp;LOWER(SUBSTITUTE(G49," ","-"))&amp;".md","")</f>
        <v>de-augsburg-cathedral.md</v>
      </c>
      <c r="BZ49" s="29" t="str">
        <f>IF(LEN(Y49)&gt;1,VLOOKUP(Y49,'Tag List'!$A:$B,2,),"")</f>
        <v>St. Peter Canisius</v>
      </c>
      <c r="CA49" s="29" t="str">
        <f>IF(LEN(Z49)&gt;1,VLOOKUP(Z49,'Tag List'!$A:$B,2,),"")</f>
        <v/>
      </c>
      <c r="CB49" s="29" t="str">
        <f>IF(LEN(AA49)&gt;1,VLOOKUP(AA49,'Tag List'!$A:$B,2,),"")</f>
        <v/>
      </c>
      <c r="CC49" s="29" t="str">
        <f>IF(LEN(Y49)&gt;1,GetTagPage(BZ49,Y49),"")</f>
        <v>[St. Peter Canisius](/tags/peter-canisius)</v>
      </c>
      <c r="CD49" s="29" t="str">
        <f>IF(LEN(Z49)&gt;1,GetTagPage(CA49,Z49),"")</f>
        <v/>
      </c>
      <c r="CE49" s="29" t="str">
        <f>IF(LEN(AA49)&gt;1,GetTagPage(CB49,AA49),"")</f>
        <v/>
      </c>
      <c r="CF49" s="29" t="str">
        <f t="shared" ref="CF49" si="120">"|"&amp;IF(LEN(CC49)&gt;1," "&amp;CC49,"")&amp;IF(LEN(CD49)&gt;1,", "&amp;CD49,"")&amp;IF(LEN(CE49)&gt;1,", "&amp;CE49,"")&amp;" "</f>
        <v xml:space="preserve">| [St. Peter Canisius](/tags/peter-canisius) </v>
      </c>
      <c r="CG49" s="29" t="str">
        <f t="shared" si="54"/>
        <v xml:space="preserve">| [](/places/de-augsburg-cathedral) </v>
      </c>
      <c r="CH49" s="29" t="str">
        <f>"| "&amp;IF(AR49,GetTagPage(B49,VLOOKUP(B49,'(Ref) Countries'!A:C,3,)),B49)&amp; " "</f>
        <v xml:space="preserve">| [Germany](/tags/germany) </v>
      </c>
      <c r="CI49" s="29" t="str">
        <f t="shared" si="55"/>
        <v xml:space="preserve">|  </v>
      </c>
      <c r="CJ49" s="29" t="str">
        <f t="shared" ref="CJ49" si="121">"|"&amp;IF(AR49," [Link](/places/"&amp;SUBSTITUTE(BY49,".md","")&amp;")","")&amp;" "</f>
        <v xml:space="preserve">| [Link](/places/de-augsburg-cathedral) </v>
      </c>
      <c r="CK49" s="29" t="str">
        <f t="shared" ref="CK49" si="122">"
"&amp;CG49&amp;CH49&amp;CI49&amp;CJ49&amp;BL49&amp;BQ49&amp;BR49&amp;BS49&amp;CF49&amp;"|"</f>
        <v xml:space="preserve">
| [](/places/de-augsburg-cathedral) | [Germany](/tags/germany) |  | [Link](/places/de-augsburg-cathedral) [Official site](https://bistum-augsburg.de/Bistum/Unser-Bistum/Kathedrale/Hoher-Dom)| [St. Peter Canisius](/tags/peter-canisius) |</v>
      </c>
    </row>
    <row r="50" spans="1:89" ht="51" x14ac:dyDescent="0.25">
      <c r="A50" s="14" t="s">
        <v>1322</v>
      </c>
      <c r="B50" s="24" t="s">
        <v>542</v>
      </c>
      <c r="C50" s="15" t="s">
        <v>1864</v>
      </c>
      <c r="D50" s="15">
        <v>48.372337108375902</v>
      </c>
      <c r="E50" s="49">
        <v>10.8944612321084</v>
      </c>
      <c r="F50" s="24" t="s">
        <v>1855</v>
      </c>
      <c r="G50" s="103" t="s">
        <v>1856</v>
      </c>
      <c r="H50" s="15" t="s">
        <v>1835</v>
      </c>
      <c r="L50" s="24" t="s">
        <v>1857</v>
      </c>
      <c r="M50" s="103" t="s">
        <v>1858</v>
      </c>
      <c r="O50" s="15" t="s">
        <v>336</v>
      </c>
      <c r="Y50" s="104" t="s">
        <v>1865</v>
      </c>
      <c r="AR50" s="28" t="b">
        <f t="shared" si="38"/>
        <v>1</v>
      </c>
      <c r="AS50" s="29" t="str">
        <f t="shared" si="39"/>
        <v>title: "Former Residence of the Prince-Bishop of Augsburg"</v>
      </c>
      <c r="AT50" s="29" t="str">
        <f t="shared" si="40"/>
        <v>location: {lat: 48.3723371083759, lng: 10.8944612321084}</v>
      </c>
      <c r="AU50" s="29" t="str">
        <f t="shared" si="41"/>
        <v>level: local</v>
      </c>
      <c r="AV50" s="29" t="str">
        <f>"- "&amp;VLOOKUP(B50,'(Ref) Countries'!A:C,3,)</f>
        <v>- germany</v>
      </c>
      <c r="AW50" s="29" t="str">
        <f t="shared" si="42"/>
        <v>- augsburg</v>
      </c>
      <c r="AX50" s="29" t="str">
        <f t="shared" si="43"/>
        <v/>
      </c>
      <c r="AY50" s="29" t="str">
        <f t="shared" si="44"/>
        <v/>
      </c>
      <c r="AZ50" s="29" t="str">
        <f t="shared" si="45"/>
        <v/>
      </c>
      <c r="BA50" s="29" t="str">
        <f t="shared" ref="BA50" si="123">IF(LEN(Y50)&gt;0,"- "&amp;Y50,"")</f>
        <v>- reformation</v>
      </c>
      <c r="BB50" s="29" t="str">
        <f t="shared" ref="BB50" si="124">IF(LEN(Z50)&gt;0,"- "&amp;Z50,"")</f>
        <v/>
      </c>
      <c r="BC50" s="29" t="str">
        <f t="shared" ref="BC50" si="125">IF(LEN(AA50)&gt;0,"- "&amp;AA50,"")</f>
        <v/>
      </c>
      <c r="BD50" s="29" t="str">
        <f t="shared" ref="BD50" si="126">IF(LEN(AB50)&gt;0,"- "&amp;AB50,"")</f>
        <v/>
      </c>
      <c r="BE50" s="29" t="str">
        <f t="shared" ref="BE50" si="127">IF(LEN(AC50)&gt;0,"- "&amp;AC50,"")</f>
        <v/>
      </c>
      <c r="BF50" s="29" t="str">
        <f t="shared" ref="BF50" si="128">IF(LEN(AD50)&gt;0,"- "&amp;AD50,"")</f>
        <v/>
      </c>
      <c r="BG50" s="29" t="str">
        <f t="shared" ref="BG50" si="129">IF(LEN(AE50)&gt;0,"- "&amp;AE50,"")</f>
        <v/>
      </c>
      <c r="BH50" s="29" t="str">
        <f t="shared" ref="BH50" si="130">IF(LEN(AF50)&gt;0,"- "&amp;AF50,"")</f>
        <v/>
      </c>
      <c r="BI50" s="29" t="str">
        <f t="shared" ref="BI50" si="131">IF(LEN(AG50)&gt;0,"- "&amp;AG50,"")</f>
        <v/>
      </c>
      <c r="BJ50" s="29" t="str">
        <f t="shared" ref="BJ50" si="132">IF(LEN(AH50)&gt;0,"- "&amp;AH50,"")</f>
        <v/>
      </c>
      <c r="BK50" s="29" t="str">
        <f t="shared" ref="BK50" si="133">"tags:"&amp;CHAR(10)&amp;concatl(AV50:BJ50)</f>
        <v xml:space="preserve">tags:
- germany_x000D_
- augsburg_x000D_
- reformation_x000D_
</v>
      </c>
      <c r="BL50" s="29" t="str">
        <f t="shared" si="46"/>
        <v/>
      </c>
      <c r="BM50" s="29" t="str">
        <f t="shared" si="47"/>
        <v/>
      </c>
      <c r="BN50" s="29" t="str">
        <f t="shared" si="48"/>
        <v/>
      </c>
      <c r="BO50" s="29" t="str">
        <f t="shared" si="49"/>
        <v/>
      </c>
      <c r="BP50" s="29" t="str">
        <f t="shared" ref="BP50" si="134">IF(LEN(BL50)&gt;0,"* "&amp;BL50&amp;CHAR(10),"")&amp;
IF(LEN(BM50)&gt;0,"* "&amp;BM50&amp;CHAR(10),"")&amp;
IF(LEN(BN50)&gt;0,"* "&amp;BN50&amp;CHAR(10),"")&amp;
IF(LEN(BO50)&gt;0,"* "&amp;BO50&amp;CHAR(10),"")</f>
        <v/>
      </c>
      <c r="BQ50" s="29" t="str">
        <f t="shared" si="50"/>
        <v/>
      </c>
      <c r="BR50" s="29" t="str">
        <f t="shared" si="51"/>
        <v/>
      </c>
      <c r="BS50" s="29" t="str">
        <f t="shared" si="52"/>
        <v/>
      </c>
      <c r="BT50" s="29" t="str">
        <f>IF(LEN(concat(BQ50:BS50))&gt;0,concat("| ",BQ50," | ",BR50," | ",BS50," |"),"")</f>
        <v/>
      </c>
      <c r="BU50" s="29" t="str">
        <f t="shared" si="53"/>
        <v/>
      </c>
      <c r="BV50" s="29" t="str">
        <f>IF(LEN(BP50&amp;BU50)&gt;0,concatll("#### More Information",BP50,BU50),"")</f>
        <v/>
      </c>
      <c r="BW50" s="29" t="str">
        <f>IF(LEN(M50)&gt;1,concatll("#### Author's Note",M50),"")</f>
        <v xml:space="preserve">#### Author's Note_x000D_
_x000D_
Let us pray for Christian unity and for our Protestant brethern to come to the True Faith.
-JPY_x000D_
_x000D_
</v>
      </c>
      <c r="BX50" s="23" t="str">
        <f>IF(AR50,concatll(concatl("---",AS50:AU50,BK50,"---"),L50,BV50:BW50),"")</f>
        <v xml:space="preserve">---_x000D_
title: "Former Residence of the Prince-Bishop of Augsburg"_x000D_
location: {lat: 48.3723371083759, lng: 10.8944612321084}_x000D_
level: local_x000D_
tags:
- germany_x000D_
- augsburg_x000D_
- reformation_x000D_
_x000D_
---_x000D_
_x000D_
_x000D_
This building is on the site where the Diet of Augsburg in 1530 took place, where the Augsburg Confession was presented._x000D_
_x000D_
#### Author's Note_x000D_
_x000D_
Let us pray for Christian unity and for our Protestant brethern to come to the True Faith.
-JPY_x000D_
_x000D_
_x000D_
_x000D_
</v>
      </c>
      <c r="BY50" s="31" t="str">
        <f>IF(AR50,VLOOKUP(B50,'(Ref) Countries'!A:B,2,)&amp;IF(LEN(C50)&gt;1,"-"&amp;LOWER(SUBSTITUTE(C50," ","-")),"")&amp;"-"&amp;LOWER(SUBSTITUTE(G50," ","-"))&amp;".md","")</f>
        <v>de-augsburg-prince-bishop-residence.md</v>
      </c>
      <c r="BZ50" s="29" t="str">
        <f>IF(LEN(Y50)&gt;1,VLOOKUP(Y50,'Tag List'!$A:$B,2,),"")</f>
        <v>Protestant Reformation</v>
      </c>
      <c r="CA50" s="29" t="str">
        <f>IF(LEN(Z50)&gt;1,VLOOKUP(Z50,'Tag List'!$A:$B,2,),"")</f>
        <v/>
      </c>
      <c r="CB50" s="29" t="str">
        <f>IF(LEN(AA50)&gt;1,VLOOKUP(AA50,'Tag List'!$A:$B,2,),"")</f>
        <v/>
      </c>
      <c r="CC50" s="29" t="str">
        <f>IF(LEN(Y50)&gt;1,GetTagPage(BZ50,Y50),"")</f>
        <v>[Protestant Reformation](/tags/reformation)</v>
      </c>
      <c r="CD50" s="29" t="str">
        <f>IF(LEN(Z50)&gt;1,GetTagPage(CA50,Z50),"")</f>
        <v/>
      </c>
      <c r="CE50" s="29" t="str">
        <f>IF(LEN(AA50)&gt;1,GetTagPage(CB50,AA50),"")</f>
        <v/>
      </c>
      <c r="CF50" s="29" t="str">
        <f t="shared" ref="CF50" si="135">"|"&amp;IF(LEN(CC50)&gt;1," "&amp;CC50,"")&amp;IF(LEN(CD50)&gt;1,", "&amp;CD50,"")&amp;IF(LEN(CE50)&gt;1,", "&amp;CE50,"")&amp;" "</f>
        <v xml:space="preserve">| [Protestant Reformation](/tags/reformation) </v>
      </c>
      <c r="CG50" s="29" t="str">
        <f t="shared" si="54"/>
        <v xml:space="preserve">| [](/places/de-augsburg-prince-bishop-residence) </v>
      </c>
      <c r="CH50" s="29" t="str">
        <f>"| "&amp;IF(AR50,GetTagPage(B50,VLOOKUP(B50,'(Ref) Countries'!A:C,3,)),B50)&amp; " "</f>
        <v xml:space="preserve">| [Germany](/tags/germany) </v>
      </c>
      <c r="CI50" s="29" t="str">
        <f t="shared" si="55"/>
        <v xml:space="preserve">|  </v>
      </c>
      <c r="CJ50" s="29" t="str">
        <f t="shared" ref="CJ50" si="136">"|"&amp;IF(AR50," [Link](/places/"&amp;SUBSTITUTE(BY50,".md","")&amp;")","")&amp;" "</f>
        <v xml:space="preserve">| [Link](/places/de-augsburg-prince-bishop-residence) </v>
      </c>
      <c r="CK50" s="29" t="str">
        <f t="shared" ref="CK50" si="137">"
"&amp;CG50&amp;CH50&amp;CI50&amp;CJ50&amp;BL50&amp;BQ50&amp;BR50&amp;BS50&amp;CF50&amp;"|"</f>
        <v xml:space="preserve">
| [](/places/de-augsburg-prince-bishop-residence) | [Germany](/tags/germany) |  | [Link](/places/de-augsburg-prince-bishop-residence) | [Protestant Reformation](/tags/reformation) |</v>
      </c>
    </row>
    <row r="51" spans="1:89" ht="89.25" x14ac:dyDescent="0.25">
      <c r="A51" s="14" t="s">
        <v>1322</v>
      </c>
      <c r="B51" s="24" t="s">
        <v>542</v>
      </c>
      <c r="C51" s="15" t="s">
        <v>1864</v>
      </c>
      <c r="D51" s="15">
        <v>48.361479239335097</v>
      </c>
      <c r="E51" s="49">
        <v>10.9000712149692</v>
      </c>
      <c r="F51" s="24" t="s">
        <v>1859</v>
      </c>
      <c r="G51" s="103" t="s">
        <v>1860</v>
      </c>
      <c r="H51" s="104" t="s">
        <v>1767</v>
      </c>
      <c r="I51" s="15" t="b">
        <v>1</v>
      </c>
      <c r="K51" s="15" t="b">
        <v>1</v>
      </c>
      <c r="L51" s="96" t="s">
        <v>1861</v>
      </c>
      <c r="M51" s="103" t="s">
        <v>1862</v>
      </c>
      <c r="N51" s="15" t="s">
        <v>1863</v>
      </c>
      <c r="O51" s="15" t="s">
        <v>336</v>
      </c>
      <c r="Y51" s="15" t="s">
        <v>1843</v>
      </c>
      <c r="Z51" s="15" t="s">
        <v>1844</v>
      </c>
      <c r="AA51" s="15" t="s">
        <v>1847</v>
      </c>
      <c r="AR51" s="28" t="b">
        <f t="shared" si="38"/>
        <v>1</v>
      </c>
      <c r="AS51" s="29" t="str">
        <f t="shared" si="39"/>
        <v>title: "Basilica of Sts. Ulrich and Afra"</v>
      </c>
      <c r="AT51" s="29" t="str">
        <f t="shared" si="40"/>
        <v>location: {lat: 48.3614792393351, lng: 10.9000712149692}</v>
      </c>
      <c r="AU51" s="29" t="str">
        <f t="shared" si="41"/>
        <v>level: regional</v>
      </c>
      <c r="AV51" s="29" t="str">
        <f>"- "&amp;VLOOKUP(B51,'(Ref) Countries'!A:C,3,)</f>
        <v>- germany</v>
      </c>
      <c r="AW51" s="29" t="str">
        <f t="shared" si="42"/>
        <v>- augsburg</v>
      </c>
      <c r="AX51" s="29" t="str">
        <f t="shared" si="43"/>
        <v>- churches</v>
      </c>
      <c r="AY51" s="29" t="str">
        <f t="shared" si="44"/>
        <v/>
      </c>
      <c r="AZ51" s="29" t="str">
        <f t="shared" si="45"/>
        <v>- holy-persons</v>
      </c>
      <c r="BA51" s="29" t="str">
        <f t="shared" ref="BA51" si="138">IF(LEN(Y51)&gt;0,"- "&amp;Y51,"")</f>
        <v>- ulrich</v>
      </c>
      <c r="BB51" s="29" t="str">
        <f t="shared" ref="BB51" si="139">IF(LEN(Z51)&gt;0,"- "&amp;Z51,"")</f>
        <v>- afra</v>
      </c>
      <c r="BC51" s="29" t="str">
        <f t="shared" ref="BC51" si="140">IF(LEN(AA51)&gt;0,"- "&amp;AA51,"")</f>
        <v>- simpert</v>
      </c>
      <c r="BD51" s="29" t="str">
        <f t="shared" ref="BD51" si="141">IF(LEN(AB51)&gt;0,"- "&amp;AB51,"")</f>
        <v/>
      </c>
      <c r="BE51" s="29" t="str">
        <f t="shared" ref="BE51" si="142">IF(LEN(AC51)&gt;0,"- "&amp;AC51,"")</f>
        <v/>
      </c>
      <c r="BF51" s="29" t="str">
        <f t="shared" ref="BF51" si="143">IF(LEN(AD51)&gt;0,"- "&amp;AD51,"")</f>
        <v/>
      </c>
      <c r="BG51" s="29" t="str">
        <f t="shared" ref="BG51" si="144">IF(LEN(AE51)&gt;0,"- "&amp;AE51,"")</f>
        <v/>
      </c>
      <c r="BH51" s="29" t="str">
        <f t="shared" ref="BH51" si="145">IF(LEN(AF51)&gt;0,"- "&amp;AF51,"")</f>
        <v/>
      </c>
      <c r="BI51" s="29" t="str">
        <f t="shared" ref="BI51" si="146">IF(LEN(AG51)&gt;0,"- "&amp;AG51,"")</f>
        <v/>
      </c>
      <c r="BJ51" s="29" t="str">
        <f t="shared" ref="BJ51" si="147">IF(LEN(AH51)&gt;0,"- "&amp;AH51,"")</f>
        <v/>
      </c>
      <c r="BK51" s="29" t="str">
        <f t="shared" ref="BK51" si="148">"tags:"&amp;CHAR(10)&amp;concatl(AV51:BJ51)</f>
        <v xml:space="preserve">tags:
- germany_x000D_
- augsburg_x000D_
- churches_x000D_
- holy-persons_x000D_
- ulrich_x000D_
- afra_x000D_
- simpert_x000D_
</v>
      </c>
      <c r="BL51" s="29" t="str">
        <f t="shared" si="46"/>
        <v>[Official site](https://ulrich-afra-anton.de)</v>
      </c>
      <c r="BM51" s="29" t="str">
        <f t="shared" si="47"/>
        <v/>
      </c>
      <c r="BN51" s="29" t="str">
        <f t="shared" si="48"/>
        <v/>
      </c>
      <c r="BO51" s="29" t="str">
        <f t="shared" si="49"/>
        <v/>
      </c>
      <c r="BP51" s="29" t="str">
        <f t="shared" ref="BP51" si="149">IF(LEN(BL51)&gt;0,"* "&amp;BL51&amp;CHAR(10),"")&amp;
IF(LEN(BM51)&gt;0,"* "&amp;BM51&amp;CHAR(10),"")&amp;
IF(LEN(BN51)&gt;0,"* "&amp;BN51&amp;CHAR(10),"")&amp;
IF(LEN(BO51)&gt;0,"* "&amp;BO51&amp;CHAR(10),"")</f>
        <v xml:space="preserve">* [Official site](https://ulrich-afra-anton.de)
</v>
      </c>
      <c r="BQ51" s="29" t="str">
        <f t="shared" si="50"/>
        <v/>
      </c>
      <c r="BR51" s="29" t="str">
        <f t="shared" si="51"/>
        <v/>
      </c>
      <c r="BS51" s="29" t="str">
        <f t="shared" si="52"/>
        <v/>
      </c>
      <c r="BT51" s="29" t="str">
        <f>IF(LEN(concat(BQ51:BS51))&gt;0,concat("| ",BQ51," | ",BR51," | ",BS51," |"),"")</f>
        <v/>
      </c>
      <c r="BU51" s="29" t="str">
        <f t="shared" si="53"/>
        <v/>
      </c>
      <c r="BV51" s="29" t="str">
        <f>IF(LEN(BP51&amp;BU51)&gt;0,concatll("#### More Information",BP51,BU51),"")</f>
        <v xml:space="preserve">#### More Information_x000D_
_x000D_
* [Official site](https://ulrich-afra-anton.de)
_x000D_
_x000D_
</v>
      </c>
      <c r="BW51" s="29" t="str">
        <f>IF(LEN(M51)&gt;1,concatll("#### Author's Note",M51),"")</f>
        <v xml:space="preserve">#### Author's Note_x000D_
_x000D_
Sts. Ulrich and Afra are buried in the crypt beneath the high altar.  You can reach them with some steep stairs on either side of the high altar.  St. Simpert's tomb is in a chapel along the right side of the nave.
-JPY_x000D_
_x000D_
</v>
      </c>
      <c r="BX51" s="23" t="str">
        <f>IF(AR51,concatll(concatl("---",AS51:AU51,BK51,"---"),L51,BV51:BW51),"")</f>
        <v xml:space="preserve">---_x000D_
title: "Basilica of Sts. Ulrich and Afra"_x000D_
location: {lat: 48.3614792393351, lng: 10.9000712149692}_x000D_
level: regional_x000D_
tags:
- germany_x000D_
- augsburg_x000D_
- churches_x000D_
- holy-persons_x000D_
- ulrich_x000D_
- afra_x000D_
- simpert_x000D_
_x000D_
---_x000D_
_x000D_
_x000D_
Site of the martyrdom of St. Afra and burial place of Sts. Afra, Ulrich (the first canonized saint) and Simpert (778-807)._x000D_
_x000D_
#### More Information_x000D_
_x000D_
* [Official site](https://ulrich-afra-anton.de)
_x000D_
_x000D_
_x000D_
_x000D_
#### Author's Note_x000D_
_x000D_
Sts. Ulrich and Afra are buried in the crypt beneath the high altar.  You can reach them with some steep stairs on either side of the high altar.  St. Simpert's tomb is in a chapel along the right side of the nave.
-JPY_x000D_
_x000D_
_x000D_
_x000D_
</v>
      </c>
      <c r="BY51" s="31" t="str">
        <f>IF(AR51,VLOOKUP(B51,'(Ref) Countries'!A:B,2,)&amp;IF(LEN(C51)&gt;1,"-"&amp;LOWER(SUBSTITUTE(C51," ","-")),"")&amp;"-"&amp;LOWER(SUBSTITUTE(G51," ","-"))&amp;".md","")</f>
        <v>de-augsburg-basilica-of-sts-ulrich-and-afra.md</v>
      </c>
      <c r="BZ51" s="29" t="str">
        <f>IF(LEN(Y51)&gt;1,VLOOKUP(Y51,'Tag List'!$A:$B,2,),"")</f>
        <v>St. Ulrich</v>
      </c>
      <c r="CA51" s="29" t="str">
        <f>IF(LEN(Z51)&gt;1,VLOOKUP(Z51,'Tag List'!$A:$B,2,),"")</f>
        <v>St. Afra</v>
      </c>
      <c r="CB51" s="29" t="str">
        <f>IF(LEN(AA51)&gt;1,VLOOKUP(AA51,'Tag List'!$A:$B,2,),"")</f>
        <v>St. Simpert</v>
      </c>
      <c r="CC51" s="29" t="str">
        <f>IF(LEN(Y51)&gt;1,GetTagPage(BZ51,Y51),"")</f>
        <v>[St. Ulrich](/tags/ulrich)</v>
      </c>
      <c r="CD51" s="29" t="str">
        <f>IF(LEN(Z51)&gt;1,GetTagPage(CA51,Z51),"")</f>
        <v>[St. Afra](/tags/afra)</v>
      </c>
      <c r="CE51" s="29" t="str">
        <f>IF(LEN(AA51)&gt;1,GetTagPage(CB51,AA51),"")</f>
        <v>[St. Simpert](/tags/simpert)</v>
      </c>
      <c r="CF51" s="29" t="str">
        <f t="shared" ref="CF51" si="150">"|"&amp;IF(LEN(CC51)&gt;1," "&amp;CC51,"")&amp;IF(LEN(CD51)&gt;1,", "&amp;CD51,"")&amp;IF(LEN(CE51)&gt;1,", "&amp;CE51,"")&amp;" "</f>
        <v xml:space="preserve">| [St. Ulrich](/tags/ulrich), [St. Afra](/tags/afra), [St. Simpert](/tags/simpert) </v>
      </c>
      <c r="CG51" s="29" t="str">
        <f t="shared" si="54"/>
        <v xml:space="preserve">| [](/places/de-augsburg-basilica-of-sts-ulrich-and-afra) </v>
      </c>
      <c r="CH51" s="29" t="str">
        <f>"| "&amp;IF(AR51,GetTagPage(B51,VLOOKUP(B51,'(Ref) Countries'!A:C,3,)),B51)&amp; " "</f>
        <v xml:space="preserve">| [Germany](/tags/germany) </v>
      </c>
      <c r="CI51" s="29" t="str">
        <f t="shared" si="55"/>
        <v xml:space="preserve">|  </v>
      </c>
      <c r="CJ51" s="29" t="str">
        <f t="shared" ref="CJ51" si="151">"|"&amp;IF(AR51," [Link](/places/"&amp;SUBSTITUTE(BY51,".md","")&amp;")","")&amp;" "</f>
        <v xml:space="preserve">| [Link](/places/de-augsburg-basilica-of-sts-ulrich-and-afra) </v>
      </c>
      <c r="CK51" s="29" t="str">
        <f t="shared" ref="CK51" si="152">"
"&amp;CG51&amp;CH51&amp;CI51&amp;CJ51&amp;BL51&amp;BQ51&amp;BR51&amp;BS51&amp;CF51&amp;"|"</f>
        <v xml:space="preserve">
| [](/places/de-augsburg-basilica-of-sts-ulrich-and-afra) | [Germany](/tags/germany) |  | [Link](/places/de-augsburg-basilica-of-sts-ulrich-and-afra) [Official site](https://ulrich-afra-anton.de)| [St. Ulrich](/tags/ulrich), [St. Afra](/tags/afra), [St. Simpert](/tags/simpert) |</v>
      </c>
    </row>
    <row r="52" spans="1:89" ht="63.75" x14ac:dyDescent="0.25">
      <c r="A52" s="14" t="s">
        <v>1322</v>
      </c>
      <c r="B52" s="96" t="s">
        <v>557</v>
      </c>
      <c r="C52" s="104" t="s">
        <v>1025</v>
      </c>
      <c r="D52" s="15">
        <v>48.848857382512399</v>
      </c>
      <c r="E52" s="49">
        <v>2.3216311122635598</v>
      </c>
      <c r="F52" s="24" t="s">
        <v>1867</v>
      </c>
      <c r="G52" s="103" t="s">
        <v>1868</v>
      </c>
      <c r="H52" s="15" t="s">
        <v>1767</v>
      </c>
      <c r="I52" s="15" t="b">
        <v>1</v>
      </c>
      <c r="K52" s="15" t="b">
        <v>1</v>
      </c>
      <c r="L52" s="96" t="s">
        <v>1869</v>
      </c>
      <c r="M52" s="103" t="s">
        <v>1870</v>
      </c>
      <c r="O52" s="15" t="s">
        <v>336</v>
      </c>
      <c r="Y52" s="15" t="s">
        <v>1707</v>
      </c>
      <c r="Z52" s="104" t="s">
        <v>1728</v>
      </c>
      <c r="AA52" s="104" t="s">
        <v>2080</v>
      </c>
      <c r="AR52" s="28" t="b">
        <f t="shared" si="38"/>
        <v>1</v>
      </c>
      <c r="AS52" s="29" t="str">
        <f t="shared" si="39"/>
        <v>title: "St. Vincent De Paul Chapel"</v>
      </c>
      <c r="AT52" s="29" t="str">
        <f t="shared" si="40"/>
        <v>location: {lat: 48.8488573825124, lng: 2.32163111226356}</v>
      </c>
      <c r="AU52" s="29" t="str">
        <f t="shared" si="41"/>
        <v>level: regional</v>
      </c>
      <c r="AV52" s="29" t="str">
        <f>"- "&amp;VLOOKUP(B52,'(Ref) Countries'!A:C,3,)</f>
        <v>- france</v>
      </c>
      <c r="AW52" s="29" t="str">
        <f t="shared" si="42"/>
        <v>- paris</v>
      </c>
      <c r="AX52" s="29" t="str">
        <f t="shared" si="43"/>
        <v>- churches</v>
      </c>
      <c r="AY52" s="29" t="str">
        <f t="shared" si="44"/>
        <v/>
      </c>
      <c r="AZ52" s="29" t="str">
        <f t="shared" si="45"/>
        <v>- holy-persons</v>
      </c>
      <c r="BA52" s="29" t="str">
        <f t="shared" ref="BA52" si="153">IF(LEN(Y52)&gt;0,"- "&amp;Y52,"")</f>
        <v>- vincent-de-paul</v>
      </c>
      <c r="BB52" s="29" t="str">
        <f t="shared" ref="BB52" si="154">IF(LEN(Z52)&gt;0,"- "&amp;Z52,"")</f>
        <v>- jean-gabriel-perboyre</v>
      </c>
      <c r="BC52" s="29" t="str">
        <f t="shared" ref="BC52" si="155">IF(LEN(AA52)&gt;0,"- "&amp;AA52,"")</f>
        <v>- vincentians</v>
      </c>
      <c r="BD52" s="29" t="str">
        <f t="shared" ref="BD52" si="156">IF(LEN(AB52)&gt;0,"- "&amp;AB52,"")</f>
        <v/>
      </c>
      <c r="BE52" s="29" t="str">
        <f t="shared" ref="BE52" si="157">IF(LEN(AC52)&gt;0,"- "&amp;AC52,"")</f>
        <v/>
      </c>
      <c r="BF52" s="29" t="str">
        <f t="shared" ref="BF52" si="158">IF(LEN(AD52)&gt;0,"- "&amp;AD52,"")</f>
        <v/>
      </c>
      <c r="BG52" s="29" t="str">
        <f t="shared" ref="BG52" si="159">IF(LEN(AE52)&gt;0,"- "&amp;AE52,"")</f>
        <v/>
      </c>
      <c r="BH52" s="29" t="str">
        <f t="shared" ref="BH52" si="160">IF(LEN(AF52)&gt;0,"- "&amp;AF52,"")</f>
        <v/>
      </c>
      <c r="BI52" s="29" t="str">
        <f t="shared" ref="BI52" si="161">IF(LEN(AG52)&gt;0,"- "&amp;AG52,"")</f>
        <v/>
      </c>
      <c r="BJ52" s="29" t="str">
        <f t="shared" ref="BJ52" si="162">IF(LEN(AH52)&gt;0,"- "&amp;AH52,"")</f>
        <v/>
      </c>
      <c r="BK52" s="29" t="str">
        <f t="shared" ref="BK52" si="163">"tags:"&amp;CHAR(10)&amp;concatl(AV52:BJ52)</f>
        <v xml:space="preserve">tags:
- france_x000D_
- paris_x000D_
- churches_x000D_
- holy-persons_x000D_
- vincent-de-paul_x000D_
- jean-gabriel-perboyre_x000D_
- vincentians_x000D_
</v>
      </c>
      <c r="BL52" s="29" t="str">
        <f t="shared" si="46"/>
        <v/>
      </c>
      <c r="BM52" s="29" t="str">
        <f t="shared" si="47"/>
        <v/>
      </c>
      <c r="BN52" s="29" t="str">
        <f t="shared" si="48"/>
        <v/>
      </c>
      <c r="BO52" s="29" t="str">
        <f t="shared" si="49"/>
        <v/>
      </c>
      <c r="BP52" s="29" t="str">
        <f t="shared" ref="BP52" si="164">IF(LEN(BL52)&gt;0,"* "&amp;BL52&amp;CHAR(10),"")&amp;
IF(LEN(BM52)&gt;0,"* "&amp;BM52&amp;CHAR(10),"")&amp;
IF(LEN(BN52)&gt;0,"* "&amp;BN52&amp;CHAR(10),"")&amp;
IF(LEN(BO52)&gt;0,"* "&amp;BO52&amp;CHAR(10),"")</f>
        <v/>
      </c>
      <c r="BQ52" s="29" t="str">
        <f t="shared" si="50"/>
        <v/>
      </c>
      <c r="BR52" s="29" t="str">
        <f t="shared" si="51"/>
        <v/>
      </c>
      <c r="BS52" s="29" t="str">
        <f t="shared" si="52"/>
        <v/>
      </c>
      <c r="BT52" s="29" t="str">
        <f>IF(LEN(concat(BQ52:BS52))&gt;0,concat("| ",BQ52," | ",BR52," | ",BS52," |"),"")</f>
        <v/>
      </c>
      <c r="BU52" s="29" t="str">
        <f t="shared" si="53"/>
        <v/>
      </c>
      <c r="BV52" s="29" t="str">
        <f>IF(LEN(BP52&amp;BU52)&gt;0,concatll("#### More Information",BP52,BU52),"")</f>
        <v/>
      </c>
      <c r="BW52" s="29" t="str">
        <f>IF(LEN(M52)&gt;1,concatll("#### Author's Note",M52),"")</f>
        <v xml:space="preserve">#### Author's Note_x000D_
_x000D_
An incredibly beautiful sanctuary of prayer, just a short walk from the often crowded Miraculous Medal Chapel.
-JMM_x000D_
_x000D_
</v>
      </c>
      <c r="BX52" s="23" t="str">
        <f>IF(AR52,concatll(concatl("---",AS52:AU52,BK52,"---"),L52,BV52:BW52),"")</f>
        <v xml:space="preserve">---_x000D_
title: "St. Vincent De Paul Chapel"_x000D_
location: {lat: 48.8488573825124, lng: 2.32163111226356}_x000D_
level: regional_x000D_
tags:
- france_x000D_
- paris_x000D_
- churches_x000D_
- holy-persons_x000D_
- vincent-de-paul_x000D_
- jean-gabriel-perboyre_x000D_
- vincentians_x000D_
_x000D_
---_x000D_
_x000D_
_x000D_
Vincentian church housing the relics of Sts. Vincent de Paul and Jean-Gabriel Perboyre.  St. Vincent de Paul's heart is nearby at the more famous [Miraculous Medal Chapel](/places/fr-paris-chapel-of-our-lady-of-the-miraculous-medal)._x000D_
_x000D_
#### Author's Note_x000D_
_x000D_
An incredibly beautiful sanctuary of prayer, just a short walk from the often crowded Miraculous Medal Chapel.
-JMM_x000D_
_x000D_
_x000D_
_x000D_
</v>
      </c>
      <c r="BY52" s="31" t="str">
        <f>IF(AR52,VLOOKUP(B52,'(Ref) Countries'!A:B,2,)&amp;IF(LEN(C52)&gt;1,"-"&amp;LOWER(SUBSTITUTE(C52," ","-")),"")&amp;"-"&amp;LOWER(SUBSTITUTE(G52," ","-"))&amp;".md","")</f>
        <v>fr-paris-st-vincent-de-paul-chapel.md</v>
      </c>
      <c r="BZ52" s="29" t="str">
        <f>IF(LEN(Y52)&gt;1,VLOOKUP(Y52,'Tag List'!$A:$B,2,),"")</f>
        <v>St. Vincent de Paul</v>
      </c>
      <c r="CA52" s="29" t="str">
        <f>IF(LEN(Z52)&gt;1,VLOOKUP(Z52,'Tag List'!$A:$B,2,),"")</f>
        <v>St. Jean-Gabriel Perboyre</v>
      </c>
      <c r="CB52" s="29" t="str">
        <f>IF(LEN(AA52)&gt;1,VLOOKUP(AA52,'Tag List'!$A:$B,2,),"")</f>
        <v>Congregation of the Mission (Vincentians)</v>
      </c>
      <c r="CC52" s="29" t="str">
        <f>IF(LEN(Y52)&gt;1,GetTagPage(BZ52,Y52),"")</f>
        <v>[St. Vincent de Paul](/tags/vincent-de-paul)</v>
      </c>
      <c r="CD52" s="29" t="str">
        <f>IF(LEN(Z52)&gt;1,GetTagPage(CA52,Z52),"")</f>
        <v>[St. Jean-Gabriel Perboyre](/tags/jean-gabriel-perboyre)</v>
      </c>
      <c r="CE52" s="29" t="str">
        <f>IF(LEN(AA52)&gt;1,GetTagPage(CB52,AA52),"")</f>
        <v>[Congregation of the Mission (Vincentians)](/tags/vincentians)</v>
      </c>
      <c r="CF52" s="29" t="str">
        <f t="shared" ref="CF52" si="165">"|"&amp;IF(LEN(CC52)&gt;1," "&amp;CC52,"")&amp;IF(LEN(CD52)&gt;1,", "&amp;CD52,"")&amp;IF(LEN(CE52)&gt;1,", "&amp;CE52,"")&amp;" "</f>
        <v xml:space="preserve">| [St. Vincent de Paul](/tags/vincent-de-paul), [St. Jean-Gabriel Perboyre](/tags/jean-gabriel-perboyre), [Congregation of the Mission (Vincentians)](/tags/vincentians) </v>
      </c>
      <c r="CG52" s="29" t="str">
        <f t="shared" si="54"/>
        <v xml:space="preserve">| [](/places/fr-paris-st-vincent-de-paul-chapel) </v>
      </c>
      <c r="CH52" s="29" t="str">
        <f>"| "&amp;IF(AR52,GetTagPage(B52,VLOOKUP(B52,'(Ref) Countries'!A:C,3,)),B52)&amp; " "</f>
        <v xml:space="preserve">| [France](/tags/france) </v>
      </c>
      <c r="CI52" s="29" t="str">
        <f t="shared" si="55"/>
        <v xml:space="preserve">|  </v>
      </c>
      <c r="CJ52" s="29" t="str">
        <f t="shared" ref="CJ52" si="166">"|"&amp;IF(AR52," [Link](/places/"&amp;SUBSTITUTE(BY52,".md","")&amp;")","")&amp;" "</f>
        <v xml:space="preserve">| [Link](/places/fr-paris-st-vincent-de-paul-chapel) </v>
      </c>
      <c r="CK52" s="29" t="str">
        <f t="shared" ref="CK52" si="167">"
"&amp;CG52&amp;CH52&amp;CI52&amp;CJ52&amp;BL52&amp;BQ52&amp;BR52&amp;BS52&amp;CF52&amp;"|"</f>
        <v xml:space="preserve">
| [](/places/fr-paris-st-vincent-de-paul-chapel) | [France](/tags/france) |  | [Link](/places/fr-paris-st-vincent-de-paul-chapel) | [St. Vincent de Paul](/tags/vincent-de-paul), [St. Jean-Gabriel Perboyre](/tags/jean-gabriel-perboyre), [Congregation of the Mission (Vincentians)](/tags/vincentians) |</v>
      </c>
    </row>
    <row r="53" spans="1:89" ht="38.25" x14ac:dyDescent="0.25">
      <c r="A53" s="14" t="s">
        <v>1322</v>
      </c>
      <c r="B53" s="96" t="s">
        <v>11</v>
      </c>
      <c r="C53" s="104" t="s">
        <v>1877</v>
      </c>
      <c r="D53" s="15">
        <v>43.650784999999999</v>
      </c>
      <c r="E53" s="49">
        <v>13.047758</v>
      </c>
      <c r="F53" s="96" t="s">
        <v>1878</v>
      </c>
      <c r="G53" s="103" t="s">
        <v>1879</v>
      </c>
      <c r="H53" s="104" t="s">
        <v>1835</v>
      </c>
      <c r="I53" s="15" t="b">
        <v>1</v>
      </c>
      <c r="K53" s="15" t="b">
        <v>1</v>
      </c>
      <c r="L53" s="96" t="s">
        <v>1880</v>
      </c>
      <c r="M53" s="103"/>
      <c r="O53" s="15" t="s">
        <v>336</v>
      </c>
      <c r="Y53" s="104" t="s">
        <v>1760</v>
      </c>
      <c r="Z53" s="104"/>
      <c r="AR53" s="28" t="b">
        <f t="shared" si="38"/>
        <v>1</v>
      </c>
      <c r="AS53" s="29" t="str">
        <f t="shared" si="39"/>
        <v>title: "Church of St. Francis, Corinaldo"</v>
      </c>
      <c r="AT53" s="29" t="str">
        <f t="shared" si="40"/>
        <v>location: {lat: 43.650785, lng: 13.047758}</v>
      </c>
      <c r="AU53" s="29" t="str">
        <f t="shared" si="41"/>
        <v>level: local</v>
      </c>
      <c r="AV53" s="29" t="str">
        <f>"- "&amp;VLOOKUP(B53,'(Ref) Countries'!A:C,3,)</f>
        <v>- italy</v>
      </c>
      <c r="AW53" s="29" t="str">
        <f t="shared" si="42"/>
        <v>- corinaldo</v>
      </c>
      <c r="AX53" s="29" t="str">
        <f t="shared" si="43"/>
        <v>- churches</v>
      </c>
      <c r="AY53" s="29" t="str">
        <f t="shared" si="44"/>
        <v/>
      </c>
      <c r="AZ53" s="29" t="str">
        <f t="shared" si="45"/>
        <v>- holy-persons</v>
      </c>
      <c r="BA53" s="29" t="str">
        <f t="shared" ref="BA53" si="168">IF(LEN(Y53)&gt;0,"- "&amp;Y53,"")</f>
        <v>- maria-goretti</v>
      </c>
      <c r="BB53" s="29" t="str">
        <f t="shared" ref="BB53" si="169">IF(LEN(Z53)&gt;0,"- "&amp;Z53,"")</f>
        <v/>
      </c>
      <c r="BC53" s="29" t="str">
        <f t="shared" ref="BC53" si="170">IF(LEN(AA53)&gt;0,"- "&amp;AA53,"")</f>
        <v/>
      </c>
      <c r="BD53" s="29" t="str">
        <f t="shared" ref="BD53" si="171">IF(LEN(AB53)&gt;0,"- "&amp;AB53,"")</f>
        <v/>
      </c>
      <c r="BE53" s="29" t="str">
        <f t="shared" ref="BE53" si="172">IF(LEN(AC53)&gt;0,"- "&amp;AC53,"")</f>
        <v/>
      </c>
      <c r="BF53" s="29" t="str">
        <f t="shared" ref="BF53" si="173">IF(LEN(AD53)&gt;0,"- "&amp;AD53,"")</f>
        <v/>
      </c>
      <c r="BG53" s="29" t="str">
        <f t="shared" ref="BG53" si="174">IF(LEN(AE53)&gt;0,"- "&amp;AE53,"")</f>
        <v/>
      </c>
      <c r="BH53" s="29" t="str">
        <f t="shared" ref="BH53" si="175">IF(LEN(AF53)&gt;0,"- "&amp;AF53,"")</f>
        <v/>
      </c>
      <c r="BI53" s="29" t="str">
        <f t="shared" ref="BI53" si="176">IF(LEN(AG53)&gt;0,"- "&amp;AG53,"")</f>
        <v/>
      </c>
      <c r="BJ53" s="29" t="str">
        <f t="shared" ref="BJ53" si="177">IF(LEN(AH53)&gt;0,"- "&amp;AH53,"")</f>
        <v/>
      </c>
      <c r="BK53" s="29" t="str">
        <f t="shared" ref="BK53" si="178">"tags:"&amp;CHAR(10)&amp;concatl(AV53:BJ53)</f>
        <v xml:space="preserve">tags:
- italy_x000D_
- corinaldo_x000D_
- churches_x000D_
- holy-persons_x000D_
- maria-goretti_x000D_
</v>
      </c>
      <c r="BL53" s="29" t="str">
        <f t="shared" si="46"/>
        <v/>
      </c>
      <c r="BM53" s="29" t="str">
        <f t="shared" si="47"/>
        <v/>
      </c>
      <c r="BN53" s="29" t="str">
        <f t="shared" si="48"/>
        <v/>
      </c>
      <c r="BO53" s="29" t="str">
        <f t="shared" si="49"/>
        <v/>
      </c>
      <c r="BP53" s="29" t="str">
        <f t="shared" ref="BP53" si="179">IF(LEN(BL53)&gt;0,"* "&amp;BL53&amp;CHAR(10),"")&amp;
IF(LEN(BM53)&gt;0,"* "&amp;BM53&amp;CHAR(10),"")&amp;
IF(LEN(BN53)&gt;0,"* "&amp;BN53&amp;CHAR(10),"")&amp;
IF(LEN(BO53)&gt;0,"* "&amp;BO53&amp;CHAR(10),"")</f>
        <v/>
      </c>
      <c r="BQ53" s="29" t="str">
        <f t="shared" si="50"/>
        <v/>
      </c>
      <c r="BR53" s="29" t="str">
        <f t="shared" si="51"/>
        <v/>
      </c>
      <c r="BS53" s="29" t="str">
        <f t="shared" si="52"/>
        <v/>
      </c>
      <c r="BT53" s="29" t="str">
        <f>IF(LEN(concat(BQ53:BS53))&gt;0,concat("| ",BQ53," | ",BR53," | ",BS53," |"),"")</f>
        <v/>
      </c>
      <c r="BU53" s="29" t="str">
        <f t="shared" si="53"/>
        <v/>
      </c>
      <c r="BV53" s="29" t="str">
        <f>IF(LEN(BP53&amp;BU53)&gt;0,concatll("#### More Information",BP53,BU53),"")</f>
        <v/>
      </c>
      <c r="BW53" s="29" t="str">
        <f>IF(LEN(M53)&gt;1,concatll("#### Author's Note",M53),"")</f>
        <v/>
      </c>
      <c r="BX53" s="23" t="str">
        <f>IF(AR53,concatll(concatl("---",AS53:AU53,BK53,"---"),L53,BV53:BW53),"")</f>
        <v xml:space="preserve">---_x000D_
title: "Church of St. Francis, Corinaldo"_x000D_
location: {lat: 43.650785, lng: 13.047758}_x000D_
level: local_x000D_
tags:
- italy_x000D_
- corinaldo_x000D_
- churches_x000D_
- holy-persons_x000D_
- maria-goretti_x000D_
_x000D_
---_x000D_
_x000D_
_x000D_
This was the Gorettis' parish church when they lived in Corinaldo.  Here Luigi and Assunta Goretti were married and St. Maria Goretti baptized.  The font where she was baptized is still preserved in the church._x000D_
_x000D_
</v>
      </c>
      <c r="BY53" s="31" t="str">
        <f>IF(AR53,VLOOKUP(B53,'(Ref) Countries'!A:B,2,)&amp;IF(LEN(C53)&gt;1,"-"&amp;LOWER(SUBSTITUTE(C53," ","-")),"")&amp;"-"&amp;LOWER(SUBSTITUTE(G53," ","-"))&amp;".md","")</f>
        <v>it-corinaldo-church-of-st-francis.md</v>
      </c>
      <c r="BZ53" s="29" t="str">
        <f>IF(LEN(Y53)&gt;1,VLOOKUP(Y53,'Tag List'!$A:$B,2,),"")</f>
        <v>St. Maria Goretti</v>
      </c>
      <c r="CA53" s="29" t="str">
        <f>IF(LEN(Z53)&gt;1,VLOOKUP(Z53,'Tag List'!$A:$B,2,),"")</f>
        <v/>
      </c>
      <c r="CB53" s="29" t="str">
        <f>IF(LEN(AA53)&gt;1,VLOOKUP(AA53,'Tag List'!$A:$B,2,),"")</f>
        <v/>
      </c>
      <c r="CC53" s="29" t="str">
        <f>IF(LEN(Y53)&gt;1,GetTagPage(BZ53,Y53),"")</f>
        <v>[St. Maria Goretti](/tags/maria-goretti)</v>
      </c>
      <c r="CD53" s="29" t="str">
        <f>IF(LEN(Z53)&gt;1,GetTagPage(CA53,Z53),"")</f>
        <v/>
      </c>
      <c r="CE53" s="29" t="str">
        <f>IF(LEN(AA53)&gt;1,GetTagPage(CB53,AA53),"")</f>
        <v/>
      </c>
      <c r="CF53" s="29" t="str">
        <f t="shared" ref="CF53" si="180">"|"&amp;IF(LEN(CC53)&gt;1," "&amp;CC53,"")&amp;IF(LEN(CD53)&gt;1,", "&amp;CD53,"")&amp;IF(LEN(CE53)&gt;1,", "&amp;CE53,"")&amp;" "</f>
        <v xml:space="preserve">| [St. Maria Goretti](/tags/maria-goretti) </v>
      </c>
      <c r="CG53" s="29" t="str">
        <f t="shared" si="54"/>
        <v xml:space="preserve">| [](/places/it-corinaldo-church-of-st-francis) </v>
      </c>
      <c r="CH53" s="29" t="str">
        <f>"| "&amp;IF(AR53,GetTagPage(B53,VLOOKUP(B53,'(Ref) Countries'!A:C,3,)),B53)&amp; " "</f>
        <v xml:space="preserve">| [Italy](/tags/italy) </v>
      </c>
      <c r="CI53" s="29" t="str">
        <f t="shared" si="55"/>
        <v xml:space="preserve">|  </v>
      </c>
      <c r="CJ53" s="29" t="str">
        <f t="shared" ref="CJ53" si="181">"|"&amp;IF(AR53," [Link](/places/"&amp;SUBSTITUTE(BY53,".md","")&amp;")","")&amp;" "</f>
        <v xml:space="preserve">| [Link](/places/it-corinaldo-church-of-st-francis) </v>
      </c>
      <c r="CK53" s="29" t="str">
        <f t="shared" ref="CK53" si="182">"
"&amp;CG53&amp;CH53&amp;CI53&amp;CJ53&amp;BL53&amp;BQ53&amp;BR53&amp;BS53&amp;CF53&amp;"|"</f>
        <v xml:space="preserve">
| [](/places/it-corinaldo-church-of-st-francis) | [Italy](/tags/italy) |  | [Link](/places/it-corinaldo-church-of-st-francis) | [St. Maria Goretti](/tags/maria-goretti) |</v>
      </c>
    </row>
    <row r="54" spans="1:89" x14ac:dyDescent="0.25">
      <c r="A54" s="14" t="s">
        <v>1322</v>
      </c>
      <c r="B54" s="24" t="s">
        <v>11</v>
      </c>
      <c r="C54" s="15" t="s">
        <v>1877</v>
      </c>
      <c r="D54" s="15">
        <v>43.659849000000001</v>
      </c>
      <c r="E54" s="49">
        <v>13.051119999999999</v>
      </c>
      <c r="F54" s="24" t="s">
        <v>1881</v>
      </c>
      <c r="G54" s="103" t="s">
        <v>1882</v>
      </c>
      <c r="H54" s="104" t="s">
        <v>1835</v>
      </c>
      <c r="K54" s="15" t="b">
        <v>1</v>
      </c>
      <c r="L54" s="96" t="s">
        <v>1883</v>
      </c>
      <c r="O54" s="15" t="s">
        <v>336</v>
      </c>
      <c r="Y54" s="15" t="s">
        <v>1760</v>
      </c>
      <c r="AR54" s="28" t="b">
        <f t="shared" si="38"/>
        <v>1</v>
      </c>
      <c r="AS54" s="29" t="str">
        <f t="shared" ref="AS54:AS58" si="183">"title: """&amp;F54&amp;""""</f>
        <v>title: "Birthplace of St. Maria Goretti"</v>
      </c>
      <c r="AT54" s="29" t="str">
        <f t="shared" si="40"/>
        <v>location: {lat: 43.659849, lng: 13.05112}</v>
      </c>
      <c r="AU54" s="29" t="str">
        <f t="shared" ref="AU54:AU58" si="184">"level: "&amp;H54</f>
        <v>level: local</v>
      </c>
      <c r="AV54" s="29" t="str">
        <f>"- "&amp;VLOOKUP(B54,'(Ref) Countries'!A:C,3,)</f>
        <v>- italy</v>
      </c>
      <c r="AW54" s="29" t="str">
        <f t="shared" si="42"/>
        <v>- corinaldo</v>
      </c>
      <c r="AX54" s="29" t="str">
        <f t="shared" si="43"/>
        <v/>
      </c>
      <c r="AY54" s="29" t="str">
        <f t="shared" si="44"/>
        <v/>
      </c>
      <c r="AZ54" s="29" t="str">
        <f t="shared" si="45"/>
        <v>- holy-persons</v>
      </c>
      <c r="BA54" s="29" t="str">
        <f t="shared" ref="BA54:BA59" si="185">IF(LEN(Y54)&gt;0,"- "&amp;Y54,"")</f>
        <v>- maria-goretti</v>
      </c>
      <c r="BB54" s="29" t="str">
        <f t="shared" ref="BB54:BB59" si="186">IF(LEN(Z54)&gt;0,"- "&amp;Z54,"")</f>
        <v/>
      </c>
      <c r="BC54" s="29" t="str">
        <f t="shared" ref="BC54:BC59" si="187">IF(LEN(AA54)&gt;0,"- "&amp;AA54,"")</f>
        <v/>
      </c>
      <c r="BD54" s="29" t="str">
        <f t="shared" ref="BD54:BD59" si="188">IF(LEN(AB54)&gt;0,"- "&amp;AB54,"")</f>
        <v/>
      </c>
      <c r="BE54" s="29" t="str">
        <f t="shared" ref="BE54:BE59" si="189">IF(LEN(AC54)&gt;0,"- "&amp;AC54,"")</f>
        <v/>
      </c>
      <c r="BF54" s="29" t="str">
        <f t="shared" ref="BF54:BF59" si="190">IF(LEN(AD54)&gt;0,"- "&amp;AD54,"")</f>
        <v/>
      </c>
      <c r="BG54" s="29" t="str">
        <f t="shared" ref="BG54:BG59" si="191">IF(LEN(AE54)&gt;0,"- "&amp;AE54,"")</f>
        <v/>
      </c>
      <c r="BH54" s="29" t="str">
        <f t="shared" ref="BH54:BH59" si="192">IF(LEN(AF54)&gt;0,"- "&amp;AF54,"")</f>
        <v/>
      </c>
      <c r="BI54" s="29" t="str">
        <f t="shared" ref="BI54:BI59" si="193">IF(LEN(AG54)&gt;0,"- "&amp;AG54,"")</f>
        <v/>
      </c>
      <c r="BJ54" s="29" t="str">
        <f t="shared" ref="BJ54:BJ59" si="194">IF(LEN(AH54)&gt;0,"- "&amp;AH54,"")</f>
        <v/>
      </c>
      <c r="BK54" s="29" t="str">
        <f t="shared" ref="BK54:BK59" si="195">"tags:"&amp;CHAR(10)&amp;concatl(AV54:BJ54)</f>
        <v xml:space="preserve">tags:
- italy_x000D_
- corinaldo_x000D_
- holy-persons_x000D_
- maria-goretti_x000D_
</v>
      </c>
      <c r="BL54" s="29" t="str">
        <f t="shared" si="46"/>
        <v/>
      </c>
      <c r="BM54" s="29" t="str">
        <f t="shared" si="47"/>
        <v/>
      </c>
      <c r="BN54" s="29" t="str">
        <f t="shared" si="48"/>
        <v/>
      </c>
      <c r="BO54" s="29" t="str">
        <f t="shared" si="49"/>
        <v/>
      </c>
      <c r="BP54" s="29" t="str">
        <f t="shared" ref="BP54:BP59" si="196">IF(LEN(BL54)&gt;0,"* "&amp;BL54&amp;CHAR(10),"")&amp;
IF(LEN(BM54)&gt;0,"* "&amp;BM54&amp;CHAR(10),"")&amp;
IF(LEN(BN54)&gt;0,"* "&amp;BN54&amp;CHAR(10),"")&amp;
IF(LEN(BO54)&gt;0,"* "&amp;BO54&amp;CHAR(10),"")</f>
        <v/>
      </c>
      <c r="BQ54" s="29" t="str">
        <f t="shared" si="50"/>
        <v/>
      </c>
      <c r="BR54" s="29" t="str">
        <f t="shared" si="51"/>
        <v/>
      </c>
      <c r="BS54" s="29" t="str">
        <f t="shared" si="52"/>
        <v/>
      </c>
      <c r="BT54" s="29" t="str">
        <f>IF(LEN(concat(BQ54:BS54))&gt;0,concat("| ",BQ54," | ",BR54," | ",BS54," |"),"")</f>
        <v/>
      </c>
      <c r="BU54" s="29" t="str">
        <f t="shared" si="53"/>
        <v/>
      </c>
      <c r="BV54" s="29" t="str">
        <f>IF(LEN(BP54&amp;BU54)&gt;0,concatll("#### More Information",BP54,BU54),"")</f>
        <v/>
      </c>
      <c r="BW54" s="29" t="str">
        <f>IF(LEN(M54)&gt;1,concatll("#### Author's Note",M54),"")</f>
        <v/>
      </c>
      <c r="BX54" s="23" t="str">
        <f>IF(AR54,concatll(concatl("---",AS54:AU54,BK54,"---"),L54,BV54:BW54),"")</f>
        <v xml:space="preserve">---_x000D_
title: "Birthplace of St. Maria Goretti"_x000D_
location: {lat: 43.659849, lng: 13.05112}_x000D_
level: local_x000D_
tags:
- italy_x000D_
- corinaldo_x000D_
- holy-persons_x000D_
- maria-goretti_x000D_
_x000D_
---_x000D_
_x000D_
_x000D_
Here St. Maria Goretti was born on October 16, 1890._x000D_
_x000D_
</v>
      </c>
      <c r="BY54" s="31" t="str">
        <f>IF(AR54,VLOOKUP(B54,'(Ref) Countries'!A:B,2,)&amp;IF(LEN(C54)&gt;1,"-"&amp;LOWER(SUBSTITUTE(C54," ","-")),"")&amp;"-"&amp;LOWER(SUBSTITUTE(G54," ","-"))&amp;".md","")</f>
        <v>it-corinaldo-birthplace-of-st-maria-goretti.md</v>
      </c>
      <c r="BZ54" s="29" t="str">
        <f>IF(LEN(Y54)&gt;1,VLOOKUP(Y54,'Tag List'!$A:$B,2,),"")</f>
        <v>St. Maria Goretti</v>
      </c>
      <c r="CA54" s="29" t="str">
        <f>IF(LEN(Z54)&gt;1,VLOOKUP(Z54,'Tag List'!$A:$B,2,),"")</f>
        <v/>
      </c>
      <c r="CB54" s="29" t="str">
        <f>IF(LEN(AA54)&gt;1,VLOOKUP(AA54,'Tag List'!$A:$B,2,),"")</f>
        <v/>
      </c>
      <c r="CC54" s="29" t="str">
        <f>IF(LEN(Y54)&gt;1,GetTagPage(BZ54,Y54),"")</f>
        <v>[St. Maria Goretti](/tags/maria-goretti)</v>
      </c>
      <c r="CD54" s="29" t="str">
        <f>IF(LEN(Z54)&gt;1,GetTagPage(CA54,Z54),"")</f>
        <v/>
      </c>
      <c r="CE54" s="29" t="str">
        <f>IF(LEN(AA54)&gt;1,GetTagPage(CB54,AA54),"")</f>
        <v/>
      </c>
      <c r="CF54" s="29" t="str">
        <f t="shared" ref="CF54:CF59" si="197">"|"&amp;IF(LEN(CC54)&gt;1," "&amp;CC54,"")&amp;IF(LEN(CD54)&gt;1,", "&amp;CD54,"")&amp;IF(LEN(CE54)&gt;1,", "&amp;CE54,"")&amp;" "</f>
        <v xml:space="preserve">| [St. Maria Goretti](/tags/maria-goretti) </v>
      </c>
      <c r="CG54" s="29" t="str">
        <f t="shared" si="54"/>
        <v xml:space="preserve">| [](/places/it-corinaldo-birthplace-of-st-maria-goretti) </v>
      </c>
      <c r="CH54" s="29" t="str">
        <f>"| "&amp;IF(AR54,GetTagPage(B54,VLOOKUP(B54,'(Ref) Countries'!A:C,3,)),B54)&amp; " "</f>
        <v xml:space="preserve">| [Italy](/tags/italy) </v>
      </c>
      <c r="CI54" s="29" t="str">
        <f t="shared" si="55"/>
        <v xml:space="preserve">|  </v>
      </c>
      <c r="CJ54" s="29" t="str">
        <f t="shared" ref="CJ54:CJ59" si="198">"|"&amp;IF(AR54," [Link](/places/"&amp;SUBSTITUTE(BY54,".md","")&amp;")","")&amp;" "</f>
        <v xml:space="preserve">| [Link](/places/it-corinaldo-birthplace-of-st-maria-goretti) </v>
      </c>
      <c r="CK54" s="29" t="str">
        <f t="shared" ref="CK54:CK59" si="199">"
"&amp;CG54&amp;CH54&amp;CI54&amp;CJ54&amp;BL54&amp;BQ54&amp;BR54&amp;BS54&amp;CF54&amp;"|"</f>
        <v xml:space="preserve">
| [](/places/it-corinaldo-birthplace-of-st-maria-goretti) | [Italy](/tags/italy) |  | [Link](/places/it-corinaldo-birthplace-of-st-maria-goretti) | [St. Maria Goretti](/tags/maria-goretti) |</v>
      </c>
    </row>
    <row r="55" spans="1:89" ht="38.25" x14ac:dyDescent="0.25">
      <c r="A55" s="14" t="s">
        <v>1322</v>
      </c>
      <c r="B55" s="24" t="s">
        <v>11</v>
      </c>
      <c r="C55" s="15" t="s">
        <v>1877</v>
      </c>
      <c r="D55" s="15">
        <v>43.649306500000002</v>
      </c>
      <c r="E55" s="49">
        <v>13.0472097</v>
      </c>
      <c r="F55" s="96" t="s">
        <v>1886</v>
      </c>
      <c r="G55" s="103" t="s">
        <v>1884</v>
      </c>
      <c r="H55" s="104" t="s">
        <v>1767</v>
      </c>
      <c r="I55" s="15" t="b">
        <v>1</v>
      </c>
      <c r="K55" s="15" t="b">
        <v>1</v>
      </c>
      <c r="L55" s="96" t="s">
        <v>1887</v>
      </c>
      <c r="N55" s="15" t="s">
        <v>1885</v>
      </c>
      <c r="O55" s="15" t="s">
        <v>336</v>
      </c>
      <c r="Y55" s="15" t="s">
        <v>1760</v>
      </c>
      <c r="AR55" s="28" t="b">
        <f t="shared" si="38"/>
        <v>1</v>
      </c>
      <c r="AS55" s="29" t="str">
        <f t="shared" si="183"/>
        <v>title: "Diocesan Sanctuary of St. Maria Goretti"</v>
      </c>
      <c r="AT55" s="29" t="str">
        <f t="shared" si="40"/>
        <v>location: {lat: 43.6493065, lng: 13.0472097}</v>
      </c>
      <c r="AU55" s="29" t="str">
        <f t="shared" si="184"/>
        <v>level: regional</v>
      </c>
      <c r="AV55" s="29" t="str">
        <f>"- "&amp;VLOOKUP(B55,'(Ref) Countries'!A:C,3,)</f>
        <v>- italy</v>
      </c>
      <c r="AW55" s="29" t="str">
        <f t="shared" si="42"/>
        <v>- corinaldo</v>
      </c>
      <c r="AX55" s="29" t="str">
        <f t="shared" si="43"/>
        <v>- churches</v>
      </c>
      <c r="AY55" s="29" t="str">
        <f t="shared" si="44"/>
        <v/>
      </c>
      <c r="AZ55" s="29" t="str">
        <f t="shared" si="45"/>
        <v>- holy-persons</v>
      </c>
      <c r="BA55" s="29" t="str">
        <f t="shared" si="185"/>
        <v>- maria-goretti</v>
      </c>
      <c r="BB55" s="29" t="str">
        <f t="shared" si="186"/>
        <v/>
      </c>
      <c r="BC55" s="29" t="str">
        <f t="shared" si="187"/>
        <v/>
      </c>
      <c r="BD55" s="29" t="str">
        <f t="shared" si="188"/>
        <v/>
      </c>
      <c r="BE55" s="29" t="str">
        <f t="shared" si="189"/>
        <v/>
      </c>
      <c r="BF55" s="29" t="str">
        <f t="shared" si="190"/>
        <v/>
      </c>
      <c r="BG55" s="29" t="str">
        <f t="shared" si="191"/>
        <v/>
      </c>
      <c r="BH55" s="29" t="str">
        <f t="shared" si="192"/>
        <v/>
      </c>
      <c r="BI55" s="29" t="str">
        <f t="shared" si="193"/>
        <v/>
      </c>
      <c r="BJ55" s="29" t="str">
        <f t="shared" si="194"/>
        <v/>
      </c>
      <c r="BK55" s="29" t="str">
        <f t="shared" si="195"/>
        <v xml:space="preserve">tags:
- italy_x000D_
- corinaldo_x000D_
- churches_x000D_
- holy-persons_x000D_
- maria-goretti_x000D_
</v>
      </c>
      <c r="BL55" s="29" t="str">
        <f t="shared" si="46"/>
        <v>[Official site](https://www.santamariagoretti.it/home/)</v>
      </c>
      <c r="BM55" s="29" t="str">
        <f t="shared" si="47"/>
        <v/>
      </c>
      <c r="BN55" s="29" t="str">
        <f t="shared" si="48"/>
        <v/>
      </c>
      <c r="BO55" s="29" t="str">
        <f t="shared" si="49"/>
        <v/>
      </c>
      <c r="BP55" s="29" t="str">
        <f t="shared" si="196"/>
        <v xml:space="preserve">* [Official site](https://www.santamariagoretti.it/home/)
</v>
      </c>
      <c r="BQ55" s="29" t="str">
        <f t="shared" si="50"/>
        <v/>
      </c>
      <c r="BR55" s="29" t="str">
        <f t="shared" si="51"/>
        <v/>
      </c>
      <c r="BS55" s="29" t="str">
        <f t="shared" si="52"/>
        <v/>
      </c>
      <c r="BT55" s="29" t="str">
        <f>IF(LEN(concat(BQ55:BS55))&gt;0,concat("| ",BQ55," | ",BR55," | ",BS55," |"),"")</f>
        <v/>
      </c>
      <c r="BU55" s="29" t="str">
        <f t="shared" si="53"/>
        <v/>
      </c>
      <c r="BV55" s="29" t="str">
        <f>IF(LEN(BP55&amp;BU55)&gt;0,concatll("#### More Information",BP55,BU55),"")</f>
        <v xml:space="preserve">#### More Information_x000D_
_x000D_
* [Official site](https://www.santamariagoretti.it/home/)
_x000D_
_x000D_
</v>
      </c>
      <c r="BW55" s="29" t="str">
        <f>IF(LEN(M55)&gt;1,concatll("#### Author's Note",M55),"")</f>
        <v/>
      </c>
      <c r="BX55" s="23" t="str">
        <f>IF(AR55,concatll(concatl("---",AS55:AU55,BK55,"---"),L55,BV55:BW55),"")</f>
        <v xml:space="preserve">---_x000D_
title: "Diocesan Sanctuary of St. Maria Goretti"_x000D_
location: {lat: 43.6493065, lng: 13.0472097}_x000D_
level: regional_x000D_
tags:
- italy_x000D_
- corinaldo_x000D_
- churches_x000D_
- holy-persons_x000D_
- maria-goretti_x000D_
_x000D_
---_x000D_
_x000D_
_x000D_
This church is the final resting place for St. Maria Goretti's mother, Assunta, and her repentant murderer, Alessandro Serenelli.  There is also a relic of Maria's arm here._x000D_
_x000D_
#### More Information_x000D_
_x000D_
* [Official site](https://www.santamariagoretti.it/home/)
_x000D_
_x000D_
_x000D_
_x000D_
</v>
      </c>
      <c r="BY55" s="31" t="str">
        <f>IF(AR55,VLOOKUP(B55,'(Ref) Countries'!A:B,2,)&amp;IF(LEN(C55)&gt;1,"-"&amp;LOWER(SUBSTITUTE(C55," ","-")),"")&amp;"-"&amp;LOWER(SUBSTITUTE(G55," ","-"))&amp;".md","")</f>
        <v>it-corinaldo-sanctuary-of-st-maria-goretti.md</v>
      </c>
      <c r="BZ55" s="29" t="str">
        <f>IF(LEN(Y55)&gt;1,VLOOKUP(Y55,'Tag List'!$A:$B,2,),"")</f>
        <v>St. Maria Goretti</v>
      </c>
      <c r="CA55" s="29" t="str">
        <f>IF(LEN(Z55)&gt;1,VLOOKUP(Z55,'Tag List'!$A:$B,2,),"")</f>
        <v/>
      </c>
      <c r="CB55" s="29" t="str">
        <f>IF(LEN(AA55)&gt;1,VLOOKUP(AA55,'Tag List'!$A:$B,2,),"")</f>
        <v/>
      </c>
      <c r="CC55" s="29" t="str">
        <f>IF(LEN(Y55)&gt;1,GetTagPage(BZ55,Y55),"")</f>
        <v>[St. Maria Goretti](/tags/maria-goretti)</v>
      </c>
      <c r="CD55" s="29" t="str">
        <f>IF(LEN(Z55)&gt;1,GetTagPage(CA55,Z55),"")</f>
        <v/>
      </c>
      <c r="CE55" s="29" t="str">
        <f>IF(LEN(AA55)&gt;1,GetTagPage(CB55,AA55),"")</f>
        <v/>
      </c>
      <c r="CF55" s="29" t="str">
        <f t="shared" si="197"/>
        <v xml:space="preserve">| [St. Maria Goretti](/tags/maria-goretti) </v>
      </c>
      <c r="CG55" s="29" t="str">
        <f t="shared" si="54"/>
        <v xml:space="preserve">| [](/places/it-corinaldo-sanctuary-of-st-maria-goretti) </v>
      </c>
      <c r="CH55" s="29" t="str">
        <f>"| "&amp;IF(AR55,GetTagPage(B55,VLOOKUP(B55,'(Ref) Countries'!A:C,3,)),B55)&amp; " "</f>
        <v xml:space="preserve">| [Italy](/tags/italy) </v>
      </c>
      <c r="CI55" s="29" t="str">
        <f t="shared" si="55"/>
        <v xml:space="preserve">|  </v>
      </c>
      <c r="CJ55" s="29" t="str">
        <f t="shared" si="198"/>
        <v xml:space="preserve">| [Link](/places/it-corinaldo-sanctuary-of-st-maria-goretti) </v>
      </c>
      <c r="CK55" s="29" t="str">
        <f t="shared" si="199"/>
        <v xml:space="preserve">
| [](/places/it-corinaldo-sanctuary-of-st-maria-goretti) | [Italy](/tags/italy) |  | [Link](/places/it-corinaldo-sanctuary-of-st-maria-goretti) [Official site](https://www.santamariagoretti.it/home/)| [St. Maria Goretti](/tags/maria-goretti) |</v>
      </c>
    </row>
    <row r="56" spans="1:89" ht="38.25" x14ac:dyDescent="0.25">
      <c r="A56" s="14" t="s">
        <v>1322</v>
      </c>
      <c r="B56" s="96" t="s">
        <v>11</v>
      </c>
      <c r="C56" s="104" t="s">
        <v>1888</v>
      </c>
      <c r="D56" s="15">
        <v>41.516100799999997</v>
      </c>
      <c r="E56" s="49">
        <v>12.7567</v>
      </c>
      <c r="F56" s="96" t="s">
        <v>1889</v>
      </c>
      <c r="G56" s="53" t="s">
        <v>1889</v>
      </c>
      <c r="H56" s="104" t="s">
        <v>1767</v>
      </c>
      <c r="K56" s="15" t="b">
        <v>1</v>
      </c>
      <c r="L56" s="96" t="s">
        <v>1890</v>
      </c>
      <c r="O56" s="15" t="s">
        <v>336</v>
      </c>
      <c r="Y56" s="15" t="s">
        <v>1760</v>
      </c>
      <c r="AR56" s="28" t="b">
        <f t="shared" si="38"/>
        <v>1</v>
      </c>
      <c r="AS56" s="29" t="str">
        <f t="shared" si="183"/>
        <v>title: "Goretti House"</v>
      </c>
      <c r="AT56" s="29" t="str">
        <f t="shared" si="40"/>
        <v>location: {lat: 41.5161008, lng: 12.7567}</v>
      </c>
      <c r="AU56" s="29" t="str">
        <f t="shared" si="184"/>
        <v>level: regional</v>
      </c>
      <c r="AV56" s="29" t="str">
        <f>"- "&amp;VLOOKUP(B56,'(Ref) Countries'!A:C,3,)</f>
        <v>- italy</v>
      </c>
      <c r="AW56" s="29" t="str">
        <f t="shared" si="42"/>
        <v>- la-ferriere</v>
      </c>
      <c r="AX56" s="29" t="str">
        <f t="shared" si="43"/>
        <v/>
      </c>
      <c r="AY56" s="29" t="str">
        <f t="shared" si="44"/>
        <v/>
      </c>
      <c r="AZ56" s="29" t="str">
        <f t="shared" si="45"/>
        <v>- holy-persons</v>
      </c>
      <c r="BA56" s="29" t="str">
        <f t="shared" si="185"/>
        <v>- maria-goretti</v>
      </c>
      <c r="BB56" s="29" t="str">
        <f t="shared" si="186"/>
        <v/>
      </c>
      <c r="BC56" s="29" t="str">
        <f t="shared" si="187"/>
        <v/>
      </c>
      <c r="BD56" s="29" t="str">
        <f t="shared" si="188"/>
        <v/>
      </c>
      <c r="BE56" s="29" t="str">
        <f t="shared" si="189"/>
        <v/>
      </c>
      <c r="BF56" s="29" t="str">
        <f t="shared" si="190"/>
        <v/>
      </c>
      <c r="BG56" s="29" t="str">
        <f t="shared" si="191"/>
        <v/>
      </c>
      <c r="BH56" s="29" t="str">
        <f t="shared" si="192"/>
        <v/>
      </c>
      <c r="BI56" s="29" t="str">
        <f t="shared" si="193"/>
        <v/>
      </c>
      <c r="BJ56" s="29" t="str">
        <f t="shared" si="194"/>
        <v/>
      </c>
      <c r="BK56" s="29" t="str">
        <f t="shared" si="195"/>
        <v xml:space="preserve">tags:
- italy_x000D_
- la-ferriere_x000D_
- holy-persons_x000D_
- maria-goretti_x000D_
</v>
      </c>
      <c r="BL56" s="29" t="str">
        <f t="shared" si="46"/>
        <v/>
      </c>
      <c r="BM56" s="29" t="str">
        <f t="shared" si="47"/>
        <v/>
      </c>
      <c r="BN56" s="29" t="str">
        <f t="shared" si="48"/>
        <v/>
      </c>
      <c r="BO56" s="29" t="str">
        <f t="shared" si="49"/>
        <v/>
      </c>
      <c r="BP56" s="29" t="str">
        <f t="shared" si="196"/>
        <v/>
      </c>
      <c r="BQ56" s="29" t="str">
        <f t="shared" si="50"/>
        <v/>
      </c>
      <c r="BR56" s="29" t="str">
        <f t="shared" si="51"/>
        <v/>
      </c>
      <c r="BS56" s="29" t="str">
        <f t="shared" si="52"/>
        <v/>
      </c>
      <c r="BT56" s="29" t="str">
        <f>IF(LEN(concat(BQ56:BS56))&gt;0,concat("| ",BQ56," | ",BR56," | ",BS56," |"),"")</f>
        <v/>
      </c>
      <c r="BU56" s="29" t="str">
        <f t="shared" si="53"/>
        <v/>
      </c>
      <c r="BV56" s="29" t="str">
        <f>IF(LEN(BP56&amp;BU56)&gt;0,concatll("#### More Information",BP56,BU56),"")</f>
        <v/>
      </c>
      <c r="BW56" s="29" t="str">
        <f>IF(LEN(M56)&gt;1,concatll("#### Author's Note",M56),"")</f>
        <v/>
      </c>
      <c r="BX56" s="23" t="str">
        <f>IF(AR56,concatll(concatl("---",AS56:AU56,BK56,"---"),L56,BV56:BW56),"")</f>
        <v xml:space="preserve">---_x000D_
title: "Goretti House"_x000D_
location: {lat: 41.5161008, lng: 12.7567}_x000D_
level: regional_x000D_
tags:
- italy_x000D_
- la-ferriere_x000D_
- holy-persons_x000D_
- maria-goretti_x000D_
_x000D_
---_x000D_
_x000D_
_x000D_
Here St. Maria Goretti lived with her family and where she was martyred, stabbed by Alessandro Serenelli.  She died the next day in a hospital in Nettuno.  Today it is a museum._x000D_
_x000D_
</v>
      </c>
      <c r="BY56" s="31" t="str">
        <f>IF(AR56,VLOOKUP(B56,'(Ref) Countries'!A:B,2,)&amp;IF(LEN(C56)&gt;1,"-"&amp;LOWER(SUBSTITUTE(C56," ","-")),"")&amp;"-"&amp;LOWER(SUBSTITUTE(G56," ","-"))&amp;".md","")</f>
        <v>it-la-ferriere-goretti-house.md</v>
      </c>
      <c r="BZ56" s="29" t="str">
        <f>IF(LEN(Y56)&gt;1,VLOOKUP(Y56,'Tag List'!$A:$B,2,),"")</f>
        <v>St. Maria Goretti</v>
      </c>
      <c r="CA56" s="29" t="str">
        <f>IF(LEN(Z56)&gt;1,VLOOKUP(Z56,'Tag List'!$A:$B,2,),"")</f>
        <v/>
      </c>
      <c r="CB56" s="29" t="str">
        <f>IF(LEN(AA56)&gt;1,VLOOKUP(AA56,'Tag List'!$A:$B,2,),"")</f>
        <v/>
      </c>
      <c r="CC56" s="29" t="str">
        <f>IF(LEN(Y56)&gt;1,GetTagPage(BZ56,Y56),"")</f>
        <v>[St. Maria Goretti](/tags/maria-goretti)</v>
      </c>
      <c r="CD56" s="29" t="str">
        <f>IF(LEN(Z56)&gt;1,GetTagPage(CA56,Z56),"")</f>
        <v/>
      </c>
      <c r="CE56" s="29" t="str">
        <f>IF(LEN(AA56)&gt;1,GetTagPage(CB56,AA56),"")</f>
        <v/>
      </c>
      <c r="CF56" s="29" t="str">
        <f t="shared" si="197"/>
        <v xml:space="preserve">| [St. Maria Goretti](/tags/maria-goretti) </v>
      </c>
      <c r="CG56" s="29" t="str">
        <f t="shared" si="54"/>
        <v xml:space="preserve">| [](/places/it-la-ferriere-goretti-house) </v>
      </c>
      <c r="CH56" s="29" t="str">
        <f>"| "&amp;IF(AR56,GetTagPage(B56,VLOOKUP(B56,'(Ref) Countries'!A:C,3,)),B56)&amp; " "</f>
        <v xml:space="preserve">| [Italy](/tags/italy) </v>
      </c>
      <c r="CI56" s="29" t="str">
        <f t="shared" si="55"/>
        <v xml:space="preserve">|  </v>
      </c>
      <c r="CJ56" s="29" t="str">
        <f t="shared" si="198"/>
        <v xml:space="preserve">| [Link](/places/it-la-ferriere-goretti-house) </v>
      </c>
      <c r="CK56" s="29" t="str">
        <f t="shared" si="199"/>
        <v xml:space="preserve">
| [](/places/it-la-ferriere-goretti-house) | [Italy](/tags/italy) |  | [Link](/places/it-la-ferriere-goretti-house) | [St. Maria Goretti](/tags/maria-goretti) |</v>
      </c>
    </row>
    <row r="57" spans="1:89" x14ac:dyDescent="0.25">
      <c r="A57" s="14" t="s">
        <v>1322</v>
      </c>
      <c r="B57" s="96" t="s">
        <v>11</v>
      </c>
      <c r="C57" s="104" t="s">
        <v>1891</v>
      </c>
      <c r="D57" s="15">
        <v>41.457250000000002</v>
      </c>
      <c r="E57" s="49">
        <v>12.655849999999999</v>
      </c>
      <c r="F57" s="96" t="s">
        <v>1892</v>
      </c>
      <c r="G57" s="103" t="s">
        <v>1895</v>
      </c>
      <c r="H57" s="104" t="s">
        <v>1835</v>
      </c>
      <c r="K57" s="15" t="b">
        <v>1</v>
      </c>
      <c r="L57" s="24" t="s">
        <v>1896</v>
      </c>
      <c r="O57" s="15" t="s">
        <v>336</v>
      </c>
      <c r="Y57" s="15" t="s">
        <v>1760</v>
      </c>
      <c r="AR57" s="28" t="b">
        <f t="shared" si="38"/>
        <v>1</v>
      </c>
      <c r="AS57" s="29" t="str">
        <f t="shared" si="183"/>
        <v>title: "Statue of St. Maria Goretti"</v>
      </c>
      <c r="AT57" s="29" t="str">
        <f t="shared" si="40"/>
        <v>location: {lat: 41.45725, lng: 12.65585}</v>
      </c>
      <c r="AU57" s="29" t="str">
        <f t="shared" si="184"/>
        <v>level: local</v>
      </c>
      <c r="AV57" s="29" t="str">
        <f>"- "&amp;VLOOKUP(B57,'(Ref) Countries'!A:C,3,)</f>
        <v>- italy</v>
      </c>
      <c r="AW57" s="29" t="str">
        <f t="shared" si="42"/>
        <v>- nettuno</v>
      </c>
      <c r="AX57" s="29" t="str">
        <f t="shared" si="43"/>
        <v/>
      </c>
      <c r="AY57" s="29" t="str">
        <f t="shared" si="44"/>
        <v/>
      </c>
      <c r="AZ57" s="29" t="str">
        <f t="shared" si="45"/>
        <v>- holy-persons</v>
      </c>
      <c r="BA57" s="29" t="str">
        <f t="shared" si="185"/>
        <v>- maria-goretti</v>
      </c>
      <c r="BB57" s="29" t="str">
        <f t="shared" si="186"/>
        <v/>
      </c>
      <c r="BC57" s="29" t="str">
        <f t="shared" si="187"/>
        <v/>
      </c>
      <c r="BD57" s="29" t="str">
        <f t="shared" si="188"/>
        <v/>
      </c>
      <c r="BE57" s="29" t="str">
        <f t="shared" si="189"/>
        <v/>
      </c>
      <c r="BF57" s="29" t="str">
        <f t="shared" si="190"/>
        <v/>
      </c>
      <c r="BG57" s="29" t="str">
        <f t="shared" si="191"/>
        <v/>
      </c>
      <c r="BH57" s="29" t="str">
        <f t="shared" si="192"/>
        <v/>
      </c>
      <c r="BI57" s="29" t="str">
        <f t="shared" si="193"/>
        <v/>
      </c>
      <c r="BJ57" s="29" t="str">
        <f t="shared" si="194"/>
        <v/>
      </c>
      <c r="BK57" s="29" t="str">
        <f t="shared" si="195"/>
        <v xml:space="preserve">tags:
- italy_x000D_
- nettuno_x000D_
- holy-persons_x000D_
- maria-goretti_x000D_
</v>
      </c>
      <c r="BL57" s="29" t="str">
        <f t="shared" si="46"/>
        <v/>
      </c>
      <c r="BM57" s="29" t="str">
        <f t="shared" si="47"/>
        <v/>
      </c>
      <c r="BN57" s="29" t="str">
        <f t="shared" si="48"/>
        <v/>
      </c>
      <c r="BO57" s="29" t="str">
        <f t="shared" si="49"/>
        <v/>
      </c>
      <c r="BP57" s="29" t="str">
        <f t="shared" si="196"/>
        <v/>
      </c>
      <c r="BQ57" s="29" t="str">
        <f t="shared" si="50"/>
        <v/>
      </c>
      <c r="BR57" s="29" t="str">
        <f t="shared" si="51"/>
        <v/>
      </c>
      <c r="BS57" s="29" t="str">
        <f t="shared" si="52"/>
        <v/>
      </c>
      <c r="BT57" s="29" t="str">
        <f>IF(LEN(concat(BQ57:BS57))&gt;0,concat("| ",BQ57," | ",BR57," | ",BS57," |"),"")</f>
        <v/>
      </c>
      <c r="BU57" s="29" t="str">
        <f t="shared" si="53"/>
        <v/>
      </c>
      <c r="BV57" s="29" t="str">
        <f>IF(LEN(BP57&amp;BU57)&gt;0,concatll("#### More Information",BP57,BU57),"")</f>
        <v/>
      </c>
      <c r="BW57" s="29" t="str">
        <f>IF(LEN(M57)&gt;1,concatll("#### Author's Note",M57),"")</f>
        <v/>
      </c>
      <c r="BX57" s="23" t="str">
        <f>IF(AR57,concatll(concatl("---",AS57:AU57,BK57,"---"),L57,BV57:BW57),"")</f>
        <v xml:space="preserve">---_x000D_
title: "Statue of St. Maria Goretti"_x000D_
location: {lat: 41.45725, lng: 12.65585}_x000D_
level: local_x000D_
tags:
- italy_x000D_
- nettuno_x000D_
- holy-persons_x000D_
- maria-goretti_x000D_
_x000D_
---_x000D_
_x000D_
_x000D_
A statue of St. Maria Goretti in Nettuno, the town where she died._x000D_
_x000D_
</v>
      </c>
      <c r="BY57" s="31" t="str">
        <f>IF(AR57,VLOOKUP(B57,'(Ref) Countries'!A:B,2,)&amp;IF(LEN(C57)&gt;1,"-"&amp;LOWER(SUBSTITUTE(C57," ","-")),"")&amp;"-"&amp;LOWER(SUBSTITUTE(G57," ","-"))&amp;".md","")</f>
        <v>it-nettuno-statue-of-st-maria-goretti.md</v>
      </c>
      <c r="BZ57" s="29" t="str">
        <f>IF(LEN(Y57)&gt;1,VLOOKUP(Y57,'Tag List'!$A:$B,2,),"")</f>
        <v>St. Maria Goretti</v>
      </c>
      <c r="CA57" s="29" t="str">
        <f>IF(LEN(Z57)&gt;1,VLOOKUP(Z57,'Tag List'!$A:$B,2,),"")</f>
        <v/>
      </c>
      <c r="CB57" s="29" t="str">
        <f>IF(LEN(AA57)&gt;1,VLOOKUP(AA57,'Tag List'!$A:$B,2,),"")</f>
        <v/>
      </c>
      <c r="CC57" s="29" t="str">
        <f>IF(LEN(Y57)&gt;1,GetTagPage(BZ57,Y57),"")</f>
        <v>[St. Maria Goretti](/tags/maria-goretti)</v>
      </c>
      <c r="CD57" s="29" t="str">
        <f>IF(LEN(Z57)&gt;1,GetTagPage(CA57,Z57),"")</f>
        <v/>
      </c>
      <c r="CE57" s="29" t="str">
        <f>IF(LEN(AA57)&gt;1,GetTagPage(CB57,AA57),"")</f>
        <v/>
      </c>
      <c r="CF57" s="29" t="str">
        <f t="shared" si="197"/>
        <v xml:space="preserve">| [St. Maria Goretti](/tags/maria-goretti) </v>
      </c>
      <c r="CG57" s="29" t="str">
        <f t="shared" si="54"/>
        <v xml:space="preserve">| [](/places/it-nettuno-statue-of-st-maria-goretti) </v>
      </c>
      <c r="CH57" s="29" t="str">
        <f>"| "&amp;IF(AR57,GetTagPage(B57,VLOOKUP(B57,'(Ref) Countries'!A:C,3,)),B57)&amp; " "</f>
        <v xml:space="preserve">| [Italy](/tags/italy) </v>
      </c>
      <c r="CI57" s="29" t="str">
        <f t="shared" si="55"/>
        <v xml:space="preserve">|  </v>
      </c>
      <c r="CJ57" s="29" t="str">
        <f t="shared" si="198"/>
        <v xml:space="preserve">| [Link](/places/it-nettuno-statue-of-st-maria-goretti) </v>
      </c>
      <c r="CK57" s="29" t="str">
        <f t="shared" si="199"/>
        <v xml:space="preserve">
| [](/places/it-nettuno-statue-of-st-maria-goretti) | [Italy](/tags/italy) |  | [Link](/places/it-nettuno-statue-of-st-maria-goretti) | [St. Maria Goretti](/tags/maria-goretti) |</v>
      </c>
    </row>
    <row r="58" spans="1:89" ht="51" x14ac:dyDescent="0.25">
      <c r="A58" s="14" t="s">
        <v>1322</v>
      </c>
      <c r="B58" s="96" t="s">
        <v>11</v>
      </c>
      <c r="C58" s="104" t="s">
        <v>1891</v>
      </c>
      <c r="D58" s="15">
        <v>41.456946000000002</v>
      </c>
      <c r="E58" s="49">
        <v>12.649850000000001</v>
      </c>
      <c r="F58" s="96" t="s">
        <v>1913</v>
      </c>
      <c r="G58" s="103" t="s">
        <v>1897</v>
      </c>
      <c r="H58" s="15" t="s">
        <v>1835</v>
      </c>
      <c r="K58" s="15" t="b">
        <v>1</v>
      </c>
      <c r="L58" s="96" t="s">
        <v>1898</v>
      </c>
      <c r="O58" s="15" t="s">
        <v>336</v>
      </c>
      <c r="Y58" s="15" t="s">
        <v>1760</v>
      </c>
      <c r="AR58" s="28" t="b">
        <f t="shared" si="38"/>
        <v>1</v>
      </c>
      <c r="AS58" s="29" t="str">
        <f t="shared" si="183"/>
        <v>title: "St. Maria Goretti Tent of Pardon (Tenda del Perdono)"</v>
      </c>
      <c r="AT58" s="29" t="str">
        <f t="shared" si="40"/>
        <v>location: {lat: 41.456946, lng: 12.64985}</v>
      </c>
      <c r="AU58" s="29" t="str">
        <f t="shared" si="184"/>
        <v>level: local</v>
      </c>
      <c r="AV58" s="29" t="str">
        <f>"- "&amp;VLOOKUP(B58,'(Ref) Countries'!A:C,3,)</f>
        <v>- italy</v>
      </c>
      <c r="AW58" s="29" t="str">
        <f t="shared" si="42"/>
        <v>- nettuno</v>
      </c>
      <c r="AX58" s="29" t="str">
        <f t="shared" si="43"/>
        <v/>
      </c>
      <c r="AY58" s="29" t="str">
        <f t="shared" si="44"/>
        <v/>
      </c>
      <c r="AZ58" s="29" t="str">
        <f t="shared" si="45"/>
        <v>- holy-persons</v>
      </c>
      <c r="BA58" s="29" t="str">
        <f t="shared" si="185"/>
        <v>- maria-goretti</v>
      </c>
      <c r="BB58" s="29" t="str">
        <f t="shared" si="186"/>
        <v/>
      </c>
      <c r="BC58" s="29" t="str">
        <f t="shared" si="187"/>
        <v/>
      </c>
      <c r="BD58" s="29" t="str">
        <f t="shared" si="188"/>
        <v/>
      </c>
      <c r="BE58" s="29" t="str">
        <f t="shared" si="189"/>
        <v/>
      </c>
      <c r="BF58" s="29" t="str">
        <f t="shared" si="190"/>
        <v/>
      </c>
      <c r="BG58" s="29" t="str">
        <f t="shared" si="191"/>
        <v/>
      </c>
      <c r="BH58" s="29" t="str">
        <f t="shared" si="192"/>
        <v/>
      </c>
      <c r="BI58" s="29" t="str">
        <f t="shared" si="193"/>
        <v/>
      </c>
      <c r="BJ58" s="29" t="str">
        <f t="shared" si="194"/>
        <v/>
      </c>
      <c r="BK58" s="29" t="str">
        <f t="shared" si="195"/>
        <v xml:space="preserve">tags:
- italy_x000D_
- nettuno_x000D_
- holy-persons_x000D_
- maria-goretti_x000D_
</v>
      </c>
      <c r="BL58" s="29" t="str">
        <f t="shared" si="46"/>
        <v/>
      </c>
      <c r="BM58" s="29" t="str">
        <f t="shared" si="47"/>
        <v/>
      </c>
      <c r="BN58" s="29" t="str">
        <f t="shared" si="48"/>
        <v/>
      </c>
      <c r="BO58" s="29" t="str">
        <f t="shared" si="49"/>
        <v/>
      </c>
      <c r="BP58" s="29" t="str">
        <f t="shared" si="196"/>
        <v/>
      </c>
      <c r="BQ58" s="29" t="str">
        <f t="shared" si="50"/>
        <v/>
      </c>
      <c r="BR58" s="29" t="str">
        <f t="shared" si="51"/>
        <v/>
      </c>
      <c r="BS58" s="29" t="str">
        <f t="shared" si="52"/>
        <v/>
      </c>
      <c r="BT58" s="29" t="str">
        <f>IF(LEN(concat(BQ58:BS58))&gt;0,concat("| ",BQ58," | ",BR58," | ",BS58," |"),"")</f>
        <v/>
      </c>
      <c r="BU58" s="29" t="str">
        <f t="shared" si="53"/>
        <v/>
      </c>
      <c r="BV58" s="29" t="str">
        <f>IF(LEN(BP58&amp;BU58)&gt;0,concatll("#### More Information",BP58,BU58),"")</f>
        <v/>
      </c>
      <c r="BW58" s="29" t="str">
        <f>IF(LEN(M58)&gt;1,concatll("#### Author's Note",M58),"")</f>
        <v/>
      </c>
      <c r="BX58" s="23" t="str">
        <f>IF(AR58,concatll(concatl("---",AS58:AU58,BK58,"---"),L58,BV58:BW58),"")</f>
        <v xml:space="preserve">---_x000D_
title: "St. Maria Goretti Tent of Pardon (Tenda del Perdono)"_x000D_
location: {lat: 41.456946, lng: 12.64985}_x000D_
level: local_x000D_
tags:
- italy_x000D_
- nettuno_x000D_
- holy-persons_x000D_
- maria-goretti_x000D_
_x000D_
---_x000D_
_x000D_
_x000D_
The "Tent of Pardon" is the site where, [according to the National Catholic Register](https://www.ncregister.com/blog/in-the-footsteps-of-st-maria-goretti), St. Maria Goretti lay dying in Nettuno.  It was here that she forgave her murderer, and may also be the place of her death._x000D_
_x000D_
</v>
      </c>
      <c r="BY58" s="31" t="str">
        <f>IF(AR58,VLOOKUP(B58,'(Ref) Countries'!A:B,2,)&amp;IF(LEN(C58)&gt;1,"-"&amp;LOWER(SUBSTITUTE(C58," ","-")),"")&amp;"-"&amp;LOWER(SUBSTITUTE(G58," ","-"))&amp;".md","")</f>
        <v>it-nettuno-st-maria-goretti-tent-of-pardon.md</v>
      </c>
      <c r="BZ58" s="29" t="str">
        <f>IF(LEN(Y58)&gt;1,VLOOKUP(Y58,'Tag List'!$A:$B,2,),"")</f>
        <v>St. Maria Goretti</v>
      </c>
      <c r="CA58" s="29" t="str">
        <f>IF(LEN(Z58)&gt;1,VLOOKUP(Z58,'Tag List'!$A:$B,2,),"")</f>
        <v/>
      </c>
      <c r="CB58" s="29" t="str">
        <f>IF(LEN(AA58)&gt;1,VLOOKUP(AA58,'Tag List'!$A:$B,2,),"")</f>
        <v/>
      </c>
      <c r="CC58" s="29" t="str">
        <f>IF(LEN(Y58)&gt;1,GetTagPage(BZ58,Y58),"")</f>
        <v>[St. Maria Goretti](/tags/maria-goretti)</v>
      </c>
      <c r="CD58" s="29" t="str">
        <f>IF(LEN(Z58)&gt;1,GetTagPage(CA58,Z58),"")</f>
        <v/>
      </c>
      <c r="CE58" s="29" t="str">
        <f>IF(LEN(AA58)&gt;1,GetTagPage(CB58,AA58),"")</f>
        <v/>
      </c>
      <c r="CF58" s="29" t="str">
        <f t="shared" si="197"/>
        <v xml:space="preserve">| [St. Maria Goretti](/tags/maria-goretti) </v>
      </c>
      <c r="CG58" s="29" t="str">
        <f t="shared" si="54"/>
        <v xml:space="preserve">| [](/places/it-nettuno-st-maria-goretti-tent-of-pardon) </v>
      </c>
      <c r="CH58" s="29" t="str">
        <f>"| "&amp;IF(AR58,GetTagPage(B58,VLOOKUP(B58,'(Ref) Countries'!A:C,3,)),B58)&amp; " "</f>
        <v xml:space="preserve">| [Italy](/tags/italy) </v>
      </c>
      <c r="CI58" s="29" t="str">
        <f t="shared" si="55"/>
        <v xml:space="preserve">|  </v>
      </c>
      <c r="CJ58" s="29" t="str">
        <f t="shared" si="198"/>
        <v xml:space="preserve">| [Link](/places/it-nettuno-st-maria-goretti-tent-of-pardon) </v>
      </c>
      <c r="CK58" s="29" t="str">
        <f t="shared" si="199"/>
        <v xml:space="preserve">
| [](/places/it-nettuno-st-maria-goretti-tent-of-pardon) | [Italy](/tags/italy) |  | [Link](/places/it-nettuno-st-maria-goretti-tent-of-pardon) | [St. Maria Goretti](/tags/maria-goretti) |</v>
      </c>
    </row>
    <row r="59" spans="1:89" ht="38.25" x14ac:dyDescent="0.25">
      <c r="A59" s="14" t="s">
        <v>1322</v>
      </c>
      <c r="B59" s="24" t="s">
        <v>630</v>
      </c>
      <c r="C59" s="15" t="s">
        <v>1768</v>
      </c>
      <c r="D59" s="15">
        <v>19.422522000000001</v>
      </c>
      <c r="E59" s="49">
        <v>-99.160942700000007</v>
      </c>
      <c r="F59" s="24" t="s">
        <v>1900</v>
      </c>
      <c r="G59" s="103" t="s">
        <v>1901</v>
      </c>
      <c r="H59" s="104" t="s">
        <v>1767</v>
      </c>
      <c r="I59" s="15" t="b">
        <v>1</v>
      </c>
      <c r="K59" s="15" t="b">
        <v>1</v>
      </c>
      <c r="L59" s="96" t="s">
        <v>1902</v>
      </c>
      <c r="O59" s="15" t="s">
        <v>336</v>
      </c>
      <c r="Y59" s="104" t="s">
        <v>1903</v>
      </c>
      <c r="Z59" s="104" t="s">
        <v>2082</v>
      </c>
      <c r="AR59" s="28" t="b">
        <f t="shared" si="38"/>
        <v>1</v>
      </c>
      <c r="AS59" s="29" t="str">
        <f t="shared" ref="AS59:AS71" si="200">"title: """&amp;F59&amp;""""</f>
        <v>title: "Church of the Holy Family (La Sagrada Familia), Mexico City"</v>
      </c>
      <c r="AT59" s="29" t="str">
        <f t="shared" si="40"/>
        <v>location: {lat: 19.422522, lng: -99.1609427}</v>
      </c>
      <c r="AU59" s="29" t="str">
        <f t="shared" ref="AU59:AU71" si="201">"level: "&amp;H59</f>
        <v>level: regional</v>
      </c>
      <c r="AV59" s="29" t="str">
        <f>"- "&amp;VLOOKUP(B59,'(Ref) Countries'!A:C,3,)</f>
        <v>- mexico</v>
      </c>
      <c r="AW59" s="29" t="str">
        <f t="shared" si="42"/>
        <v>- mexico-city</v>
      </c>
      <c r="AX59" s="29" t="str">
        <f t="shared" si="43"/>
        <v>- churches</v>
      </c>
      <c r="AY59" s="29" t="str">
        <f t="shared" si="44"/>
        <v/>
      </c>
      <c r="AZ59" s="29" t="str">
        <f t="shared" si="45"/>
        <v>- holy-persons</v>
      </c>
      <c r="BA59" s="29" t="str">
        <f t="shared" si="185"/>
        <v>- miguel-pro</v>
      </c>
      <c r="BB59" s="29" t="str">
        <f t="shared" si="186"/>
        <v>- jesuits</v>
      </c>
      <c r="BC59" s="29" t="str">
        <f t="shared" si="187"/>
        <v/>
      </c>
      <c r="BD59" s="29" t="str">
        <f t="shared" si="188"/>
        <v/>
      </c>
      <c r="BE59" s="29" t="str">
        <f t="shared" si="189"/>
        <v/>
      </c>
      <c r="BF59" s="29" t="str">
        <f t="shared" si="190"/>
        <v/>
      </c>
      <c r="BG59" s="29" t="str">
        <f t="shared" si="191"/>
        <v/>
      </c>
      <c r="BH59" s="29" t="str">
        <f t="shared" si="192"/>
        <v/>
      </c>
      <c r="BI59" s="29" t="str">
        <f t="shared" si="193"/>
        <v/>
      </c>
      <c r="BJ59" s="29" t="str">
        <f t="shared" si="194"/>
        <v/>
      </c>
      <c r="BK59" s="29" t="str">
        <f t="shared" si="195"/>
        <v xml:space="preserve">tags:
- mexico_x000D_
- mexico-city_x000D_
- churches_x000D_
- holy-persons_x000D_
- miguel-pro_x000D_
- jesuits_x000D_
</v>
      </c>
      <c r="BL59" s="29" t="str">
        <f t="shared" si="46"/>
        <v/>
      </c>
      <c r="BM59" s="29" t="str">
        <f t="shared" si="47"/>
        <v/>
      </c>
      <c r="BN59" s="29" t="str">
        <f t="shared" si="48"/>
        <v/>
      </c>
      <c r="BO59" s="29" t="str">
        <f t="shared" si="49"/>
        <v/>
      </c>
      <c r="BP59" s="29" t="str">
        <f t="shared" si="196"/>
        <v/>
      </c>
      <c r="BQ59" s="29" t="str">
        <f t="shared" si="50"/>
        <v/>
      </c>
      <c r="BR59" s="29" t="str">
        <f t="shared" si="51"/>
        <v/>
      </c>
      <c r="BS59" s="29" t="str">
        <f t="shared" si="52"/>
        <v/>
      </c>
      <c r="BT59" s="29" t="str">
        <f>IF(LEN(concat(BQ59:BS59))&gt;0,concat("| ",BQ59," | ",BR59," | ",BS59," |"),"")</f>
        <v/>
      </c>
      <c r="BU59" s="29" t="str">
        <f t="shared" si="53"/>
        <v/>
      </c>
      <c r="BV59" s="29" t="str">
        <f>IF(LEN(BP59&amp;BU59)&gt;0,concatll("#### More Information",BP59,BU59),"")</f>
        <v/>
      </c>
      <c r="BW59" s="29" t="str">
        <f>IF(LEN(M59)&gt;1,concatll("#### Author's Note",M59),"")</f>
        <v/>
      </c>
      <c r="BX59" s="23" t="str">
        <f>IF(AR59,concatll(concatl("---",AS59:AU59,BK59,"---"),L59,BV59:BW59),"")</f>
        <v xml:space="preserve">---_x000D_
title: "Church of the Holy Family (La Sagrada Familia), Mexico City"_x000D_
location: {lat: 19.422522, lng: -99.1609427}_x000D_
level: regional_x000D_
tags:
- mexico_x000D_
- mexico-city_x000D_
- churches_x000D_
- holy-persons_x000D_
- miguel-pro_x000D_
- jesuits_x000D_
_x000D_
---_x000D_
_x000D_
_x000D_
This church, aside from being incredibly beautiful, is where Bl. Miguel Pro's remains are kept, to the right of the main altar.  His funeral procession passed in front of this church, though we are not sure if he had a funeral here._x000D_
_x000D_
</v>
      </c>
      <c r="BY59" s="31" t="str">
        <f>IF(AR59,VLOOKUP(B59,'(Ref) Countries'!A:B,2,)&amp;IF(LEN(C59)&gt;1,"-"&amp;LOWER(SUBSTITUTE(C59," ","-")),"")&amp;"-"&amp;LOWER(SUBSTITUTE(G59," ","-"))&amp;".md","")</f>
        <v>mx-mexico-city-la-sagrada-familia.md</v>
      </c>
      <c r="BZ59" s="29" t="str">
        <f>IF(LEN(Y59)&gt;1,VLOOKUP(Y59,'Tag List'!$A:$B,2,),"")</f>
        <v>Bl. Miguel Pro, SJ</v>
      </c>
      <c r="CA59" s="29" t="str">
        <f>IF(LEN(Z59)&gt;1,VLOOKUP(Z59,'Tag List'!$A:$B,2,),"")</f>
        <v>Society of Jesus (Jesuits)</v>
      </c>
      <c r="CB59" s="29" t="str">
        <f>IF(LEN(AA59)&gt;1,VLOOKUP(AA59,'Tag List'!$A:$B,2,),"")</f>
        <v/>
      </c>
      <c r="CC59" s="29" t="str">
        <f>IF(LEN(Y59)&gt;1,GetTagPage(BZ59,Y59),"")</f>
        <v>[Bl. Miguel Pro, SJ](/tags/miguel-pro)</v>
      </c>
      <c r="CD59" s="29" t="str">
        <f>IF(LEN(Z59)&gt;1,GetTagPage(CA59,Z59),"")</f>
        <v>[Society of Jesus (Jesuits)](/tags/jesuits)</v>
      </c>
      <c r="CE59" s="29" t="str">
        <f>IF(LEN(AA59)&gt;1,GetTagPage(CB59,AA59),"")</f>
        <v/>
      </c>
      <c r="CF59" s="29" t="str">
        <f t="shared" si="197"/>
        <v xml:space="preserve">| [Bl. Miguel Pro, SJ](/tags/miguel-pro), [Society of Jesus (Jesuits)](/tags/jesuits) </v>
      </c>
      <c r="CG59" s="29" t="str">
        <f t="shared" si="54"/>
        <v xml:space="preserve">| [](/places/mx-mexico-city-la-sagrada-familia) </v>
      </c>
      <c r="CH59" s="29" t="str">
        <f>"| "&amp;IF(AR59,GetTagPage(B59,VLOOKUP(B59,'(Ref) Countries'!A:C,3,)),B59)&amp; " "</f>
        <v xml:space="preserve">| [Mexico](/tags/mexico) </v>
      </c>
      <c r="CI59" s="29" t="str">
        <f t="shared" si="55"/>
        <v xml:space="preserve">|  </v>
      </c>
      <c r="CJ59" s="29" t="str">
        <f t="shared" si="198"/>
        <v xml:space="preserve">| [Link](/places/mx-mexico-city-la-sagrada-familia) </v>
      </c>
      <c r="CK59" s="29" t="str">
        <f t="shared" si="199"/>
        <v xml:space="preserve">
| [](/places/mx-mexico-city-la-sagrada-familia) | [Mexico](/tags/mexico) |  | [Link](/places/mx-mexico-city-la-sagrada-familia) | [Bl. Miguel Pro, SJ](/tags/miguel-pro), [Society of Jesus (Jesuits)](/tags/jesuits) |</v>
      </c>
    </row>
    <row r="60" spans="1:89" ht="76.5" x14ac:dyDescent="0.25">
      <c r="A60" s="14" t="s">
        <v>1322</v>
      </c>
      <c r="B60" s="24" t="s">
        <v>630</v>
      </c>
      <c r="C60" s="15" t="s">
        <v>1768</v>
      </c>
      <c r="D60" s="15">
        <v>19.436178000000002</v>
      </c>
      <c r="E60" s="49">
        <v>-99.150290999999996</v>
      </c>
      <c r="F60" s="96" t="s">
        <v>1908</v>
      </c>
      <c r="G60" s="103" t="s">
        <v>1905</v>
      </c>
      <c r="H60" s="104" t="s">
        <v>1767</v>
      </c>
      <c r="K60" s="15" t="b">
        <v>1</v>
      </c>
      <c r="L60" s="96" t="s">
        <v>1906</v>
      </c>
      <c r="M60" s="103" t="s">
        <v>1907</v>
      </c>
      <c r="O60" s="15" t="s">
        <v>336</v>
      </c>
      <c r="Y60" s="15" t="s">
        <v>1903</v>
      </c>
      <c r="Z60" s="15" t="s">
        <v>2082</v>
      </c>
      <c r="AR60" s="28" t="b">
        <f t="shared" si="38"/>
        <v>1</v>
      </c>
      <c r="AS60" s="29" t="str">
        <f t="shared" si="200"/>
        <v>title: "Site of Bl. Miguel Pro's Martyrdom"</v>
      </c>
      <c r="AT60" s="29" t="str">
        <f t="shared" si="40"/>
        <v>location: {lat: 19.436178, lng: -99.150291}</v>
      </c>
      <c r="AU60" s="29" t="str">
        <f t="shared" si="201"/>
        <v>level: regional</v>
      </c>
      <c r="AV60" s="29" t="str">
        <f>"- "&amp;VLOOKUP(B60,'(Ref) Countries'!A:C,3,)</f>
        <v>- mexico</v>
      </c>
      <c r="AW60" s="29" t="str">
        <f t="shared" si="42"/>
        <v>- mexico-city</v>
      </c>
      <c r="AX60" s="29" t="str">
        <f t="shared" si="43"/>
        <v/>
      </c>
      <c r="AY60" s="29" t="str">
        <f t="shared" si="44"/>
        <v/>
      </c>
      <c r="AZ60" s="29" t="str">
        <f t="shared" si="45"/>
        <v>- holy-persons</v>
      </c>
      <c r="BA60" s="29" t="str">
        <f t="shared" ref="BA60" si="202">IF(LEN(Y60)&gt;0,"- "&amp;Y60,"")</f>
        <v>- miguel-pro</v>
      </c>
      <c r="BB60" s="29" t="str">
        <f t="shared" ref="BB60" si="203">IF(LEN(Z60)&gt;0,"- "&amp;Z60,"")</f>
        <v>- jesuits</v>
      </c>
      <c r="BC60" s="29" t="str">
        <f t="shared" ref="BC60" si="204">IF(LEN(AA60)&gt;0,"- "&amp;AA60,"")</f>
        <v/>
      </c>
      <c r="BD60" s="29" t="str">
        <f t="shared" ref="BD60" si="205">IF(LEN(AB60)&gt;0,"- "&amp;AB60,"")</f>
        <v/>
      </c>
      <c r="BE60" s="29" t="str">
        <f t="shared" ref="BE60" si="206">IF(LEN(AC60)&gt;0,"- "&amp;AC60,"")</f>
        <v/>
      </c>
      <c r="BF60" s="29" t="str">
        <f t="shared" ref="BF60" si="207">IF(LEN(AD60)&gt;0,"- "&amp;AD60,"")</f>
        <v/>
      </c>
      <c r="BG60" s="29" t="str">
        <f t="shared" ref="BG60" si="208">IF(LEN(AE60)&gt;0,"- "&amp;AE60,"")</f>
        <v/>
      </c>
      <c r="BH60" s="29" t="str">
        <f t="shared" ref="BH60" si="209">IF(LEN(AF60)&gt;0,"- "&amp;AF60,"")</f>
        <v/>
      </c>
      <c r="BI60" s="29" t="str">
        <f t="shared" ref="BI60" si="210">IF(LEN(AG60)&gt;0,"- "&amp;AG60,"")</f>
        <v/>
      </c>
      <c r="BJ60" s="29" t="str">
        <f t="shared" ref="BJ60" si="211">IF(LEN(AH60)&gt;0,"- "&amp;AH60,"")</f>
        <v/>
      </c>
      <c r="BK60" s="29" t="str">
        <f t="shared" ref="BK60" si="212">"tags:"&amp;CHAR(10)&amp;concatl(AV60:BJ60)</f>
        <v xml:space="preserve">tags:
- mexico_x000D_
- mexico-city_x000D_
- holy-persons_x000D_
- miguel-pro_x000D_
- jesuits_x000D_
</v>
      </c>
      <c r="BL60" s="29" t="str">
        <f t="shared" si="46"/>
        <v/>
      </c>
      <c r="BM60" s="29" t="str">
        <f t="shared" si="47"/>
        <v/>
      </c>
      <c r="BN60" s="29" t="str">
        <f t="shared" si="48"/>
        <v/>
      </c>
      <c r="BO60" s="29" t="str">
        <f t="shared" si="49"/>
        <v/>
      </c>
      <c r="BP60" s="29" t="str">
        <f t="shared" ref="BP60" si="213">IF(LEN(BL60)&gt;0,"* "&amp;BL60&amp;CHAR(10),"")&amp;
IF(LEN(BM60)&gt;0,"* "&amp;BM60&amp;CHAR(10),"")&amp;
IF(LEN(BN60)&gt;0,"* "&amp;BN60&amp;CHAR(10),"")&amp;
IF(LEN(BO60)&gt;0,"* "&amp;BO60&amp;CHAR(10),"")</f>
        <v/>
      </c>
      <c r="BQ60" s="29" t="str">
        <f t="shared" si="50"/>
        <v/>
      </c>
      <c r="BR60" s="29" t="str">
        <f t="shared" si="51"/>
        <v/>
      </c>
      <c r="BS60" s="29" t="str">
        <f t="shared" si="52"/>
        <v/>
      </c>
      <c r="BT60" s="29" t="str">
        <f>IF(LEN(concat(BQ60:BS60))&gt;0,concat("| ",BQ60," | ",BR60," | ",BS60," |"),"")</f>
        <v/>
      </c>
      <c r="BU60" s="29" t="str">
        <f t="shared" si="53"/>
        <v/>
      </c>
      <c r="BV60" s="29" t="str">
        <f>IF(LEN(BP60&amp;BU60)&gt;0,concatll("#### More Information",BP60,BU60),"")</f>
        <v/>
      </c>
      <c r="BW60" s="29" t="str">
        <f>IF(LEN(M60)&gt;1,concatll("#### Author's Note",M60),"")</f>
        <v xml:space="preserve">#### Author's Note_x000D_
_x000D_
Across the street, a bit above head level, is a commemerative plaque on the restaurant.  The restaurant is owned by a Catholic family who provide information on Bl. Miguel Pro.
-JPY_x000D_
_x000D_
</v>
      </c>
      <c r="BX60" s="23" t="str">
        <f>IF(AR60,concatll(concatl("---",AS60:AU60,BK60,"---"),L60,BV60:BW60),"")</f>
        <v xml:space="preserve">---_x000D_
title: "Site of Bl. Miguel Pro's Martyrdom"_x000D_
location: {lat: 19.436178, lng: -99.150291}_x000D_
level: regional_x000D_
tags:
- mexico_x000D_
- mexico-city_x000D_
- holy-persons_x000D_
- miguel-pro_x000D_
- jesuits_x000D_
_x000D_
---_x000D_
_x000D_
_x000D_
At this site, where an outdoor short stairway stands on the lottery building, is the site where Bl. Miguel Pro was martyred by firing squad.  These buildings were all built since that time._x000D_
_x000D_
#### Author's Note_x000D_
_x000D_
Across the street, a bit above head level, is a commemerative plaque on the restaurant.  The restaurant is owned by a Catholic family who provide information on Bl. Miguel Pro.
-JPY_x000D_
_x000D_
_x000D_
_x000D_
</v>
      </c>
      <c r="BY60" s="31" t="str">
        <f>IF(AR60,VLOOKUP(B60,'(Ref) Countries'!A:B,2,)&amp;IF(LEN(C60)&gt;1,"-"&amp;LOWER(SUBSTITUTE(C60," ","-")),"")&amp;"-"&amp;LOWER(SUBSTITUTE(G60," ","-"))&amp;".md","")</f>
        <v>mx-mexico-city-miguel-pro-martyrdom-site.md</v>
      </c>
      <c r="BZ60" s="29" t="str">
        <f>IF(LEN(Y60)&gt;1,VLOOKUP(Y60,'Tag List'!$A:$B,2,),"")</f>
        <v>Bl. Miguel Pro, SJ</v>
      </c>
      <c r="CA60" s="29" t="str">
        <f>IF(LEN(Z60)&gt;1,VLOOKUP(Z60,'Tag List'!$A:$B,2,),"")</f>
        <v>Society of Jesus (Jesuits)</v>
      </c>
      <c r="CB60" s="29" t="str">
        <f>IF(LEN(AA60)&gt;1,VLOOKUP(AA60,'Tag List'!$A:$B,2,),"")</f>
        <v/>
      </c>
      <c r="CC60" s="29" t="str">
        <f>IF(LEN(Y60)&gt;1,GetTagPage(BZ60,Y60),"")</f>
        <v>[Bl. Miguel Pro, SJ](/tags/miguel-pro)</v>
      </c>
      <c r="CD60" s="29" t="str">
        <f>IF(LEN(Z60)&gt;1,GetTagPage(CA60,Z60),"")</f>
        <v>[Society of Jesus (Jesuits)](/tags/jesuits)</v>
      </c>
      <c r="CE60" s="29" t="str">
        <f>IF(LEN(AA60)&gt;1,GetTagPage(CB60,AA60),"")</f>
        <v/>
      </c>
      <c r="CF60" s="29" t="str">
        <f t="shared" ref="CF60" si="214">"|"&amp;IF(LEN(CC60)&gt;1," "&amp;CC60,"")&amp;IF(LEN(CD60)&gt;1,", "&amp;CD60,"")&amp;IF(LEN(CE60)&gt;1,", "&amp;CE60,"")&amp;" "</f>
        <v xml:space="preserve">| [Bl. Miguel Pro, SJ](/tags/miguel-pro), [Society of Jesus (Jesuits)](/tags/jesuits) </v>
      </c>
      <c r="CG60" s="29" t="str">
        <f t="shared" si="54"/>
        <v xml:space="preserve">| [](/places/mx-mexico-city-miguel-pro-martyrdom-site) </v>
      </c>
      <c r="CH60" s="29" t="str">
        <f>"| "&amp;IF(AR60,GetTagPage(B60,VLOOKUP(B60,'(Ref) Countries'!A:C,3,)),B60)&amp; " "</f>
        <v xml:space="preserve">| [Mexico](/tags/mexico) </v>
      </c>
      <c r="CI60" s="29" t="str">
        <f t="shared" si="55"/>
        <v xml:space="preserve">|  </v>
      </c>
      <c r="CJ60" s="29" t="str">
        <f t="shared" ref="CJ60" si="215">"|"&amp;IF(AR60," [Link](/places/"&amp;SUBSTITUTE(BY60,".md","")&amp;")","")&amp;" "</f>
        <v xml:space="preserve">| [Link](/places/mx-mexico-city-miguel-pro-martyrdom-site) </v>
      </c>
      <c r="CK60" s="29" t="str">
        <f t="shared" ref="CK60" si="216">"
"&amp;CG60&amp;CH60&amp;CI60&amp;CJ60&amp;BL60&amp;BQ60&amp;BR60&amp;BS60&amp;CF60&amp;"|"</f>
        <v xml:space="preserve">
| [](/places/mx-mexico-city-miguel-pro-martyrdom-site) | [Mexico](/tags/mexico) |  | [Link](/places/mx-mexico-city-miguel-pro-martyrdom-site) | [Bl. Miguel Pro, SJ](/tags/miguel-pro), [Society of Jesus (Jesuits)](/tags/jesuits) |</v>
      </c>
    </row>
    <row r="61" spans="1:89" ht="76.5" x14ac:dyDescent="0.25">
      <c r="A61" s="14" t="s">
        <v>1322</v>
      </c>
      <c r="B61" s="24" t="s">
        <v>630</v>
      </c>
      <c r="C61" s="15" t="s">
        <v>1768</v>
      </c>
      <c r="D61" s="15">
        <v>19.4224</v>
      </c>
      <c r="E61" s="49">
        <v>-99.16095</v>
      </c>
      <c r="F61" s="96" t="s">
        <v>1909</v>
      </c>
      <c r="G61" s="103" t="s">
        <v>1910</v>
      </c>
      <c r="H61" s="15" t="s">
        <v>1767</v>
      </c>
      <c r="K61" s="15" t="b">
        <v>1</v>
      </c>
      <c r="L61" s="96" t="s">
        <v>1911</v>
      </c>
      <c r="M61" s="103" t="s">
        <v>1912</v>
      </c>
      <c r="O61" s="15" t="s">
        <v>336</v>
      </c>
      <c r="Y61" s="15" t="s">
        <v>1903</v>
      </c>
      <c r="Z61" s="15" t="s">
        <v>2082</v>
      </c>
      <c r="AR61" s="28" t="b">
        <f t="shared" si="38"/>
        <v>1</v>
      </c>
      <c r="AS61" s="29" t="str">
        <f t="shared" si="200"/>
        <v>title: "Museum of Bl. Miguel Agustin Pro"</v>
      </c>
      <c r="AT61" s="29" t="str">
        <f t="shared" si="40"/>
        <v>location: {lat: 19.4224, lng: -99.16095}</v>
      </c>
      <c r="AU61" s="29" t="str">
        <f t="shared" si="201"/>
        <v>level: regional</v>
      </c>
      <c r="AV61" s="29" t="str">
        <f>"- "&amp;VLOOKUP(B61,'(Ref) Countries'!A:C,3,)</f>
        <v>- mexico</v>
      </c>
      <c r="AW61" s="29" t="str">
        <f t="shared" si="42"/>
        <v>- mexico-city</v>
      </c>
      <c r="AX61" s="29" t="str">
        <f t="shared" si="43"/>
        <v/>
      </c>
      <c r="AY61" s="29" t="str">
        <f t="shared" si="44"/>
        <v/>
      </c>
      <c r="AZ61" s="29" t="str">
        <f t="shared" si="45"/>
        <v>- holy-persons</v>
      </c>
      <c r="BA61" s="29" t="str">
        <f t="shared" ref="BA61" si="217">IF(LEN(Y61)&gt;0,"- "&amp;Y61,"")</f>
        <v>- miguel-pro</v>
      </c>
      <c r="BB61" s="29" t="str">
        <f t="shared" ref="BB61" si="218">IF(LEN(Z61)&gt;0,"- "&amp;Z61,"")</f>
        <v>- jesuits</v>
      </c>
      <c r="BC61" s="29" t="str">
        <f t="shared" ref="BC61" si="219">IF(LEN(AA61)&gt;0,"- "&amp;AA61,"")</f>
        <v/>
      </c>
      <c r="BD61" s="29" t="str">
        <f t="shared" ref="BD61" si="220">IF(LEN(AB61)&gt;0,"- "&amp;AB61,"")</f>
        <v/>
      </c>
      <c r="BE61" s="29" t="str">
        <f t="shared" ref="BE61" si="221">IF(LEN(AC61)&gt;0,"- "&amp;AC61,"")</f>
        <v/>
      </c>
      <c r="BF61" s="29" t="str">
        <f t="shared" ref="BF61" si="222">IF(LEN(AD61)&gt;0,"- "&amp;AD61,"")</f>
        <v/>
      </c>
      <c r="BG61" s="29" t="str">
        <f t="shared" ref="BG61" si="223">IF(LEN(AE61)&gt;0,"- "&amp;AE61,"")</f>
        <v/>
      </c>
      <c r="BH61" s="29" t="str">
        <f t="shared" ref="BH61" si="224">IF(LEN(AF61)&gt;0,"- "&amp;AF61,"")</f>
        <v/>
      </c>
      <c r="BI61" s="29" t="str">
        <f t="shared" ref="BI61" si="225">IF(LEN(AG61)&gt;0,"- "&amp;AG61,"")</f>
        <v/>
      </c>
      <c r="BJ61" s="29" t="str">
        <f t="shared" ref="BJ61" si="226">IF(LEN(AH61)&gt;0,"- "&amp;AH61,"")</f>
        <v/>
      </c>
      <c r="BK61" s="29" t="str">
        <f t="shared" ref="BK61" si="227">"tags:"&amp;CHAR(10)&amp;concatl(AV61:BJ61)</f>
        <v xml:space="preserve">tags:
- mexico_x000D_
- mexico-city_x000D_
- holy-persons_x000D_
- miguel-pro_x000D_
- jesuits_x000D_
</v>
      </c>
      <c r="BL61" s="29" t="str">
        <f t="shared" si="46"/>
        <v/>
      </c>
      <c r="BM61" s="29" t="str">
        <f t="shared" si="47"/>
        <v/>
      </c>
      <c r="BN61" s="29" t="str">
        <f t="shared" si="48"/>
        <v/>
      </c>
      <c r="BO61" s="29" t="str">
        <f t="shared" si="49"/>
        <v/>
      </c>
      <c r="BP61" s="29" t="str">
        <f t="shared" ref="BP61" si="228">IF(LEN(BL61)&gt;0,"* "&amp;BL61&amp;CHAR(10),"")&amp;
IF(LEN(BM61)&gt;0,"* "&amp;BM61&amp;CHAR(10),"")&amp;
IF(LEN(BN61)&gt;0,"* "&amp;BN61&amp;CHAR(10),"")&amp;
IF(LEN(BO61)&gt;0,"* "&amp;BO61&amp;CHAR(10),"")</f>
        <v/>
      </c>
      <c r="BQ61" s="29" t="str">
        <f t="shared" si="50"/>
        <v/>
      </c>
      <c r="BR61" s="29" t="str">
        <f t="shared" si="51"/>
        <v/>
      </c>
      <c r="BS61" s="29" t="str">
        <f t="shared" si="52"/>
        <v/>
      </c>
      <c r="BT61" s="29" t="str">
        <f>IF(LEN(concat(BQ61:BS61))&gt;0,concat("| ",BQ61," | ",BR61," | ",BS61," |"),"")</f>
        <v/>
      </c>
      <c r="BU61" s="29" t="str">
        <f t="shared" si="53"/>
        <v/>
      </c>
      <c r="BV61" s="29" t="str">
        <f>IF(LEN(BP61&amp;BU61)&gt;0,concatll("#### More Information",BP61,BU61),"")</f>
        <v/>
      </c>
      <c r="BW61" s="29" t="str">
        <f>IF(LEN(M61)&gt;1,concatll("#### Author's Note",M61),"")</f>
        <v xml:space="preserve">#### Author's Note_x000D_
_x000D_
The hours are rather strange: certain days of the week in the middle of the day.  The entrance is to the left of the entrance to La Sagrada Familia.  The gift shop is also excellent.
-JPY_x000D_
_x000D_
</v>
      </c>
      <c r="BX61" s="23" t="str">
        <f>IF(AR61,concatll(concatl("---",AS61:AU61,BK61,"---"),L61,BV61:BW61),"")</f>
        <v xml:space="preserve">---_x000D_
title: "Museum of Bl. Miguel Agustin Pro"_x000D_
location: {lat: 19.4224, lng: -99.16095}_x000D_
level: regional_x000D_
tags:
- mexico_x000D_
- mexico-city_x000D_
- holy-persons_x000D_
- miguel-pro_x000D_
- jesuits_x000D_
_x000D_
---_x000D_
_x000D_
_x000D_
This museum contains many of Bl. Miguel Pro's personal belongings, including cassocks, vestments, the suit he was shot in, and the cot where he slept the night before his martyrdom.
The location of Fr. Pro's arrest appears to be unknown, but the location of his martyrdom is known._x000D_
_x000D_
#### Author's Note_x000D_
_x000D_
The hours are rather strange: certain days of the week in the middle of the day.  The entrance is to the left of the entrance to La Sagrada Familia.  The gift shop is also excellent.
-JPY_x000D_
_x000D_
_x000D_
_x000D_
</v>
      </c>
      <c r="BY61" s="31" t="str">
        <f>IF(AR61,VLOOKUP(B61,'(Ref) Countries'!A:B,2,)&amp;IF(LEN(C61)&gt;1,"-"&amp;LOWER(SUBSTITUTE(C61," ","-")),"")&amp;"-"&amp;LOWER(SUBSTITUTE(G61," ","-"))&amp;".md","")</f>
        <v>mx-mexico-city-miguel-pro-museum.md</v>
      </c>
      <c r="BZ61" s="29" t="str">
        <f>IF(LEN(Y61)&gt;1,VLOOKUP(Y61,'Tag List'!$A:$B,2,),"")</f>
        <v>Bl. Miguel Pro, SJ</v>
      </c>
      <c r="CA61" s="29" t="str">
        <f>IF(LEN(Z61)&gt;1,VLOOKUP(Z61,'Tag List'!$A:$B,2,),"")</f>
        <v>Society of Jesus (Jesuits)</v>
      </c>
      <c r="CB61" s="29" t="str">
        <f>IF(LEN(AA61)&gt;1,VLOOKUP(AA61,'Tag List'!$A:$B,2,),"")</f>
        <v/>
      </c>
      <c r="CC61" s="29" t="str">
        <f>IF(LEN(Y61)&gt;1,GetTagPage(BZ61,Y61),"")</f>
        <v>[Bl. Miguel Pro, SJ](/tags/miguel-pro)</v>
      </c>
      <c r="CD61" s="29" t="str">
        <f>IF(LEN(Z61)&gt;1,GetTagPage(CA61,Z61),"")</f>
        <v>[Society of Jesus (Jesuits)](/tags/jesuits)</v>
      </c>
      <c r="CE61" s="29" t="str">
        <f>IF(LEN(AA61)&gt;1,GetTagPage(CB61,AA61),"")</f>
        <v/>
      </c>
      <c r="CF61" s="29" t="str">
        <f t="shared" ref="CF61" si="229">"|"&amp;IF(LEN(CC61)&gt;1," "&amp;CC61,"")&amp;IF(LEN(CD61)&gt;1,", "&amp;CD61,"")&amp;IF(LEN(CE61)&gt;1,", "&amp;CE61,"")&amp;" "</f>
        <v xml:space="preserve">| [Bl. Miguel Pro, SJ](/tags/miguel-pro), [Society of Jesus (Jesuits)](/tags/jesuits) </v>
      </c>
      <c r="CG61" s="29" t="str">
        <f t="shared" si="54"/>
        <v xml:space="preserve">| [](/places/mx-mexico-city-miguel-pro-museum) </v>
      </c>
      <c r="CH61" s="29" t="str">
        <f>"| "&amp;IF(AR61,GetTagPage(B61,VLOOKUP(B61,'(Ref) Countries'!A:C,3,)),B61)&amp; " "</f>
        <v xml:space="preserve">| [Mexico](/tags/mexico) </v>
      </c>
      <c r="CI61" s="29" t="str">
        <f t="shared" si="55"/>
        <v xml:space="preserve">|  </v>
      </c>
      <c r="CJ61" s="29" t="str">
        <f t="shared" ref="CJ61" si="230">"|"&amp;IF(AR61," [Link](/places/"&amp;SUBSTITUTE(BY61,".md","")&amp;")","")&amp;" "</f>
        <v xml:space="preserve">| [Link](/places/mx-mexico-city-miguel-pro-museum) </v>
      </c>
      <c r="CK61" s="29" t="str">
        <f t="shared" ref="CK61" si="231">"
"&amp;CG61&amp;CH61&amp;CI61&amp;CJ61&amp;BL61&amp;BQ61&amp;BR61&amp;BS61&amp;CF61&amp;"|"</f>
        <v xml:space="preserve">
| [](/places/mx-mexico-city-miguel-pro-museum) | [Mexico](/tags/mexico) |  | [Link](/places/mx-mexico-city-miguel-pro-museum) | [Bl. Miguel Pro, SJ](/tags/miguel-pro), [Society of Jesus (Jesuits)](/tags/jesuits) |</v>
      </c>
    </row>
    <row r="62" spans="1:89" ht="38.25" x14ac:dyDescent="0.25">
      <c r="A62" s="14" t="s">
        <v>1322</v>
      </c>
      <c r="B62" s="96" t="s">
        <v>572</v>
      </c>
      <c r="C62" s="104" t="s">
        <v>1873</v>
      </c>
      <c r="D62" s="15">
        <v>14.638171</v>
      </c>
      <c r="E62" s="49">
        <v>-91.229102999999995</v>
      </c>
      <c r="F62" s="96" t="s">
        <v>1871</v>
      </c>
      <c r="G62" s="103" t="s">
        <v>1872</v>
      </c>
      <c r="H62" s="104" t="s">
        <v>1767</v>
      </c>
      <c r="I62" s="104" t="b">
        <v>1</v>
      </c>
      <c r="K62" s="15" t="b">
        <v>1</v>
      </c>
      <c r="L62" s="96" t="s">
        <v>1876</v>
      </c>
      <c r="O62" s="15" t="s">
        <v>336</v>
      </c>
      <c r="Y62" s="104" t="s">
        <v>1874</v>
      </c>
      <c r="AR62" s="28" t="b">
        <f t="shared" si="38"/>
        <v>1</v>
      </c>
      <c r="AS62" s="29" t="str">
        <f t="shared" si="200"/>
        <v>title: "Church of St. James the Apostle (Iglesia Santiago Apostol)"</v>
      </c>
      <c r="AT62" s="29" t="str">
        <f t="shared" si="40"/>
        <v>location: {lat: 14.638171, lng: -91.229103}</v>
      </c>
      <c r="AU62" s="29" t="str">
        <f t="shared" si="201"/>
        <v>level: regional</v>
      </c>
      <c r="AV62" s="29" t="str">
        <f>"- "&amp;VLOOKUP(B62,'(Ref) Countries'!A:C,3,)</f>
        <v>- guatemala</v>
      </c>
      <c r="AW62" s="29" t="str">
        <f t="shared" si="42"/>
        <v>- atitlan</v>
      </c>
      <c r="AX62" s="29" t="str">
        <f t="shared" si="43"/>
        <v>- churches</v>
      </c>
      <c r="AY62" s="29" t="str">
        <f t="shared" si="44"/>
        <v/>
      </c>
      <c r="AZ62" s="29" t="str">
        <f t="shared" si="45"/>
        <v>- holy-persons</v>
      </c>
      <c r="BA62" s="29" t="str">
        <f t="shared" ref="BA62" si="232">IF(LEN(Y62)&gt;0,"- "&amp;Y62,"")</f>
        <v>- stanley-rother</v>
      </c>
      <c r="BB62" s="29" t="str">
        <f t="shared" ref="BB62" si="233">IF(LEN(Z62)&gt;0,"- "&amp;Z62,"")</f>
        <v/>
      </c>
      <c r="BC62" s="29" t="str">
        <f t="shared" ref="BC62" si="234">IF(LEN(AA62)&gt;0,"- "&amp;AA62,"")</f>
        <v/>
      </c>
      <c r="BD62" s="29" t="str">
        <f t="shared" ref="BD62" si="235">IF(LEN(AB62)&gt;0,"- "&amp;AB62,"")</f>
        <v/>
      </c>
      <c r="BE62" s="29" t="str">
        <f t="shared" ref="BE62" si="236">IF(LEN(AC62)&gt;0,"- "&amp;AC62,"")</f>
        <v/>
      </c>
      <c r="BF62" s="29" t="str">
        <f t="shared" ref="BF62" si="237">IF(LEN(AD62)&gt;0,"- "&amp;AD62,"")</f>
        <v/>
      </c>
      <c r="BG62" s="29" t="str">
        <f t="shared" ref="BG62" si="238">IF(LEN(AE62)&gt;0,"- "&amp;AE62,"")</f>
        <v/>
      </c>
      <c r="BH62" s="29" t="str">
        <f t="shared" ref="BH62" si="239">IF(LEN(AF62)&gt;0,"- "&amp;AF62,"")</f>
        <v/>
      </c>
      <c r="BI62" s="29" t="str">
        <f t="shared" ref="BI62" si="240">IF(LEN(AG62)&gt;0,"- "&amp;AG62,"")</f>
        <v/>
      </c>
      <c r="BJ62" s="29" t="str">
        <f t="shared" ref="BJ62" si="241">IF(LEN(AH62)&gt;0,"- "&amp;AH62,"")</f>
        <v/>
      </c>
      <c r="BK62" s="29" t="str">
        <f t="shared" ref="BK62" si="242">"tags:"&amp;CHAR(10)&amp;concatl(AV62:BJ62)</f>
        <v xml:space="preserve">tags:
- guatemala_x000D_
- atitlan_x000D_
- churches_x000D_
- holy-persons_x000D_
- stanley-rother_x000D_
</v>
      </c>
      <c r="BL62" s="29" t="str">
        <f t="shared" si="46"/>
        <v/>
      </c>
      <c r="BM62" s="29" t="str">
        <f t="shared" si="47"/>
        <v/>
      </c>
      <c r="BN62" s="29" t="str">
        <f t="shared" si="48"/>
        <v/>
      </c>
      <c r="BO62" s="29" t="str">
        <f t="shared" si="49"/>
        <v/>
      </c>
      <c r="BP62" s="29" t="str">
        <f t="shared" ref="BP62" si="243">IF(LEN(BL62)&gt;0,"* "&amp;BL62&amp;CHAR(10),"")&amp;
IF(LEN(BM62)&gt;0,"* "&amp;BM62&amp;CHAR(10),"")&amp;
IF(LEN(BN62)&gt;0,"* "&amp;BN62&amp;CHAR(10),"")&amp;
IF(LEN(BO62)&gt;0,"* "&amp;BO62&amp;CHAR(10),"")</f>
        <v/>
      </c>
      <c r="BQ62" s="29" t="str">
        <f t="shared" si="50"/>
        <v/>
      </c>
      <c r="BR62" s="29" t="str">
        <f t="shared" si="51"/>
        <v/>
      </c>
      <c r="BS62" s="29" t="str">
        <f t="shared" si="52"/>
        <v/>
      </c>
      <c r="BT62" s="29" t="str">
        <f>IF(LEN(concat(BQ62:BS62))&gt;0,concat("| ",BQ62," | ",BR62," | ",BS62," |"),"")</f>
        <v/>
      </c>
      <c r="BU62" s="29" t="str">
        <f t="shared" si="53"/>
        <v/>
      </c>
      <c r="BV62" s="29" t="str">
        <f>IF(LEN(BP62&amp;BU62)&gt;0,concatll("#### More Information",BP62,BU62),"")</f>
        <v/>
      </c>
      <c r="BW62" s="29" t="str">
        <f>IF(LEN(M62)&gt;1,concatll("#### Author's Note",M62),"")</f>
        <v/>
      </c>
      <c r="BX62" s="23" t="str">
        <f>IF(AR62,concatll(concatl("---",AS62:AU62,BK62,"---"),L62,BV62:BW62),"")</f>
        <v xml:space="preserve">---_x000D_
title: "Church of St. James the Apostle (Iglesia Santiago Apostol)"_x000D_
location: {lat: 14.638171, lng: -91.229103}_x000D_
level: regional_x000D_
tags:
- guatemala_x000D_
- atitlan_x000D_
- churches_x000D_
- holy-persons_x000D_
- stanley-rother_x000D_
_x000D_
---_x000D_
_x000D_
_x000D_
Bl. Stanley Rother ministered to the native Tz'utujil people of Guatemala for years at St. James the Apostle church, on the shores of Lake Atitlan.  He was martyred in the rectory on July 28, 1981._x000D_
_x000D_
</v>
      </c>
      <c r="BY62" s="31" t="str">
        <f>IF(AR62,VLOOKUP(B62,'(Ref) Countries'!A:B,2,)&amp;IF(LEN(C62)&gt;1,"-"&amp;LOWER(SUBSTITUTE(C62," ","-")),"")&amp;"-"&amp;LOWER(SUBSTITUTE(G62," ","-"))&amp;".md","")</f>
        <v>gt-atitlan-iglesia-santiago-apostol.md</v>
      </c>
      <c r="BZ62" s="29" t="str">
        <f>IF(LEN(Y62)&gt;1,VLOOKUP(Y62,'Tag List'!$A:$B,2,),"")</f>
        <v>Bl. Stanley Rother</v>
      </c>
      <c r="CA62" s="29" t="str">
        <f>IF(LEN(Z62)&gt;1,VLOOKUP(Z62,'Tag List'!$A:$B,2,),"")</f>
        <v/>
      </c>
      <c r="CB62" s="29" t="str">
        <f>IF(LEN(AA62)&gt;1,VLOOKUP(AA62,'Tag List'!$A:$B,2,),"")</f>
        <v/>
      </c>
      <c r="CC62" s="29" t="str">
        <f>IF(LEN(Y62)&gt;1,GetTagPage(BZ62,Y62),"")</f>
        <v>[Bl. Stanley Rother](/tags/stanley-rother)</v>
      </c>
      <c r="CD62" s="29" t="str">
        <f>IF(LEN(Z62)&gt;1,GetTagPage(CA62,Z62),"")</f>
        <v/>
      </c>
      <c r="CE62" s="29" t="str">
        <f>IF(LEN(AA62)&gt;1,GetTagPage(CB62,AA62),"")</f>
        <v/>
      </c>
      <c r="CF62" s="29" t="str">
        <f t="shared" ref="CF62" si="244">"|"&amp;IF(LEN(CC62)&gt;1," "&amp;CC62,"")&amp;IF(LEN(CD62)&gt;1,", "&amp;CD62,"")&amp;IF(LEN(CE62)&gt;1,", "&amp;CE62,"")&amp;" "</f>
        <v xml:space="preserve">| [Bl. Stanley Rother](/tags/stanley-rother) </v>
      </c>
      <c r="CG62" s="29" t="str">
        <f t="shared" si="54"/>
        <v xml:space="preserve">| [](/places/gt-atitlan-iglesia-santiago-apostol) </v>
      </c>
      <c r="CH62" s="29" t="str">
        <f>"| "&amp;IF(AR62,GetTagPage(B62,VLOOKUP(B62,'(Ref) Countries'!A:C,3,)),B62)&amp; " "</f>
        <v xml:space="preserve">| [Guatemala](/tags/guatemala) </v>
      </c>
      <c r="CI62" s="29" t="str">
        <f t="shared" si="55"/>
        <v xml:space="preserve">|  </v>
      </c>
      <c r="CJ62" s="29" t="str">
        <f t="shared" ref="CJ62" si="245">"|"&amp;IF(AR62," [Link](/places/"&amp;SUBSTITUTE(BY62,".md","")&amp;")","")&amp;" "</f>
        <v xml:space="preserve">| [Link](/places/gt-atitlan-iglesia-santiago-apostol) </v>
      </c>
      <c r="CK62" s="29" t="str">
        <f t="shared" ref="CK62" si="246">"
"&amp;CG62&amp;CH62&amp;CI62&amp;CJ62&amp;BL62&amp;BQ62&amp;BR62&amp;BS62&amp;CF62&amp;"|"</f>
        <v xml:space="preserve">
| [](/places/gt-atitlan-iglesia-santiago-apostol) | [Guatemala](/tags/guatemala) |  | [Link](/places/gt-atitlan-iglesia-santiago-apostol) | [Bl. Stanley Rother](/tags/stanley-rother) |</v>
      </c>
    </row>
    <row r="63" spans="1:89" ht="51" x14ac:dyDescent="0.25">
      <c r="A63" s="14" t="s">
        <v>1322</v>
      </c>
      <c r="B63" s="96" t="s">
        <v>1916</v>
      </c>
      <c r="C63" s="104" t="s">
        <v>2019</v>
      </c>
      <c r="D63" s="15">
        <v>34.324656099999999</v>
      </c>
      <c r="E63" s="49">
        <v>-91.942694700000004</v>
      </c>
      <c r="F63" s="24" t="s">
        <v>1914</v>
      </c>
      <c r="G63" s="103" t="s">
        <v>1915</v>
      </c>
      <c r="H63" s="104" t="s">
        <v>1767</v>
      </c>
      <c r="I63" s="15" t="b">
        <v>1</v>
      </c>
      <c r="K63" s="15" t="b">
        <v>1</v>
      </c>
      <c r="L63" s="96" t="s">
        <v>2020</v>
      </c>
      <c r="N63" s="15" t="s">
        <v>2021</v>
      </c>
      <c r="O63" s="104" t="s">
        <v>2022</v>
      </c>
      <c r="P63" s="119" t="s">
        <v>2171</v>
      </c>
      <c r="Q63" s="15" t="s">
        <v>2023</v>
      </c>
      <c r="R63" s="106" t="s">
        <v>336</v>
      </c>
      <c r="Y63" s="104" t="s">
        <v>2024</v>
      </c>
      <c r="AR63" s="28" t="b">
        <f t="shared" si="38"/>
        <v>1</v>
      </c>
      <c r="AS63" s="29" t="str">
        <f t="shared" si="200"/>
        <v>title: "St. Mary Catholic Church, Pine Bluff, AR"</v>
      </c>
      <c r="AT63" s="29" t="str">
        <f t="shared" si="40"/>
        <v>location: {lat: 34.3246561, lng: -91.9426947}</v>
      </c>
      <c r="AU63" s="29" t="str">
        <f t="shared" si="201"/>
        <v>level: regional</v>
      </c>
      <c r="AV63" s="29" t="str">
        <f>"- "&amp;VLOOKUP(B63,'(Ref) Countries'!A:C,3,)</f>
        <v>- usa
- arkansas</v>
      </c>
      <c r="AW63" s="29" t="str">
        <f t="shared" si="42"/>
        <v>- pine-bluff</v>
      </c>
      <c r="AX63" s="29" t="str">
        <f t="shared" si="43"/>
        <v>- churches</v>
      </c>
      <c r="AY63" s="29" t="str">
        <f t="shared" si="44"/>
        <v/>
      </c>
      <c r="AZ63" s="29" t="str">
        <f t="shared" si="45"/>
        <v>- holy-persons</v>
      </c>
      <c r="BA63" s="29" t="str">
        <f t="shared" ref="BA63" si="247">IF(LEN(Y63)&gt;0,"- "&amp;Y63,"")</f>
        <v>- agnes-hart</v>
      </c>
      <c r="BB63" s="29" t="str">
        <f t="shared" ref="BB63" si="248">IF(LEN(Z63)&gt;0,"- "&amp;Z63,"")</f>
        <v/>
      </c>
      <c r="BC63" s="29" t="str">
        <f t="shared" ref="BC63" si="249">IF(LEN(AA63)&gt;0,"- "&amp;AA63,"")</f>
        <v/>
      </c>
      <c r="BD63" s="29" t="str">
        <f t="shared" ref="BD63" si="250">IF(LEN(AB63)&gt;0,"- "&amp;AB63,"")</f>
        <v/>
      </c>
      <c r="BE63" s="29" t="str">
        <f t="shared" ref="BE63" si="251">IF(LEN(AC63)&gt;0,"- "&amp;AC63,"")</f>
        <v/>
      </c>
      <c r="BF63" s="29" t="str">
        <f t="shared" ref="BF63" si="252">IF(LEN(AD63)&gt;0,"- "&amp;AD63,"")</f>
        <v/>
      </c>
      <c r="BG63" s="29" t="str">
        <f t="shared" ref="BG63" si="253">IF(LEN(AE63)&gt;0,"- "&amp;AE63,"")</f>
        <v/>
      </c>
      <c r="BH63" s="29" t="str">
        <f t="shared" ref="BH63" si="254">IF(LEN(AF63)&gt;0,"- "&amp;AF63,"")</f>
        <v/>
      </c>
      <c r="BI63" s="29" t="str">
        <f t="shared" ref="BI63" si="255">IF(LEN(AG63)&gt;0,"- "&amp;AG63,"")</f>
        <v/>
      </c>
      <c r="BJ63" s="29" t="str">
        <f t="shared" ref="BJ63" si="256">IF(LEN(AH63)&gt;0,"- "&amp;AH63,"")</f>
        <v/>
      </c>
      <c r="BK63" s="29" t="str">
        <f t="shared" ref="BK63" si="257">"tags:"&amp;CHAR(10)&amp;concatl(AV63:BJ63)</f>
        <v xml:space="preserve">tags:
- usa
- arkansas_x000D_
- pine-bluff_x000D_
- churches_x000D_
- holy-persons_x000D_
- agnes-hart_x000D_
</v>
      </c>
      <c r="BL63" s="29" t="str">
        <f t="shared" si="46"/>
        <v>[Official site](https://www.stjosephpinebluff.org/st-mary-catholic-church.html) (now under the care of nearby St. Joseph Parish)</v>
      </c>
      <c r="BM63" s="29" t="str">
        <f t="shared" si="47"/>
        <v>[*American Catholic History* podcast episode on St. Mary](https://americancatholichistory.org/old-st-mary-pine-bluff-arkansas/)</v>
      </c>
      <c r="BN63" s="29" t="str">
        <f t="shared" si="48"/>
        <v/>
      </c>
      <c r="BO63" s="29" t="str">
        <f t="shared" si="49"/>
        <v/>
      </c>
      <c r="BP63" s="29" t="str">
        <f t="shared" ref="BP63" si="258">IF(LEN(BL63)&gt;0,"* "&amp;BL63&amp;CHAR(10),"")&amp;
IF(LEN(BM63)&gt;0,"* "&amp;BM63&amp;CHAR(10),"")&amp;
IF(LEN(BN63)&gt;0,"* "&amp;BN63&amp;CHAR(10),"")&amp;
IF(LEN(BO63)&gt;0,"* "&amp;BO63&amp;CHAR(10),"")</f>
        <v xml:space="preserve">* [Official site](https://www.stjosephpinebluff.org/st-mary-catholic-church.html) (now under the care of nearby St. Joseph Parish)
* [*American Catholic History* podcast episode on St. Mary](https://americancatholichistory.org/old-st-mary-pine-bluff-arkansas/)
</v>
      </c>
      <c r="BQ63" s="29" t="str">
        <f t="shared" si="50"/>
        <v/>
      </c>
      <c r="BR63" s="29" t="str">
        <f t="shared" si="51"/>
        <v/>
      </c>
      <c r="BS63" s="29" t="str">
        <f t="shared" si="52"/>
        <v/>
      </c>
      <c r="BT63" s="29" t="str">
        <f>IF(LEN(concat(BQ63:BS63))&gt;0,concat("| ",BQ63," | ",BR63," | ",BS63," |"),"")</f>
        <v/>
      </c>
      <c r="BU63" s="29" t="str">
        <f t="shared" si="53"/>
        <v/>
      </c>
      <c r="BV63" s="29" t="str">
        <f>IF(LEN(BP63&amp;BU63)&gt;0,concatll("#### More Information",BP63,BU63),"")</f>
        <v xml:space="preserve">#### More Information_x000D_
_x000D_
* [Official site](https://www.stjosephpinebluff.org/st-mary-catholic-church.html) (now under the care of nearby St. Joseph Parish)
* [*American Catholic History* podcast episode on St. Mary](https://americancatholichistory.org/old-st-mary-pine-bluff-arkansas/)
_x000D_
_x000D_
</v>
      </c>
      <c r="BW63" s="29" t="str">
        <f>IF(LEN(M63)&gt;1,concatll("#### Author's Note",M63),"")</f>
        <v/>
      </c>
      <c r="BX63" s="23" t="str">
        <f>IF(AR63,concatll(concatl("---",AS63:AU63,BK63,"---"),L63,BV63:BW63),"")</f>
        <v xml:space="preserve">---_x000D_
title: "St. Mary Catholic Church, Pine Bluff, AR"_x000D_
location: {lat: 34.3246561, lng: -91.9426947}_x000D_
level: regional_x000D_
tags:
- usa
- arkansas_x000D_
- pine-bluff_x000D_
- churches_x000D_
- holy-persons_x000D_
- agnes-hart_x000D_
_x000D_
---_x000D_
_x000D_
_x000D_
Oldest Catholic church in Arkansas, originally built on a barge in the Arkansas River in 1782 to combat the threat of flooding by the river.  The cemetery behind the church is the final resting place for Mother Agnes Hart, a nun whose body was later found to be incorrupt._x000D_
_x000D_
#### More Information_x000D_
_x000D_
* [Official site](https://www.stjosephpinebluff.org/st-mary-catholic-church.html) (now under the care of nearby St. Joseph Parish)
* [*American Catholic History* podcast episode on St. Mary](https://americancatholichistory.org/old-st-mary-pine-bluff-arkansas/)
_x000D_
_x000D_
_x000D_
_x000D_
</v>
      </c>
      <c r="BY63" s="31" t="str">
        <f>IF(AR63,VLOOKUP(B63,'(Ref) Countries'!A:B,2,)&amp;IF(LEN(C63)&gt;1,"-"&amp;LOWER(SUBSTITUTE(C63," ","-")),"")&amp;"-"&amp;LOWER(SUBSTITUTE(G63," ","-"))&amp;".md","")</f>
        <v>us_ar-pine-bluff-st-mary.md</v>
      </c>
      <c r="BZ63" s="29" t="str">
        <f>IF(LEN(Y63)&gt;1,VLOOKUP(Y63,'Tag List'!$A:$B,2,),"")</f>
        <v>Mother Agnes Hart</v>
      </c>
      <c r="CA63" s="29" t="str">
        <f>IF(LEN(Z63)&gt;1,VLOOKUP(Z63,'Tag List'!$A:$B,2,),"")</f>
        <v/>
      </c>
      <c r="CB63" s="29" t="str">
        <f>IF(LEN(AA63)&gt;1,VLOOKUP(AA63,'Tag List'!$A:$B,2,),"")</f>
        <v/>
      </c>
      <c r="CC63" s="29" t="str">
        <f>IF(LEN(Y63)&gt;1,GetTagPage(BZ63,Y63),"")</f>
        <v>[Mother Agnes Hart](/tags/agnes-hart)</v>
      </c>
      <c r="CD63" s="29" t="str">
        <f>IF(LEN(Z63)&gt;1,GetTagPage(CA63,Z63),"")</f>
        <v/>
      </c>
      <c r="CE63" s="29" t="str">
        <f>IF(LEN(AA63)&gt;1,GetTagPage(CB63,AA63),"")</f>
        <v/>
      </c>
      <c r="CF63" s="29" t="str">
        <f t="shared" ref="CF63" si="259">"|"&amp;IF(LEN(CC63)&gt;1," "&amp;CC63,"")&amp;IF(LEN(CD63)&gt;1,", "&amp;CD63,"")&amp;IF(LEN(CE63)&gt;1,", "&amp;CE63,"")&amp;" "</f>
        <v xml:space="preserve">| [Mother Agnes Hart](/tags/agnes-hart) </v>
      </c>
      <c r="CG63" s="29" t="str">
        <f t="shared" si="54"/>
        <v xml:space="preserve">| [](/places/us_ar-pine-bluff-st-mary) </v>
      </c>
      <c r="CH63" s="29" t="str">
        <f>"| "&amp;IF(AR63,GetTagPage(B63,VLOOKUP(B63,'(Ref) Countries'!A:C,3,)),B63)&amp; " "</f>
        <v xml:space="preserve">| [US Arkansas](/tags/usa
- arkansas) </v>
      </c>
      <c r="CI63" s="29" t="str">
        <f t="shared" si="55"/>
        <v xml:space="preserve">|  </v>
      </c>
      <c r="CJ63" s="29" t="str">
        <f t="shared" ref="CJ63" si="260">"|"&amp;IF(AR63," [Link](/places/"&amp;SUBSTITUTE(BY63,".md","")&amp;")","")&amp;" "</f>
        <v xml:space="preserve">| [Link](/places/us_ar-pine-bluff-st-mary) </v>
      </c>
      <c r="CK63" s="29" t="str">
        <f t="shared" ref="CK63" si="261">"
"&amp;CG63&amp;CH63&amp;CI63&amp;CJ63&amp;BL63&amp;BQ63&amp;BR63&amp;BS63&amp;CF63&amp;"|"</f>
        <v xml:space="preserve">
| [](/places/us_ar-pine-bluff-st-mary) | [US Arkansas](/tags/usa
- arkansas) |  | [Link](/places/us_ar-pine-bluff-st-mary) [Official site](https://www.stjosephpinebluff.org/st-mary-catholic-church.html) (now under the care of nearby St. Joseph Parish)| [Mother Agnes Hart](/tags/agnes-hart) |</v>
      </c>
    </row>
    <row r="64" spans="1:89" ht="25.5" x14ac:dyDescent="0.25">
      <c r="A64" s="14" t="s">
        <v>1322</v>
      </c>
      <c r="B64" s="96" t="s">
        <v>1937</v>
      </c>
      <c r="C64" s="104" t="s">
        <v>2026</v>
      </c>
      <c r="D64" s="15">
        <v>39.679924</v>
      </c>
      <c r="E64" s="49">
        <v>-77.356055999999995</v>
      </c>
      <c r="F64" s="24" t="s">
        <v>387</v>
      </c>
      <c r="G64" s="103" t="s">
        <v>2027</v>
      </c>
      <c r="H64" s="104" t="s">
        <v>1835</v>
      </c>
      <c r="I64" s="15" t="b">
        <v>1</v>
      </c>
      <c r="K64" s="15" t="b">
        <v>1</v>
      </c>
      <c r="L64" s="96" t="s">
        <v>2035</v>
      </c>
      <c r="N64" s="15" t="s">
        <v>388</v>
      </c>
      <c r="O64" s="107" t="s">
        <v>336</v>
      </c>
      <c r="Y64" s="104" t="s">
        <v>1874</v>
      </c>
      <c r="AR64" s="28" t="b">
        <f t="shared" si="38"/>
        <v>1</v>
      </c>
      <c r="AS64" s="29" t="str">
        <f t="shared" si="200"/>
        <v>title: "Mount St. Mary's Seminary"</v>
      </c>
      <c r="AT64" s="29" t="str">
        <f t="shared" si="40"/>
        <v>location: {lat: 39.679924, lng: -77.356056}</v>
      </c>
      <c r="AU64" s="29" t="str">
        <f t="shared" si="201"/>
        <v>level: local</v>
      </c>
      <c r="AV64" s="29" t="str">
        <f>"- "&amp;VLOOKUP(B64,'(Ref) Countries'!A:C,3,)</f>
        <v>- usa
- maryland</v>
      </c>
      <c r="AW64" s="29" t="str">
        <f t="shared" si="42"/>
        <v>- emmitsburg</v>
      </c>
      <c r="AX64" s="29" t="str">
        <f t="shared" si="43"/>
        <v>- churches</v>
      </c>
      <c r="AY64" s="29" t="str">
        <f t="shared" si="44"/>
        <v/>
      </c>
      <c r="AZ64" s="29" t="str">
        <f t="shared" si="45"/>
        <v>- holy-persons</v>
      </c>
      <c r="BA64" s="29" t="str">
        <f t="shared" ref="BA64" si="262">IF(LEN(Y64)&gt;0,"- "&amp;Y64,"")</f>
        <v>- stanley-rother</v>
      </c>
      <c r="BB64" s="29" t="str">
        <f t="shared" ref="BB64" si="263">IF(LEN(Z64)&gt;0,"- "&amp;Z64,"")</f>
        <v/>
      </c>
      <c r="BC64" s="29" t="str">
        <f t="shared" ref="BC64" si="264">IF(LEN(AA64)&gt;0,"- "&amp;AA64,"")</f>
        <v/>
      </c>
      <c r="BD64" s="29" t="str">
        <f t="shared" ref="BD64" si="265">IF(LEN(AB64)&gt;0,"- "&amp;AB64,"")</f>
        <v/>
      </c>
      <c r="BE64" s="29" t="str">
        <f t="shared" ref="BE64" si="266">IF(LEN(AC64)&gt;0,"- "&amp;AC64,"")</f>
        <v/>
      </c>
      <c r="BF64" s="29" t="str">
        <f t="shared" ref="BF64" si="267">IF(LEN(AD64)&gt;0,"- "&amp;AD64,"")</f>
        <v/>
      </c>
      <c r="BG64" s="29" t="str">
        <f t="shared" ref="BG64" si="268">IF(LEN(AE64)&gt;0,"- "&amp;AE64,"")</f>
        <v/>
      </c>
      <c r="BH64" s="29" t="str">
        <f t="shared" ref="BH64" si="269">IF(LEN(AF64)&gt;0,"- "&amp;AF64,"")</f>
        <v/>
      </c>
      <c r="BI64" s="29" t="str">
        <f t="shared" ref="BI64" si="270">IF(LEN(AG64)&gt;0,"- "&amp;AG64,"")</f>
        <v/>
      </c>
      <c r="BJ64" s="29" t="str">
        <f t="shared" ref="BJ64" si="271">IF(LEN(AH64)&gt;0,"- "&amp;AH64,"")</f>
        <v/>
      </c>
      <c r="BK64" s="29" t="str">
        <f t="shared" ref="BK64" si="272">"tags:"&amp;CHAR(10)&amp;concatl(AV64:BJ64)</f>
        <v xml:space="preserve">tags:
- usa
- maryland_x000D_
- emmitsburg_x000D_
- churches_x000D_
- holy-persons_x000D_
- stanley-rother_x000D_
</v>
      </c>
      <c r="BL64" s="29" t="str">
        <f t="shared" si="46"/>
        <v>[Official site](https://seminary.msmary.edu/)</v>
      </c>
      <c r="BM64" s="29" t="str">
        <f t="shared" si="47"/>
        <v/>
      </c>
      <c r="BN64" s="29" t="str">
        <f t="shared" si="48"/>
        <v/>
      </c>
      <c r="BO64" s="29" t="str">
        <f t="shared" si="49"/>
        <v/>
      </c>
      <c r="BP64" s="29" t="str">
        <f t="shared" ref="BP64" si="273">IF(LEN(BL64)&gt;0,"* "&amp;BL64&amp;CHAR(10),"")&amp;
IF(LEN(BM64)&gt;0,"* "&amp;BM64&amp;CHAR(10),"")&amp;
IF(LEN(BN64)&gt;0,"* "&amp;BN64&amp;CHAR(10),"")&amp;
IF(LEN(BO64)&gt;0,"* "&amp;BO64&amp;CHAR(10),"")</f>
        <v xml:space="preserve">* [Official site](https://seminary.msmary.edu/)
</v>
      </c>
      <c r="BQ64" s="29" t="str">
        <f t="shared" si="50"/>
        <v/>
      </c>
      <c r="BR64" s="29" t="str">
        <f t="shared" si="51"/>
        <v/>
      </c>
      <c r="BS64" s="29" t="str">
        <f t="shared" si="52"/>
        <v/>
      </c>
      <c r="BT64" s="29" t="str">
        <f>IF(LEN(concat(BQ64:BS64))&gt;0,concat("| ",BQ64," | ",BR64," | ",BS64," |"),"")</f>
        <v/>
      </c>
      <c r="BU64" s="29" t="str">
        <f t="shared" si="53"/>
        <v/>
      </c>
      <c r="BV64" s="29" t="str">
        <f>IF(LEN(BP64&amp;BU64)&gt;0,concatll("#### More Information",BP64,BU64),"")</f>
        <v xml:space="preserve">#### More Information_x000D_
_x000D_
* [Official site](https://seminary.msmary.edu/)
_x000D_
_x000D_
</v>
      </c>
      <c r="BW64" s="29" t="str">
        <f>IF(LEN(M64)&gt;1,concatll("#### Author's Note",M64),"")</f>
        <v/>
      </c>
      <c r="BX64" s="23" t="str">
        <f>IF(AR64,concatll(concatl("---",AS64:AU64,BK64,"---"),L64,BV64:BW64),"")</f>
        <v xml:space="preserve">---_x000D_
title: "Mount St. Mary's Seminary"_x000D_
location: {lat: 39.679924, lng: -77.356056}_x000D_
level: local_x000D_
tags:
- usa
- maryland_x000D_
- emmitsburg_x000D_
- churches_x000D_
- holy-persons_x000D_
- stanley-rother_x000D_
_x000D_
---_x000D_
_x000D_
_x000D_
Bl. Stanley Rother completed his studies at Mount Saint Mary's Seminary and was ordained a priest on May 25, 1963._x000D_
_x000D_
#### More Information_x000D_
_x000D_
* [Official site](https://seminary.msmary.edu/)
_x000D_
_x000D_
_x000D_
_x000D_
</v>
      </c>
      <c r="BY64" s="31" t="str">
        <f>IF(AR64,VLOOKUP(B64,'(Ref) Countries'!A:B,2,)&amp;IF(LEN(C64)&gt;1,"-"&amp;LOWER(SUBSTITUTE(C64," ","-")),"")&amp;"-"&amp;LOWER(SUBSTITUTE(G64," ","-"))&amp;".md","")</f>
        <v>us_md-emmitsburg-mount-st-marys-seminary.md</v>
      </c>
      <c r="BZ64" s="29" t="str">
        <f>IF(LEN(Y64)&gt;1,VLOOKUP(Y64,'Tag List'!$A:$B,2,),"")</f>
        <v>Bl. Stanley Rother</v>
      </c>
      <c r="CA64" s="29" t="str">
        <f>IF(LEN(Z64)&gt;1,VLOOKUP(Z64,'Tag List'!$A:$B,2,),"")</f>
        <v/>
      </c>
      <c r="CB64" s="29" t="str">
        <f>IF(LEN(AA64)&gt;1,VLOOKUP(AA64,'Tag List'!$A:$B,2,),"")</f>
        <v/>
      </c>
      <c r="CC64" s="29" t="str">
        <f>IF(LEN(Y64)&gt;1,GetTagPage(BZ64,Y64),"")</f>
        <v>[Bl. Stanley Rother](/tags/stanley-rother)</v>
      </c>
      <c r="CD64" s="29" t="str">
        <f>IF(LEN(Z64)&gt;1,GetTagPage(CA64,Z64),"")</f>
        <v/>
      </c>
      <c r="CE64" s="29" t="str">
        <f>IF(LEN(AA64)&gt;1,GetTagPage(CB64,AA64),"")</f>
        <v/>
      </c>
      <c r="CF64" s="29" t="str">
        <f t="shared" ref="CF64" si="274">"|"&amp;IF(LEN(CC64)&gt;1," "&amp;CC64,"")&amp;IF(LEN(CD64)&gt;1,", "&amp;CD64,"")&amp;IF(LEN(CE64)&gt;1,", "&amp;CE64,"")&amp;" "</f>
        <v xml:space="preserve">| [Bl. Stanley Rother](/tags/stanley-rother) </v>
      </c>
      <c r="CG64" s="29" t="str">
        <f t="shared" si="54"/>
        <v xml:space="preserve">| [](/places/us_md-emmitsburg-mount-st-marys-seminary) </v>
      </c>
      <c r="CH64" s="29" t="str">
        <f>"| "&amp;IF(AR64,GetTagPage(B64,VLOOKUP(B64,'(Ref) Countries'!A:C,3,)),B64)&amp; " "</f>
        <v xml:space="preserve">| [US Maryland](/tags/usa
- maryland) </v>
      </c>
      <c r="CI64" s="29" t="str">
        <f t="shared" si="55"/>
        <v xml:space="preserve">|  </v>
      </c>
      <c r="CJ64" s="29" t="str">
        <f t="shared" ref="CJ64" si="275">"|"&amp;IF(AR64," [Link](/places/"&amp;SUBSTITUTE(BY64,".md","")&amp;")","")&amp;" "</f>
        <v xml:space="preserve">| [Link](/places/us_md-emmitsburg-mount-st-marys-seminary) </v>
      </c>
      <c r="CK64" s="29" t="str">
        <f t="shared" ref="CK64" si="276">"
"&amp;CG64&amp;CH64&amp;CI64&amp;CJ64&amp;BL64&amp;BQ64&amp;BR64&amp;BS64&amp;CF64&amp;"|"</f>
        <v xml:space="preserve">
| [](/places/us_md-emmitsburg-mount-st-marys-seminary) | [US Maryland](/tags/usa
- maryland) |  | [Link](/places/us_md-emmitsburg-mount-st-marys-seminary) [Official site](https://seminary.msmary.edu/)| [Bl. Stanley Rother](/tags/stanley-rother) |</v>
      </c>
    </row>
    <row r="65" spans="1:89" ht="25.5" x14ac:dyDescent="0.25">
      <c r="A65" s="14" t="s">
        <v>1322</v>
      </c>
      <c r="B65" s="96" t="s">
        <v>1953</v>
      </c>
      <c r="C65" s="104" t="s">
        <v>2030</v>
      </c>
      <c r="D65" s="15">
        <v>35.728490299999997</v>
      </c>
      <c r="E65" s="49">
        <v>-97.975802000000002</v>
      </c>
      <c r="F65" s="96" t="s">
        <v>2028</v>
      </c>
      <c r="G65" s="103" t="s">
        <v>2029</v>
      </c>
      <c r="H65" s="104" t="s">
        <v>1835</v>
      </c>
      <c r="I65" s="15" t="b">
        <v>1</v>
      </c>
      <c r="K65" s="15" t="b">
        <v>1</v>
      </c>
      <c r="L65" s="24" t="s">
        <v>397</v>
      </c>
      <c r="N65" s="15" t="s">
        <v>396</v>
      </c>
      <c r="O65" s="15" t="s">
        <v>336</v>
      </c>
      <c r="Y65" s="15" t="s">
        <v>1874</v>
      </c>
      <c r="AR65" s="28" t="b">
        <f t="shared" si="38"/>
        <v>1</v>
      </c>
      <c r="AS65" s="29" t="str">
        <f t="shared" si="200"/>
        <v>title: "Holy Trinity Catholic Church, Okarche, OK"</v>
      </c>
      <c r="AT65" s="29" t="str">
        <f t="shared" si="40"/>
        <v>location: {lat: 35.7284903, lng: -97.975802}</v>
      </c>
      <c r="AU65" s="29" t="str">
        <f t="shared" si="201"/>
        <v>level: local</v>
      </c>
      <c r="AV65" s="29" t="str">
        <f>"- "&amp;VLOOKUP(B65,'(Ref) Countries'!A:C,3,)</f>
        <v>- usa
- oklahoma</v>
      </c>
      <c r="AW65" s="29" t="str">
        <f t="shared" si="42"/>
        <v>- okarche</v>
      </c>
      <c r="AX65" s="29" t="str">
        <f t="shared" si="43"/>
        <v>- churches</v>
      </c>
      <c r="AY65" s="29" t="str">
        <f t="shared" si="44"/>
        <v/>
      </c>
      <c r="AZ65" s="29" t="str">
        <f t="shared" si="45"/>
        <v>- holy-persons</v>
      </c>
      <c r="BA65" s="29" t="str">
        <f t="shared" ref="BA65" si="277">IF(LEN(Y65)&gt;0,"- "&amp;Y65,"")</f>
        <v>- stanley-rother</v>
      </c>
      <c r="BB65" s="29" t="str">
        <f t="shared" ref="BB65" si="278">IF(LEN(Z65)&gt;0,"- "&amp;Z65,"")</f>
        <v/>
      </c>
      <c r="BC65" s="29" t="str">
        <f t="shared" ref="BC65" si="279">IF(LEN(AA65)&gt;0,"- "&amp;AA65,"")</f>
        <v/>
      </c>
      <c r="BD65" s="29" t="str">
        <f t="shared" ref="BD65" si="280">IF(LEN(AB65)&gt;0,"- "&amp;AB65,"")</f>
        <v/>
      </c>
      <c r="BE65" s="29" t="str">
        <f t="shared" ref="BE65" si="281">IF(LEN(AC65)&gt;0,"- "&amp;AC65,"")</f>
        <v/>
      </c>
      <c r="BF65" s="29" t="str">
        <f t="shared" ref="BF65" si="282">IF(LEN(AD65)&gt;0,"- "&amp;AD65,"")</f>
        <v/>
      </c>
      <c r="BG65" s="29" t="str">
        <f t="shared" ref="BG65" si="283">IF(LEN(AE65)&gt;0,"- "&amp;AE65,"")</f>
        <v/>
      </c>
      <c r="BH65" s="29" t="str">
        <f t="shared" ref="BH65" si="284">IF(LEN(AF65)&gt;0,"- "&amp;AF65,"")</f>
        <v/>
      </c>
      <c r="BI65" s="29" t="str">
        <f t="shared" ref="BI65" si="285">IF(LEN(AG65)&gt;0,"- "&amp;AG65,"")</f>
        <v/>
      </c>
      <c r="BJ65" s="29" t="str">
        <f t="shared" ref="BJ65" si="286">IF(LEN(AH65)&gt;0,"- "&amp;AH65,"")</f>
        <v/>
      </c>
      <c r="BK65" s="29" t="str">
        <f t="shared" ref="BK65" si="287">"tags:"&amp;CHAR(10)&amp;concatl(AV65:BJ65)</f>
        <v xml:space="preserve">tags:
- usa
- oklahoma_x000D_
- okarche_x000D_
- churches_x000D_
- holy-persons_x000D_
- stanley-rother_x000D_
</v>
      </c>
      <c r="BL65" s="29" t="str">
        <f t="shared" si="46"/>
        <v>[Official site](https://www.holytrinityok.org/)</v>
      </c>
      <c r="BM65" s="29" t="str">
        <f t="shared" si="47"/>
        <v/>
      </c>
      <c r="BN65" s="29" t="str">
        <f t="shared" si="48"/>
        <v/>
      </c>
      <c r="BO65" s="29" t="str">
        <f t="shared" si="49"/>
        <v/>
      </c>
      <c r="BP65" s="29" t="str">
        <f t="shared" ref="BP65" si="288">IF(LEN(BL65)&gt;0,"* "&amp;BL65&amp;CHAR(10),"")&amp;
IF(LEN(BM65)&gt;0,"* "&amp;BM65&amp;CHAR(10),"")&amp;
IF(LEN(BN65)&gt;0,"* "&amp;BN65&amp;CHAR(10),"")&amp;
IF(LEN(BO65)&gt;0,"* "&amp;BO65&amp;CHAR(10),"")</f>
        <v xml:space="preserve">* [Official site](https://www.holytrinityok.org/)
</v>
      </c>
      <c r="BQ65" s="29" t="str">
        <f t="shared" si="50"/>
        <v/>
      </c>
      <c r="BR65" s="29" t="str">
        <f t="shared" si="51"/>
        <v/>
      </c>
      <c r="BS65" s="29" t="str">
        <f t="shared" si="52"/>
        <v/>
      </c>
      <c r="BT65" s="29" t="str">
        <f>IF(LEN(concat(BQ65:BS65))&gt;0,concat("| ",BQ65," | ",BR65," | ",BS65," |"),"")</f>
        <v/>
      </c>
      <c r="BU65" s="29" t="str">
        <f t="shared" si="53"/>
        <v/>
      </c>
      <c r="BV65" s="29" t="str">
        <f>IF(LEN(BP65&amp;BU65)&gt;0,concatll("#### More Information",BP65,BU65),"")</f>
        <v xml:space="preserve">#### More Information_x000D_
_x000D_
* [Official site](https://www.holytrinityok.org/)
_x000D_
_x000D_
</v>
      </c>
      <c r="BW65" s="29" t="str">
        <f>IF(LEN(M65)&gt;1,concatll("#### Author's Note",M65),"")</f>
        <v/>
      </c>
      <c r="BX65" s="23" t="str">
        <f>IF(AR65,concatll(concatl("---",AS65:AU65,BK65,"---"),L65,BV65:BW65),"")</f>
        <v xml:space="preserve">---_x000D_
title: "Holy Trinity Catholic Church, Okarche, OK"_x000D_
location: {lat: 35.7284903, lng: -97.975802}_x000D_
level: local_x000D_
tags:
- usa
- oklahoma_x000D_
- okarche_x000D_
- churches_x000D_
- holy-persons_x000D_
- stanley-rother_x000D_
_x000D_
---_x000D_
_x000D_
_x000D_
Bl. Stanley Rother was a parishioner at Holy Trinity Catholic Church, where he received his sacraments and studied at Holy Trinity Catholic School._x000D_
_x000D_
#### More Information_x000D_
_x000D_
* [Official site](https://www.holytrinityok.org/)
_x000D_
_x000D_
_x000D_
_x000D_
</v>
      </c>
      <c r="BY65" s="31" t="str">
        <f>IF(AR65,VLOOKUP(B65,'(Ref) Countries'!A:B,2,)&amp;IF(LEN(C65)&gt;1,"-"&amp;LOWER(SUBSTITUTE(C65," ","-")),"")&amp;"-"&amp;LOWER(SUBSTITUTE(G65," ","-"))&amp;".md","")</f>
        <v>us_ok-okarche-holy-trinity.md</v>
      </c>
      <c r="BZ65" s="29" t="str">
        <f>IF(LEN(Y65)&gt;1,VLOOKUP(Y65,'Tag List'!$A:$B,2,),"")</f>
        <v>Bl. Stanley Rother</v>
      </c>
      <c r="CA65" s="29" t="str">
        <f>IF(LEN(Z65)&gt;1,VLOOKUP(Z65,'Tag List'!$A:$B,2,),"")</f>
        <v/>
      </c>
      <c r="CB65" s="29" t="str">
        <f>IF(LEN(AA65)&gt;1,VLOOKUP(AA65,'Tag List'!$A:$B,2,),"")</f>
        <v/>
      </c>
      <c r="CC65" s="29" t="str">
        <f>IF(LEN(Y65)&gt;1,GetTagPage(BZ65,Y65),"")</f>
        <v>[Bl. Stanley Rother](/tags/stanley-rother)</v>
      </c>
      <c r="CD65" s="29" t="str">
        <f>IF(LEN(Z65)&gt;1,GetTagPage(CA65,Z65),"")</f>
        <v/>
      </c>
      <c r="CE65" s="29" t="str">
        <f>IF(LEN(AA65)&gt;1,GetTagPage(CB65,AA65),"")</f>
        <v/>
      </c>
      <c r="CF65" s="29" t="str">
        <f t="shared" ref="CF65" si="289">"|"&amp;IF(LEN(CC65)&gt;1," "&amp;CC65,"")&amp;IF(LEN(CD65)&gt;1,", "&amp;CD65,"")&amp;IF(LEN(CE65)&gt;1,", "&amp;CE65,"")&amp;" "</f>
        <v xml:space="preserve">| [Bl. Stanley Rother](/tags/stanley-rother) </v>
      </c>
      <c r="CG65" s="29" t="str">
        <f t="shared" si="54"/>
        <v xml:space="preserve">| [](/places/us_ok-okarche-holy-trinity) </v>
      </c>
      <c r="CH65" s="29" t="str">
        <f>"| "&amp;IF(AR65,GetTagPage(B65,VLOOKUP(B65,'(Ref) Countries'!A:C,3,)),B65)&amp; " "</f>
        <v xml:space="preserve">| [US Oklahoma](/tags/usa
- oklahoma) </v>
      </c>
      <c r="CI65" s="29" t="str">
        <f t="shared" si="55"/>
        <v xml:space="preserve">|  </v>
      </c>
      <c r="CJ65" s="29" t="str">
        <f t="shared" ref="CJ65" si="290">"|"&amp;IF(AR65," [Link](/places/"&amp;SUBSTITUTE(BY65,".md","")&amp;")","")&amp;" "</f>
        <v xml:space="preserve">| [Link](/places/us_ok-okarche-holy-trinity) </v>
      </c>
      <c r="CK65" s="29" t="str">
        <f t="shared" ref="CK65" si="291">"
"&amp;CG65&amp;CH65&amp;CI65&amp;CJ65&amp;BL65&amp;BQ65&amp;BR65&amp;BS65&amp;CF65&amp;"|"</f>
        <v xml:space="preserve">
| [](/places/us_ok-okarche-holy-trinity) | [US Oklahoma](/tags/usa
- oklahoma) |  | [Link](/places/us_ok-okarche-holy-trinity) [Official site](https://www.holytrinityok.org/)| [Bl. Stanley Rother](/tags/stanley-rother) |</v>
      </c>
    </row>
    <row r="66" spans="1:89" ht="38.25" x14ac:dyDescent="0.25">
      <c r="A66" s="14" t="s">
        <v>1322</v>
      </c>
      <c r="B66" s="24" t="s">
        <v>1953</v>
      </c>
      <c r="C66" s="104" t="s">
        <v>2032</v>
      </c>
      <c r="D66" s="15">
        <v>35.375799999999998</v>
      </c>
      <c r="E66" s="49">
        <v>-97.497500000000002</v>
      </c>
      <c r="F66" s="24" t="s">
        <v>380</v>
      </c>
      <c r="G66" s="103" t="s">
        <v>2031</v>
      </c>
      <c r="H66" s="15" t="s">
        <v>1835</v>
      </c>
      <c r="I66" s="15" t="b">
        <v>1</v>
      </c>
      <c r="K66" s="15" t="b">
        <v>1</v>
      </c>
      <c r="L66" s="24" t="s">
        <v>2033</v>
      </c>
      <c r="N66" s="15" t="s">
        <v>381</v>
      </c>
      <c r="O66" s="15" t="s">
        <v>336</v>
      </c>
      <c r="Y66" s="15" t="s">
        <v>1874</v>
      </c>
      <c r="AR66" s="28" t="b">
        <f t="shared" ref="AR66:AR81" si="292">IF(OR(A66="Done",A66="In Progress"),TRUE)</f>
        <v>1</v>
      </c>
      <c r="AS66" s="29" t="str">
        <f t="shared" si="200"/>
        <v>title: "Blessed Stanley Rother Shrine"</v>
      </c>
      <c r="AT66" s="29" t="str">
        <f t="shared" ref="AT66:AT81" si="293">"location: {lat: "&amp;D66&amp;", lng: "&amp;E66&amp;"}"</f>
        <v>location: {lat: 35.3758, lng: -97.4975}</v>
      </c>
      <c r="AU66" s="29" t="str">
        <f t="shared" si="201"/>
        <v>level: local</v>
      </c>
      <c r="AV66" s="29" t="str">
        <f>"- "&amp;VLOOKUP(B66,'(Ref) Countries'!A:C,3,)</f>
        <v>- usa
- oklahoma</v>
      </c>
      <c r="AW66" s="29" t="str">
        <f t="shared" ref="AW66:AW81" si="294">IF(LEN(C66)&gt;1,"- "&amp;LOWER(SUBSTITUTE(C66," ","-")),"")</f>
        <v>- oklahoma-city</v>
      </c>
      <c r="AX66" s="29" t="str">
        <f t="shared" ref="AX66:AX81" si="295">IF(I66,"- churches","")</f>
        <v>- churches</v>
      </c>
      <c r="AY66" s="29" t="str">
        <f t="shared" ref="AY66:AY81" si="296">IF(J66,"- marian-sites","")</f>
        <v/>
      </c>
      <c r="AZ66" s="29" t="str">
        <f t="shared" ref="AZ66:AZ81" si="297">IF(K66,"- holy-persons","")</f>
        <v>- holy-persons</v>
      </c>
      <c r="BA66" s="29" t="str">
        <f t="shared" ref="BA66" si="298">IF(LEN(Y66)&gt;0,"- "&amp;Y66,"")</f>
        <v>- stanley-rother</v>
      </c>
      <c r="BB66" s="29" t="str">
        <f t="shared" ref="BB66" si="299">IF(LEN(Z66)&gt;0,"- "&amp;Z66,"")</f>
        <v/>
      </c>
      <c r="BC66" s="29" t="str">
        <f t="shared" ref="BC66" si="300">IF(LEN(AA66)&gt;0,"- "&amp;AA66,"")</f>
        <v/>
      </c>
      <c r="BD66" s="29" t="str">
        <f t="shared" ref="BD66" si="301">IF(LEN(AB66)&gt;0,"- "&amp;AB66,"")</f>
        <v/>
      </c>
      <c r="BE66" s="29" t="str">
        <f t="shared" ref="BE66" si="302">IF(LEN(AC66)&gt;0,"- "&amp;AC66,"")</f>
        <v/>
      </c>
      <c r="BF66" s="29" t="str">
        <f t="shared" ref="BF66" si="303">IF(LEN(AD66)&gt;0,"- "&amp;AD66,"")</f>
        <v/>
      </c>
      <c r="BG66" s="29" t="str">
        <f t="shared" ref="BG66" si="304">IF(LEN(AE66)&gt;0,"- "&amp;AE66,"")</f>
        <v/>
      </c>
      <c r="BH66" s="29" t="str">
        <f t="shared" ref="BH66" si="305">IF(LEN(AF66)&gt;0,"- "&amp;AF66,"")</f>
        <v/>
      </c>
      <c r="BI66" s="29" t="str">
        <f t="shared" ref="BI66" si="306">IF(LEN(AG66)&gt;0,"- "&amp;AG66,"")</f>
        <v/>
      </c>
      <c r="BJ66" s="29" t="str">
        <f t="shared" ref="BJ66" si="307">IF(LEN(AH66)&gt;0,"- "&amp;AH66,"")</f>
        <v/>
      </c>
      <c r="BK66" s="29" t="str">
        <f t="shared" ref="BK66" si="308">"tags:"&amp;CHAR(10)&amp;concatl(AV66:BJ66)</f>
        <v xml:space="preserve">tags:
- usa
- oklahoma_x000D_
- oklahoma-city_x000D_
- churches_x000D_
- holy-persons_x000D_
- stanley-rother_x000D_
</v>
      </c>
      <c r="BL66" s="29" t="str">
        <f t="shared" ref="BL66:BL81" si="309">IF(LEN(N66)&gt;0,TRIM(CONCATENATE("[Official site](",N66,") ",O66)),"")</f>
        <v>[Official site](https://www.rothershrine.org/)</v>
      </c>
      <c r="BM66" s="29" t="str">
        <f t="shared" ref="BM66:BM81" si="310">IF(LEN(Q66)&gt;0,TRIM(CONCATENATE("["&amp;P66&amp;"](",Q66,") ",R66)),"")</f>
        <v/>
      </c>
      <c r="BN66" s="29" t="str">
        <f t="shared" ref="BN66:BN81" si="311">IF(LEN(T66)&gt;0,TRIM(CONCATENATE("["&amp;S66&amp;"](",T66,") ",U66)),"")</f>
        <v/>
      </c>
      <c r="BO66" s="29" t="str">
        <f t="shared" ref="BO66:BO81" si="312">IF(LEN(W66)&gt;0,TRIM(CONCATENATE("["&amp;V66&amp;"](",W66,") ",X66)),"")</f>
        <v/>
      </c>
      <c r="BP66" s="29" t="str">
        <f t="shared" ref="BP66" si="313">IF(LEN(BL66)&gt;0,"* "&amp;BL66&amp;CHAR(10),"")&amp;
IF(LEN(BM66)&gt;0,"* "&amp;BM66&amp;CHAR(10),"")&amp;
IF(LEN(BN66)&gt;0,"* "&amp;BN66&amp;CHAR(10),"")&amp;
IF(LEN(BO66)&gt;0,"* "&amp;BO66&amp;CHAR(10),"")</f>
        <v xml:space="preserve">* [Official site](https://www.rothershrine.org/)
</v>
      </c>
      <c r="BQ66" s="29" t="str">
        <f t="shared" ref="BQ66:BQ81" si="314">IF(LEN(AK66)&gt;0,TRIM(CONCATENATE("[Link](",AK66,") ",AL66)),"")</f>
        <v/>
      </c>
      <c r="BR66" s="29" t="str">
        <f t="shared" ref="BR66:BR81" si="315">IF(LEN(AM66)&gt;0,TRIM(CONCATENATE("[Link](",AM66,") ",AN66)),"")</f>
        <v/>
      </c>
      <c r="BS66" s="29" t="str">
        <f t="shared" ref="BS66:BS81" si="316">IF(LEN(AO66)&gt;0,TRIM(CONCATENATE("[Link](",AO66,") ",AP66)),"")</f>
        <v/>
      </c>
      <c r="BT66" s="29" t="str">
        <f>IF(LEN(concat(BQ66:BS66))&gt;0,concat("| ",BQ66," | ",BR66," | ",BS66," |"),"")</f>
        <v/>
      </c>
      <c r="BU66" s="29" t="str">
        <f t="shared" ref="BU66:BU81" si="317">IF(J66,concatl("| The Real Presence | Miracle Hunter | MaryPages |","| --- | --- | --- |",BT66),"")</f>
        <v/>
      </c>
      <c r="BV66" s="29" t="str">
        <f>IF(LEN(BP66&amp;BU66)&gt;0,concatll("#### More Information",BP66,BU66),"")</f>
        <v xml:space="preserve">#### More Information_x000D_
_x000D_
* [Official site](https://www.rothershrine.org/)
_x000D_
_x000D_
</v>
      </c>
      <c r="BW66" s="29" t="str">
        <f>IF(LEN(M66)&gt;1,concatll("#### Author's Note",M66),"")</f>
        <v/>
      </c>
      <c r="BX66" s="23" t="str">
        <f>IF(AR66,concatll(concatl("---",AS66:AU66,BK66,"---"),L66,BV66:BW66),"")</f>
        <v xml:space="preserve">---_x000D_
title: "Blessed Stanley Rother Shrine"_x000D_
location: {lat: 35.3758, lng: -97.4975}_x000D_
level: local_x000D_
tags:
- usa
- oklahoma_x000D_
- oklahoma-city_x000D_
- churches_x000D_
- holy-persons_x000D_
- stanley-rother_x000D_
_x000D_
---_x000D_
_x000D_
_x000D_
The shrine was dedicated on February 17, 2023 with the Most Rev. Paul S. Coakley, Archbishop of Oklahoma City presiding. The service was attended by 37 bishops, 147 priests, and hundreds of other religious and pilgrims._x000D_
_x000D_
#### More Information_x000D_
_x000D_
* [Official site](https://www.rothershrine.org/)
_x000D_
_x000D_
_x000D_
_x000D_
</v>
      </c>
      <c r="BY66" s="31" t="str">
        <f>IF(AR66,VLOOKUP(B66,'(Ref) Countries'!A:B,2,)&amp;IF(LEN(C66)&gt;1,"-"&amp;LOWER(SUBSTITUTE(C66," ","-")),"")&amp;"-"&amp;LOWER(SUBSTITUTE(G66," ","-"))&amp;".md","")</f>
        <v>us_ok-oklahoma-city-stanley-rother-shrine.md</v>
      </c>
      <c r="BZ66" s="29" t="str">
        <f>IF(LEN(Y66)&gt;1,VLOOKUP(Y66,'Tag List'!$A:$B,2,),"")</f>
        <v>Bl. Stanley Rother</v>
      </c>
      <c r="CA66" s="29" t="str">
        <f>IF(LEN(Z66)&gt;1,VLOOKUP(Z66,'Tag List'!$A:$B,2,),"")</f>
        <v/>
      </c>
      <c r="CB66" s="29" t="str">
        <f>IF(LEN(AA66)&gt;1,VLOOKUP(AA66,'Tag List'!$A:$B,2,),"")</f>
        <v/>
      </c>
      <c r="CC66" s="29" t="str">
        <f>IF(LEN(Y66)&gt;1,GetTagPage(BZ66,Y66),"")</f>
        <v>[Bl. Stanley Rother](/tags/stanley-rother)</v>
      </c>
      <c r="CD66" s="29" t="str">
        <f>IF(LEN(Z66)&gt;1,GetTagPage(CA66,Z66),"")</f>
        <v/>
      </c>
      <c r="CE66" s="29" t="str">
        <f>IF(LEN(AA66)&gt;1,GetTagPage(CB66,AA66),"")</f>
        <v/>
      </c>
      <c r="CF66" s="29" t="str">
        <f t="shared" ref="CF66" si="318">"|"&amp;IF(LEN(CC66)&gt;1," "&amp;CC66,"")&amp;IF(LEN(CD66)&gt;1,", "&amp;CD66,"")&amp;IF(LEN(CE66)&gt;1,", "&amp;CE66,"")&amp;" "</f>
        <v xml:space="preserve">| [Bl. Stanley Rother](/tags/stanley-rother) </v>
      </c>
      <c r="CG66" s="29" t="str">
        <f t="shared" ref="CG66:CG81" si="319">"| "&amp;IF(AR66,"["&amp;AI66&amp;"](/places/"&amp;SUBSTITUTE(BY66,".md","")&amp;")",AI66)&amp;" "</f>
        <v xml:space="preserve">| [](/places/us_ok-oklahoma-city-stanley-rother-shrine) </v>
      </c>
      <c r="CH66" s="29" t="str">
        <f>"| "&amp;IF(AR66,GetTagPage(B66,VLOOKUP(B66,'(Ref) Countries'!A:C,3,)),B66)&amp; " "</f>
        <v xml:space="preserve">| [US Oklahoma](/tags/usa
- oklahoma) </v>
      </c>
      <c r="CI66" s="29" t="str">
        <f t="shared" ref="CI66:CI81" si="320">"| "&amp;AJ66&amp;" "</f>
        <v xml:space="preserve">|  </v>
      </c>
      <c r="CJ66" s="29" t="str">
        <f t="shared" ref="CJ66" si="321">"|"&amp;IF(AR66," [Link](/places/"&amp;SUBSTITUTE(BY66,".md","")&amp;")","")&amp;" "</f>
        <v xml:space="preserve">| [Link](/places/us_ok-oklahoma-city-stanley-rother-shrine) </v>
      </c>
      <c r="CK66" s="29" t="str">
        <f t="shared" ref="CK66" si="322">"
"&amp;CG66&amp;CH66&amp;CI66&amp;CJ66&amp;BL66&amp;BQ66&amp;BR66&amp;BS66&amp;CF66&amp;"|"</f>
        <v xml:space="preserve">
| [](/places/us_ok-oklahoma-city-stanley-rother-shrine) | [US Oklahoma](/tags/usa
- oklahoma) |  | [Link](/places/us_ok-oklahoma-city-stanley-rother-shrine) [Official site](https://www.rothershrine.org/)| [Bl. Stanley Rother](/tags/stanley-rother) |</v>
      </c>
    </row>
    <row r="67" spans="1:89" ht="25.5" x14ac:dyDescent="0.25">
      <c r="A67" s="14" t="s">
        <v>1322</v>
      </c>
      <c r="B67" s="96" t="s">
        <v>1960</v>
      </c>
      <c r="C67" s="104" t="s">
        <v>2034</v>
      </c>
      <c r="D67" s="15">
        <v>29.454204000000001</v>
      </c>
      <c r="E67" s="49">
        <v>-98.545190000000005</v>
      </c>
      <c r="F67" s="96" t="s">
        <v>391</v>
      </c>
      <c r="G67" s="53" t="s">
        <v>391</v>
      </c>
      <c r="H67" s="15" t="s">
        <v>1835</v>
      </c>
      <c r="I67" s="15" t="b">
        <v>1</v>
      </c>
      <c r="K67" s="15" t="b">
        <v>1</v>
      </c>
      <c r="L67" s="96" t="s">
        <v>393</v>
      </c>
      <c r="N67" s="15" t="s">
        <v>392</v>
      </c>
      <c r="O67" s="15" t="s">
        <v>336</v>
      </c>
      <c r="Y67" s="15" t="s">
        <v>1874</v>
      </c>
      <c r="AR67" s="28" t="b">
        <f t="shared" si="292"/>
        <v>1</v>
      </c>
      <c r="AS67" s="29" t="str">
        <f t="shared" si="200"/>
        <v>title: "Assumption Seminary"</v>
      </c>
      <c r="AT67" s="29" t="str">
        <f t="shared" si="293"/>
        <v>location: {lat: 29.454204, lng: -98.54519}</v>
      </c>
      <c r="AU67" s="29" t="str">
        <f t="shared" si="201"/>
        <v>level: local</v>
      </c>
      <c r="AV67" s="29" t="str">
        <f>"- "&amp;VLOOKUP(B67,'(Ref) Countries'!A:C,3,)</f>
        <v>- usa
- texas</v>
      </c>
      <c r="AW67" s="29" t="str">
        <f t="shared" si="294"/>
        <v>- san-antonio</v>
      </c>
      <c r="AX67" s="29" t="str">
        <f t="shared" si="295"/>
        <v>- churches</v>
      </c>
      <c r="AY67" s="29" t="str">
        <f t="shared" si="296"/>
        <v/>
      </c>
      <c r="AZ67" s="29" t="str">
        <f t="shared" si="297"/>
        <v>- holy-persons</v>
      </c>
      <c r="BA67" s="29" t="str">
        <f t="shared" ref="BA67" si="323">IF(LEN(Y67)&gt;0,"- "&amp;Y67,"")</f>
        <v>- stanley-rother</v>
      </c>
      <c r="BB67" s="29" t="str">
        <f t="shared" ref="BB67" si="324">IF(LEN(Z67)&gt;0,"- "&amp;Z67,"")</f>
        <v/>
      </c>
      <c r="BC67" s="29" t="str">
        <f t="shared" ref="BC67" si="325">IF(LEN(AA67)&gt;0,"- "&amp;AA67,"")</f>
        <v/>
      </c>
      <c r="BD67" s="29" t="str">
        <f t="shared" ref="BD67" si="326">IF(LEN(AB67)&gt;0,"- "&amp;AB67,"")</f>
        <v/>
      </c>
      <c r="BE67" s="29" t="str">
        <f t="shared" ref="BE67" si="327">IF(LEN(AC67)&gt;0,"- "&amp;AC67,"")</f>
        <v/>
      </c>
      <c r="BF67" s="29" t="str">
        <f t="shared" ref="BF67" si="328">IF(LEN(AD67)&gt;0,"- "&amp;AD67,"")</f>
        <v/>
      </c>
      <c r="BG67" s="29" t="str">
        <f t="shared" ref="BG67" si="329">IF(LEN(AE67)&gt;0,"- "&amp;AE67,"")</f>
        <v/>
      </c>
      <c r="BH67" s="29" t="str">
        <f t="shared" ref="BH67" si="330">IF(LEN(AF67)&gt;0,"- "&amp;AF67,"")</f>
        <v/>
      </c>
      <c r="BI67" s="29" t="str">
        <f t="shared" ref="BI67" si="331">IF(LEN(AG67)&gt;0,"- "&amp;AG67,"")</f>
        <v/>
      </c>
      <c r="BJ67" s="29" t="str">
        <f t="shared" ref="BJ67" si="332">IF(LEN(AH67)&gt;0,"- "&amp;AH67,"")</f>
        <v/>
      </c>
      <c r="BK67" s="29" t="str">
        <f t="shared" ref="BK67" si="333">"tags:"&amp;CHAR(10)&amp;concatl(AV67:BJ67)</f>
        <v xml:space="preserve">tags:
- usa
- texas_x000D_
- san-antonio_x000D_
- churches_x000D_
- holy-persons_x000D_
- stanley-rother_x000D_
</v>
      </c>
      <c r="BL67" s="29" t="str">
        <f t="shared" si="309"/>
        <v>[Official site](https://assumptionseminary.org/)</v>
      </c>
      <c r="BM67" s="29" t="str">
        <f t="shared" si="310"/>
        <v/>
      </c>
      <c r="BN67" s="29" t="str">
        <f t="shared" si="311"/>
        <v/>
      </c>
      <c r="BO67" s="29" t="str">
        <f t="shared" si="312"/>
        <v/>
      </c>
      <c r="BP67" s="29" t="str">
        <f t="shared" ref="BP67" si="334">IF(LEN(BL67)&gt;0,"* "&amp;BL67&amp;CHAR(10),"")&amp;
IF(LEN(BM67)&gt;0,"* "&amp;BM67&amp;CHAR(10),"")&amp;
IF(LEN(BN67)&gt;0,"* "&amp;BN67&amp;CHAR(10),"")&amp;
IF(LEN(BO67)&gt;0,"* "&amp;BO67&amp;CHAR(10),"")</f>
        <v xml:space="preserve">* [Official site](https://assumptionseminary.org/)
</v>
      </c>
      <c r="BQ67" s="29" t="str">
        <f t="shared" si="314"/>
        <v/>
      </c>
      <c r="BR67" s="29" t="str">
        <f t="shared" si="315"/>
        <v/>
      </c>
      <c r="BS67" s="29" t="str">
        <f t="shared" si="316"/>
        <v/>
      </c>
      <c r="BT67" s="29" t="str">
        <f>IF(LEN(concat(BQ67:BS67))&gt;0,concat("| ",BQ67," | ",BR67," | ",BS67," |"),"")</f>
        <v/>
      </c>
      <c r="BU67" s="29" t="str">
        <f t="shared" si="317"/>
        <v/>
      </c>
      <c r="BV67" s="29" t="str">
        <f>IF(LEN(BP67&amp;BU67)&gt;0,concatll("#### More Information",BP67,BU67),"")</f>
        <v xml:space="preserve">#### More Information_x000D_
_x000D_
* [Official site](https://assumptionseminary.org/)
_x000D_
_x000D_
</v>
      </c>
      <c r="BW67" s="29" t="str">
        <f>IF(LEN(M67)&gt;1,concatll("#### Author's Note",M67),"")</f>
        <v/>
      </c>
      <c r="BX67" s="23" t="str">
        <f>IF(AR67,concatll(concatl("---",AS67:AU67,BK67,"---"),L67,BV67:BW67),"")</f>
        <v xml:space="preserve">---_x000D_
title: "Assumption Seminary"_x000D_
location: {lat: 29.454204, lng: -98.54519}_x000D_
level: local_x000D_
tags:
- usa
- texas_x000D_
- san-antonio_x000D_
- churches_x000D_
- holy-persons_x000D_
- stanley-rother_x000D_
_x000D_
---_x000D_
_x000D_
_x000D_
Bl. Stanley Rother was accepted as a seminarian and began his studies at Assumption Seminary._x000D_
_x000D_
#### More Information_x000D_
_x000D_
* [Official site](https://assumptionseminary.org/)
_x000D_
_x000D_
_x000D_
_x000D_
</v>
      </c>
      <c r="BY67" s="31" t="str">
        <f>IF(AR67,VLOOKUP(B67,'(Ref) Countries'!A:B,2,)&amp;IF(LEN(C67)&gt;1,"-"&amp;LOWER(SUBSTITUTE(C67," ","-")),"")&amp;"-"&amp;LOWER(SUBSTITUTE(G67," ","-"))&amp;".md","")</f>
        <v>us_tx-san-antonio-assumption-seminary.md</v>
      </c>
      <c r="BZ67" s="29" t="str">
        <f>IF(LEN(Y67)&gt;1,VLOOKUP(Y67,'Tag List'!$A:$B,2,),"")</f>
        <v>Bl. Stanley Rother</v>
      </c>
      <c r="CA67" s="29" t="str">
        <f>IF(LEN(Z67)&gt;1,VLOOKUP(Z67,'Tag List'!$A:$B,2,),"")</f>
        <v/>
      </c>
      <c r="CB67" s="29" t="str">
        <f>IF(LEN(AA67)&gt;1,VLOOKUP(AA67,'Tag List'!$A:$B,2,),"")</f>
        <v/>
      </c>
      <c r="CC67" s="29" t="str">
        <f>IF(LEN(Y67)&gt;1,GetTagPage(BZ67,Y67),"")</f>
        <v>[Bl. Stanley Rother](/tags/stanley-rother)</v>
      </c>
      <c r="CD67" s="29" t="str">
        <f>IF(LEN(Z67)&gt;1,GetTagPage(CA67,Z67),"")</f>
        <v/>
      </c>
      <c r="CE67" s="29" t="str">
        <f>IF(LEN(AA67)&gt;1,GetTagPage(CB67,AA67),"")</f>
        <v/>
      </c>
      <c r="CF67" s="29" t="str">
        <f t="shared" ref="CF67" si="335">"|"&amp;IF(LEN(CC67)&gt;1," "&amp;CC67,"")&amp;IF(LEN(CD67)&gt;1,", "&amp;CD67,"")&amp;IF(LEN(CE67)&gt;1,", "&amp;CE67,"")&amp;" "</f>
        <v xml:space="preserve">| [Bl. Stanley Rother](/tags/stanley-rother) </v>
      </c>
      <c r="CG67" s="29" t="str">
        <f t="shared" si="319"/>
        <v xml:space="preserve">| [](/places/us_tx-san-antonio-assumption-seminary) </v>
      </c>
      <c r="CH67" s="29" t="str">
        <f>"| "&amp;IF(AR67,GetTagPage(B67,VLOOKUP(B67,'(Ref) Countries'!A:C,3,)),B67)&amp; " "</f>
        <v xml:space="preserve">| [US Texas](/tags/usa
- texas) </v>
      </c>
      <c r="CI67" s="29" t="str">
        <f t="shared" si="320"/>
        <v xml:space="preserve">|  </v>
      </c>
      <c r="CJ67" s="29" t="str">
        <f t="shared" ref="CJ67" si="336">"|"&amp;IF(AR67," [Link](/places/"&amp;SUBSTITUTE(BY67,".md","")&amp;")","")&amp;" "</f>
        <v xml:space="preserve">| [Link](/places/us_tx-san-antonio-assumption-seminary) </v>
      </c>
      <c r="CK67" s="29" t="str">
        <f t="shared" ref="CK67" si="337">"
"&amp;CG67&amp;CH67&amp;CI67&amp;CJ67&amp;BL67&amp;BQ67&amp;BR67&amp;BS67&amp;CF67&amp;"|"</f>
        <v xml:space="preserve">
| [](/places/us_tx-san-antonio-assumption-seminary) | [US Texas](/tags/usa
- texas) |  | [Link](/places/us_tx-san-antonio-assumption-seminary) [Official site](https://assumptionseminary.org/)| [Bl. Stanley Rother](/tags/stanley-rother) |</v>
      </c>
    </row>
    <row r="68" spans="1:89" ht="38.25" x14ac:dyDescent="0.25">
      <c r="A68" s="14" t="s">
        <v>1322</v>
      </c>
      <c r="B68" s="96" t="s">
        <v>1948</v>
      </c>
      <c r="C68" s="104" t="s">
        <v>2036</v>
      </c>
      <c r="D68" s="15">
        <v>35.6856315</v>
      </c>
      <c r="E68" s="49">
        <v>-105.93765930000001</v>
      </c>
      <c r="F68" s="24" t="s">
        <v>2037</v>
      </c>
      <c r="G68" s="103" t="s">
        <v>2038</v>
      </c>
      <c r="H68" s="104" t="s">
        <v>1767</v>
      </c>
      <c r="I68" s="15" t="b">
        <v>1</v>
      </c>
      <c r="K68" s="15" t="b">
        <v>1</v>
      </c>
      <c r="L68" s="96" t="s">
        <v>2039</v>
      </c>
      <c r="N68" s="15" t="s">
        <v>2040</v>
      </c>
      <c r="O68" s="15" t="s">
        <v>336</v>
      </c>
      <c r="P68" s="119" t="s">
        <v>2169</v>
      </c>
      <c r="Q68" s="15" t="s">
        <v>2041</v>
      </c>
      <c r="R68" s="106" t="s">
        <v>336</v>
      </c>
      <c r="Y68" s="104" t="s">
        <v>2042</v>
      </c>
      <c r="AR68" s="28" t="b">
        <f t="shared" si="292"/>
        <v>1</v>
      </c>
      <c r="AS68" s="29" t="str">
        <f t="shared" si="200"/>
        <v>title: "Loretto Chapel, Santa Fe, NM"</v>
      </c>
      <c r="AT68" s="29" t="str">
        <f t="shared" si="293"/>
        <v>location: {lat: 35.6856315, lng: -105.9376593}</v>
      </c>
      <c r="AU68" s="29" t="str">
        <f t="shared" si="201"/>
        <v>level: regional</v>
      </c>
      <c r="AV68" s="29" t="str">
        <f>"- "&amp;VLOOKUP(B68,'(Ref) Countries'!A:C,3,)</f>
        <v>- usa
- new-mexico</v>
      </c>
      <c r="AW68" s="29" t="str">
        <f t="shared" si="294"/>
        <v>- santa-fe</v>
      </c>
      <c r="AX68" s="29" t="str">
        <f t="shared" si="295"/>
        <v>- churches</v>
      </c>
      <c r="AY68" s="29" t="str">
        <f t="shared" si="296"/>
        <v/>
      </c>
      <c r="AZ68" s="29" t="str">
        <f t="shared" si="297"/>
        <v>- holy-persons</v>
      </c>
      <c r="BA68" s="29" t="str">
        <f t="shared" ref="BA68" si="338">IF(LEN(Y68)&gt;0,"- "&amp;Y68,"")</f>
        <v>- joseph</v>
      </c>
      <c r="BB68" s="29" t="str">
        <f t="shared" ref="BB68" si="339">IF(LEN(Z68)&gt;0,"- "&amp;Z68,"")</f>
        <v/>
      </c>
      <c r="BC68" s="29" t="str">
        <f t="shared" ref="BC68" si="340">IF(LEN(AA68)&gt;0,"- "&amp;AA68,"")</f>
        <v/>
      </c>
      <c r="BD68" s="29" t="str">
        <f t="shared" ref="BD68" si="341">IF(LEN(AB68)&gt;0,"- "&amp;AB68,"")</f>
        <v/>
      </c>
      <c r="BE68" s="29" t="str">
        <f t="shared" ref="BE68" si="342">IF(LEN(AC68)&gt;0,"- "&amp;AC68,"")</f>
        <v/>
      </c>
      <c r="BF68" s="29" t="str">
        <f t="shared" ref="BF68" si="343">IF(LEN(AD68)&gt;0,"- "&amp;AD68,"")</f>
        <v/>
      </c>
      <c r="BG68" s="29" t="str">
        <f t="shared" ref="BG68" si="344">IF(LEN(AE68)&gt;0,"- "&amp;AE68,"")</f>
        <v/>
      </c>
      <c r="BH68" s="29" t="str">
        <f t="shared" ref="BH68" si="345">IF(LEN(AF68)&gt;0,"- "&amp;AF68,"")</f>
        <v/>
      </c>
      <c r="BI68" s="29" t="str">
        <f t="shared" ref="BI68" si="346">IF(LEN(AG68)&gt;0,"- "&amp;AG68,"")</f>
        <v/>
      </c>
      <c r="BJ68" s="29" t="str">
        <f t="shared" ref="BJ68" si="347">IF(LEN(AH68)&gt;0,"- "&amp;AH68,"")</f>
        <v/>
      </c>
      <c r="BK68" s="29" t="str">
        <f t="shared" ref="BK68" si="348">"tags:"&amp;CHAR(10)&amp;concatl(AV68:BJ68)</f>
        <v xml:space="preserve">tags:
- usa
- new-mexico_x000D_
- santa-fe_x000D_
- churches_x000D_
- holy-persons_x000D_
- joseph_x000D_
</v>
      </c>
      <c r="BL68" s="29" t="str">
        <f t="shared" si="309"/>
        <v>[Official site](https://www.lorettochapel.com)</v>
      </c>
      <c r="BM68" s="29" t="str">
        <f t="shared" si="310"/>
        <v>[Story of the staircase on the podcast *That's the Word*](https://thunderrock.org/story-extras/the-spiral-architect)</v>
      </c>
      <c r="BN68" s="29" t="str">
        <f t="shared" si="311"/>
        <v/>
      </c>
      <c r="BO68" s="29" t="str">
        <f t="shared" si="312"/>
        <v/>
      </c>
      <c r="BP68" s="29" t="str">
        <f t="shared" ref="BP68" si="349">IF(LEN(BL68)&gt;0,"* "&amp;BL68&amp;CHAR(10),"")&amp;
IF(LEN(BM68)&gt;0,"* "&amp;BM68&amp;CHAR(10),"")&amp;
IF(LEN(BN68)&gt;0,"* "&amp;BN68&amp;CHAR(10),"")&amp;
IF(LEN(BO68)&gt;0,"* "&amp;BO68&amp;CHAR(10),"")</f>
        <v xml:space="preserve">* [Official site](https://www.lorettochapel.com)
* [Story of the staircase on the podcast *That's the Word*](https://thunderrock.org/story-extras/the-spiral-architect)
</v>
      </c>
      <c r="BQ68" s="29" t="str">
        <f t="shared" si="314"/>
        <v/>
      </c>
      <c r="BR68" s="29" t="str">
        <f t="shared" si="315"/>
        <v/>
      </c>
      <c r="BS68" s="29" t="str">
        <f t="shared" si="316"/>
        <v/>
      </c>
      <c r="BT68" s="29" t="str">
        <f>IF(LEN(concat(BQ68:BS68))&gt;0,concat("| ",BQ68," | ",BR68," | ",BS68," |"),"")</f>
        <v/>
      </c>
      <c r="BU68" s="29" t="str">
        <f t="shared" si="317"/>
        <v/>
      </c>
      <c r="BV68" s="29" t="str">
        <f>IF(LEN(BP68&amp;BU68)&gt;0,concatll("#### More Information",BP68,BU68),"")</f>
        <v xml:space="preserve">#### More Information_x000D_
_x000D_
* [Official site](https://www.lorettochapel.com)
* [Story of the staircase on the podcast *That's the Word*](https://thunderrock.org/story-extras/the-spiral-architect)
_x000D_
_x000D_
</v>
      </c>
      <c r="BW68" s="29" t="str">
        <f>IF(LEN(M68)&gt;1,concatll("#### Author's Note",M68),"")</f>
        <v/>
      </c>
      <c r="BX68" s="23" t="str">
        <f>IF(AR68,concatll(concatl("---",AS68:AU68,BK68,"---"),L68,BV68:BW68),"")</f>
        <v xml:space="preserve">---_x000D_
title: "Loretto Chapel, Santa Fe, NM"_x000D_
location: {lat: 35.6856315, lng: -105.9376593}_x000D_
level: regional_x000D_
tags:
- usa
- new-mexico_x000D_
- santa-fe_x000D_
- churches_x000D_
- holy-persons_x000D_
- joseph_x000D_
_x000D_
---_x000D_
_x000D_
_x000D_
According to tradition, when the architect failed to provide a way to get to the new choir loft, the architecturally-impressive spiral staircase was built by St. Joseph himself._x000D_
_x000D_
#### More Information_x000D_
_x000D_
* [Official site](https://www.lorettochapel.com)
* [Story of the staircase on the podcast *That's the Word*](https://thunderrock.org/story-extras/the-spiral-architect)
_x000D_
_x000D_
_x000D_
_x000D_
</v>
      </c>
      <c r="BY68" s="31" t="str">
        <f>IF(AR68,VLOOKUP(B68,'(Ref) Countries'!A:B,2,)&amp;IF(LEN(C68)&gt;1,"-"&amp;LOWER(SUBSTITUTE(C68," ","-")),"")&amp;"-"&amp;LOWER(SUBSTITUTE(G68," ","-"))&amp;".md","")</f>
        <v>us_nm-santa-fe-loretto-chapel.md</v>
      </c>
      <c r="BZ68" s="29" t="str">
        <f>IF(LEN(Y68)&gt;1,VLOOKUP(Y68,'Tag List'!$A:$B,2,),"")</f>
        <v>St. Joseph</v>
      </c>
      <c r="CA68" s="29" t="str">
        <f>IF(LEN(Z68)&gt;1,VLOOKUP(Z68,'Tag List'!$A:$B,2,),"")</f>
        <v/>
      </c>
      <c r="CB68" s="29" t="str">
        <f>IF(LEN(AA68)&gt;1,VLOOKUP(AA68,'Tag List'!$A:$B,2,),"")</f>
        <v/>
      </c>
      <c r="CC68" s="29" t="str">
        <f>IF(LEN(Y68)&gt;1,GetTagPage(BZ68,Y68),"")</f>
        <v>[St. Joseph](/tags/joseph)</v>
      </c>
      <c r="CD68" s="29" t="str">
        <f>IF(LEN(Z68)&gt;1,GetTagPage(CA68,Z68),"")</f>
        <v/>
      </c>
      <c r="CE68" s="29" t="str">
        <f>IF(LEN(AA68)&gt;1,GetTagPage(CB68,AA68),"")</f>
        <v/>
      </c>
      <c r="CF68" s="29" t="str">
        <f t="shared" ref="CF68" si="350">"|"&amp;IF(LEN(CC68)&gt;1," "&amp;CC68,"")&amp;IF(LEN(CD68)&gt;1,", "&amp;CD68,"")&amp;IF(LEN(CE68)&gt;1,", "&amp;CE68,"")&amp;" "</f>
        <v xml:space="preserve">| [St. Joseph](/tags/joseph) </v>
      </c>
      <c r="CG68" s="29" t="str">
        <f t="shared" si="319"/>
        <v xml:space="preserve">| [](/places/us_nm-santa-fe-loretto-chapel) </v>
      </c>
      <c r="CH68" s="29" t="str">
        <f>"| "&amp;IF(AR68,GetTagPage(B68,VLOOKUP(B68,'(Ref) Countries'!A:C,3,)),B68)&amp; " "</f>
        <v xml:space="preserve">| [US New Mexico](/tags/usa
- new-mexico) </v>
      </c>
      <c r="CI68" s="29" t="str">
        <f t="shared" si="320"/>
        <v xml:space="preserve">|  </v>
      </c>
      <c r="CJ68" s="29" t="str">
        <f t="shared" ref="CJ68" si="351">"|"&amp;IF(AR68," [Link](/places/"&amp;SUBSTITUTE(BY68,".md","")&amp;")","")&amp;" "</f>
        <v xml:space="preserve">| [Link](/places/us_nm-santa-fe-loretto-chapel) </v>
      </c>
      <c r="CK68" s="29" t="str">
        <f t="shared" ref="CK68" si="352">"
"&amp;CG68&amp;CH68&amp;CI68&amp;CJ68&amp;BL68&amp;BQ68&amp;BR68&amp;BS68&amp;CF68&amp;"|"</f>
        <v xml:space="preserve">
| [](/places/us_nm-santa-fe-loretto-chapel) | [US New Mexico](/tags/usa
- new-mexico) |  | [Link](/places/us_nm-santa-fe-loretto-chapel) [Official site](https://www.lorettochapel.com)| [St. Joseph](/tags/joseph) |</v>
      </c>
    </row>
    <row r="69" spans="1:89" ht="63.75" x14ac:dyDescent="0.25">
      <c r="A69" s="14" t="s">
        <v>1322</v>
      </c>
      <c r="B69" s="96" t="s">
        <v>1948</v>
      </c>
      <c r="C69" s="104" t="s">
        <v>2036</v>
      </c>
      <c r="D69" s="15">
        <v>35.989201000000001</v>
      </c>
      <c r="E69" s="49">
        <v>-105.93180220000001</v>
      </c>
      <c r="F69" s="24" t="s">
        <v>2048</v>
      </c>
      <c r="G69" s="103" t="s">
        <v>2049</v>
      </c>
      <c r="H69" s="104" t="s">
        <v>1767</v>
      </c>
      <c r="I69" s="15" t="b">
        <v>1</v>
      </c>
      <c r="L69" s="96" t="s">
        <v>2044</v>
      </c>
      <c r="O69" s="15" t="s">
        <v>336</v>
      </c>
      <c r="P69" s="108" t="s">
        <v>2046</v>
      </c>
      <c r="Q69" s="15" t="s">
        <v>2045</v>
      </c>
      <c r="R69" s="106" t="s">
        <v>336</v>
      </c>
      <c r="S69" s="119" t="s">
        <v>2170</v>
      </c>
      <c r="T69" s="15" t="s">
        <v>2047</v>
      </c>
      <c r="U69" s="106" t="s">
        <v>336</v>
      </c>
      <c r="Y69" s="104"/>
      <c r="AR69" s="28" t="b">
        <f t="shared" si="292"/>
        <v>1</v>
      </c>
      <c r="AS69" s="29" t="str">
        <f t="shared" si="200"/>
        <v>title: "Sanctuary of Chimayo (Santuario de Chimayo)"</v>
      </c>
      <c r="AT69" s="29" t="str">
        <f t="shared" si="293"/>
        <v>location: {lat: 35.989201, lng: -105.9318022}</v>
      </c>
      <c r="AU69" s="29" t="str">
        <f t="shared" si="201"/>
        <v>level: regional</v>
      </c>
      <c r="AV69" s="29" t="str">
        <f>"- "&amp;VLOOKUP(B69,'(Ref) Countries'!A:C,3,)</f>
        <v>- usa
- new-mexico</v>
      </c>
      <c r="AW69" s="29" t="str">
        <f t="shared" si="294"/>
        <v>- santa-fe</v>
      </c>
      <c r="AX69" s="29" t="str">
        <f t="shared" si="295"/>
        <v>- churches</v>
      </c>
      <c r="AY69" s="29" t="str">
        <f t="shared" si="296"/>
        <v/>
      </c>
      <c r="AZ69" s="29" t="str">
        <f t="shared" si="297"/>
        <v/>
      </c>
      <c r="BA69" s="29" t="str">
        <f t="shared" ref="BA69" si="353">IF(LEN(Y69)&gt;0,"- "&amp;Y69,"")</f>
        <v/>
      </c>
      <c r="BB69" s="29" t="str">
        <f t="shared" ref="BB69" si="354">IF(LEN(Z69)&gt;0,"- "&amp;Z69,"")</f>
        <v/>
      </c>
      <c r="BC69" s="29" t="str">
        <f t="shared" ref="BC69" si="355">IF(LEN(AA69)&gt;0,"- "&amp;AA69,"")</f>
        <v/>
      </c>
      <c r="BD69" s="29" t="str">
        <f t="shared" ref="BD69" si="356">IF(LEN(AB69)&gt;0,"- "&amp;AB69,"")</f>
        <v/>
      </c>
      <c r="BE69" s="29" t="str">
        <f t="shared" ref="BE69" si="357">IF(LEN(AC69)&gt;0,"- "&amp;AC69,"")</f>
        <v/>
      </c>
      <c r="BF69" s="29" t="str">
        <f t="shared" ref="BF69" si="358">IF(LEN(AD69)&gt;0,"- "&amp;AD69,"")</f>
        <v/>
      </c>
      <c r="BG69" s="29" t="str">
        <f t="shared" ref="BG69" si="359">IF(LEN(AE69)&gt;0,"- "&amp;AE69,"")</f>
        <v/>
      </c>
      <c r="BH69" s="29" t="str">
        <f t="shared" ref="BH69" si="360">IF(LEN(AF69)&gt;0,"- "&amp;AF69,"")</f>
        <v/>
      </c>
      <c r="BI69" s="29" t="str">
        <f t="shared" ref="BI69" si="361">IF(LEN(AG69)&gt;0,"- "&amp;AG69,"")</f>
        <v/>
      </c>
      <c r="BJ69" s="29" t="str">
        <f t="shared" ref="BJ69" si="362">IF(LEN(AH69)&gt;0,"- "&amp;AH69,"")</f>
        <v/>
      </c>
      <c r="BK69" s="29" t="str">
        <f t="shared" ref="BK69" si="363">"tags:"&amp;CHAR(10)&amp;concatl(AV69:BJ69)</f>
        <v xml:space="preserve">tags:
- usa
- new-mexico_x000D_
- santa-fe_x000D_
- churches_x000D_
</v>
      </c>
      <c r="BL69" s="29" t="str">
        <f t="shared" si="309"/>
        <v/>
      </c>
      <c r="BM69" s="29" t="str">
        <f t="shared" si="310"/>
        <v>[Article from Catholic World Report](https://www.catholicworldreport.com/2023/04/07/visiting-el-santuario-de-chimayo-the-most-popular-pilgrimage-site-in-america/)</v>
      </c>
      <c r="BN69" s="29" t="str">
        <f t="shared" si="311"/>
        <v>[Story of the shrine on the podcast *That's the Word*](https://thunderrock.org/story-extras/take-the-hint)</v>
      </c>
      <c r="BO69" s="29" t="str">
        <f t="shared" si="312"/>
        <v/>
      </c>
      <c r="BP69" s="29" t="str">
        <f t="shared" ref="BP69" si="364">IF(LEN(BL69)&gt;0,"* "&amp;BL69&amp;CHAR(10),"")&amp;
IF(LEN(BM69)&gt;0,"* "&amp;BM69&amp;CHAR(10),"")&amp;
IF(LEN(BN69)&gt;0,"* "&amp;BN69&amp;CHAR(10),"")&amp;
IF(LEN(BO69)&gt;0,"* "&amp;BO69&amp;CHAR(10),"")</f>
        <v xml:space="preserve">* [Article from Catholic World Report](https://www.catholicworldreport.com/2023/04/07/visiting-el-santuario-de-chimayo-the-most-popular-pilgrimage-site-in-america/)
* [Story of the shrine on the podcast *That's the Word*](https://thunderrock.org/story-extras/take-the-hint)
</v>
      </c>
      <c r="BQ69" s="29" t="str">
        <f t="shared" si="314"/>
        <v/>
      </c>
      <c r="BR69" s="29" t="str">
        <f t="shared" si="315"/>
        <v/>
      </c>
      <c r="BS69" s="29" t="str">
        <f t="shared" si="316"/>
        <v/>
      </c>
      <c r="BT69" s="29" t="str">
        <f>IF(LEN(concat(BQ69:BS69))&gt;0,concat("| ",BQ69," | ",BR69," | ",BS69," |"),"")</f>
        <v/>
      </c>
      <c r="BU69" s="29" t="str">
        <f t="shared" si="317"/>
        <v/>
      </c>
      <c r="BV69" s="29" t="str">
        <f>IF(LEN(BP69&amp;BU69)&gt;0,concatll("#### More Information",BP69,BU69),"")</f>
        <v xml:space="preserve">#### More Information_x000D_
_x000D_
* [Article from Catholic World Report](https://www.catholicworldreport.com/2023/04/07/visiting-el-santuario-de-chimayo-the-most-popular-pilgrimage-site-in-america/)
* [Story of the shrine on the podcast *That's the Word*](https://thunderrock.org/story-extras/take-the-hint)
_x000D_
_x000D_
</v>
      </c>
      <c r="BW69" s="29" t="str">
        <f>IF(LEN(M69)&gt;1,concatll("#### Author's Note",M69),"")</f>
        <v/>
      </c>
      <c r="BX69" s="23" t="str">
        <f>IF(AR69,concatll(concatl("---",AS69:AU69,BK69,"---"),L69,BV69:BW69),"")</f>
        <v xml:space="preserve">---_x000D_
title: "Sanctuary of Chimayo (Santuario de Chimayo)"_x000D_
location: {lat: 35.989201, lng: -105.9318022}_x000D_
level: regional_x000D_
tags:
- usa
- new-mexico_x000D_
- santa-fe_x000D_
- churches_x000D_
_x000D_
---_x000D_
_x000D_
_x000D_
A miraculous crucifix appearing in a field resulted in the construction of a chapel on this spot.  The hole where the crucifix appeared is said to contain dirt that has healing properties similar to the water at Lourdes.  Hundreds of thousands of pilgrims visit the shrine annually, which, according to Catholic World Report, makes it the most popular pilgrimage site in the United States._x000D_
_x000D_
#### More Information_x000D_
_x000D_
* [Article from Catholic World Report](https://www.catholicworldreport.com/2023/04/07/visiting-el-santuario-de-chimayo-the-most-popular-pilgrimage-site-in-america/)
* [Story of the shrine on the podcast *That's the Word*](https://thunderrock.org/story-extras/take-the-hint)
_x000D_
_x000D_
_x000D_
_x000D_
</v>
      </c>
      <c r="BY69" s="31" t="str">
        <f>IF(AR69,VLOOKUP(B69,'(Ref) Countries'!A:B,2,)&amp;IF(LEN(C69)&gt;1,"-"&amp;LOWER(SUBSTITUTE(C69," ","-")),"")&amp;"-"&amp;LOWER(SUBSTITUTE(G69," ","-"))&amp;".md","")</f>
        <v>us_nm-santa-fe-santuario-de-chimayo.md</v>
      </c>
      <c r="BZ69" s="29" t="str">
        <f>IF(LEN(Y69)&gt;1,VLOOKUP(Y69,'Tag List'!$A:$B,2,),"")</f>
        <v/>
      </c>
      <c r="CA69" s="29" t="str">
        <f>IF(LEN(Z69)&gt;1,VLOOKUP(Z69,'Tag List'!$A:$B,2,),"")</f>
        <v/>
      </c>
      <c r="CB69" s="29" t="str">
        <f>IF(LEN(AA69)&gt;1,VLOOKUP(AA69,'Tag List'!$A:$B,2,),"")</f>
        <v/>
      </c>
      <c r="CC69" s="29" t="str">
        <f>IF(LEN(Y69)&gt;1,GetTagPage(BZ69,Y69),"")</f>
        <v/>
      </c>
      <c r="CD69" s="29" t="str">
        <f>IF(LEN(Z69)&gt;1,GetTagPage(CA69,Z69),"")</f>
        <v/>
      </c>
      <c r="CE69" s="29" t="str">
        <f>IF(LEN(AA69)&gt;1,GetTagPage(CB69,AA69),"")</f>
        <v/>
      </c>
      <c r="CF69" s="29" t="str">
        <f t="shared" ref="CF69" si="365">"|"&amp;IF(LEN(CC69)&gt;1," "&amp;CC69,"")&amp;IF(LEN(CD69)&gt;1,", "&amp;CD69,"")&amp;IF(LEN(CE69)&gt;1,", "&amp;CE69,"")&amp;" "</f>
        <v xml:space="preserve">| </v>
      </c>
      <c r="CG69" s="29" t="str">
        <f t="shared" si="319"/>
        <v xml:space="preserve">| [](/places/us_nm-santa-fe-santuario-de-chimayo) </v>
      </c>
      <c r="CH69" s="29" t="str">
        <f>"| "&amp;IF(AR69,GetTagPage(B69,VLOOKUP(B69,'(Ref) Countries'!A:C,3,)),B69)&amp; " "</f>
        <v xml:space="preserve">| [US New Mexico](/tags/usa
- new-mexico) </v>
      </c>
      <c r="CI69" s="29" t="str">
        <f t="shared" si="320"/>
        <v xml:space="preserve">|  </v>
      </c>
      <c r="CJ69" s="29" t="str">
        <f t="shared" ref="CJ69" si="366">"|"&amp;IF(AR69," [Link](/places/"&amp;SUBSTITUTE(BY69,".md","")&amp;")","")&amp;" "</f>
        <v xml:space="preserve">| [Link](/places/us_nm-santa-fe-santuario-de-chimayo) </v>
      </c>
      <c r="CK69" s="29" t="str">
        <f t="shared" ref="CK69" si="367">"
"&amp;CG69&amp;CH69&amp;CI69&amp;CJ69&amp;BL69&amp;BQ69&amp;BR69&amp;BS69&amp;CF69&amp;"|"</f>
        <v xml:space="preserve">
| [](/places/us_nm-santa-fe-santuario-de-chimayo) | [US New Mexico](/tags/usa
- new-mexico) |  | [Link](/places/us_nm-santa-fe-santuario-de-chimayo) | |</v>
      </c>
    </row>
    <row r="70" spans="1:89" ht="38.25" x14ac:dyDescent="0.25">
      <c r="A70" s="14" t="s">
        <v>1322</v>
      </c>
      <c r="B70" s="96" t="s">
        <v>1949</v>
      </c>
      <c r="D70" s="15">
        <v>42.9249911</v>
      </c>
      <c r="E70" s="49">
        <v>-74.302249200000006</v>
      </c>
      <c r="F70" s="96" t="s">
        <v>2062</v>
      </c>
      <c r="G70" s="53" t="s">
        <v>2050</v>
      </c>
      <c r="H70" s="15" t="s">
        <v>1767</v>
      </c>
      <c r="I70" s="15" t="b">
        <v>1</v>
      </c>
      <c r="K70" s="15" t="b">
        <v>1</v>
      </c>
      <c r="L70" s="96" t="s">
        <v>2060</v>
      </c>
      <c r="N70" s="15" t="s">
        <v>2063</v>
      </c>
      <c r="O70" s="15" t="s">
        <v>336</v>
      </c>
      <c r="P70" s="60" t="s">
        <v>2046</v>
      </c>
      <c r="Q70" s="15" t="s">
        <v>2045</v>
      </c>
      <c r="R70" s="64" t="s">
        <v>336</v>
      </c>
      <c r="S70" s="119" t="s">
        <v>2170</v>
      </c>
      <c r="T70" s="15" t="s">
        <v>2047</v>
      </c>
      <c r="U70" s="64" t="s">
        <v>336</v>
      </c>
      <c r="Y70" s="104" t="s">
        <v>2056</v>
      </c>
      <c r="Z70" s="15" t="s">
        <v>2051</v>
      </c>
      <c r="AA70" s="15" t="s">
        <v>2052</v>
      </c>
      <c r="AB70" s="15" t="s">
        <v>2053</v>
      </c>
      <c r="AC70" s="104" t="s">
        <v>2061</v>
      </c>
      <c r="AD70" s="104" t="s">
        <v>2082</v>
      </c>
      <c r="AR70" s="28" t="b">
        <f t="shared" si="292"/>
        <v>1</v>
      </c>
      <c r="AS70" s="29" t="str">
        <f t="shared" si="200"/>
        <v>title: "Shrine of Our Lady of Martyrs (National Shrine of the North American Martyrs)"</v>
      </c>
      <c r="AT70" s="29" t="str">
        <f t="shared" si="293"/>
        <v>location: {lat: 42.9249911, lng: -74.3022492}</v>
      </c>
      <c r="AU70" s="29" t="str">
        <f t="shared" si="201"/>
        <v>level: regional</v>
      </c>
      <c r="AV70" s="29" t="str">
        <f>"- "&amp;VLOOKUP(B70,'(Ref) Countries'!A:C,3,)</f>
        <v>- usa
- new-york</v>
      </c>
      <c r="AW70" s="29" t="str">
        <f t="shared" si="294"/>
        <v/>
      </c>
      <c r="AX70" s="29" t="str">
        <f t="shared" si="295"/>
        <v>- churches</v>
      </c>
      <c r="AY70" s="29" t="str">
        <f t="shared" si="296"/>
        <v/>
      </c>
      <c r="AZ70" s="29" t="str">
        <f t="shared" si="297"/>
        <v>- holy-persons</v>
      </c>
      <c r="BA70" s="29" t="str">
        <f t="shared" ref="BA70" si="368">IF(LEN(Y70)&gt;0,"- "&amp;Y70,"")</f>
        <v>- canadian-martyrs</v>
      </c>
      <c r="BB70" s="29" t="str">
        <f t="shared" ref="BB70" si="369">IF(LEN(Z70)&gt;0,"- "&amp;Z70,"")</f>
        <v>- kateri-tekakwitha</v>
      </c>
      <c r="BC70" s="29" t="str">
        <f t="shared" ref="BC70" si="370">IF(LEN(AA70)&gt;0,"- "&amp;AA70,"")</f>
        <v>- isaac-jogues</v>
      </c>
      <c r="BD70" s="29" t="str">
        <f t="shared" ref="BD70" si="371">IF(LEN(AB70)&gt;0,"- "&amp;AB70,"")</f>
        <v>- rene-goupil</v>
      </c>
      <c r="BE70" s="29" t="str">
        <f t="shared" ref="BE70" si="372">IF(LEN(AC70)&gt;0,"- "&amp;AC70,"")</f>
        <v>- jean-de-lalande</v>
      </c>
      <c r="BF70" s="29" t="str">
        <f t="shared" ref="BF70" si="373">IF(LEN(AD70)&gt;0,"- "&amp;AD70,"")</f>
        <v>- jesuits</v>
      </c>
      <c r="BG70" s="29" t="str">
        <f t="shared" ref="BG70" si="374">IF(LEN(AE70)&gt;0,"- "&amp;AE70,"")</f>
        <v/>
      </c>
      <c r="BH70" s="29" t="str">
        <f t="shared" ref="BH70" si="375">IF(LEN(AF70)&gt;0,"- "&amp;AF70,"")</f>
        <v/>
      </c>
      <c r="BI70" s="29" t="str">
        <f t="shared" ref="BI70" si="376">IF(LEN(AG70)&gt;0,"- "&amp;AG70,"")</f>
        <v/>
      </c>
      <c r="BJ70" s="29" t="str">
        <f t="shared" ref="BJ70" si="377">IF(LEN(AH70)&gt;0,"- "&amp;AH70,"")</f>
        <v/>
      </c>
      <c r="BK70" s="29" t="str">
        <f t="shared" ref="BK70" si="378">"tags:"&amp;CHAR(10)&amp;concatl(AV70:BJ70)</f>
        <v xml:space="preserve">tags:
- usa
- new-york_x000D_
- churches_x000D_
- holy-persons_x000D_
- canadian-martyrs_x000D_
- kateri-tekakwitha_x000D_
- isaac-jogues_x000D_
- rene-goupil_x000D_
- jean-de-lalande_x000D_
- jesuits_x000D_
</v>
      </c>
      <c r="BL70" s="29" t="str">
        <f t="shared" si="309"/>
        <v>[Official site](https://www.ourladyofmartyrsshrine.org/)</v>
      </c>
      <c r="BM70" s="29" t="str">
        <f t="shared" si="310"/>
        <v>[Article from Catholic World Report](https://www.catholicworldreport.com/2023/04/07/visiting-el-santuario-de-chimayo-the-most-popular-pilgrimage-site-in-america/)</v>
      </c>
      <c r="BN70" s="29" t="str">
        <f t="shared" si="311"/>
        <v>[Story of the shrine on the podcast *That's the Word*](https://thunderrock.org/story-extras/take-the-hint)</v>
      </c>
      <c r="BO70" s="29" t="str">
        <f t="shared" si="312"/>
        <v/>
      </c>
      <c r="BP70" s="29" t="str">
        <f t="shared" ref="BP70" si="379">IF(LEN(BL70)&gt;0,"* "&amp;BL70&amp;CHAR(10),"")&amp;
IF(LEN(BM70)&gt;0,"* "&amp;BM70&amp;CHAR(10),"")&amp;
IF(LEN(BN70)&gt;0,"* "&amp;BN70&amp;CHAR(10),"")&amp;
IF(LEN(BO70)&gt;0,"* "&amp;BO70&amp;CHAR(10),"")</f>
        <v xml:space="preserve">* [Official site](https://www.ourladyofmartyrsshrine.org/)
* [Article from Catholic World Report](https://www.catholicworldreport.com/2023/04/07/visiting-el-santuario-de-chimayo-the-most-popular-pilgrimage-site-in-america/)
* [Story of the shrine on the podcast *That's the Word*](https://thunderrock.org/story-extras/take-the-hint)
</v>
      </c>
      <c r="BQ70" s="29" t="str">
        <f t="shared" si="314"/>
        <v/>
      </c>
      <c r="BR70" s="29" t="str">
        <f t="shared" si="315"/>
        <v/>
      </c>
      <c r="BS70" s="29" t="str">
        <f t="shared" si="316"/>
        <v/>
      </c>
      <c r="BT70" s="29" t="str">
        <f>IF(LEN(concat(BQ70:BS70))&gt;0,concat("| ",BQ70," | ",BR70," | ",BS70," |"),"")</f>
        <v/>
      </c>
      <c r="BU70" s="29" t="str">
        <f t="shared" si="317"/>
        <v/>
      </c>
      <c r="BV70" s="29" t="str">
        <f>IF(LEN(BP70&amp;BU70)&gt;0,concatll("#### More Information",BP70,BU70),"")</f>
        <v xml:space="preserve">#### More Information_x000D_
_x000D_
* [Official site](https://www.ourladyofmartyrsshrine.org/)
* [Article from Catholic World Report](https://www.catholicworldreport.com/2023/04/07/visiting-el-santuario-de-chimayo-the-most-popular-pilgrimage-site-in-america/)
* [Story of the shrine on the podcast *That's the Word*](https://thunderrock.org/story-extras/take-the-hint)
_x000D_
_x000D_
</v>
      </c>
      <c r="BW70" s="29" t="str">
        <f>IF(LEN(M70)&gt;1,concatll("#### Author's Note",M70),"")</f>
        <v/>
      </c>
      <c r="BX70" s="23" t="str">
        <f>IF(AR70,concatll(concatl("---",AS70:AU70,BK70,"---"),L70,BV70:BW70),"")</f>
        <v xml:space="preserve">---_x000D_
title: "Shrine of Our Lady of Martyrs (National Shrine of the North American Martyrs)"_x000D_
location: {lat: 42.9249911, lng: -74.3022492}_x000D_
level: regional_x000D_
tags:
- usa
- new-york_x000D_
- churches_x000D_
- holy-persons_x000D_
- canadian-martyrs_x000D_
- kateri-tekakwitha_x000D_
- isaac-jogues_x000D_
- rene-goupil_x000D_
- jean-de-lalande_x000D_
- jesuits_x000D_
_x000D_
---_x000D_
_x000D_
_x000D_
Built on the site of the Mohawk village of Ossernenon, where Sts. Isaac Jogues, Rene Goupil, and Jean de Lalande were martyred, and where St. Kateri Tekakwitha was born._x000D_
_x000D_
#### More Information_x000D_
_x000D_
* [Official site](https://www.ourladyofmartyrsshrine.org/)
* [Article from Catholic World Report](https://www.catholicworldreport.com/2023/04/07/visiting-el-santuario-de-chimayo-the-most-popular-pilgrimage-site-in-america/)
* [Story of the shrine on the podcast *That's the Word*](https://thunderrock.org/story-extras/take-the-hint)
_x000D_
_x000D_
_x000D_
_x000D_
</v>
      </c>
      <c r="BY70" s="31" t="str">
        <f>IF(AR70,VLOOKUP(B70,'(Ref) Countries'!A:B,2,)&amp;IF(LEN(C70)&gt;1,"-"&amp;LOWER(SUBSTITUTE(C70," ","-")),"")&amp;"-"&amp;LOWER(SUBSTITUTE(G70," ","-"))&amp;".md","")</f>
        <v>us_ny-shrine-of-our-lady-of-martyrs.md</v>
      </c>
      <c r="BZ70" s="29" t="str">
        <f>IF(LEN(Y70)&gt;1,VLOOKUP(Y70,'Tag List'!$A:$B,2,),"")</f>
        <v>Canadian Martyrs</v>
      </c>
      <c r="CA70" s="29" t="str">
        <f>IF(LEN(Z70)&gt;1,VLOOKUP(Z70,'Tag List'!$A:$B,2,),"")</f>
        <v>St. Kateri Tekakwitha</v>
      </c>
      <c r="CB70" s="29" t="str">
        <f>IF(LEN(AA70)&gt;1,VLOOKUP(AA70,'Tag List'!$A:$B,2,),"")</f>
        <v>St. Isaac Jogues, SJ</v>
      </c>
      <c r="CC70" s="29" t="str">
        <f>IF(LEN(Y70)&gt;1,GetTagPage(BZ70,Y70),"")</f>
        <v>[Canadian Martyrs](/tags/canadian-martyrs)</v>
      </c>
      <c r="CD70" s="29" t="str">
        <f>IF(LEN(Z70)&gt;1,GetTagPage(CA70,Z70),"")</f>
        <v>[St. Kateri Tekakwitha](/tags/kateri-tekakwitha)</v>
      </c>
      <c r="CE70" s="29" t="str">
        <f>IF(LEN(AA70)&gt;1,GetTagPage(CB70,AA70),"")</f>
        <v>[St. Isaac Jogues, SJ](/tags/isaac-jogues)</v>
      </c>
      <c r="CF70" s="29" t="str">
        <f t="shared" ref="CF70" si="380">"|"&amp;IF(LEN(CC70)&gt;1," "&amp;CC70,"")&amp;IF(LEN(CD70)&gt;1,", "&amp;CD70,"")&amp;IF(LEN(CE70)&gt;1,", "&amp;CE70,"")&amp;" "</f>
        <v xml:space="preserve">| [Canadian Martyrs](/tags/canadian-martyrs), [St. Kateri Tekakwitha](/tags/kateri-tekakwitha), [St. Isaac Jogues, SJ](/tags/isaac-jogues) </v>
      </c>
      <c r="CG70" s="29" t="str">
        <f t="shared" si="319"/>
        <v xml:space="preserve">| [](/places/us_ny-shrine-of-our-lady-of-martyrs) </v>
      </c>
      <c r="CH70" s="29" t="str">
        <f>"| "&amp;IF(AR70,GetTagPage(B70,VLOOKUP(B70,'(Ref) Countries'!A:C,3,)),B70)&amp; " "</f>
        <v xml:space="preserve">| [US New York](/tags/usa
- new-york) </v>
      </c>
      <c r="CI70" s="29" t="str">
        <f t="shared" si="320"/>
        <v xml:space="preserve">|  </v>
      </c>
      <c r="CJ70" s="29" t="str">
        <f t="shared" ref="CJ70" si="381">"|"&amp;IF(AR70," [Link](/places/"&amp;SUBSTITUTE(BY70,".md","")&amp;")","")&amp;" "</f>
        <v xml:space="preserve">| [Link](/places/us_ny-shrine-of-our-lady-of-martyrs) </v>
      </c>
      <c r="CK70" s="29" t="str">
        <f t="shared" ref="CK70" si="382">"
"&amp;CG70&amp;CH70&amp;CI70&amp;CJ70&amp;BL70&amp;BQ70&amp;BR70&amp;BS70&amp;CF70&amp;"|"</f>
        <v xml:space="preserve">
| [](/places/us_ny-shrine-of-our-lady-of-martyrs) | [US New York](/tags/usa
- new-york) |  | [Link](/places/us_ny-shrine-of-our-lady-of-martyrs) [Official site](https://www.ourladyofmartyrsshrine.org/)| [Canadian Martyrs](/tags/canadian-martyrs), [St. Kateri Tekakwitha](/tags/kateri-tekakwitha), [St. Isaac Jogues, SJ](/tags/isaac-jogues) |</v>
      </c>
    </row>
    <row r="71" spans="1:89" ht="25.5" x14ac:dyDescent="0.25">
      <c r="A71" s="14" t="s">
        <v>1322</v>
      </c>
      <c r="B71" s="96" t="s">
        <v>1960</v>
      </c>
      <c r="C71" s="104" t="s">
        <v>2064</v>
      </c>
      <c r="D71" s="15">
        <v>32.750999999999998</v>
      </c>
      <c r="E71" s="49">
        <v>-96.8159986</v>
      </c>
      <c r="F71" s="96" t="s">
        <v>2065</v>
      </c>
      <c r="G71" s="103" t="s">
        <v>2066</v>
      </c>
      <c r="H71" s="104" t="s">
        <v>1835</v>
      </c>
      <c r="I71" s="15" t="b">
        <v>1</v>
      </c>
      <c r="L71" s="24" t="s">
        <v>2067</v>
      </c>
      <c r="N71" s="104" t="s">
        <v>2079</v>
      </c>
      <c r="O71" s="107" t="s">
        <v>336</v>
      </c>
      <c r="P71" s="108" t="s">
        <v>2078</v>
      </c>
      <c r="Q71" s="15" t="s">
        <v>2068</v>
      </c>
      <c r="R71" s="106" t="s">
        <v>336</v>
      </c>
      <c r="AR71" s="28" t="b">
        <f t="shared" si="292"/>
        <v>1</v>
      </c>
      <c r="AS71" s="29" t="str">
        <f t="shared" si="200"/>
        <v>title: "Blessed Sacrament Catholic Church, Dallas, TX"</v>
      </c>
      <c r="AT71" s="29" t="str">
        <f t="shared" si="293"/>
        <v>location: {lat: 32.751, lng: -96.8159986}</v>
      </c>
      <c r="AU71" s="29" t="str">
        <f t="shared" si="201"/>
        <v>level: local</v>
      </c>
      <c r="AV71" s="29" t="str">
        <f>"- "&amp;VLOOKUP(B71,'(Ref) Countries'!A:C,3,)</f>
        <v>- usa
- texas</v>
      </c>
      <c r="AW71" s="29" t="str">
        <f t="shared" si="294"/>
        <v>- dallas</v>
      </c>
      <c r="AX71" s="29" t="str">
        <f t="shared" si="295"/>
        <v>- churches</v>
      </c>
      <c r="AY71" s="29" t="str">
        <f t="shared" si="296"/>
        <v/>
      </c>
      <c r="AZ71" s="29" t="str">
        <f t="shared" si="297"/>
        <v/>
      </c>
      <c r="BA71" s="29" t="str">
        <f t="shared" ref="BA71" si="383">IF(LEN(Y71)&gt;0,"- "&amp;Y71,"")</f>
        <v/>
      </c>
      <c r="BB71" s="29" t="str">
        <f t="shared" ref="BB71" si="384">IF(LEN(Z71)&gt;0,"- "&amp;Z71,"")</f>
        <v/>
      </c>
      <c r="BC71" s="29" t="str">
        <f t="shared" ref="BC71" si="385">IF(LEN(AA71)&gt;0,"- "&amp;AA71,"")</f>
        <v/>
      </c>
      <c r="BD71" s="29" t="str">
        <f t="shared" ref="BD71" si="386">IF(LEN(AB71)&gt;0,"- "&amp;AB71,"")</f>
        <v/>
      </c>
      <c r="BE71" s="29" t="str">
        <f t="shared" ref="BE71" si="387">IF(LEN(AC71)&gt;0,"- "&amp;AC71,"")</f>
        <v/>
      </c>
      <c r="BF71" s="29" t="str">
        <f t="shared" ref="BF71" si="388">IF(LEN(AD71)&gt;0,"- "&amp;AD71,"")</f>
        <v/>
      </c>
      <c r="BG71" s="29" t="str">
        <f t="shared" ref="BG71" si="389">IF(LEN(AE71)&gt;0,"- "&amp;AE71,"")</f>
        <v/>
      </c>
      <c r="BH71" s="29" t="str">
        <f t="shared" ref="BH71" si="390">IF(LEN(AF71)&gt;0,"- "&amp;AF71,"")</f>
        <v/>
      </c>
      <c r="BI71" s="29" t="str">
        <f t="shared" ref="BI71" si="391">IF(LEN(AG71)&gt;0,"- "&amp;AG71,"")</f>
        <v/>
      </c>
      <c r="BJ71" s="29" t="str">
        <f t="shared" ref="BJ71" si="392">IF(LEN(AH71)&gt;0,"- "&amp;AH71,"")</f>
        <v/>
      </c>
      <c r="BK71" s="29" t="str">
        <f t="shared" ref="BK71" si="393">"tags:"&amp;CHAR(10)&amp;concatl(AV71:BJ71)</f>
        <v xml:space="preserve">tags:
- usa
- texas_x000D_
- dallas_x000D_
- churches_x000D_
</v>
      </c>
      <c r="BL71" s="29" t="str">
        <f t="shared" si="309"/>
        <v>[Official site](https://www.bsdallas.org/)</v>
      </c>
      <c r="BM71" s="29" t="str">
        <f t="shared" si="310"/>
        <v>[Parish history](https://www.bsdallas.org/about-our-parish)</v>
      </c>
      <c r="BN71" s="29" t="str">
        <f t="shared" si="311"/>
        <v/>
      </c>
      <c r="BO71" s="29" t="str">
        <f t="shared" si="312"/>
        <v/>
      </c>
      <c r="BP71" s="29" t="str">
        <f t="shared" ref="BP71" si="394">IF(LEN(BL71)&gt;0,"* "&amp;BL71&amp;CHAR(10),"")&amp;
IF(LEN(BM71)&gt;0,"* "&amp;BM71&amp;CHAR(10),"")&amp;
IF(LEN(BN71)&gt;0,"* "&amp;BN71&amp;CHAR(10),"")&amp;
IF(LEN(BO71)&gt;0,"* "&amp;BO71&amp;CHAR(10),"")</f>
        <v xml:space="preserve">* [Official site](https://www.bsdallas.org/)
* [Parish history](https://www.bsdallas.org/about-our-parish)
</v>
      </c>
      <c r="BQ71" s="29" t="str">
        <f t="shared" si="314"/>
        <v/>
      </c>
      <c r="BR71" s="29" t="str">
        <f t="shared" si="315"/>
        <v/>
      </c>
      <c r="BS71" s="29" t="str">
        <f t="shared" si="316"/>
        <v/>
      </c>
      <c r="BT71" s="29" t="str">
        <f>IF(LEN(concat(BQ71:BS71))&gt;0,concat("| ",BQ71," | ",BR71," | ",BS71," |"),"")</f>
        <v/>
      </c>
      <c r="BU71" s="29" t="str">
        <f t="shared" si="317"/>
        <v/>
      </c>
      <c r="BV71" s="29" t="str">
        <f>IF(LEN(BP71&amp;BU71)&gt;0,concatll("#### More Information",BP71,BU71),"")</f>
        <v xml:space="preserve">#### More Information_x000D_
_x000D_
* [Official site](https://www.bsdallas.org/)
* [Parish history](https://www.bsdallas.org/about-our-parish)
_x000D_
_x000D_
</v>
      </c>
      <c r="BW71" s="29" t="str">
        <f>IF(LEN(M71)&gt;1,concatll("#### Author's Note",M71),"")</f>
        <v/>
      </c>
      <c r="BX71" s="23" t="str">
        <f>IF(AR71,concatll(concatl("---",AS71:AU71,BK71,"---"),L71,BV71:BW71),"")</f>
        <v xml:space="preserve">---_x000D_
title: "Blessed Sacrament Catholic Church, Dallas, TX"_x000D_
location: {lat: 32.751, lng: -96.8159986}_x000D_
level: local_x000D_
tags:
- usa
- texas_x000D_
- dallas_x000D_
- churches_x000D_
_x000D_
---_x000D_
_x000D_
_x000D_
Second oldest parish in the city of Dallas, but established when Oak Cliff was a separate city._x000D_
_x000D_
#### More Information_x000D_
_x000D_
* [Official site](https://www.bsdallas.org/)
* [Parish history](https://www.bsdallas.org/about-our-parish)
_x000D_
_x000D_
_x000D_
_x000D_
</v>
      </c>
      <c r="BY71" s="31" t="str">
        <f>IF(AR71,VLOOKUP(B71,'(Ref) Countries'!A:B,2,)&amp;IF(LEN(C71)&gt;1,"-"&amp;LOWER(SUBSTITUTE(C71," ","-")),"")&amp;"-"&amp;LOWER(SUBSTITUTE(G71," ","-"))&amp;".md","")</f>
        <v>us_tx-dallas-blessed-sacrament.md</v>
      </c>
      <c r="BZ71" s="29" t="str">
        <f>IF(LEN(Y71)&gt;1,VLOOKUP(Y71,'Tag List'!$A:$B,2,),"")</f>
        <v/>
      </c>
      <c r="CA71" s="29" t="str">
        <f>IF(LEN(Z71)&gt;1,VLOOKUP(Z71,'Tag List'!$A:$B,2,),"")</f>
        <v/>
      </c>
      <c r="CB71" s="29" t="str">
        <f>IF(LEN(AA71)&gt;1,VLOOKUP(AA71,'Tag List'!$A:$B,2,),"")</f>
        <v/>
      </c>
      <c r="CC71" s="29" t="str">
        <f>IF(LEN(Y71)&gt;1,GetTagPage(BZ71,Y71),"")</f>
        <v/>
      </c>
      <c r="CD71" s="29" t="str">
        <f>IF(LEN(Z71)&gt;1,GetTagPage(CA71,Z71),"")</f>
        <v/>
      </c>
      <c r="CE71" s="29" t="str">
        <f>IF(LEN(AA71)&gt;1,GetTagPage(CB71,AA71),"")</f>
        <v/>
      </c>
      <c r="CF71" s="29" t="str">
        <f t="shared" ref="CF71" si="395">"|"&amp;IF(LEN(CC71)&gt;1," "&amp;CC71,"")&amp;IF(LEN(CD71)&gt;1,", "&amp;CD71,"")&amp;IF(LEN(CE71)&gt;1,", "&amp;CE71,"")&amp;" "</f>
        <v xml:space="preserve">| </v>
      </c>
      <c r="CG71" s="29" t="str">
        <f t="shared" si="319"/>
        <v xml:space="preserve">| [](/places/us_tx-dallas-blessed-sacrament) </v>
      </c>
      <c r="CH71" s="29" t="str">
        <f>"| "&amp;IF(AR71,GetTagPage(B71,VLOOKUP(B71,'(Ref) Countries'!A:C,3,)),B71)&amp; " "</f>
        <v xml:space="preserve">| [US Texas](/tags/usa
- texas) </v>
      </c>
      <c r="CI71" s="29" t="str">
        <f t="shared" si="320"/>
        <v xml:space="preserve">|  </v>
      </c>
      <c r="CJ71" s="29" t="str">
        <f t="shared" ref="CJ71" si="396">"|"&amp;IF(AR71," [Link](/places/"&amp;SUBSTITUTE(BY71,".md","")&amp;")","")&amp;" "</f>
        <v xml:space="preserve">| [Link](/places/us_tx-dallas-blessed-sacrament) </v>
      </c>
      <c r="CK71" s="29" t="str">
        <f t="shared" ref="CK71" si="397">"
"&amp;CG71&amp;CH71&amp;CI71&amp;CJ71&amp;BL71&amp;BQ71&amp;BR71&amp;BS71&amp;CF71&amp;"|"</f>
        <v xml:space="preserve">
| [](/places/us_tx-dallas-blessed-sacrament) | [US Texas](/tags/usa
- texas) |  | [Link](/places/us_tx-dallas-blessed-sacrament) [Official site](https://www.bsdallas.org/)| |</v>
      </c>
    </row>
    <row r="72" spans="1:89" ht="102" x14ac:dyDescent="0.25">
      <c r="A72" s="14" t="s">
        <v>1322</v>
      </c>
      <c r="B72" s="24" t="s">
        <v>1960</v>
      </c>
      <c r="C72" s="15" t="s">
        <v>2064</v>
      </c>
      <c r="D72" s="15">
        <v>32.788515199999999</v>
      </c>
      <c r="E72" s="49">
        <v>-96.797780700000004</v>
      </c>
      <c r="F72" s="96" t="s">
        <v>2070</v>
      </c>
      <c r="G72" s="103" t="s">
        <v>2071</v>
      </c>
      <c r="H72" s="15" t="s">
        <v>1835</v>
      </c>
      <c r="I72" s="15" t="b">
        <v>1</v>
      </c>
      <c r="L72" s="96" t="s">
        <v>2069</v>
      </c>
      <c r="M72" s="103" t="s">
        <v>2072</v>
      </c>
      <c r="N72" s="15" t="s">
        <v>2073</v>
      </c>
      <c r="O72" s="107" t="s">
        <v>336</v>
      </c>
      <c r="AR72" s="28" t="b">
        <f t="shared" si="292"/>
        <v>1</v>
      </c>
      <c r="AS72" s="29" t="str">
        <f t="shared" ref="AS72:AS81" si="398">"title: """&amp;F72&amp;""""</f>
        <v>title: "National Shrine Cathedral of Our Lady of Guadalupe, Dallas, TX"</v>
      </c>
      <c r="AT72" s="29" t="str">
        <f t="shared" si="293"/>
        <v>location: {lat: 32.7885152, lng: -96.7977807}</v>
      </c>
      <c r="AU72" s="29" t="str">
        <f t="shared" ref="AU72:AU81" si="399">"level: "&amp;H72</f>
        <v>level: local</v>
      </c>
      <c r="AV72" s="29" t="str">
        <f>"- "&amp;VLOOKUP(B72,'(Ref) Countries'!A:C,3,)</f>
        <v>- usa
- texas</v>
      </c>
      <c r="AW72" s="29" t="str">
        <f t="shared" si="294"/>
        <v>- dallas</v>
      </c>
      <c r="AX72" s="29" t="str">
        <f t="shared" si="295"/>
        <v>- churches</v>
      </c>
      <c r="AY72" s="29" t="str">
        <f t="shared" si="296"/>
        <v/>
      </c>
      <c r="AZ72" s="29" t="str">
        <f t="shared" si="297"/>
        <v/>
      </c>
      <c r="BA72" s="29" t="str">
        <f t="shared" ref="BA72:BA81" si="400">IF(LEN(Y72)&gt;0,"- "&amp;Y72,"")</f>
        <v/>
      </c>
      <c r="BB72" s="29" t="str">
        <f t="shared" ref="BB72:BB81" si="401">IF(LEN(Z72)&gt;0,"- "&amp;Z72,"")</f>
        <v/>
      </c>
      <c r="BC72" s="29" t="str">
        <f t="shared" ref="BC72:BC81" si="402">IF(LEN(AA72)&gt;0,"- "&amp;AA72,"")</f>
        <v/>
      </c>
      <c r="BD72" s="29" t="str">
        <f t="shared" ref="BD72:BD81" si="403">IF(LEN(AB72)&gt;0,"- "&amp;AB72,"")</f>
        <v/>
      </c>
      <c r="BE72" s="29" t="str">
        <f t="shared" ref="BE72:BE81" si="404">IF(LEN(AC72)&gt;0,"- "&amp;AC72,"")</f>
        <v/>
      </c>
      <c r="BF72" s="29" t="str">
        <f t="shared" ref="BF72:BF81" si="405">IF(LEN(AD72)&gt;0,"- "&amp;AD72,"")</f>
        <v/>
      </c>
      <c r="BG72" s="29" t="str">
        <f t="shared" ref="BG72:BG81" si="406">IF(LEN(AE72)&gt;0,"- "&amp;AE72,"")</f>
        <v/>
      </c>
      <c r="BH72" s="29" t="str">
        <f t="shared" ref="BH72:BH81" si="407">IF(LEN(AF72)&gt;0,"- "&amp;AF72,"")</f>
        <v/>
      </c>
      <c r="BI72" s="29" t="str">
        <f t="shared" ref="BI72:BI81" si="408">IF(LEN(AG72)&gt;0,"- "&amp;AG72,"")</f>
        <v/>
      </c>
      <c r="BJ72" s="29" t="str">
        <f t="shared" ref="BJ72:BJ81" si="409">IF(LEN(AH72)&gt;0,"- "&amp;AH72,"")</f>
        <v/>
      </c>
      <c r="BK72" s="29" t="str">
        <f t="shared" ref="BK72:BK81" si="410">"tags:"&amp;CHAR(10)&amp;concatl(AV72:BJ72)</f>
        <v xml:space="preserve">tags:
- usa
- texas_x000D_
- dallas_x000D_
- churches_x000D_
</v>
      </c>
      <c r="BL72" s="29" t="str">
        <f t="shared" si="309"/>
        <v>[Official site](https://www.cathdal.org/cathedral)</v>
      </c>
      <c r="BM72" s="29" t="str">
        <f t="shared" si="310"/>
        <v/>
      </c>
      <c r="BN72" s="29" t="str">
        <f t="shared" si="311"/>
        <v/>
      </c>
      <c r="BO72" s="29" t="str">
        <f t="shared" si="312"/>
        <v/>
      </c>
      <c r="BP72" s="29" t="str">
        <f t="shared" ref="BP72:BP81" si="411">IF(LEN(BL72)&gt;0,"* "&amp;BL72&amp;CHAR(10),"")&amp;
IF(LEN(BM72)&gt;0,"* "&amp;BM72&amp;CHAR(10),"")&amp;
IF(LEN(BN72)&gt;0,"* "&amp;BN72&amp;CHAR(10),"")&amp;
IF(LEN(BO72)&gt;0,"* "&amp;BO72&amp;CHAR(10),"")</f>
        <v xml:space="preserve">* [Official site](https://www.cathdal.org/cathedral)
</v>
      </c>
      <c r="BQ72" s="29" t="str">
        <f t="shared" si="314"/>
        <v/>
      </c>
      <c r="BR72" s="29" t="str">
        <f t="shared" si="315"/>
        <v/>
      </c>
      <c r="BS72" s="29" t="str">
        <f t="shared" si="316"/>
        <v/>
      </c>
      <c r="BT72" s="29" t="str">
        <f>IF(LEN(concat(BQ72:BS72))&gt;0,concat("| ",BQ72," | ",BR72," | ",BS72," |"),"")</f>
        <v/>
      </c>
      <c r="BU72" s="29" t="str">
        <f t="shared" si="317"/>
        <v/>
      </c>
      <c r="BV72" s="29" t="str">
        <f>IF(LEN(BP72&amp;BU72)&gt;0,concatll("#### More Information",BP72,BU72),"")</f>
        <v xml:space="preserve">#### More Information_x000D_
_x000D_
* [Official site](https://www.cathdal.org/cathedral)
_x000D_
_x000D_
</v>
      </c>
      <c r="BW72" s="29" t="str">
        <f>IF(LEN(M72)&gt;1,concatll("#### Author's Note",M72),"")</f>
        <v xml:space="preserve">#### Author's Note_x000D_
_x000D_
The original altarpiece appears to be lost forever.  It was removed in the 1960's by the Carmelite fathers who staffed the parish at the time.  The official story is that it was so badly damaged by termites that it had to be trashed.  Some say that it wasn't eaten by termites, but by Carmelites.
- JPY_x000D_
_x000D_
</v>
      </c>
      <c r="BX72" s="23" t="str">
        <f>IF(AR72,concatll(concatl("---",AS72:AU72,BK72,"---"),L72,BV72:BW72),"")</f>
        <v xml:space="preserve">---_x000D_
title: "National Shrine Cathedral of Our Lady of Guadalupe, Dallas, TX"_x000D_
location: {lat: 32.7885152, lng: -96.7977807}_x000D_
level: local_x000D_
tags:
- usa
- texas_x000D_
- dallas_x000D_
- churches_x000D_
_x000D_
---_x000D_
_x000D_
_x000D_
Originally dedicated to the Sacred Heart, this parish is the oldest in the city of Dallas.  The parish merged with Our Lady of Guadalupe in the Little Mexico neighborhood (now Harwood) in 1965, and in 1977 the Cathedral was renamed in honor of Our Lady of Guadalupe.
In 2023 the cathedral was elevated to a National Shrine by the US Conference fo Catholic Bishops._x000D_
_x000D_
#### More Information_x000D_
_x000D_
* [Official site](https://www.cathdal.org/cathedral)
_x000D_
_x000D_
_x000D_
_x000D_
#### Author's Note_x000D_
_x000D_
The original altarpiece appears to be lost forever.  It was removed in the 1960's by the Carmelite fathers who staffed the parish at the time.  The official story is that it was so badly damaged by termites that it had to be trashed.  Some say that it wasn't eaten by termites, but by Carmelites.
- JPY_x000D_
_x000D_
_x000D_
_x000D_
</v>
      </c>
      <c r="BY72" s="31" t="str">
        <f>IF(AR72,VLOOKUP(B72,'(Ref) Countries'!A:B,2,)&amp;IF(LEN(C72)&gt;1,"-"&amp;LOWER(SUBSTITUTE(C72," ","-")),"")&amp;"-"&amp;LOWER(SUBSTITUTE(G72," ","-"))&amp;".md","")</f>
        <v>us_tx-dallas-guadalupe-cathedral.md</v>
      </c>
      <c r="BZ72" s="29" t="str">
        <f>IF(LEN(Y72)&gt;1,VLOOKUP(Y72,'Tag List'!$A:$B,2,),"")</f>
        <v/>
      </c>
      <c r="CA72" s="29" t="str">
        <f>IF(LEN(Z72)&gt;1,VLOOKUP(Z72,'Tag List'!$A:$B,2,),"")</f>
        <v/>
      </c>
      <c r="CB72" s="29" t="str">
        <f>IF(LEN(AA72)&gt;1,VLOOKUP(AA72,'Tag List'!$A:$B,2,),"")</f>
        <v/>
      </c>
      <c r="CC72" s="29" t="str">
        <f>IF(LEN(Y72)&gt;1,GetTagPage(BZ72,Y72),"")</f>
        <v/>
      </c>
      <c r="CD72" s="29" t="str">
        <f>IF(LEN(Z72)&gt;1,GetTagPage(CA72,Z72),"")</f>
        <v/>
      </c>
      <c r="CE72" s="29" t="str">
        <f>IF(LEN(AA72)&gt;1,GetTagPage(CB72,AA72),"")</f>
        <v/>
      </c>
      <c r="CF72" s="29" t="str">
        <f t="shared" ref="CF72:CF81" si="412">"|"&amp;IF(LEN(CC72)&gt;1," "&amp;CC72,"")&amp;IF(LEN(CD72)&gt;1,", "&amp;CD72,"")&amp;IF(LEN(CE72)&gt;1,", "&amp;CE72,"")&amp;" "</f>
        <v xml:space="preserve">| </v>
      </c>
      <c r="CG72" s="29" t="str">
        <f t="shared" si="319"/>
        <v xml:space="preserve">| [](/places/us_tx-dallas-guadalupe-cathedral) </v>
      </c>
      <c r="CH72" s="29" t="str">
        <f>"| "&amp;IF(AR72,GetTagPage(B72,VLOOKUP(B72,'(Ref) Countries'!A:C,3,)),B72)&amp; " "</f>
        <v xml:space="preserve">| [US Texas](/tags/usa
- texas) </v>
      </c>
      <c r="CI72" s="29" t="str">
        <f t="shared" si="320"/>
        <v xml:space="preserve">|  </v>
      </c>
      <c r="CJ72" s="29" t="str">
        <f t="shared" ref="CJ72:CJ81" si="413">"|"&amp;IF(AR72," [Link](/places/"&amp;SUBSTITUTE(BY72,".md","")&amp;")","")&amp;" "</f>
        <v xml:space="preserve">| [Link](/places/us_tx-dallas-guadalupe-cathedral) </v>
      </c>
      <c r="CK72" s="29" t="str">
        <f t="shared" ref="CK72:CK81" si="414">"
"&amp;CG72&amp;CH72&amp;CI72&amp;CJ72&amp;BL72&amp;BQ72&amp;BR72&amp;BS72&amp;CF72&amp;"|"</f>
        <v xml:space="preserve">
| [](/places/us_tx-dallas-guadalupe-cathedral) | [US Texas](/tags/usa
- texas) |  | [Link](/places/us_tx-dallas-guadalupe-cathedral) [Official site](https://www.cathdal.org/cathedral)| |</v>
      </c>
    </row>
    <row r="73" spans="1:89" ht="25.5" x14ac:dyDescent="0.25">
      <c r="A73" s="14" t="s">
        <v>1322</v>
      </c>
      <c r="B73" s="24" t="s">
        <v>1960</v>
      </c>
      <c r="C73" s="15" t="s">
        <v>2064</v>
      </c>
      <c r="D73" s="15">
        <v>32.814570799999998</v>
      </c>
      <c r="E73" s="49">
        <v>-96.802842799999993</v>
      </c>
      <c r="F73" s="24" t="s">
        <v>2074</v>
      </c>
      <c r="G73" s="103" t="s">
        <v>2029</v>
      </c>
      <c r="H73" s="15" t="s">
        <v>1835</v>
      </c>
      <c r="I73" s="15" t="b">
        <v>1</v>
      </c>
      <c r="L73" s="96" t="s">
        <v>2075</v>
      </c>
      <c r="N73" s="104" t="s">
        <v>2076</v>
      </c>
      <c r="O73" s="107" t="s">
        <v>336</v>
      </c>
      <c r="P73" s="108" t="s">
        <v>2078</v>
      </c>
      <c r="Q73" s="15" t="s">
        <v>2077</v>
      </c>
      <c r="R73" s="106" t="s">
        <v>336</v>
      </c>
      <c r="Y73" s="104" t="s">
        <v>2080</v>
      </c>
      <c r="AR73" s="28" t="b">
        <f t="shared" si="292"/>
        <v>1</v>
      </c>
      <c r="AS73" s="29" t="str">
        <f t="shared" si="398"/>
        <v>title: "Holy Trinity Catholic Church, Dallas, TX"</v>
      </c>
      <c r="AT73" s="29" t="str">
        <f t="shared" si="293"/>
        <v>location: {lat: 32.8145708, lng: -96.8028428}</v>
      </c>
      <c r="AU73" s="29" t="str">
        <f t="shared" si="399"/>
        <v>level: local</v>
      </c>
      <c r="AV73" s="29" t="str">
        <f>"- "&amp;VLOOKUP(B73,'(Ref) Countries'!A:C,3,)</f>
        <v>- usa
- texas</v>
      </c>
      <c r="AW73" s="29" t="str">
        <f t="shared" si="294"/>
        <v>- dallas</v>
      </c>
      <c r="AX73" s="29" t="str">
        <f t="shared" si="295"/>
        <v>- churches</v>
      </c>
      <c r="AY73" s="29" t="str">
        <f t="shared" si="296"/>
        <v/>
      </c>
      <c r="AZ73" s="29" t="str">
        <f t="shared" si="297"/>
        <v/>
      </c>
      <c r="BA73" s="29" t="str">
        <f t="shared" si="400"/>
        <v>- vincentians</v>
      </c>
      <c r="BB73" s="29" t="str">
        <f t="shared" si="401"/>
        <v/>
      </c>
      <c r="BC73" s="29" t="str">
        <f t="shared" si="402"/>
        <v/>
      </c>
      <c r="BD73" s="29" t="str">
        <f t="shared" si="403"/>
        <v/>
      </c>
      <c r="BE73" s="29" t="str">
        <f t="shared" si="404"/>
        <v/>
      </c>
      <c r="BF73" s="29" t="str">
        <f t="shared" si="405"/>
        <v/>
      </c>
      <c r="BG73" s="29" t="str">
        <f t="shared" si="406"/>
        <v/>
      </c>
      <c r="BH73" s="29" t="str">
        <f t="shared" si="407"/>
        <v/>
      </c>
      <c r="BI73" s="29" t="str">
        <f t="shared" si="408"/>
        <v/>
      </c>
      <c r="BJ73" s="29" t="str">
        <f t="shared" si="409"/>
        <v/>
      </c>
      <c r="BK73" s="29" t="str">
        <f t="shared" si="410"/>
        <v xml:space="preserve">tags:
- usa
- texas_x000D_
- dallas_x000D_
- churches_x000D_
- vincentians_x000D_
</v>
      </c>
      <c r="BL73" s="29" t="str">
        <f t="shared" si="309"/>
        <v>[Official site](https://htccd.org/)</v>
      </c>
      <c r="BM73" s="29" t="str">
        <f t="shared" si="310"/>
        <v>[Parish history](https://htccd.org/history)</v>
      </c>
      <c r="BN73" s="29" t="str">
        <f t="shared" si="311"/>
        <v/>
      </c>
      <c r="BO73" s="29" t="str">
        <f t="shared" si="312"/>
        <v/>
      </c>
      <c r="BP73" s="29" t="str">
        <f t="shared" si="411"/>
        <v xml:space="preserve">* [Official site](https://htccd.org/)
* [Parish history](https://htccd.org/history)
</v>
      </c>
      <c r="BQ73" s="29" t="str">
        <f t="shared" si="314"/>
        <v/>
      </c>
      <c r="BR73" s="29" t="str">
        <f t="shared" si="315"/>
        <v/>
      </c>
      <c r="BS73" s="29" t="str">
        <f t="shared" si="316"/>
        <v/>
      </c>
      <c r="BT73" s="29" t="str">
        <f>IF(LEN(concat(BQ73:BS73))&gt;0,concat("| ",BQ73," | ",BR73," | ",BS73," |"),"")</f>
        <v/>
      </c>
      <c r="BU73" s="29" t="str">
        <f t="shared" si="317"/>
        <v/>
      </c>
      <c r="BV73" s="29" t="str">
        <f>IF(LEN(BP73&amp;BU73)&gt;0,concatll("#### More Information",BP73,BU73),"")</f>
        <v xml:space="preserve">#### More Information_x000D_
_x000D_
* [Official site](https://htccd.org/)
* [Parish history](https://htccd.org/history)
_x000D_
_x000D_
</v>
      </c>
      <c r="BW73" s="29" t="str">
        <f>IF(LEN(M73)&gt;1,concatll("#### Author's Note",M73),"")</f>
        <v/>
      </c>
      <c r="BX73" s="23" t="str">
        <f>IF(AR73,concatll(concatl("---",AS73:AU73,BK73,"---"),L73,BV73:BW73),"")</f>
        <v xml:space="preserve">---_x000D_
title: "Holy Trinity Catholic Church, Dallas, TX"_x000D_
location: {lat: 32.8145708, lng: -96.8028428}_x000D_
level: local_x000D_
tags:
- usa
- texas_x000D_
- dallas_x000D_
- churches_x000D_
- vincentians_x000D_
_x000D_
---_x000D_
_x000D_
_x000D_
Founded and staffed by the Vincentians, who also staffed Trinity College/Dallas University across the street._x000D_
_x000D_
#### More Information_x000D_
_x000D_
* [Official site](https://htccd.org/)
* [Parish history](https://htccd.org/history)
_x000D_
_x000D_
_x000D_
_x000D_
</v>
      </c>
      <c r="BY73" s="31" t="str">
        <f>IF(AR73,VLOOKUP(B73,'(Ref) Countries'!A:B,2,)&amp;IF(LEN(C73)&gt;1,"-"&amp;LOWER(SUBSTITUTE(C73," ","-")),"")&amp;"-"&amp;LOWER(SUBSTITUTE(G73," ","-"))&amp;".md","")</f>
        <v>us_tx-dallas-holy-trinity.md</v>
      </c>
      <c r="BZ73" s="29" t="str">
        <f>IF(LEN(Y73)&gt;1,VLOOKUP(Y73,'Tag List'!$A:$B,2,),"")</f>
        <v>Congregation of the Mission (Vincentians)</v>
      </c>
      <c r="CA73" s="29" t="str">
        <f>IF(LEN(Z73)&gt;1,VLOOKUP(Z73,'Tag List'!$A:$B,2,),"")</f>
        <v/>
      </c>
      <c r="CB73" s="29" t="str">
        <f>IF(LEN(AA73)&gt;1,VLOOKUP(AA73,'Tag List'!$A:$B,2,),"")</f>
        <v/>
      </c>
      <c r="CC73" s="29" t="str">
        <f>IF(LEN(Y73)&gt;1,GetTagPage(BZ73,Y73),"")</f>
        <v>[Congregation of the Mission (Vincentians)](/tags/vincentians)</v>
      </c>
      <c r="CD73" s="29" t="str">
        <f>IF(LEN(Z73)&gt;1,GetTagPage(CA73,Z73),"")</f>
        <v/>
      </c>
      <c r="CE73" s="29" t="str">
        <f>IF(LEN(AA73)&gt;1,GetTagPage(CB73,AA73),"")</f>
        <v/>
      </c>
      <c r="CF73" s="29" t="str">
        <f t="shared" si="412"/>
        <v xml:space="preserve">| [Congregation of the Mission (Vincentians)](/tags/vincentians) </v>
      </c>
      <c r="CG73" s="29" t="str">
        <f t="shared" si="319"/>
        <v xml:space="preserve">| [](/places/us_tx-dallas-holy-trinity) </v>
      </c>
      <c r="CH73" s="29" t="str">
        <f>"| "&amp;IF(AR73,GetTagPage(B73,VLOOKUP(B73,'(Ref) Countries'!A:C,3,)),B73)&amp; " "</f>
        <v xml:space="preserve">| [US Texas](/tags/usa
- texas) </v>
      </c>
      <c r="CI73" s="29" t="str">
        <f t="shared" si="320"/>
        <v xml:space="preserve">|  </v>
      </c>
      <c r="CJ73" s="29" t="str">
        <f t="shared" si="413"/>
        <v xml:space="preserve">| [Link](/places/us_tx-dallas-holy-trinity) </v>
      </c>
      <c r="CK73" s="29" t="str">
        <f t="shared" si="414"/>
        <v xml:space="preserve">
| [](/places/us_tx-dallas-holy-trinity) | [US Texas](/tags/usa
- texas) |  | [Link](/places/us_tx-dallas-holy-trinity) [Official site](https://htccd.org/)| [Congregation of the Mission (Vincentians)](/tags/vincentians) |</v>
      </c>
    </row>
    <row r="74" spans="1:89" ht="127.5" x14ac:dyDescent="0.25">
      <c r="A74" s="14" t="s">
        <v>1322</v>
      </c>
      <c r="B74" s="24" t="s">
        <v>1960</v>
      </c>
      <c r="C74" s="15" t="s">
        <v>2064</v>
      </c>
      <c r="D74" s="15">
        <v>32.792158999999998</v>
      </c>
      <c r="E74" s="49">
        <v>-96.806457199999997</v>
      </c>
      <c r="F74" s="96" t="s">
        <v>2084</v>
      </c>
      <c r="G74" s="103" t="s">
        <v>2085</v>
      </c>
      <c r="H74" s="15" t="s">
        <v>1835</v>
      </c>
      <c r="L74" s="96" t="s">
        <v>2086</v>
      </c>
      <c r="P74" s="108" t="s">
        <v>2100</v>
      </c>
      <c r="Q74" s="104" t="s">
        <v>2087</v>
      </c>
      <c r="R74" s="106" t="s">
        <v>2101</v>
      </c>
      <c r="S74" s="108" t="s">
        <v>2089</v>
      </c>
      <c r="T74" s="15" t="s">
        <v>2088</v>
      </c>
      <c r="U74" s="106" t="s">
        <v>336</v>
      </c>
      <c r="Y74" s="15" t="s">
        <v>2139</v>
      </c>
      <c r="AR74" s="28" t="b">
        <f t="shared" si="292"/>
        <v>1</v>
      </c>
      <c r="AS74" s="29" t="str">
        <f t="shared" si="398"/>
        <v>title: "Old Our Lady of Guadalupe Catholic Church, Dallas, TX"</v>
      </c>
      <c r="AT74" s="29" t="str">
        <f t="shared" si="293"/>
        <v>location: {lat: 32.792159, lng: -96.8064572}</v>
      </c>
      <c r="AU74" s="29" t="str">
        <f t="shared" si="399"/>
        <v>level: local</v>
      </c>
      <c r="AV74" s="29" t="str">
        <f>"- "&amp;VLOOKUP(B74,'(Ref) Countries'!A:C,3,)</f>
        <v>- usa
- texas</v>
      </c>
      <c r="AW74" s="29" t="str">
        <f t="shared" si="294"/>
        <v>- dallas</v>
      </c>
      <c r="AX74" s="29" t="str">
        <f t="shared" si="295"/>
        <v/>
      </c>
      <c r="AY74" s="29" t="str">
        <f t="shared" si="296"/>
        <v/>
      </c>
      <c r="AZ74" s="29" t="str">
        <f t="shared" si="297"/>
        <v/>
      </c>
      <c r="BA74" s="29" t="str">
        <f t="shared" si="400"/>
        <v>- closed</v>
      </c>
      <c r="BB74" s="29" t="str">
        <f t="shared" si="401"/>
        <v/>
      </c>
      <c r="BC74" s="29" t="str">
        <f t="shared" si="402"/>
        <v/>
      </c>
      <c r="BD74" s="29" t="str">
        <f t="shared" si="403"/>
        <v/>
      </c>
      <c r="BE74" s="29" t="str">
        <f t="shared" si="404"/>
        <v/>
      </c>
      <c r="BF74" s="29" t="str">
        <f t="shared" si="405"/>
        <v/>
      </c>
      <c r="BG74" s="29" t="str">
        <f t="shared" si="406"/>
        <v/>
      </c>
      <c r="BH74" s="29" t="str">
        <f t="shared" si="407"/>
        <v/>
      </c>
      <c r="BI74" s="29" t="str">
        <f t="shared" si="408"/>
        <v/>
      </c>
      <c r="BJ74" s="29" t="str">
        <f t="shared" si="409"/>
        <v/>
      </c>
      <c r="BK74" s="29" t="str">
        <f t="shared" si="410"/>
        <v xml:space="preserve">tags:
- usa
- texas_x000D_
- dallas_x000D_
- closed_x000D_
</v>
      </c>
      <c r="BL74" s="29" t="str">
        <f t="shared" si="309"/>
        <v/>
      </c>
      <c r="BM74" s="29" t="str">
        <f t="shared" si="310"/>
        <v>[St. Ann preservation application](https://dallascityhall.com/departments/sustainabledevelopment/historicpreservation/HP%20Documents/Landmark%20Structures/St.%20Anns%20School%20Landmark%20Nomination.pdf) (including section on the church's history)</v>
      </c>
      <c r="BN74" s="29" t="str">
        <f t="shared" si="311"/>
        <v>[About St. Ann restauraunt](https://www.saintanndallas.com/restaurant)</v>
      </c>
      <c r="BO74" s="29" t="str">
        <f t="shared" si="312"/>
        <v/>
      </c>
      <c r="BP74" s="29" t="str">
        <f t="shared" si="411"/>
        <v xml:space="preserve">* [St. Ann preservation application](https://dallascityhall.com/departments/sustainabledevelopment/historicpreservation/HP%20Documents/Landmark%20Structures/St.%20Anns%20School%20Landmark%20Nomination.pdf) (including section on the church's history)
* [About St. Ann restauraunt](https://www.saintanndallas.com/restaurant)
</v>
      </c>
      <c r="BQ74" s="29" t="str">
        <f t="shared" si="314"/>
        <v/>
      </c>
      <c r="BR74" s="29" t="str">
        <f t="shared" si="315"/>
        <v/>
      </c>
      <c r="BS74" s="29" t="str">
        <f t="shared" si="316"/>
        <v/>
      </c>
      <c r="BT74" s="29" t="str">
        <f>IF(LEN(concat(BQ74:BS74))&gt;0,concat("| ",BQ74," | ",BR74," | ",BS74," |"),"")</f>
        <v/>
      </c>
      <c r="BU74" s="29" t="str">
        <f t="shared" si="317"/>
        <v/>
      </c>
      <c r="BV74" s="29" t="str">
        <f>IF(LEN(BP74&amp;BU74)&gt;0,concatll("#### More Information",BP74,BU74),"")</f>
        <v xml:space="preserve">#### More Information_x000D_
_x000D_
* [St. Ann preservation application](https://dallascityhall.com/departments/sustainabledevelopment/historicpreservation/HP%20Documents/Landmark%20Structures/St.%20Anns%20School%20Landmark%20Nomination.pdf) (including section on the church's history)
* [About St. Ann restauraunt](https://www.saintanndallas.com/restaurant)
_x000D_
_x000D_
</v>
      </c>
      <c r="BW74" s="29" t="str">
        <f>IF(LEN(M74)&gt;1,concatll("#### Author's Note",M74),"")</f>
        <v/>
      </c>
      <c r="BX74" s="23" t="str">
        <f>IF(AR74,concatll(concatl("---",AS74:AU74,BK74,"---"),L74,BV74:BW74),"")</f>
        <v xml:space="preserve">---_x000D_
title: "Old Our Lady of Guadalupe Catholic Church, Dallas, TX"_x000D_
location: {lat: 32.792159, lng: -96.8064572}_x000D_
level: local_x000D_
tags:
- usa
- texas_x000D_
- dallas_x000D_
- closed_x000D_
_x000D_
---_x000D_
_x000D_
_x000D_
Established in 1914 in response to the flood of Mexican refugees fleeing the anti-Catholic dictatorship in Mexico, this parish was merged with the cathedral in 1965.  This gentrified neighborhood was once Little Mexico.  All that remains on the site is an image of Our Lady of Gudalaupe.
The church was first served by Vincentians, who staffed Holy Trinity, then by the Carmelites.
St. Ann's school was located next to the church, and the building still stands today, containing a restaurant and a Japanese samaurai collection._x000D_
_x000D_
#### More Information_x000D_
_x000D_
* [St. Ann preservation application](https://dallascityhall.com/departments/sustainabledevelopment/historicpreservation/HP%20Documents/Landmark%20Structures/St.%20Anns%20School%20Landmark%20Nomination.pdf) (including section on the church's history)
* [About St. Ann restauraunt](https://www.saintanndallas.com/restaurant)
_x000D_
_x000D_
_x000D_
_x000D_
</v>
      </c>
      <c r="BY74" s="31" t="str">
        <f>IF(AR74,VLOOKUP(B74,'(Ref) Countries'!A:B,2,)&amp;IF(LEN(C74)&gt;1,"-"&amp;LOWER(SUBSTITUTE(C74," ","-")),"")&amp;"-"&amp;LOWER(SUBSTITUTE(G74," ","-"))&amp;".md","")</f>
        <v>us_tx-dallas-old-guadalupe.md</v>
      </c>
      <c r="BZ74" s="29" t="str">
        <f>IF(LEN(Y74)&gt;1,VLOOKUP(Y74,'Tag List'!$A:$B,2,),"")</f>
        <v>Closed or Deconsecrated Sites</v>
      </c>
      <c r="CA74" s="29" t="str">
        <f>IF(LEN(Z74)&gt;1,VLOOKUP(Z74,'Tag List'!$A:$B,2,),"")</f>
        <v/>
      </c>
      <c r="CB74" s="29" t="str">
        <f>IF(LEN(AA74)&gt;1,VLOOKUP(AA74,'Tag List'!$A:$B,2,),"")</f>
        <v/>
      </c>
      <c r="CC74" s="29" t="str">
        <f>IF(LEN(Y74)&gt;1,GetTagPage(BZ74,Y74),"")</f>
        <v>[Closed or Deconsecrated Sites](/tags/closed)</v>
      </c>
      <c r="CD74" s="29" t="str">
        <f>IF(LEN(Z74)&gt;1,GetTagPage(CA74,Z74),"")</f>
        <v/>
      </c>
      <c r="CE74" s="29" t="str">
        <f>IF(LEN(AA74)&gt;1,GetTagPage(CB74,AA74),"")</f>
        <v/>
      </c>
      <c r="CF74" s="29" t="str">
        <f t="shared" si="412"/>
        <v xml:space="preserve">| [Closed or Deconsecrated Sites](/tags/closed) </v>
      </c>
      <c r="CG74" s="29" t="str">
        <f t="shared" si="319"/>
        <v xml:space="preserve">| [](/places/us_tx-dallas-old-guadalupe) </v>
      </c>
      <c r="CH74" s="29" t="str">
        <f>"| "&amp;IF(AR74,GetTagPage(B74,VLOOKUP(B74,'(Ref) Countries'!A:C,3,)),B74)&amp; " "</f>
        <v xml:space="preserve">| [US Texas](/tags/usa
- texas) </v>
      </c>
      <c r="CI74" s="29" t="str">
        <f t="shared" si="320"/>
        <v xml:space="preserve">|  </v>
      </c>
      <c r="CJ74" s="29" t="str">
        <f t="shared" si="413"/>
        <v xml:space="preserve">| [Link](/places/us_tx-dallas-old-guadalupe) </v>
      </c>
      <c r="CK74" s="29" t="str">
        <f t="shared" si="414"/>
        <v xml:space="preserve">
| [](/places/us_tx-dallas-old-guadalupe) | [US Texas](/tags/usa
- texas) |  | [Link](/places/us_tx-dallas-old-guadalupe) | [Closed or Deconsecrated Sites](/tags/closed) |</v>
      </c>
    </row>
    <row r="75" spans="1:89" ht="63.75" x14ac:dyDescent="0.25">
      <c r="A75" s="14" t="s">
        <v>1322</v>
      </c>
      <c r="B75" s="24" t="s">
        <v>1960</v>
      </c>
      <c r="C75" s="15" t="s">
        <v>2064</v>
      </c>
      <c r="D75" s="15">
        <v>32.775131000000002</v>
      </c>
      <c r="E75" s="49">
        <v>-96.787789000000004</v>
      </c>
      <c r="F75" s="24" t="s">
        <v>2090</v>
      </c>
      <c r="G75" s="103" t="s">
        <v>2091</v>
      </c>
      <c r="H75" s="15" t="s">
        <v>1835</v>
      </c>
      <c r="L75" s="96" t="s">
        <v>2092</v>
      </c>
      <c r="P75" s="108" t="s">
        <v>2093</v>
      </c>
      <c r="Q75" s="15" t="s">
        <v>2094</v>
      </c>
      <c r="R75" s="106" t="s">
        <v>336</v>
      </c>
      <c r="Y75" s="15" t="s">
        <v>2139</v>
      </c>
      <c r="AR75" s="28" t="b">
        <f t="shared" si="292"/>
        <v>1</v>
      </c>
      <c r="AS75" s="29" t="str">
        <f t="shared" si="398"/>
        <v>title: "Old St. Patrick Catholic Church, Dallas, TX"</v>
      </c>
      <c r="AT75" s="29" t="str">
        <f t="shared" si="293"/>
        <v>location: {lat: 32.775131, lng: -96.787789}</v>
      </c>
      <c r="AU75" s="29" t="str">
        <f t="shared" si="399"/>
        <v>level: local</v>
      </c>
      <c r="AV75" s="29" t="str">
        <f>"- "&amp;VLOOKUP(B75,'(Ref) Countries'!A:C,3,)</f>
        <v>- usa
- texas</v>
      </c>
      <c r="AW75" s="29" t="str">
        <f t="shared" si="294"/>
        <v>- dallas</v>
      </c>
      <c r="AX75" s="29" t="str">
        <f t="shared" si="295"/>
        <v/>
      </c>
      <c r="AY75" s="29" t="str">
        <f t="shared" si="296"/>
        <v/>
      </c>
      <c r="AZ75" s="29" t="str">
        <f t="shared" si="297"/>
        <v/>
      </c>
      <c r="BA75" s="29" t="str">
        <f t="shared" si="400"/>
        <v>- closed</v>
      </c>
      <c r="BB75" s="29" t="str">
        <f t="shared" si="401"/>
        <v/>
      </c>
      <c r="BC75" s="29" t="str">
        <f t="shared" si="402"/>
        <v/>
      </c>
      <c r="BD75" s="29" t="str">
        <f t="shared" si="403"/>
        <v/>
      </c>
      <c r="BE75" s="29" t="str">
        <f t="shared" si="404"/>
        <v/>
      </c>
      <c r="BF75" s="29" t="str">
        <f t="shared" si="405"/>
        <v/>
      </c>
      <c r="BG75" s="29" t="str">
        <f t="shared" si="406"/>
        <v/>
      </c>
      <c r="BH75" s="29" t="str">
        <f t="shared" si="407"/>
        <v/>
      </c>
      <c r="BI75" s="29" t="str">
        <f t="shared" si="408"/>
        <v/>
      </c>
      <c r="BJ75" s="29" t="str">
        <f t="shared" si="409"/>
        <v/>
      </c>
      <c r="BK75" s="29" t="str">
        <f t="shared" si="410"/>
        <v xml:space="preserve">tags:
- usa
- texas_x000D_
- dallas_x000D_
- closed_x000D_
</v>
      </c>
      <c r="BL75" s="29" t="str">
        <f t="shared" si="309"/>
        <v/>
      </c>
      <c r="BM75" s="29" t="str">
        <f t="shared" si="310"/>
        <v>[Article about St. Patrick](https://cityofdallaspreservation.wordpress.com/2018/03/16/the-old-st-patrick-roman-catholic-church-in-dallas-gone-but-not-forgotten)</v>
      </c>
      <c r="BN75" s="29" t="str">
        <f t="shared" si="311"/>
        <v/>
      </c>
      <c r="BO75" s="29" t="str">
        <f t="shared" si="312"/>
        <v/>
      </c>
      <c r="BP75" s="29" t="str">
        <f t="shared" si="411"/>
        <v xml:space="preserve">* [Article about St. Patrick](https://cityofdallaspreservation.wordpress.com/2018/03/16/the-old-st-patrick-roman-catholic-church-in-dallas-gone-but-not-forgotten)
</v>
      </c>
      <c r="BQ75" s="29" t="str">
        <f t="shared" si="314"/>
        <v/>
      </c>
      <c r="BR75" s="29" t="str">
        <f t="shared" si="315"/>
        <v/>
      </c>
      <c r="BS75" s="29" t="str">
        <f t="shared" si="316"/>
        <v/>
      </c>
      <c r="BT75" s="29" t="str">
        <f>IF(LEN(concat(BQ75:BS75))&gt;0,concat("| ",BQ75," | ",BR75," | ",BS75," |"),"")</f>
        <v/>
      </c>
      <c r="BU75" s="29" t="str">
        <f t="shared" si="317"/>
        <v/>
      </c>
      <c r="BV75" s="29" t="str">
        <f>IF(LEN(BP75&amp;BU75)&gt;0,concatll("#### More Information",BP75,BU75),"")</f>
        <v xml:space="preserve">#### More Information_x000D_
_x000D_
* [Article about St. Patrick](https://cityofdallaspreservation.wordpress.com/2018/03/16/the-old-st-patrick-roman-catholic-church-in-dallas-gone-but-not-forgotten)
_x000D_
_x000D_
</v>
      </c>
      <c r="BW75" s="29" t="str">
        <f>IF(LEN(M75)&gt;1,concatll("#### Author's Note",M75),"")</f>
        <v/>
      </c>
      <c r="BX75" s="23" t="str">
        <f>IF(AR75,concatll(concatl("---",AS75:AU75,BK75,"---"),L75,BV75:BW75),"")</f>
        <v xml:space="preserve">---_x000D_
title: "Old St. Patrick Catholic Church, Dallas, TX"_x000D_
location: {lat: 32.775131, lng: -96.787789}_x000D_
level: local_x000D_
tags:
- usa
- texas_x000D_
- dallas_x000D_
- closed_x000D_
_x000D_
---_x000D_
_x000D_
_x000D_
Part of the deal when the first parish in Dallas was named Sacred Heart was that the second church would be named in honor of St. Patrick.  This parish (which became the third oldest in the Dallas city limits once Oak Cliff was annexed) was located across from City Park.  The church was flattened by I-30, and where it once stood is now squarely in the middle of the Canyon._x000D_
_x000D_
#### More Information_x000D_
_x000D_
* [Article about St. Patrick](https://cityofdallaspreservation.wordpress.com/2018/03/16/the-old-st-patrick-roman-catholic-church-in-dallas-gone-but-not-forgotten)
_x000D_
_x000D_
_x000D_
_x000D_
</v>
      </c>
      <c r="BY75" s="31" t="str">
        <f>IF(AR75,VLOOKUP(B75,'(Ref) Countries'!A:B,2,)&amp;IF(LEN(C75)&gt;1,"-"&amp;LOWER(SUBSTITUTE(C75," ","-")),"")&amp;"-"&amp;LOWER(SUBSTITUTE(G75," ","-"))&amp;".md","")</f>
        <v>us_tx-dallas-old-st-patrick.md</v>
      </c>
      <c r="BZ75" s="29" t="str">
        <f>IF(LEN(Y75)&gt;1,VLOOKUP(Y75,'Tag List'!$A:$B,2,),"")</f>
        <v>Closed or Deconsecrated Sites</v>
      </c>
      <c r="CA75" s="29" t="str">
        <f>IF(LEN(Z75)&gt;1,VLOOKUP(Z75,'Tag List'!$A:$B,2,),"")</f>
        <v/>
      </c>
      <c r="CB75" s="29" t="str">
        <f>IF(LEN(AA75)&gt;1,VLOOKUP(AA75,'Tag List'!$A:$B,2,),"")</f>
        <v/>
      </c>
      <c r="CC75" s="29" t="str">
        <f>IF(LEN(Y75)&gt;1,GetTagPage(BZ75,Y75),"")</f>
        <v>[Closed or Deconsecrated Sites](/tags/closed)</v>
      </c>
      <c r="CD75" s="29" t="str">
        <f>IF(LEN(Z75)&gt;1,GetTagPage(CA75,Z75),"")</f>
        <v/>
      </c>
      <c r="CE75" s="29" t="str">
        <f>IF(LEN(AA75)&gt;1,GetTagPage(CB75,AA75),"")</f>
        <v/>
      </c>
      <c r="CF75" s="29" t="str">
        <f t="shared" si="412"/>
        <v xml:space="preserve">| [Closed or Deconsecrated Sites](/tags/closed) </v>
      </c>
      <c r="CG75" s="29" t="str">
        <f t="shared" si="319"/>
        <v xml:space="preserve">| [](/places/us_tx-dallas-old-st-patrick) </v>
      </c>
      <c r="CH75" s="29" t="str">
        <f>"| "&amp;IF(AR75,GetTagPage(B75,VLOOKUP(B75,'(Ref) Countries'!A:C,3,)),B75)&amp; " "</f>
        <v xml:space="preserve">| [US Texas](/tags/usa
- texas) </v>
      </c>
      <c r="CI75" s="29" t="str">
        <f t="shared" si="320"/>
        <v xml:space="preserve">|  </v>
      </c>
      <c r="CJ75" s="29" t="str">
        <f t="shared" si="413"/>
        <v xml:space="preserve">| [Link](/places/us_tx-dallas-old-st-patrick) </v>
      </c>
      <c r="CK75" s="29" t="str">
        <f t="shared" si="414"/>
        <v xml:space="preserve">
| [](/places/us_tx-dallas-old-st-patrick) | [US Texas](/tags/usa
- texas) |  | [Link](/places/us_tx-dallas-old-st-patrick) | [Closed or Deconsecrated Sites](/tags/closed) |</v>
      </c>
    </row>
    <row r="76" spans="1:89" ht="127.5" x14ac:dyDescent="0.25">
      <c r="A76" s="14" t="s">
        <v>1322</v>
      </c>
      <c r="B76" s="24" t="s">
        <v>1960</v>
      </c>
      <c r="C76" s="15" t="s">
        <v>2064</v>
      </c>
      <c r="D76" s="15">
        <v>32.795627000000003</v>
      </c>
      <c r="E76" s="49">
        <v>-96.782279000000003</v>
      </c>
      <c r="F76" s="96" t="s">
        <v>2095</v>
      </c>
      <c r="G76" s="103" t="s">
        <v>2096</v>
      </c>
      <c r="H76" s="15" t="s">
        <v>1835</v>
      </c>
      <c r="L76" s="96" t="s">
        <v>2097</v>
      </c>
      <c r="P76" s="108" t="s">
        <v>2098</v>
      </c>
      <c r="Q76" s="15" t="s">
        <v>2102</v>
      </c>
      <c r="R76" s="109" t="s">
        <v>2099</v>
      </c>
      <c r="S76" s="110" t="s">
        <v>2103</v>
      </c>
      <c r="T76" s="104" t="s">
        <v>2104</v>
      </c>
      <c r="U76" s="109" t="s">
        <v>2105</v>
      </c>
      <c r="V76" s="15" t="s">
        <v>2106</v>
      </c>
      <c r="W76" s="104" t="s">
        <v>2107</v>
      </c>
      <c r="X76" s="113" t="s">
        <v>336</v>
      </c>
      <c r="Y76" s="15" t="s">
        <v>2139</v>
      </c>
      <c r="AR76" s="28" t="b">
        <f t="shared" si="292"/>
        <v>1</v>
      </c>
      <c r="AS76" s="29" t="str">
        <f t="shared" si="398"/>
        <v>title: "Old Ursuline Academy, Dallas, TX"</v>
      </c>
      <c r="AT76" s="29" t="str">
        <f t="shared" si="293"/>
        <v>location: {lat: 32.795627, lng: -96.782279}</v>
      </c>
      <c r="AU76" s="29" t="str">
        <f t="shared" si="399"/>
        <v>level: local</v>
      </c>
      <c r="AV76" s="29" t="str">
        <f>"- "&amp;VLOOKUP(B76,'(Ref) Countries'!A:C,3,)</f>
        <v>- usa
- texas</v>
      </c>
      <c r="AW76" s="29" t="str">
        <f t="shared" si="294"/>
        <v>- dallas</v>
      </c>
      <c r="AX76" s="29" t="str">
        <f t="shared" si="295"/>
        <v/>
      </c>
      <c r="AY76" s="29" t="str">
        <f t="shared" si="296"/>
        <v/>
      </c>
      <c r="AZ76" s="29" t="str">
        <f t="shared" si="297"/>
        <v/>
      </c>
      <c r="BA76" s="29" t="str">
        <f t="shared" si="400"/>
        <v>- closed</v>
      </c>
      <c r="BB76" s="29" t="str">
        <f t="shared" si="401"/>
        <v/>
      </c>
      <c r="BC76" s="29" t="str">
        <f t="shared" si="402"/>
        <v/>
      </c>
      <c r="BD76" s="29" t="str">
        <f t="shared" si="403"/>
        <v/>
      </c>
      <c r="BE76" s="29" t="str">
        <f t="shared" si="404"/>
        <v/>
      </c>
      <c r="BF76" s="29" t="str">
        <f t="shared" si="405"/>
        <v/>
      </c>
      <c r="BG76" s="29" t="str">
        <f t="shared" si="406"/>
        <v/>
      </c>
      <c r="BH76" s="29" t="str">
        <f t="shared" si="407"/>
        <v/>
      </c>
      <c r="BI76" s="29" t="str">
        <f t="shared" si="408"/>
        <v/>
      </c>
      <c r="BJ76" s="29" t="str">
        <f t="shared" si="409"/>
        <v/>
      </c>
      <c r="BK76" s="29" t="str">
        <f t="shared" si="410"/>
        <v xml:space="preserve">tags:
- usa
- texas_x000D_
- dallas_x000D_
- closed_x000D_
</v>
      </c>
      <c r="BL76" s="29" t="str">
        <f t="shared" si="309"/>
        <v/>
      </c>
      <c r="BM76" s="29" t="str">
        <f t="shared" si="310"/>
        <v>[Ursuline history article](https://www.ursulinedallas.org/mission/heritage) (includes pictures of this convent)</v>
      </c>
      <c r="BN76" s="29" t="str">
        <f t="shared" si="311"/>
        <v>[Additional Ursuline history article](https://www.tshaonline.org/handbook/entries/ursuline-academy-dallas) (includes pictures)</v>
      </c>
      <c r="BO76" s="29" t="str">
        <f t="shared" si="312"/>
        <v>[Convent in the 1922 Sanborn map](https://maps.lib.utexas.edu/maps/sanborn/d-f/txu-sanborn-dallas-1922-315.jpg)</v>
      </c>
      <c r="BP76" s="29" t="str">
        <f t="shared" si="411"/>
        <v xml:space="preserve">* [Ursuline history article](https://www.ursulinedallas.org/mission/heritage) (includes pictures of this convent)
* [Additional Ursuline history article](https://www.tshaonline.org/handbook/entries/ursuline-academy-dallas) (includes pictures)
* [Convent in the 1922 Sanborn map](https://maps.lib.utexas.edu/maps/sanborn/d-f/txu-sanborn-dallas-1922-315.jpg)
</v>
      </c>
      <c r="BQ76" s="29" t="str">
        <f t="shared" si="314"/>
        <v/>
      </c>
      <c r="BR76" s="29" t="str">
        <f t="shared" si="315"/>
        <v/>
      </c>
      <c r="BS76" s="29" t="str">
        <f t="shared" si="316"/>
        <v/>
      </c>
      <c r="BT76" s="29" t="str">
        <f>IF(LEN(concat(BQ76:BS76))&gt;0,concat("| ",BQ76," | ",BR76," | ",BS76," |"),"")</f>
        <v/>
      </c>
      <c r="BU76" s="29" t="str">
        <f t="shared" si="317"/>
        <v/>
      </c>
      <c r="BV76" s="29" t="str">
        <f>IF(LEN(BP76&amp;BU76)&gt;0,concatll("#### More Information",BP76,BU76),"")</f>
        <v xml:space="preserve">#### More Information_x000D_
_x000D_
* [Ursuline history article](https://www.ursulinedallas.org/mission/heritage) (includes pictures of this convent)
* [Additional Ursuline history article](https://www.tshaonline.org/handbook/entries/ursuline-academy-dallas) (includes pictures)
* [Convent in the 1922 Sanborn map](https://maps.lib.utexas.edu/maps/sanborn/d-f/txu-sanborn-dallas-1922-315.jpg)
_x000D_
_x000D_
</v>
      </c>
      <c r="BW76" s="29" t="str">
        <f>IF(LEN(M76)&gt;1,concatll("#### Author's Note",M76),"")</f>
        <v/>
      </c>
      <c r="BX76" s="23" t="str">
        <f>IF(AR76,concatll(concatl("---",AS76:AU76,BK76,"---"),L76,BV76:BW76),"")</f>
        <v xml:space="preserve">---_x000D_
title: "Old Ursuline Academy, Dallas, TX"_x000D_
location: {lat: 32.795627, lng: -96.782279}_x000D_
level: local_x000D_
tags:
- usa
- texas_x000D_
- dallas_x000D_
- closed_x000D_
_x000D_
---_x000D_
_x000D_
_x000D_
Original site of Ursuline Academy and the Ursuline Convent.  It is unclear why this building was demolished.
![Ursuline academy](https://www.ursulinedallas.org/uploaded/images/mission/1882_OldUrsuline.jpg)
![Ursuline academy](https://www.tshaonline.org/images/handbook/entries/DD/Dallas%20ursuline%20aerial.jpg)_x000D_
_x000D_
#### More Information_x000D_
_x000D_
* [Ursuline history article](https://www.ursulinedallas.org/mission/heritage) (includes pictures of this convent)
* [Additional Ursuline history article](https://www.tshaonline.org/handbook/entries/ursuline-academy-dallas) (includes pictures)
* [Convent in the 1922 Sanborn map](https://maps.lib.utexas.edu/maps/sanborn/d-f/txu-sanborn-dallas-1922-315.jpg)
_x000D_
_x000D_
_x000D_
_x000D_
</v>
      </c>
      <c r="BY76" s="31" t="str">
        <f>IF(AR76,VLOOKUP(B76,'(Ref) Countries'!A:B,2,)&amp;IF(LEN(C76)&gt;1,"-"&amp;LOWER(SUBSTITUTE(C76," ","-")),"")&amp;"-"&amp;LOWER(SUBSTITUTE(G76," ","-"))&amp;".md","")</f>
        <v>us_tx-dallas-old-ursuline.md</v>
      </c>
      <c r="BZ76" s="29" t="str">
        <f>IF(LEN(Y76)&gt;1,VLOOKUP(Y76,'Tag List'!$A:$B,2,),"")</f>
        <v>Closed or Deconsecrated Sites</v>
      </c>
      <c r="CA76" s="29" t="str">
        <f>IF(LEN(Z76)&gt;1,VLOOKUP(Z76,'Tag List'!$A:$B,2,),"")</f>
        <v/>
      </c>
      <c r="CB76" s="29" t="str">
        <f>IF(LEN(AA76)&gt;1,VLOOKUP(AA76,'Tag List'!$A:$B,2,),"")</f>
        <v/>
      </c>
      <c r="CC76" s="29" t="str">
        <f>IF(LEN(Y76)&gt;1,GetTagPage(BZ76,Y76),"")</f>
        <v>[Closed or Deconsecrated Sites](/tags/closed)</v>
      </c>
      <c r="CD76" s="29" t="str">
        <f>IF(LEN(Z76)&gt;1,GetTagPage(CA76,Z76),"")</f>
        <v/>
      </c>
      <c r="CE76" s="29" t="str">
        <f>IF(LEN(AA76)&gt;1,GetTagPage(CB76,AA76),"")</f>
        <v/>
      </c>
      <c r="CF76" s="29" t="str">
        <f t="shared" si="412"/>
        <v xml:space="preserve">| [Closed or Deconsecrated Sites](/tags/closed) </v>
      </c>
      <c r="CG76" s="29" t="str">
        <f t="shared" si="319"/>
        <v xml:space="preserve">| [](/places/us_tx-dallas-old-ursuline) </v>
      </c>
      <c r="CH76" s="29" t="str">
        <f>"| "&amp;IF(AR76,GetTagPage(B76,VLOOKUP(B76,'(Ref) Countries'!A:C,3,)),B76)&amp; " "</f>
        <v xml:space="preserve">| [US Texas](/tags/usa
- texas) </v>
      </c>
      <c r="CI76" s="29" t="str">
        <f t="shared" si="320"/>
        <v xml:space="preserve">|  </v>
      </c>
      <c r="CJ76" s="29" t="str">
        <f t="shared" si="413"/>
        <v xml:space="preserve">| [Link](/places/us_tx-dallas-old-ursuline) </v>
      </c>
      <c r="CK76" s="29" t="str">
        <f t="shared" si="414"/>
        <v xml:space="preserve">
| [](/places/us_tx-dallas-old-ursuline) | [US Texas](/tags/usa
- texas) |  | [Link](/places/us_tx-dallas-old-ursuline) | [Closed or Deconsecrated Sites](/tags/closed) |</v>
      </c>
    </row>
    <row r="77" spans="1:89" ht="102" x14ac:dyDescent="0.25">
      <c r="A77" s="14" t="s">
        <v>1322</v>
      </c>
      <c r="B77" s="24" t="s">
        <v>1960</v>
      </c>
      <c r="C77" s="15" t="s">
        <v>2064</v>
      </c>
      <c r="D77" s="15">
        <v>32.794211099999998</v>
      </c>
      <c r="E77" s="49">
        <v>-96.788927799999996</v>
      </c>
      <c r="F77" s="96" t="s">
        <v>2108</v>
      </c>
      <c r="G77" s="103" t="s">
        <v>2109</v>
      </c>
      <c r="H77" s="15" t="s">
        <v>1835</v>
      </c>
      <c r="L77" s="96" t="s">
        <v>2110</v>
      </c>
      <c r="P77" s="108" t="s">
        <v>2111</v>
      </c>
      <c r="Q77" s="15" t="s">
        <v>2112</v>
      </c>
      <c r="R77" s="106" t="s">
        <v>336</v>
      </c>
      <c r="S77" s="108" t="s">
        <v>2114</v>
      </c>
      <c r="T77" s="15" t="s">
        <v>2113</v>
      </c>
      <c r="U77" s="106" t="s">
        <v>336</v>
      </c>
      <c r="V77" s="104" t="s">
        <v>2115</v>
      </c>
      <c r="W77" s="107" t="s">
        <v>2116</v>
      </c>
      <c r="X77" s="113" t="s">
        <v>336</v>
      </c>
      <c r="Y77" s="15" t="s">
        <v>2139</v>
      </c>
      <c r="AR77" s="28" t="b">
        <f t="shared" si="292"/>
        <v>1</v>
      </c>
      <c r="AS77" s="29" t="str">
        <f t="shared" si="398"/>
        <v>title: "Old St. Paul Sanitarium, Dallas, TX"</v>
      </c>
      <c r="AT77" s="29" t="str">
        <f t="shared" si="293"/>
        <v>location: {lat: 32.7942111, lng: -96.7889278}</v>
      </c>
      <c r="AU77" s="29" t="str">
        <f t="shared" si="399"/>
        <v>level: local</v>
      </c>
      <c r="AV77" s="29" t="str">
        <f>"- "&amp;VLOOKUP(B77,'(Ref) Countries'!A:C,3,)</f>
        <v>- usa
- texas</v>
      </c>
      <c r="AW77" s="29" t="str">
        <f t="shared" si="294"/>
        <v>- dallas</v>
      </c>
      <c r="AX77" s="29" t="str">
        <f t="shared" si="295"/>
        <v/>
      </c>
      <c r="AY77" s="29" t="str">
        <f t="shared" si="296"/>
        <v/>
      </c>
      <c r="AZ77" s="29" t="str">
        <f t="shared" si="297"/>
        <v/>
      </c>
      <c r="BA77" s="29" t="str">
        <f t="shared" si="400"/>
        <v>- closed</v>
      </c>
      <c r="BB77" s="29" t="str">
        <f t="shared" si="401"/>
        <v/>
      </c>
      <c r="BC77" s="29" t="str">
        <f t="shared" si="402"/>
        <v/>
      </c>
      <c r="BD77" s="29" t="str">
        <f t="shared" si="403"/>
        <v/>
      </c>
      <c r="BE77" s="29" t="str">
        <f t="shared" si="404"/>
        <v/>
      </c>
      <c r="BF77" s="29" t="str">
        <f t="shared" si="405"/>
        <v/>
      </c>
      <c r="BG77" s="29" t="str">
        <f t="shared" si="406"/>
        <v/>
      </c>
      <c r="BH77" s="29" t="str">
        <f t="shared" si="407"/>
        <v/>
      </c>
      <c r="BI77" s="29" t="str">
        <f t="shared" si="408"/>
        <v/>
      </c>
      <c r="BJ77" s="29" t="str">
        <f t="shared" si="409"/>
        <v/>
      </c>
      <c r="BK77" s="29" t="str">
        <f t="shared" si="410"/>
        <v xml:space="preserve">tags:
- usa
- texas_x000D_
- dallas_x000D_
- closed_x000D_
</v>
      </c>
      <c r="BL77" s="29" t="str">
        <f t="shared" si="309"/>
        <v/>
      </c>
      <c r="BM77" s="29" t="str">
        <f t="shared" si="310"/>
        <v>[History of St. Paul Sanitarium](https://cityofdallaspreservation.wordpress.com/2020/04/01/st-pauls-sanitarium-in-dallas-tx/)</v>
      </c>
      <c r="BN77" s="29" t="str">
        <f t="shared" si="311"/>
        <v>[UT Southwestern pamphlet on St. Paul's history](https://www.utsouthwestern.edu/edumedia/edufiles/about_us/Giving/st-paul-mag-2015.pdf)</v>
      </c>
      <c r="BO77" s="29" t="str">
        <f t="shared" si="312"/>
        <v>[Sanitarium in the 1921 Sanborn map](https://maps.lib.utexas.edu/maps/sanborn/d-f/txu-sanborn-dallas-1921-38.jpg)</v>
      </c>
      <c r="BP77" s="29" t="str">
        <f t="shared" si="411"/>
        <v xml:space="preserve">* [History of St. Paul Sanitarium](https://cityofdallaspreservation.wordpress.com/2020/04/01/st-pauls-sanitarium-in-dallas-tx/)
* [UT Southwestern pamphlet on St. Paul's history](https://www.utsouthwestern.edu/edumedia/edufiles/about_us/Giving/st-paul-mag-2015.pdf)
* [Sanitarium in the 1921 Sanborn map](https://maps.lib.utexas.edu/maps/sanborn/d-f/txu-sanborn-dallas-1921-38.jpg)
</v>
      </c>
      <c r="BQ77" s="29" t="str">
        <f t="shared" si="314"/>
        <v/>
      </c>
      <c r="BR77" s="29" t="str">
        <f t="shared" si="315"/>
        <v/>
      </c>
      <c r="BS77" s="29" t="str">
        <f t="shared" si="316"/>
        <v/>
      </c>
      <c r="BT77" s="29" t="str">
        <f>IF(LEN(concat(BQ77:BS77))&gt;0,concat("| ",BQ77," | ",BR77," | ",BS77," |"),"")</f>
        <v/>
      </c>
      <c r="BU77" s="29" t="str">
        <f t="shared" si="317"/>
        <v/>
      </c>
      <c r="BV77" s="29" t="str">
        <f>IF(LEN(BP77&amp;BU77)&gt;0,concatll("#### More Information",BP77,BU77),"")</f>
        <v xml:space="preserve">#### More Information_x000D_
_x000D_
* [History of St. Paul Sanitarium](https://cityofdallaspreservation.wordpress.com/2020/04/01/st-pauls-sanitarium-in-dallas-tx/)
* [UT Southwestern pamphlet on St. Paul's history](https://www.utsouthwestern.edu/edumedia/edufiles/about_us/Giving/st-paul-mag-2015.pdf)
* [Sanitarium in the 1921 Sanborn map](https://maps.lib.utexas.edu/maps/sanborn/d-f/txu-sanborn-dallas-1921-38.jpg)
_x000D_
_x000D_
</v>
      </c>
      <c r="BW77" s="29" t="str">
        <f>IF(LEN(M77)&gt;1,concatll("#### Author's Note",M77),"")</f>
        <v/>
      </c>
      <c r="BX77" s="23" t="str">
        <f>IF(AR77,concatll(concatl("---",AS77:AU77,BK77,"---"),L77,BV77:BW77),"")</f>
        <v xml:space="preserve">---_x000D_
title: "Old St. Paul Sanitarium, Dallas, TX"_x000D_
location: {lat: 32.7942111, lng: -96.7889278}_x000D_
level: local_x000D_
tags:
- usa
- texas_x000D_
- dallas_x000D_
- closed_x000D_
_x000D_
---_x000D_
_x000D_
_x000D_
Original site of St. Paul Sanitarium.  The hospital moved to its present location on Harry Hines Blvd in the 1960's, and the original building was razed.  The Daughters of Charity continued administration of the hospital until it was sold around the year 2000.  Today it is part of UT Southwestern.
![St. Paul Sanitarium](https://cityofdallaspreservation.files.wordpress.com/2020/04/st.-pauls-aerial.jpg)_x000D_
_x000D_
#### More Information_x000D_
_x000D_
* [History of St. Paul Sanitarium](https://cityofdallaspreservation.wordpress.com/2020/04/01/st-pauls-sanitarium-in-dallas-tx/)
* [UT Southwestern pamphlet on St. Paul's history](https://www.utsouthwestern.edu/edumedia/edufiles/about_us/Giving/st-paul-mag-2015.pdf)
* [Sanitarium in the 1921 Sanborn map](https://maps.lib.utexas.edu/maps/sanborn/d-f/txu-sanborn-dallas-1921-38.jpg)
_x000D_
_x000D_
_x000D_
_x000D_
</v>
      </c>
      <c r="BY77" s="31" t="str">
        <f>IF(AR77,VLOOKUP(B77,'(Ref) Countries'!A:B,2,)&amp;IF(LEN(C77)&gt;1,"-"&amp;LOWER(SUBSTITUTE(C77," ","-")),"")&amp;"-"&amp;LOWER(SUBSTITUTE(G77," ","-"))&amp;".md","")</f>
        <v>us_tx-dallas-old-st-paul.md</v>
      </c>
      <c r="BZ77" s="29" t="str">
        <f>IF(LEN(Y77)&gt;1,VLOOKUP(Y77,'Tag List'!$A:$B,2,),"")</f>
        <v>Closed or Deconsecrated Sites</v>
      </c>
      <c r="CA77" s="29" t="str">
        <f>IF(LEN(Z77)&gt;1,VLOOKUP(Z77,'Tag List'!$A:$B,2,),"")</f>
        <v/>
      </c>
      <c r="CB77" s="29" t="str">
        <f>IF(LEN(AA77)&gt;1,VLOOKUP(AA77,'Tag List'!$A:$B,2,),"")</f>
        <v/>
      </c>
      <c r="CC77" s="29" t="str">
        <f>IF(LEN(Y77)&gt;1,GetTagPage(BZ77,Y77),"")</f>
        <v>[Closed or Deconsecrated Sites](/tags/closed)</v>
      </c>
      <c r="CD77" s="29" t="str">
        <f>IF(LEN(Z77)&gt;1,GetTagPage(CA77,Z77),"")</f>
        <v/>
      </c>
      <c r="CE77" s="29" t="str">
        <f>IF(LEN(AA77)&gt;1,GetTagPage(CB77,AA77),"")</f>
        <v/>
      </c>
      <c r="CF77" s="29" t="str">
        <f t="shared" si="412"/>
        <v xml:space="preserve">| [Closed or Deconsecrated Sites](/tags/closed) </v>
      </c>
      <c r="CG77" s="29" t="str">
        <f t="shared" si="319"/>
        <v xml:space="preserve">| [](/places/us_tx-dallas-old-st-paul) </v>
      </c>
      <c r="CH77" s="29" t="str">
        <f>"| "&amp;IF(AR77,GetTagPage(B77,VLOOKUP(B77,'(Ref) Countries'!A:C,3,)),B77)&amp; " "</f>
        <v xml:space="preserve">| [US Texas](/tags/usa
- texas) </v>
      </c>
      <c r="CI77" s="29" t="str">
        <f t="shared" si="320"/>
        <v xml:space="preserve">|  </v>
      </c>
      <c r="CJ77" s="29" t="str">
        <f t="shared" si="413"/>
        <v xml:space="preserve">| [Link](/places/us_tx-dallas-old-st-paul) </v>
      </c>
      <c r="CK77" s="29" t="str">
        <f t="shared" si="414"/>
        <v xml:space="preserve">
| [](/places/us_tx-dallas-old-st-paul) | [US Texas](/tags/usa
- texas) |  | [Link](/places/us_tx-dallas-old-st-paul) | [Closed or Deconsecrated Sites](/tags/closed) |</v>
      </c>
    </row>
    <row r="78" spans="1:89" ht="178.5" x14ac:dyDescent="0.25">
      <c r="A78" s="14" t="s">
        <v>1322</v>
      </c>
      <c r="B78" s="24" t="s">
        <v>1960</v>
      </c>
      <c r="C78" s="15" t="s">
        <v>2064</v>
      </c>
      <c r="D78" s="15">
        <v>32.814343000000001</v>
      </c>
      <c r="E78" s="49">
        <v>-96.801815099999999</v>
      </c>
      <c r="F78" s="96" t="s">
        <v>2117</v>
      </c>
      <c r="G78" s="103" t="s">
        <v>2118</v>
      </c>
      <c r="H78" s="15" t="s">
        <v>1835</v>
      </c>
      <c r="L78" s="96" t="s">
        <v>2119</v>
      </c>
      <c r="P78" s="60" t="s">
        <v>2120</v>
      </c>
      <c r="Q78" s="15" t="s">
        <v>2121</v>
      </c>
      <c r="R78" s="106" t="s">
        <v>336</v>
      </c>
      <c r="Y78" s="15" t="s">
        <v>2139</v>
      </c>
      <c r="AR78" s="28" t="b">
        <f t="shared" si="292"/>
        <v>1</v>
      </c>
      <c r="AS78" s="29" t="str">
        <f t="shared" si="398"/>
        <v>title: "Old Trinity College / Dallas University / Jesuit Dallas"</v>
      </c>
      <c r="AT78" s="29" t="str">
        <f t="shared" si="293"/>
        <v>location: {lat: 32.814343, lng: -96.8018151}</v>
      </c>
      <c r="AU78" s="29" t="str">
        <f t="shared" si="399"/>
        <v>level: local</v>
      </c>
      <c r="AV78" s="29" t="str">
        <f>"- "&amp;VLOOKUP(B78,'(Ref) Countries'!A:C,3,)</f>
        <v>- usa
- texas</v>
      </c>
      <c r="AW78" s="29" t="str">
        <f t="shared" si="294"/>
        <v>- dallas</v>
      </c>
      <c r="AX78" s="29" t="str">
        <f t="shared" si="295"/>
        <v/>
      </c>
      <c r="AY78" s="29" t="str">
        <f t="shared" si="296"/>
        <v/>
      </c>
      <c r="AZ78" s="29" t="str">
        <f t="shared" si="297"/>
        <v/>
      </c>
      <c r="BA78" s="29" t="str">
        <f t="shared" si="400"/>
        <v>- closed</v>
      </c>
      <c r="BB78" s="29" t="str">
        <f t="shared" si="401"/>
        <v/>
      </c>
      <c r="BC78" s="29" t="str">
        <f t="shared" si="402"/>
        <v/>
      </c>
      <c r="BD78" s="29" t="str">
        <f t="shared" si="403"/>
        <v/>
      </c>
      <c r="BE78" s="29" t="str">
        <f t="shared" si="404"/>
        <v/>
      </c>
      <c r="BF78" s="29" t="str">
        <f t="shared" si="405"/>
        <v/>
      </c>
      <c r="BG78" s="29" t="str">
        <f t="shared" si="406"/>
        <v/>
      </c>
      <c r="BH78" s="29" t="str">
        <f t="shared" si="407"/>
        <v/>
      </c>
      <c r="BI78" s="29" t="str">
        <f t="shared" si="408"/>
        <v/>
      </c>
      <c r="BJ78" s="29" t="str">
        <f t="shared" si="409"/>
        <v/>
      </c>
      <c r="BK78" s="29" t="str">
        <f t="shared" si="410"/>
        <v xml:space="preserve">tags:
- usa
- texas_x000D_
- dallas_x000D_
- closed_x000D_
</v>
      </c>
      <c r="BL78" s="29" t="str">
        <f t="shared" si="309"/>
        <v/>
      </c>
      <c r="BM78" s="29" t="str">
        <f t="shared" si="310"/>
        <v>[School in the 1922 Sanborn map](https://maps.lib.utexas.edu/maps/sanborn/d-f/txu-sanborn-dallas-1921-287.jpg)</v>
      </c>
      <c r="BN78" s="29" t="str">
        <f t="shared" si="311"/>
        <v/>
      </c>
      <c r="BO78" s="29" t="str">
        <f t="shared" si="312"/>
        <v/>
      </c>
      <c r="BP78" s="29" t="str">
        <f t="shared" si="411"/>
        <v xml:space="preserve">* [School in the 1922 Sanborn map](https://maps.lib.utexas.edu/maps/sanborn/d-f/txu-sanborn-dallas-1921-287.jpg)
</v>
      </c>
      <c r="BQ78" s="29" t="str">
        <f t="shared" si="314"/>
        <v/>
      </c>
      <c r="BR78" s="29" t="str">
        <f t="shared" si="315"/>
        <v/>
      </c>
      <c r="BS78" s="29" t="str">
        <f t="shared" si="316"/>
        <v/>
      </c>
      <c r="BT78" s="29" t="str">
        <f>IF(LEN(concat(BQ78:BS78))&gt;0,concat("| ",BQ78," | ",BR78," | ",BS78," |"),"")</f>
        <v/>
      </c>
      <c r="BU78" s="29" t="str">
        <f t="shared" si="317"/>
        <v/>
      </c>
      <c r="BV78" s="29" t="str">
        <f>IF(LEN(BP78&amp;BU78)&gt;0,concatll("#### More Information",BP78,BU78),"")</f>
        <v xml:space="preserve">#### More Information_x000D_
_x000D_
* [School in the 1922 Sanborn map](https://maps.lib.utexas.edu/maps/sanborn/d-f/txu-sanborn-dallas-1921-287.jpg)
_x000D_
_x000D_
</v>
      </c>
      <c r="BW78" s="29" t="str">
        <f>IF(LEN(M78)&gt;1,concatll("#### Author's Note",M78),"")</f>
        <v/>
      </c>
      <c r="BX78" s="23" t="str">
        <f>IF(AR78,concatll(concatl("---",AS78:AU78,BK78,"---"),L78,BV78:BW78),"")</f>
        <v xml:space="preserve">---_x000D_
title: "Old Trinity College / Dallas University / Jesuit Dallas"_x000D_
location: {lat: 32.814343, lng: -96.8018151}_x000D_
level: local_x000D_
tags:
- usa
- texas_x000D_
- dallas_x000D_
- closed_x000D_
_x000D_
---_x000D_
_x000D_
_x000D_
Original site of Holy Trinity College, the Vincentian college.  The school was later renamed to Dallas University/University of Dallas.  The school closed in 1929 and its charter was reused for the current University of Dlalas.
The building later housed Jesuit Prepatory School until it moved next to St. Rita and this building was sadly razed.
![Holy Trinity College](http://www.thepastwhispers.com/sitebuilder/images/DALLAS_HolyTrinityCollege_1907.jpg)
![Dallas University](https://flashbackdallas.files.wordpress.com/2016/05/jesuit_legacies_fall-2005.jpg)_x000D_
_x000D_
#### More Information_x000D_
_x000D_
* [School in the 1922 Sanborn map](https://maps.lib.utexas.edu/maps/sanborn/d-f/txu-sanborn-dallas-1921-287.jpg)
_x000D_
_x000D_
_x000D_
_x000D_
</v>
      </c>
      <c r="BY78" s="31" t="str">
        <f>IF(AR78,VLOOKUP(B78,'(Ref) Countries'!A:B,2,)&amp;IF(LEN(C78)&gt;1,"-"&amp;LOWER(SUBSTITUTE(C78," ","-")),"")&amp;"-"&amp;LOWER(SUBSTITUTE(G78," ","-"))&amp;".md","")</f>
        <v>us_tx-dallas-old-trinity-college.md</v>
      </c>
      <c r="BZ78" s="29" t="str">
        <f>IF(LEN(Y78)&gt;1,VLOOKUP(Y78,'Tag List'!$A:$B,2,),"")</f>
        <v>Closed or Deconsecrated Sites</v>
      </c>
      <c r="CA78" s="29" t="str">
        <f>IF(LEN(Z78)&gt;1,VLOOKUP(Z78,'Tag List'!$A:$B,2,),"")</f>
        <v/>
      </c>
      <c r="CB78" s="29" t="str">
        <f>IF(LEN(AA78)&gt;1,VLOOKUP(AA78,'Tag List'!$A:$B,2,),"")</f>
        <v/>
      </c>
      <c r="CC78" s="29" t="str">
        <f>IF(LEN(Y78)&gt;1,GetTagPage(BZ78,Y78),"")</f>
        <v>[Closed or Deconsecrated Sites](/tags/closed)</v>
      </c>
      <c r="CD78" s="29" t="str">
        <f>IF(LEN(Z78)&gt;1,GetTagPage(CA78,Z78),"")</f>
        <v/>
      </c>
      <c r="CE78" s="29" t="str">
        <f>IF(LEN(AA78)&gt;1,GetTagPage(CB78,AA78),"")</f>
        <v/>
      </c>
      <c r="CF78" s="29" t="str">
        <f t="shared" si="412"/>
        <v xml:space="preserve">| [Closed or Deconsecrated Sites](/tags/closed) </v>
      </c>
      <c r="CG78" s="29" t="str">
        <f t="shared" si="319"/>
        <v xml:space="preserve">| [](/places/us_tx-dallas-old-trinity-college) </v>
      </c>
      <c r="CH78" s="29" t="str">
        <f>"| "&amp;IF(AR78,GetTagPage(B78,VLOOKUP(B78,'(Ref) Countries'!A:C,3,)),B78)&amp; " "</f>
        <v xml:space="preserve">| [US Texas](/tags/usa
- texas) </v>
      </c>
      <c r="CI78" s="29" t="str">
        <f t="shared" si="320"/>
        <v xml:space="preserve">|  </v>
      </c>
      <c r="CJ78" s="29" t="str">
        <f t="shared" si="413"/>
        <v xml:space="preserve">| [Link](/places/us_tx-dallas-old-trinity-college) </v>
      </c>
      <c r="CK78" s="29" t="str">
        <f t="shared" si="414"/>
        <v xml:space="preserve">
| [](/places/us_tx-dallas-old-trinity-college) | [US Texas](/tags/usa
- texas) |  | [Link](/places/us_tx-dallas-old-trinity-college) | [Closed or Deconsecrated Sites](/tags/closed) |</v>
      </c>
    </row>
    <row r="79" spans="1:89" ht="127.5" x14ac:dyDescent="0.25">
      <c r="A79" s="14" t="s">
        <v>1322</v>
      </c>
      <c r="B79" s="24" t="s">
        <v>1960</v>
      </c>
      <c r="C79" s="15" t="s">
        <v>2064</v>
      </c>
      <c r="D79" s="15">
        <v>32.787603699999998</v>
      </c>
      <c r="E79" s="49">
        <v>-96.787011800000002</v>
      </c>
      <c r="F79" s="96" t="s">
        <v>2127</v>
      </c>
      <c r="G79" s="103" t="s">
        <v>2128</v>
      </c>
      <c r="H79" s="15" t="s">
        <v>1835</v>
      </c>
      <c r="L79" s="96" t="s">
        <v>2129</v>
      </c>
      <c r="P79" s="60" t="s">
        <v>2130</v>
      </c>
      <c r="Q79" s="15" t="s">
        <v>2131</v>
      </c>
      <c r="R79" s="106" t="s">
        <v>336</v>
      </c>
      <c r="S79" s="60" t="s">
        <v>2132</v>
      </c>
      <c r="T79" s="15" t="s">
        <v>2133</v>
      </c>
      <c r="U79" s="106" t="s">
        <v>336</v>
      </c>
      <c r="Y79" s="104" t="s">
        <v>2139</v>
      </c>
      <c r="AR79" s="28" t="b">
        <f t="shared" si="292"/>
        <v>1</v>
      </c>
      <c r="AS79" s="29" t="str">
        <f>"title: """&amp;F79&amp;""""</f>
        <v>title: "Old St. Joseph Catholic Church, Dallas, TX"</v>
      </c>
      <c r="AT79" s="29" t="str">
        <f t="shared" si="293"/>
        <v>location: {lat: 32.7876037, lng: -96.7870118}</v>
      </c>
      <c r="AU79" s="29" t="str">
        <f>"level: "&amp;H79</f>
        <v>level: local</v>
      </c>
      <c r="AV79" s="29" t="str">
        <f>"- "&amp;VLOOKUP(B79,'(Ref) Countries'!A:C,3,)</f>
        <v>- usa
- texas</v>
      </c>
      <c r="AW79" s="29" t="str">
        <f t="shared" si="294"/>
        <v>- dallas</v>
      </c>
      <c r="AX79" s="29" t="str">
        <f t="shared" si="295"/>
        <v/>
      </c>
      <c r="AY79" s="29" t="str">
        <f t="shared" si="296"/>
        <v/>
      </c>
      <c r="AZ79" s="29" t="str">
        <f t="shared" si="297"/>
        <v/>
      </c>
      <c r="BA79" s="29" t="str">
        <f t="shared" ref="BA79:BJ79" si="415">IF(LEN(Y79)&gt;0,"- "&amp;Y79,"")</f>
        <v>- closed</v>
      </c>
      <c r="BB79" s="29" t="str">
        <f t="shared" si="415"/>
        <v/>
      </c>
      <c r="BC79" s="29" t="str">
        <f t="shared" si="415"/>
        <v/>
      </c>
      <c r="BD79" s="29" t="str">
        <f t="shared" si="415"/>
        <v/>
      </c>
      <c r="BE79" s="29" t="str">
        <f t="shared" si="415"/>
        <v/>
      </c>
      <c r="BF79" s="29" t="str">
        <f t="shared" si="415"/>
        <v/>
      </c>
      <c r="BG79" s="29" t="str">
        <f t="shared" si="415"/>
        <v/>
      </c>
      <c r="BH79" s="29" t="str">
        <f t="shared" si="415"/>
        <v/>
      </c>
      <c r="BI79" s="29" t="str">
        <f t="shared" si="415"/>
        <v/>
      </c>
      <c r="BJ79" s="29" t="str">
        <f t="shared" si="415"/>
        <v/>
      </c>
      <c r="BK79" s="29" t="str">
        <f>"tags:"&amp;CHAR(10)&amp;concatl(AV79:BJ79)</f>
        <v xml:space="preserve">tags:
- usa
- texas_x000D_
- dallas_x000D_
- closed_x000D_
</v>
      </c>
      <c r="BL79" s="29" t="str">
        <f t="shared" si="309"/>
        <v/>
      </c>
      <c r="BM79" s="29" t="str">
        <f t="shared" si="310"/>
        <v>[Historical site nomination form](https://dallascityhall.com/departments/sustainabledevelopment/historicpreservation/HP%20Documents/Landmark%20Structures/St%20Josephs%20Catholic%20Church%20Landmark%20Nomination.pdf)</v>
      </c>
      <c r="BN79" s="29" t="str">
        <f t="shared" si="311"/>
        <v>[Historical site page](https://dallascityhall.com/departments/sustainabledevelopment/historicpreservation/Pages/St-Josephs-Catholic-Church-.aspx)</v>
      </c>
      <c r="BO79" s="29" t="str">
        <f t="shared" si="312"/>
        <v/>
      </c>
      <c r="BP79" s="29" t="str">
        <f>IF(LEN(BL79)&gt;0,"* "&amp;BL79&amp;CHAR(10),"")&amp;
IF(LEN(BM79)&gt;0,"* "&amp;BM79&amp;CHAR(10),"")&amp;
IF(LEN(BN79)&gt;0,"* "&amp;BN79&amp;CHAR(10),"")&amp;
IF(LEN(BO79)&gt;0,"* "&amp;BO79&amp;CHAR(10),"")</f>
        <v xml:space="preserve">* [Historical site nomination form](https://dallascityhall.com/departments/sustainabledevelopment/historicpreservation/HP%20Documents/Landmark%20Structures/St%20Josephs%20Catholic%20Church%20Landmark%20Nomination.pdf)
* [Historical site page](https://dallascityhall.com/departments/sustainabledevelopment/historicpreservation/Pages/St-Josephs-Catholic-Church-.aspx)
</v>
      </c>
      <c r="BQ79" s="29" t="str">
        <f t="shared" si="314"/>
        <v/>
      </c>
      <c r="BR79" s="29" t="str">
        <f t="shared" si="315"/>
        <v/>
      </c>
      <c r="BS79" s="29" t="str">
        <f t="shared" si="316"/>
        <v/>
      </c>
      <c r="BT79" s="29" t="str">
        <f>IF(LEN(concat(BQ79:BS79))&gt;0,concat("| ",BQ79," | ",BR79," | ",BS79," |"),"")</f>
        <v/>
      </c>
      <c r="BU79" s="29" t="str">
        <f t="shared" si="317"/>
        <v/>
      </c>
      <c r="BV79" s="29" t="str">
        <f>IF(LEN(BP79&amp;BU79)&gt;0,concatll("#### More Information",BP79,BU79),"")</f>
        <v xml:space="preserve">#### More Information_x000D_
_x000D_
* [Historical site nomination form](https://dallascityhall.com/departments/sustainabledevelopment/historicpreservation/HP%20Documents/Landmark%20Structures/St%20Josephs%20Catholic%20Church%20Landmark%20Nomination.pdf)
* [Historical site page](https://dallascityhall.com/departments/sustainabledevelopment/historicpreservation/Pages/St-Josephs-Catholic-Church-.aspx)
_x000D_
_x000D_
</v>
      </c>
      <c r="BW79" s="29" t="str">
        <f>IF(LEN(M79)&gt;1,concatll("#### Author's Note",M79),"")</f>
        <v/>
      </c>
      <c r="BX79" s="23" t="str">
        <f>IF(AR79,concatll(concatl("---",AS79:AU79,BK79,"---"),L79,BV79:BW79),"")</f>
        <v xml:space="preserve">---_x000D_
title: "Old St. Joseph Catholic Church, Dallas, TX"_x000D_
location: {lat: 32.7876037, lng: -96.7870118}_x000D_
level: local_x000D_
tags:
- usa
- texas_x000D_
- dallas_x000D_
- closed_x000D_
_x000D_
---_x000D_
_x000D_
_x000D_
The school was founded in 1905 and the present church, the 5th church in Dallas and the 3rd oldest extant one, was built in 1910.  The original 1905 temporary church, later used as a parish hall, stood on the corner of Texas and Floyd and was extant in 2009, though it now appears to be gone.  The church was built by the Oblate fathers for the German population.
From 1977 to 2007, the buildings were used for St. Andrew Kim Korean parish, until that congregation moved to Farmers Branch.
This church is currently not in the possession of the Diocese of Dallas._x000D_
_x000D_
#### More Information_x000D_
_x000D_
* [Historical site nomination form](https://dallascityhall.com/departments/sustainabledevelopment/historicpreservation/HP%20Documents/Landmark%20Structures/St%20Josephs%20Catholic%20Church%20Landmark%20Nomination.pdf)
* [Historical site page](https://dallascityhall.com/departments/sustainabledevelopment/historicpreservation/Pages/St-Josephs-Catholic-Church-.aspx)
_x000D_
_x000D_
_x000D_
_x000D_
</v>
      </c>
      <c r="BY79" s="31" t="str">
        <f>IF(AR79,VLOOKUP(B79,'(Ref) Countries'!A:B,2,)&amp;IF(LEN(C79)&gt;1,"-"&amp;LOWER(SUBSTITUTE(C79," ","-")),"")&amp;"-"&amp;LOWER(SUBSTITUTE(G79," ","-"))&amp;".md","")</f>
        <v>us_tx-dallas-old-st-joseph.md</v>
      </c>
      <c r="BZ79" s="29" t="str">
        <f>IF(LEN(Y79)&gt;1,VLOOKUP(Y79,'Tag List'!$A:$B,2,),"")</f>
        <v>Closed or Deconsecrated Sites</v>
      </c>
      <c r="CA79" s="29" t="str">
        <f>IF(LEN(Z79)&gt;1,VLOOKUP(Z79,'Tag List'!$A:$B,2,),"")</f>
        <v/>
      </c>
      <c r="CB79" s="29" t="str">
        <f>IF(LEN(AA79)&gt;1,VLOOKUP(AA79,'Tag List'!$A:$B,2,),"")</f>
        <v/>
      </c>
      <c r="CC79" s="29" t="str">
        <f>IF(LEN(Y79)&gt;1,GetTagPage(BZ79,Y79),"")</f>
        <v>[Closed or Deconsecrated Sites](/tags/closed)</v>
      </c>
      <c r="CD79" s="29" t="str">
        <f>IF(LEN(Z79)&gt;1,GetTagPage(CA79,Z79),"")</f>
        <v/>
      </c>
      <c r="CE79" s="29" t="str">
        <f>IF(LEN(AA79)&gt;1,GetTagPage(CB79,AA79),"")</f>
        <v/>
      </c>
      <c r="CF79" s="29" t="str">
        <f>"|"&amp;IF(LEN(CC79)&gt;1," "&amp;CC79,"")&amp;IF(LEN(CD79)&gt;1,", "&amp;CD79,"")&amp;IF(LEN(CE79)&gt;1,", "&amp;CE79,"")&amp;" "</f>
        <v xml:space="preserve">| [Closed or Deconsecrated Sites](/tags/closed) </v>
      </c>
      <c r="CG79" s="29" t="str">
        <f t="shared" si="319"/>
        <v xml:space="preserve">| [](/places/us_tx-dallas-old-st-joseph) </v>
      </c>
      <c r="CH79" s="29" t="str">
        <f>"| "&amp;IF(AR79,GetTagPage(B79,VLOOKUP(B79,'(Ref) Countries'!A:C,3,)),B79)&amp; " "</f>
        <v xml:space="preserve">| [US Texas](/tags/usa
- texas) </v>
      </c>
      <c r="CI79" s="29" t="str">
        <f t="shared" si="320"/>
        <v xml:space="preserve">|  </v>
      </c>
      <c r="CJ79" s="29" t="str">
        <f>"|"&amp;IF(AR79," [Link](/places/"&amp;SUBSTITUTE(BY79,".md","")&amp;")","")&amp;" "</f>
        <v xml:space="preserve">| [Link](/places/us_tx-dallas-old-st-joseph) </v>
      </c>
      <c r="CK79" s="29" t="str">
        <f>"
"&amp;CG79&amp;CH79&amp;CI79&amp;CJ79&amp;BL79&amp;BQ79&amp;BR79&amp;BS79&amp;CF79&amp;"|"</f>
        <v xml:space="preserve">
| [](/places/us_tx-dallas-old-st-joseph) | [US Texas](/tags/usa
- texas) |  | [Link](/places/us_tx-dallas-old-st-joseph) | [Closed or Deconsecrated Sites](/tags/closed) |</v>
      </c>
    </row>
    <row r="80" spans="1:89" ht="89.25" x14ac:dyDescent="0.25">
      <c r="A80" s="14" t="s">
        <v>1322</v>
      </c>
      <c r="B80" s="24" t="s">
        <v>1960</v>
      </c>
      <c r="C80" s="15" t="s">
        <v>2064</v>
      </c>
      <c r="D80" s="15">
        <v>32.788721000000002</v>
      </c>
      <c r="E80" s="49">
        <v>-96.772652600000001</v>
      </c>
      <c r="F80" s="24" t="s">
        <v>2122</v>
      </c>
      <c r="G80" s="103" t="s">
        <v>2124</v>
      </c>
      <c r="H80" s="15" t="s">
        <v>1835</v>
      </c>
      <c r="I80" s="15" t="b">
        <v>1</v>
      </c>
      <c r="L80" s="96" t="s">
        <v>2123</v>
      </c>
      <c r="N80" s="104" t="s">
        <v>2126</v>
      </c>
      <c r="O80" s="107" t="s">
        <v>336</v>
      </c>
      <c r="P80" s="108" t="s">
        <v>2078</v>
      </c>
      <c r="Q80" s="15" t="s">
        <v>2125</v>
      </c>
      <c r="R80" s="106" t="s">
        <v>336</v>
      </c>
      <c r="Y80" s="104"/>
      <c r="AR80" s="28" t="b">
        <f t="shared" si="292"/>
        <v>1</v>
      </c>
      <c r="AS80" s="29" t="str">
        <f t="shared" si="398"/>
        <v>title: "St. Edward the Confessor Catholic Church, Dallas, TX"</v>
      </c>
      <c r="AT80" s="29" t="str">
        <f t="shared" si="293"/>
        <v>location: {lat: 32.788721, lng: -96.7726526}</v>
      </c>
      <c r="AU80" s="29" t="str">
        <f t="shared" si="399"/>
        <v>level: local</v>
      </c>
      <c r="AV80" s="29" t="str">
        <f>"- "&amp;VLOOKUP(B80,'(Ref) Countries'!A:C,3,)</f>
        <v>- usa
- texas</v>
      </c>
      <c r="AW80" s="29" t="str">
        <f t="shared" si="294"/>
        <v>- dallas</v>
      </c>
      <c r="AX80" s="29" t="str">
        <f t="shared" si="295"/>
        <v>- churches</v>
      </c>
      <c r="AY80" s="29" t="str">
        <f t="shared" si="296"/>
        <v/>
      </c>
      <c r="AZ80" s="29" t="str">
        <f t="shared" si="297"/>
        <v/>
      </c>
      <c r="BA80" s="29" t="str">
        <f t="shared" si="400"/>
        <v/>
      </c>
      <c r="BB80" s="29" t="str">
        <f t="shared" si="401"/>
        <v/>
      </c>
      <c r="BC80" s="29" t="str">
        <f t="shared" si="402"/>
        <v/>
      </c>
      <c r="BD80" s="29" t="str">
        <f t="shared" si="403"/>
        <v/>
      </c>
      <c r="BE80" s="29" t="str">
        <f t="shared" si="404"/>
        <v/>
      </c>
      <c r="BF80" s="29" t="str">
        <f t="shared" si="405"/>
        <v/>
      </c>
      <c r="BG80" s="29" t="str">
        <f t="shared" si="406"/>
        <v/>
      </c>
      <c r="BH80" s="29" t="str">
        <f t="shared" si="407"/>
        <v/>
      </c>
      <c r="BI80" s="29" t="str">
        <f t="shared" si="408"/>
        <v/>
      </c>
      <c r="BJ80" s="29" t="str">
        <f t="shared" si="409"/>
        <v/>
      </c>
      <c r="BK80" s="29" t="str">
        <f t="shared" si="410"/>
        <v xml:space="preserve">tags:
- usa
- texas_x000D_
- dallas_x000D_
- churches_x000D_
</v>
      </c>
      <c r="BL80" s="29" t="str">
        <f t="shared" si="309"/>
        <v>[Official site](https://stedwardparish.org/)</v>
      </c>
      <c r="BM80" s="29" t="str">
        <f t="shared" si="310"/>
        <v>[Parish history](https://stedwardparish.org/history-)</v>
      </c>
      <c r="BN80" s="29" t="str">
        <f t="shared" si="311"/>
        <v/>
      </c>
      <c r="BO80" s="29" t="str">
        <f t="shared" si="312"/>
        <v/>
      </c>
      <c r="BP80" s="29" t="str">
        <f t="shared" si="411"/>
        <v xml:space="preserve">* [Official site](https://stedwardparish.org/)
* [Parish history](https://stedwardparish.org/history-)
</v>
      </c>
      <c r="BQ80" s="29" t="str">
        <f t="shared" si="314"/>
        <v/>
      </c>
      <c r="BR80" s="29" t="str">
        <f t="shared" si="315"/>
        <v/>
      </c>
      <c r="BS80" s="29" t="str">
        <f t="shared" si="316"/>
        <v/>
      </c>
      <c r="BT80" s="29" t="str">
        <f>IF(LEN(concat(BQ80:BS80))&gt;0,concat("| ",BQ80," | ",BR80," | ",BS80," |"),"")</f>
        <v/>
      </c>
      <c r="BU80" s="29" t="str">
        <f t="shared" si="317"/>
        <v/>
      </c>
      <c r="BV80" s="29" t="str">
        <f>IF(LEN(BP80&amp;BU80)&gt;0,concatll("#### More Information",BP80,BU80),"")</f>
        <v xml:space="preserve">#### More Information_x000D_
_x000D_
* [Official site](https://stedwardparish.org/)
* [Parish history](https://stedwardparish.org/history-)
_x000D_
_x000D_
</v>
      </c>
      <c r="BW80" s="29" t="str">
        <f>IF(LEN(M80)&gt;1,concatll("#### Author's Note",M80),"")</f>
        <v/>
      </c>
      <c r="BX80" s="23" t="str">
        <f>IF(AR80,concatll(concatl("---",AS80:AU80,BK80,"---"),L80,BV80:BW80),"")</f>
        <v xml:space="preserve">---_x000D_
title: "St. Edward the Confessor Catholic Church, Dallas, TX"_x000D_
location: {lat: 32.788721, lng: -96.7726526}_x000D_
level: local_x000D_
tags:
- usa
- texas_x000D_
- dallas_x000D_
- churches_x000D_
_x000D_
---_x000D_
_x000D_
_x000D_
Founded by the Rt. Rev. Edward Joseph Dunne, bishop of Dallas, on Oct. 13, 1903, as the fourth parish in Dallas (Oak Cliff had just been annexed, so Blessed Sacrament was now in the Dallas city limits).  The name of the parish and the name of the bishop are not coincidence.
The founding pastor was the Rev. Joseph P. Lynch, who had been a priest for just 3 years.  Within a few years he would become bishop of Dallas._x000D_
_x000D_
#### More Information_x000D_
_x000D_
* [Official site](https://stedwardparish.org/)
* [Parish history](https://stedwardparish.org/history-)
_x000D_
_x000D_
_x000D_
_x000D_
</v>
      </c>
      <c r="BY80" s="31" t="str">
        <f>IF(AR80,VLOOKUP(B80,'(Ref) Countries'!A:B,2,)&amp;IF(LEN(C80)&gt;1,"-"&amp;LOWER(SUBSTITUTE(C80," ","-")),"")&amp;"-"&amp;LOWER(SUBSTITUTE(G80," ","-"))&amp;".md","")</f>
        <v>us_tx-dallas-st-edward.md</v>
      </c>
      <c r="BZ80" s="29" t="str">
        <f>IF(LEN(Y80)&gt;1,VLOOKUP(Y80,'Tag List'!$A:$B,2,),"")</f>
        <v/>
      </c>
      <c r="CA80" s="29" t="str">
        <f>IF(LEN(Z80)&gt;1,VLOOKUP(Z80,'Tag List'!$A:$B,2,),"")</f>
        <v/>
      </c>
      <c r="CB80" s="29" t="str">
        <f>IF(LEN(AA80)&gt;1,VLOOKUP(AA80,'Tag List'!$A:$B,2,),"")</f>
        <v/>
      </c>
      <c r="CC80" s="29" t="str">
        <f>IF(LEN(Y80)&gt;1,GetTagPage(BZ80,Y80),"")</f>
        <v/>
      </c>
      <c r="CD80" s="29" t="str">
        <f>IF(LEN(Z80)&gt;1,GetTagPage(CA80,Z80),"")</f>
        <v/>
      </c>
      <c r="CE80" s="29" t="str">
        <f>IF(LEN(AA80)&gt;1,GetTagPage(CB80,AA80),"")</f>
        <v/>
      </c>
      <c r="CF80" s="29" t="str">
        <f t="shared" si="412"/>
        <v xml:space="preserve">| </v>
      </c>
      <c r="CG80" s="29" t="str">
        <f t="shared" si="319"/>
        <v xml:space="preserve">| [](/places/us_tx-dallas-st-edward) </v>
      </c>
      <c r="CH80" s="29" t="str">
        <f>"| "&amp;IF(AR80,GetTagPage(B80,VLOOKUP(B80,'(Ref) Countries'!A:C,3,)),B80)&amp; " "</f>
        <v xml:space="preserve">| [US Texas](/tags/usa
- texas) </v>
      </c>
      <c r="CI80" s="29" t="str">
        <f t="shared" si="320"/>
        <v xml:space="preserve">|  </v>
      </c>
      <c r="CJ80" s="29" t="str">
        <f t="shared" si="413"/>
        <v xml:space="preserve">| [Link](/places/us_tx-dallas-st-edward) </v>
      </c>
      <c r="CK80" s="29" t="str">
        <f t="shared" si="414"/>
        <v xml:space="preserve">
| [](/places/us_tx-dallas-st-edward) | [US Texas](/tags/usa
- texas) |  | [Link](/places/us_tx-dallas-st-edward) [Official site](https://stedwardparish.org/)| |</v>
      </c>
    </row>
    <row r="81" spans="1:89" ht="25.5" x14ac:dyDescent="0.25">
      <c r="A81" s="14" t="s">
        <v>1322</v>
      </c>
      <c r="B81" s="24" t="s">
        <v>1960</v>
      </c>
      <c r="C81" s="15" t="s">
        <v>2064</v>
      </c>
      <c r="D81" s="15">
        <v>32.795037200000003</v>
      </c>
      <c r="E81" s="49">
        <v>-96.795031699999996</v>
      </c>
      <c r="F81" s="96" t="s">
        <v>2134</v>
      </c>
      <c r="G81" s="103" t="s">
        <v>2135</v>
      </c>
      <c r="H81" s="15" t="s">
        <v>1835</v>
      </c>
      <c r="I81" s="15" t="b">
        <v>1</v>
      </c>
      <c r="L81" s="96" t="s">
        <v>2136</v>
      </c>
      <c r="N81" s="104" t="s">
        <v>2138</v>
      </c>
      <c r="O81" s="107" t="s">
        <v>336</v>
      </c>
      <c r="P81" s="60" t="s">
        <v>2078</v>
      </c>
      <c r="Q81" s="15" t="s">
        <v>2137</v>
      </c>
      <c r="R81" s="106" t="s">
        <v>336</v>
      </c>
      <c r="AR81" s="28" t="b">
        <f t="shared" si="292"/>
        <v>1</v>
      </c>
      <c r="AS81" s="29" t="str">
        <f t="shared" si="398"/>
        <v>title: "St. Peter Catholic Church, Dallas, TX"</v>
      </c>
      <c r="AT81" s="29" t="str">
        <f t="shared" si="293"/>
        <v>location: {lat: 32.7950372, lng: -96.7950317}</v>
      </c>
      <c r="AU81" s="29" t="str">
        <f t="shared" si="399"/>
        <v>level: local</v>
      </c>
      <c r="AV81" s="29" t="str">
        <f>"- "&amp;VLOOKUP(B81,'(Ref) Countries'!A:C,3,)</f>
        <v>- usa
- texas</v>
      </c>
      <c r="AW81" s="29" t="str">
        <f t="shared" si="294"/>
        <v>- dallas</v>
      </c>
      <c r="AX81" s="29" t="str">
        <f t="shared" si="295"/>
        <v>- churches</v>
      </c>
      <c r="AY81" s="29" t="str">
        <f t="shared" si="296"/>
        <v/>
      </c>
      <c r="AZ81" s="29" t="str">
        <f t="shared" si="297"/>
        <v/>
      </c>
      <c r="BA81" s="29" t="str">
        <f t="shared" si="400"/>
        <v/>
      </c>
      <c r="BB81" s="29" t="str">
        <f t="shared" si="401"/>
        <v/>
      </c>
      <c r="BC81" s="29" t="str">
        <f t="shared" si="402"/>
        <v/>
      </c>
      <c r="BD81" s="29" t="str">
        <f t="shared" si="403"/>
        <v/>
      </c>
      <c r="BE81" s="29" t="str">
        <f t="shared" si="404"/>
        <v/>
      </c>
      <c r="BF81" s="29" t="str">
        <f t="shared" si="405"/>
        <v/>
      </c>
      <c r="BG81" s="29" t="str">
        <f t="shared" si="406"/>
        <v/>
      </c>
      <c r="BH81" s="29" t="str">
        <f t="shared" si="407"/>
        <v/>
      </c>
      <c r="BI81" s="29" t="str">
        <f t="shared" si="408"/>
        <v/>
      </c>
      <c r="BJ81" s="29" t="str">
        <f t="shared" si="409"/>
        <v/>
      </c>
      <c r="BK81" s="29" t="str">
        <f t="shared" si="410"/>
        <v xml:space="preserve">tags:
- usa
- texas_x000D_
- dallas_x000D_
- churches_x000D_
</v>
      </c>
      <c r="BL81" s="29" t="str">
        <f t="shared" si="309"/>
        <v>[Official site](https://stpeterdal.com/)</v>
      </c>
      <c r="BM81" s="29" t="str">
        <f t="shared" si="310"/>
        <v>[Parish history](https://stpeterdal.com/about/#History)</v>
      </c>
      <c r="BN81" s="29" t="str">
        <f t="shared" si="311"/>
        <v/>
      </c>
      <c r="BO81" s="29" t="str">
        <f t="shared" si="312"/>
        <v/>
      </c>
      <c r="BP81" s="29" t="str">
        <f t="shared" si="411"/>
        <v xml:space="preserve">* [Official site](https://stpeterdal.com/)
* [Parish history](https://stpeterdal.com/about/#History)
</v>
      </c>
      <c r="BQ81" s="29" t="str">
        <f t="shared" si="314"/>
        <v/>
      </c>
      <c r="BR81" s="29" t="str">
        <f t="shared" si="315"/>
        <v/>
      </c>
      <c r="BS81" s="29" t="str">
        <f t="shared" si="316"/>
        <v/>
      </c>
      <c r="BT81" s="29" t="str">
        <f>IF(LEN(concat(BQ81:BS81))&gt;0,concat("| ",BQ81," | ",BR81," | ",BS81," |"),"")</f>
        <v/>
      </c>
      <c r="BU81" s="29" t="str">
        <f t="shared" si="317"/>
        <v/>
      </c>
      <c r="BV81" s="29" t="str">
        <f>IF(LEN(BP81&amp;BU81)&gt;0,concatll("#### More Information",BP81,BU81),"")</f>
        <v xml:space="preserve">#### More Information_x000D_
_x000D_
* [Official site](https://stpeterdal.com/)
* [Parish history](https://stpeterdal.com/about/#History)
_x000D_
_x000D_
</v>
      </c>
      <c r="BW81" s="29" t="str">
        <f>IF(LEN(M81)&gt;1,concatll("#### Author's Note",M81),"")</f>
        <v/>
      </c>
      <c r="BX81" s="23" t="str">
        <f>IF(AR81,concatll(concatl("---",AS81:AU81,BK81,"---"),L81,BV81:BW81),"")</f>
        <v xml:space="preserve">---_x000D_
title: "St. Peter Catholic Church, Dallas, TX"_x000D_
location: {lat: 32.7950372, lng: -96.7950317}_x000D_
level: local_x000D_
tags:
- usa
- texas_x000D_
- dallas_x000D_
- churches_x000D_
_x000D_
---_x000D_
_x000D_
_x000D_
The first black parish in Dallas, founded in 1905, is now home to the area's Polish community._x000D_
_x000D_
#### More Information_x000D_
_x000D_
* [Official site](https://stpeterdal.com/)
* [Parish history](https://stpeterdal.com/about/#History)
_x000D_
_x000D_
_x000D_
_x000D_
</v>
      </c>
      <c r="BY81" s="31" t="str">
        <f>IF(AR81,VLOOKUP(B81,'(Ref) Countries'!A:B,2,)&amp;IF(LEN(C81)&gt;1,"-"&amp;LOWER(SUBSTITUTE(C81," ","-")),"")&amp;"-"&amp;LOWER(SUBSTITUTE(G81," ","-"))&amp;".md","")</f>
        <v>us_tx-dallas-st-peter.md</v>
      </c>
      <c r="BZ81" s="29" t="str">
        <f>IF(LEN(Y81)&gt;1,VLOOKUP(Y81,'Tag List'!$A:$B,2,),"")</f>
        <v/>
      </c>
      <c r="CA81" s="29" t="str">
        <f>IF(LEN(Z81)&gt;1,VLOOKUP(Z81,'Tag List'!$A:$B,2,),"")</f>
        <v/>
      </c>
      <c r="CB81" s="29" t="str">
        <f>IF(LEN(AA81)&gt;1,VLOOKUP(AA81,'Tag List'!$A:$B,2,),"")</f>
        <v/>
      </c>
      <c r="CC81" s="29" t="str">
        <f>IF(LEN(Y81)&gt;1,GetTagPage(BZ81,Y81),"")</f>
        <v/>
      </c>
      <c r="CD81" s="29" t="str">
        <f>IF(LEN(Z81)&gt;1,GetTagPage(CA81,Z81),"")</f>
        <v/>
      </c>
      <c r="CE81" s="29" t="str">
        <f>IF(LEN(AA81)&gt;1,GetTagPage(CB81,AA81),"")</f>
        <v/>
      </c>
      <c r="CF81" s="29" t="str">
        <f t="shared" si="412"/>
        <v xml:space="preserve">| </v>
      </c>
      <c r="CG81" s="29" t="str">
        <f t="shared" si="319"/>
        <v xml:space="preserve">| [](/places/us_tx-dallas-st-peter) </v>
      </c>
      <c r="CH81" s="29" t="str">
        <f>"| "&amp;IF(AR81,GetTagPage(B81,VLOOKUP(B81,'(Ref) Countries'!A:C,3,)),B81)&amp; " "</f>
        <v xml:space="preserve">| [US Texas](/tags/usa
- texas) </v>
      </c>
      <c r="CI81" s="29" t="str">
        <f t="shared" si="320"/>
        <v xml:space="preserve">|  </v>
      </c>
      <c r="CJ81" s="29" t="str">
        <f t="shared" si="413"/>
        <v xml:space="preserve">| [Link](/places/us_tx-dallas-st-peter) </v>
      </c>
      <c r="CK81" s="29" t="str">
        <f t="shared" si="414"/>
        <v xml:space="preserve">
| [](/places/us_tx-dallas-st-peter) | [US Texas](/tags/usa
- texas) |  | [Link](/places/us_tx-dallas-st-peter) [Official site](https://stpeterdal.com/)| |</v>
      </c>
    </row>
    <row r="82" spans="1:89" ht="38.25" x14ac:dyDescent="0.25">
      <c r="A82" s="14" t="s">
        <v>1322</v>
      </c>
      <c r="B82" s="114" t="s">
        <v>552</v>
      </c>
      <c r="C82" s="115" t="s">
        <v>2149</v>
      </c>
      <c r="D82" s="15">
        <v>40.655493983492804</v>
      </c>
      <c r="E82" s="49">
        <v>-4.7027560083925497</v>
      </c>
      <c r="F82" s="114" t="s">
        <v>2185</v>
      </c>
      <c r="G82" s="116" t="s">
        <v>2184</v>
      </c>
      <c r="H82" s="115" t="s">
        <v>1835</v>
      </c>
      <c r="I82" s="15" t="b">
        <v>1</v>
      </c>
      <c r="K82" s="15" t="b">
        <v>1</v>
      </c>
      <c r="L82" s="114" t="s">
        <v>2150</v>
      </c>
      <c r="N82" s="15" t="s">
        <v>2151</v>
      </c>
      <c r="O82" s="117" t="s">
        <v>336</v>
      </c>
      <c r="Y82" s="115" t="s">
        <v>2157</v>
      </c>
      <c r="Z82" s="15" t="s">
        <v>2153</v>
      </c>
      <c r="AA82" s="115" t="s">
        <v>1426</v>
      </c>
      <c r="AR82" s="28" t="b">
        <f t="shared" ref="AR82:AR101" si="416">IF(OR(A82="Done",A82="In Progress"),TRUE)</f>
        <v>1</v>
      </c>
      <c r="AS82" s="29" t="str">
        <f t="shared" ref="AS82:AS101" si="417">"title: """&amp;F82&amp;""""</f>
        <v>title: "Church and birthplace of St. Teresa of Jesus (Casa Natal Santa Teresa de Jesus)"</v>
      </c>
      <c r="AT82" s="29" t="str">
        <f t="shared" ref="AT82:AT101" si="418">"location: {lat: "&amp;D82&amp;", lng: "&amp;E82&amp;"}"</f>
        <v>location: {lat: 40.6554939834928, lng: -4.70275600839255}</v>
      </c>
      <c r="AU82" s="29" t="str">
        <f t="shared" ref="AU82:AU101" si="419">"level: "&amp;H82</f>
        <v>level: local</v>
      </c>
      <c r="AV82" s="29" t="str">
        <f>"- "&amp;VLOOKUP(B82,'(Ref) Countries'!A:C,3,)</f>
        <v>- spain</v>
      </c>
      <c r="AW82" s="29" t="str">
        <f t="shared" ref="AW82:AW101" si="420">IF(LEN(C82)&gt;1,"- "&amp;LOWER(SUBSTITUTE(C82," ","-")),"")</f>
        <v>- avila</v>
      </c>
      <c r="AX82" s="29" t="str">
        <f t="shared" ref="AX82:AX101" si="421">IF(I82,"- churches","")</f>
        <v>- churches</v>
      </c>
      <c r="AY82" s="29" t="str">
        <f t="shared" ref="AY82:AY101" si="422">IF(J82,"- marian-sites","")</f>
        <v/>
      </c>
      <c r="AZ82" s="29" t="str">
        <f t="shared" ref="AZ82:AZ101" si="423">IF(K82,"- holy-persons","")</f>
        <v>- holy-persons</v>
      </c>
      <c r="BA82" s="29" t="str">
        <f t="shared" ref="BA82:BA101" si="424">IF(LEN(Y82)&gt;0,"- "&amp;Y82,"")</f>
        <v>- teresa-avila</v>
      </c>
      <c r="BB82" s="29" t="str">
        <f t="shared" ref="BB82:BB101" si="425">IF(LEN(Z82)&gt;0,"- "&amp;Z82,"")</f>
        <v>- discalced-carmelites</v>
      </c>
      <c r="BC82" s="29" t="str">
        <f t="shared" ref="BC82:BC101" si="426">IF(LEN(AA82)&gt;0,"- "&amp;AA82,"")</f>
        <v>- communities</v>
      </c>
      <c r="BD82" s="29" t="str">
        <f t="shared" ref="BD82:BD101" si="427">IF(LEN(AB82)&gt;0,"- "&amp;AB82,"")</f>
        <v/>
      </c>
      <c r="BE82" s="29" t="str">
        <f t="shared" ref="BE82:BE101" si="428">IF(LEN(AC82)&gt;0,"- "&amp;AC82,"")</f>
        <v/>
      </c>
      <c r="BF82" s="29" t="str">
        <f t="shared" ref="BF82:BF101" si="429">IF(LEN(AD82)&gt;0,"- "&amp;AD82,"")</f>
        <v/>
      </c>
      <c r="BG82" s="29" t="str">
        <f t="shared" ref="BG82:BG101" si="430">IF(LEN(AE82)&gt;0,"- "&amp;AE82,"")</f>
        <v/>
      </c>
      <c r="BH82" s="29" t="str">
        <f t="shared" ref="BH82:BH101" si="431">IF(LEN(AF82)&gt;0,"- "&amp;AF82,"")</f>
        <v/>
      </c>
      <c r="BI82" s="29" t="str">
        <f t="shared" ref="BI82:BI101" si="432">IF(LEN(AG82)&gt;0,"- "&amp;AG82,"")</f>
        <v/>
      </c>
      <c r="BJ82" s="29" t="str">
        <f t="shared" ref="BJ82:BJ101" si="433">IF(LEN(AH82)&gt;0,"- "&amp;AH82,"")</f>
        <v/>
      </c>
      <c r="BK82" s="29" t="str">
        <f t="shared" ref="BK82:BK101" si="434">"tags:"&amp;CHAR(10)&amp;concatl(AV82:BJ82)</f>
        <v xml:space="preserve">tags:
- spain_x000D_
- avila_x000D_
- churches_x000D_
- holy-persons_x000D_
- teresa-avila_x000D_
- discalced-carmelites_x000D_
- communities_x000D_
</v>
      </c>
      <c r="BL82" s="29" t="str">
        <f t="shared" ref="BL82:BL101" si="435">IF(LEN(N82)&gt;0,TRIM(CONCATENATE("[Official site](",N82,") ",O82)),"")</f>
        <v>[Official site](https://www.teresadejesus.com/)</v>
      </c>
      <c r="BM82" s="29" t="str">
        <f t="shared" ref="BM82:BM101" si="436">IF(LEN(Q82)&gt;0,TRIM(CONCATENATE("["&amp;P82&amp;"](",Q82,") ",R82)),"")</f>
        <v/>
      </c>
      <c r="BN82" s="29" t="str">
        <f t="shared" ref="BN82:BN101" si="437">IF(LEN(T82)&gt;0,TRIM(CONCATENATE("["&amp;S82&amp;"](",T82,") ",U82)),"")</f>
        <v/>
      </c>
      <c r="BO82" s="29" t="str">
        <f t="shared" ref="BO82:BO101" si="438">IF(LEN(W82)&gt;0,TRIM(CONCATENATE("["&amp;V82&amp;"](",W82,") ",X82)),"")</f>
        <v/>
      </c>
      <c r="BP82" s="29" t="str">
        <f t="shared" ref="BP82:BP101" si="439">IF(LEN(BL82)&gt;0,"* "&amp;BL82&amp;CHAR(10),"")&amp;
IF(LEN(BM82)&gt;0,"* "&amp;BM82&amp;CHAR(10),"")&amp;
IF(LEN(BN82)&gt;0,"* "&amp;BN82&amp;CHAR(10),"")&amp;
IF(LEN(BO82)&gt;0,"* "&amp;BO82&amp;CHAR(10),"")</f>
        <v xml:space="preserve">* [Official site](https://www.teresadejesus.com/)
</v>
      </c>
      <c r="BQ82" s="29" t="str">
        <f t="shared" ref="BQ82:BQ101" si="440">IF(LEN(AK82)&gt;0,TRIM(CONCATENATE("[Link](",AK82,") ",AL82)),"")</f>
        <v/>
      </c>
      <c r="BR82" s="29" t="str">
        <f t="shared" ref="BR82:BR101" si="441">IF(LEN(AM82)&gt;0,TRIM(CONCATENATE("[Link](",AM82,") ",AN82)),"")</f>
        <v/>
      </c>
      <c r="BS82" s="29" t="str">
        <f t="shared" ref="BS82:BS101" si="442">IF(LEN(AO82)&gt;0,TRIM(CONCATENATE("[Link](",AO82,") ",AP82)),"")</f>
        <v/>
      </c>
      <c r="BT82" s="29" t="str">
        <f>IF(LEN(concat(BQ82:BS82))&gt;0,concat("| ",BQ82," | ",BR82," | ",BS82," |"),"")</f>
        <v/>
      </c>
      <c r="BU82" s="29" t="str">
        <f t="shared" ref="BU82:BU101" si="443">IF(J82,concatl("| The Real Presence | Miracle Hunter | MaryPages |","| --- | --- | --- |",BT82),"")</f>
        <v/>
      </c>
      <c r="BV82" s="29" t="str">
        <f>IF(LEN(BP82&amp;BU82)&gt;0,concatll("#### More Information",BP82,BU82),"")</f>
        <v xml:space="preserve">#### More Information_x000D_
_x000D_
* [Official site](https://www.teresadejesus.com/)
_x000D_
_x000D_
</v>
      </c>
      <c r="BW82" s="29" t="str">
        <f>IF(LEN(M82)&gt;1,concatll("#### Author's Note",M82),"")</f>
        <v/>
      </c>
      <c r="BX82" s="23" t="str">
        <f>IF(AR82,concatll(concatl("---",AS82:AU82,BK82,"---"),L82,BV82:BW82),"")</f>
        <v xml:space="preserve">---_x000D_
title: "Church and birthplace of St. Teresa of Jesus (Casa Natal Santa Teresa de Jesus)"_x000D_
location: {lat: 40.6554939834928, lng: -4.70275600839255}_x000D_
level: local_x000D_
tags:
- spain_x000D_
- avila_x000D_
- churches_x000D_
- holy-persons_x000D_
- teresa-avila_x000D_
- discalced-carmelites_x000D_
- communities_x000D_
_x000D_
---_x000D_
_x000D_
_x000D_
This 17th-century church, run by the Discalced Carmelites, marks the spot where St Teresa of Avila is believed to have been born. The church houses a museum dedicated to her life and works._x000D_
_x000D_
#### More Information_x000D_
_x000D_
* [Official site](https://www.teresadejesus.com/)
_x000D_
_x000D_
_x000D_
_x000D_
</v>
      </c>
      <c r="BY82" s="31" t="str">
        <f>IF(AR82,VLOOKUP(B82,'(Ref) Countries'!A:B,2,)&amp;IF(LEN(C82)&gt;1,"-"&amp;LOWER(SUBSTITUTE(C82," ","-")),"")&amp;"-"&amp;LOWER(SUBSTITUTE(G82," ","-"))&amp;".md","")</f>
        <v>es-avila-casa-natal-santa-teresa-de-jesus.md</v>
      </c>
      <c r="BZ82" s="29" t="str">
        <f>IF(LEN(Y82)&gt;1,VLOOKUP(Y82,'Tag List'!$A:$B,2,),"")</f>
        <v>St. Teresa of Avila, OCD</v>
      </c>
      <c r="CA82" s="29" t="str">
        <f>IF(LEN(Z82)&gt;1,VLOOKUP(Z82,'Tag List'!$A:$B,2,),"")</f>
        <v>Discalced Carmelites (Order of Discalced Carmelites)</v>
      </c>
      <c r="CB82" s="29" t="str">
        <f>IF(LEN(AA82)&gt;1,VLOOKUP(AA82,'Tag List'!$A:$B,2,),"")</f>
        <v>Religious Communities</v>
      </c>
      <c r="CC82" s="29" t="str">
        <f>IF(LEN(Y82)&gt;1,GetTagPage(BZ82,Y82),"")</f>
        <v>[St. Teresa of Avila, OCD](/tags/teresa-avila)</v>
      </c>
      <c r="CD82" s="29" t="str">
        <f>IF(LEN(Z82)&gt;1,GetTagPage(CA82,Z82),"")</f>
        <v>[Discalced Carmelites (Order of Discalced Carmelites)](/tags/discalced-carmelites)</v>
      </c>
      <c r="CE82" s="29" t="str">
        <f>IF(LEN(AA82)&gt;1,GetTagPage(CB82,AA82),"")</f>
        <v>[Religious Communities](/tags/communities)</v>
      </c>
      <c r="CF82" s="29" t="str">
        <f t="shared" ref="CF82:CF101" si="444">"|"&amp;IF(LEN(CC82)&gt;1," "&amp;CC82,"")&amp;IF(LEN(CD82)&gt;1,", "&amp;CD82,"")&amp;IF(LEN(CE82)&gt;1,", "&amp;CE82,"")&amp;" "</f>
        <v xml:space="preserve">| [St. Teresa of Avila, OCD](/tags/teresa-avila), [Discalced Carmelites (Order of Discalced Carmelites)](/tags/discalced-carmelites), [Religious Communities](/tags/communities) </v>
      </c>
      <c r="CG82" s="29" t="str">
        <f t="shared" ref="CG82:CG101" si="445">"| "&amp;IF(AR82,"["&amp;AI82&amp;"](/places/"&amp;SUBSTITUTE(BY82,".md","")&amp;")",AI82)&amp;" "</f>
        <v xml:space="preserve">| [](/places/es-avila-casa-natal-santa-teresa-de-jesus) </v>
      </c>
      <c r="CH82" s="29" t="str">
        <f>"| "&amp;IF(AR82,GetTagPage(B82,VLOOKUP(B82,'(Ref) Countries'!A:C,3,)),B82)&amp; " "</f>
        <v xml:space="preserve">| [Spain](/tags/spain) </v>
      </c>
      <c r="CI82" s="29" t="str">
        <f t="shared" ref="CI82:CI101" si="446">"| "&amp;AJ82&amp;" "</f>
        <v xml:space="preserve">|  </v>
      </c>
      <c r="CJ82" s="29" t="str">
        <f t="shared" ref="CJ82:CJ101" si="447">"|"&amp;IF(AR82," [Link](/places/"&amp;SUBSTITUTE(BY82,".md","")&amp;")","")&amp;" "</f>
        <v xml:space="preserve">| [Link](/places/es-avila-casa-natal-santa-teresa-de-jesus) </v>
      </c>
      <c r="CK82" s="29" t="str">
        <f t="shared" ref="CK82:CK101" si="448">"
"&amp;CG82&amp;CH82&amp;CI82&amp;CJ82&amp;BL82&amp;BQ82&amp;BR82&amp;BS82&amp;CF82&amp;"|"</f>
        <v xml:space="preserve">
| [](/places/es-avila-casa-natal-santa-teresa-de-jesus) | [Spain](/tags/spain) |  | [Link](/places/es-avila-casa-natal-santa-teresa-de-jesus) [Official site](https://www.teresadejesus.com/)| [St. Teresa of Avila, OCD](/tags/teresa-avila), [Discalced Carmelites (Order of Discalced Carmelites)](/tags/discalced-carmelites), [Religious Communities](/tags/communities) |</v>
      </c>
    </row>
    <row r="83" spans="1:89" ht="102" x14ac:dyDescent="0.25">
      <c r="A83" s="14" t="s">
        <v>1322</v>
      </c>
      <c r="B83" s="24" t="s">
        <v>552</v>
      </c>
      <c r="C83" s="15" t="s">
        <v>2149</v>
      </c>
      <c r="D83" s="15">
        <v>40.662828044541399</v>
      </c>
      <c r="E83" s="49">
        <v>-4.6997760138995996</v>
      </c>
      <c r="F83" s="114" t="s">
        <v>2164</v>
      </c>
      <c r="G83" s="116" t="s">
        <v>2163</v>
      </c>
      <c r="H83" s="15" t="s">
        <v>1835</v>
      </c>
      <c r="I83" s="15" t="b">
        <v>1</v>
      </c>
      <c r="K83" s="15" t="b">
        <v>1</v>
      </c>
      <c r="L83" s="114" t="s">
        <v>2295</v>
      </c>
      <c r="O83" s="15" t="s">
        <v>336</v>
      </c>
      <c r="P83" s="119" t="s">
        <v>2160</v>
      </c>
      <c r="Q83" s="15" t="s">
        <v>2161</v>
      </c>
      <c r="R83" s="120" t="s">
        <v>336</v>
      </c>
      <c r="Y83" s="15" t="s">
        <v>2157</v>
      </c>
      <c r="Z83" s="115" t="s">
        <v>2153</v>
      </c>
      <c r="AA83" s="115" t="s">
        <v>1426</v>
      </c>
      <c r="AB83" s="115" t="s">
        <v>2156</v>
      </c>
      <c r="AR83" s="28" t="b">
        <f t="shared" si="416"/>
        <v>1</v>
      </c>
      <c r="AS83" s="29" t="str">
        <f t="shared" si="417"/>
        <v>title: "Monastery of the Incarnation (Monasterio de La Encarnacion)"</v>
      </c>
      <c r="AT83" s="29" t="str">
        <f t="shared" si="418"/>
        <v>location: {lat: 40.6628280445414, lng: -4.6997760138996}</v>
      </c>
      <c r="AU83" s="29" t="str">
        <f t="shared" si="419"/>
        <v>level: local</v>
      </c>
      <c r="AV83" s="29" t="str">
        <f>"- "&amp;VLOOKUP(B83,'(Ref) Countries'!A:C,3,)</f>
        <v>- spain</v>
      </c>
      <c r="AW83" s="29" t="str">
        <f t="shared" si="420"/>
        <v>- avila</v>
      </c>
      <c r="AX83" s="29" t="str">
        <f t="shared" si="421"/>
        <v>- churches</v>
      </c>
      <c r="AY83" s="29" t="str">
        <f t="shared" si="422"/>
        <v/>
      </c>
      <c r="AZ83" s="29" t="str">
        <f t="shared" si="423"/>
        <v>- holy-persons</v>
      </c>
      <c r="BA83" s="29" t="str">
        <f t="shared" si="424"/>
        <v>- teresa-avila</v>
      </c>
      <c r="BB83" s="29" t="str">
        <f t="shared" si="425"/>
        <v>- discalced-carmelites</v>
      </c>
      <c r="BC83" s="29" t="str">
        <f t="shared" si="426"/>
        <v>- communities</v>
      </c>
      <c r="BD83" s="29" t="str">
        <f t="shared" si="427"/>
        <v>- john-cross</v>
      </c>
      <c r="BE83" s="29" t="str">
        <f t="shared" si="428"/>
        <v/>
      </c>
      <c r="BF83" s="29" t="str">
        <f t="shared" si="429"/>
        <v/>
      </c>
      <c r="BG83" s="29" t="str">
        <f t="shared" si="430"/>
        <v/>
      </c>
      <c r="BH83" s="29" t="str">
        <f t="shared" si="431"/>
        <v/>
      </c>
      <c r="BI83" s="29" t="str">
        <f t="shared" si="432"/>
        <v/>
      </c>
      <c r="BJ83" s="29" t="str">
        <f t="shared" si="433"/>
        <v/>
      </c>
      <c r="BK83" s="29" t="str">
        <f t="shared" si="434"/>
        <v xml:space="preserve">tags:
- spain_x000D_
- avila_x000D_
- churches_x000D_
- holy-persons_x000D_
- teresa-avila_x000D_
- discalced-carmelites_x000D_
- communities_x000D_
- john-cross_x000D_
</v>
      </c>
      <c r="BL83" s="29" t="str">
        <f t="shared" si="435"/>
        <v/>
      </c>
      <c r="BM83" s="29" t="str">
        <f t="shared" si="436"/>
        <v>[Avila tourism site](https://www.avilaturismo.com/en/monatery-of-la-encarnacion)</v>
      </c>
      <c r="BN83" s="29" t="str">
        <f t="shared" si="437"/>
        <v/>
      </c>
      <c r="BO83" s="29" t="str">
        <f t="shared" si="438"/>
        <v/>
      </c>
      <c r="BP83" s="29" t="str">
        <f t="shared" si="439"/>
        <v xml:space="preserve">* [Avila tourism site](https://www.avilaturismo.com/en/monatery-of-la-encarnacion)
</v>
      </c>
      <c r="BQ83" s="29" t="str">
        <f t="shared" si="440"/>
        <v/>
      </c>
      <c r="BR83" s="29" t="str">
        <f t="shared" si="441"/>
        <v/>
      </c>
      <c r="BS83" s="29" t="str">
        <f t="shared" si="442"/>
        <v/>
      </c>
      <c r="BT83" s="29" t="str">
        <f>IF(LEN(concat(BQ83:BS83))&gt;0,concat("| ",BQ83," | ",BR83," | ",BS83," |"),"")</f>
        <v/>
      </c>
      <c r="BU83" s="29" t="str">
        <f t="shared" si="443"/>
        <v/>
      </c>
      <c r="BV83" s="29" t="str">
        <f>IF(LEN(BP83&amp;BU83)&gt;0,concatll("#### More Information",BP83,BU83),"")</f>
        <v xml:space="preserve">#### More Information_x000D_
_x000D_
* [Avila tourism site](https://www.avilaturismo.com/en/monatery-of-la-encarnacion)
_x000D_
_x000D_
</v>
      </c>
      <c r="BW83" s="29" t="str">
        <f>IF(LEN(M83)&gt;1,concatll("#### Author's Note",M83),"")</f>
        <v/>
      </c>
      <c r="BX83" s="23" t="str">
        <f>IF(AR83,concatll(concatl("---",AS83:AU83,BK83,"---"),L83,BV83:BW83),"")</f>
        <v xml:space="preserve">---_x000D_
title: "Monastery of the Incarnation (Monasterio de La Encarnacion)"_x000D_
location: {lat: 40.6628280445414, lng: -4.6997760138996}_x000D_
level: local_x000D_
tags:
- spain_x000D_
- avila_x000D_
- churches_x000D_
- holy-persons_x000D_
- teresa-avila_x000D_
- discalced-carmelites_x000D_
- communities_x000D_
- john-cross_x000D_
_x000D_
---_x000D_
_x000D_
_x000D_
Founded in 1478, this Carmelite convent in Avila was where Saint Teresa entered as a young woman and lived for 27 years. She took her vows here and began her journey as a mystic and reformer. The monastery features her cell, the Chapel of Transverberation and a museum dedicated to her life.
St. John of the Cross spent notable amounts of time here as well, and during one session of prayer, received a vision of Christ on the Cross from "above."  The saint's drawing remains at the museum._x000D_
_x000D_
#### More Information_x000D_
_x000D_
* [Avila tourism site](https://www.avilaturismo.com/en/monatery-of-la-encarnacion)
_x000D_
_x000D_
_x000D_
_x000D_
</v>
      </c>
      <c r="BY83" s="31" t="str">
        <f>IF(AR83,VLOOKUP(B83,'(Ref) Countries'!A:B,2,)&amp;IF(LEN(C83)&gt;1,"-"&amp;LOWER(SUBSTITUTE(C83," ","-")),"")&amp;"-"&amp;LOWER(SUBSTITUTE(G83," ","-"))&amp;".md","")</f>
        <v>es-avila-monasterio-de-la-encarnacion.md</v>
      </c>
      <c r="BZ83" s="29" t="str">
        <f>IF(LEN(Y83)&gt;1,VLOOKUP(Y83,'Tag List'!$A:$B,2,),"")</f>
        <v>St. Teresa of Avila, OCD</v>
      </c>
      <c r="CA83" s="29" t="str">
        <f>IF(LEN(Z83)&gt;1,VLOOKUP(Z83,'Tag List'!$A:$B,2,),"")</f>
        <v>Discalced Carmelites (Order of Discalced Carmelites)</v>
      </c>
      <c r="CB83" s="29" t="str">
        <f>IF(LEN(AA83)&gt;1,VLOOKUP(AA83,'Tag List'!$A:$B,2,),"")</f>
        <v>Religious Communities</v>
      </c>
      <c r="CC83" s="29" t="str">
        <f>IF(LEN(Y83)&gt;1,GetTagPage(BZ83,Y83),"")</f>
        <v>[St. Teresa of Avila, OCD](/tags/teresa-avila)</v>
      </c>
      <c r="CD83" s="29" t="str">
        <f>IF(LEN(Z83)&gt;1,GetTagPage(CA83,Z83),"")</f>
        <v>[Discalced Carmelites (Order of Discalced Carmelites)](/tags/discalced-carmelites)</v>
      </c>
      <c r="CE83" s="29" t="str">
        <f>IF(LEN(AA83)&gt;1,GetTagPage(CB83,AA83),"")</f>
        <v>[Religious Communities](/tags/communities)</v>
      </c>
      <c r="CF83" s="29" t="str">
        <f t="shared" si="444"/>
        <v xml:space="preserve">| [St. Teresa of Avila, OCD](/tags/teresa-avila), [Discalced Carmelites (Order of Discalced Carmelites)](/tags/discalced-carmelites), [Religious Communities](/tags/communities) </v>
      </c>
      <c r="CG83" s="29" t="str">
        <f t="shared" si="445"/>
        <v xml:space="preserve">| [](/places/es-avila-monasterio-de-la-encarnacion) </v>
      </c>
      <c r="CH83" s="29" t="str">
        <f>"| "&amp;IF(AR83,GetTagPage(B83,VLOOKUP(B83,'(Ref) Countries'!A:C,3,)),B83)&amp; " "</f>
        <v xml:space="preserve">| [Spain](/tags/spain) </v>
      </c>
      <c r="CI83" s="29" t="str">
        <f t="shared" si="446"/>
        <v xml:space="preserve">|  </v>
      </c>
      <c r="CJ83" s="29" t="str">
        <f t="shared" si="447"/>
        <v xml:space="preserve">| [Link](/places/es-avila-monasterio-de-la-encarnacion) </v>
      </c>
      <c r="CK83" s="29" t="str">
        <f t="shared" si="448"/>
        <v xml:space="preserve">
| [](/places/es-avila-monasterio-de-la-encarnacion) | [Spain](/tags/spain) |  | [Link](/places/es-avila-monasterio-de-la-encarnacion) | [St. Teresa of Avila, OCD](/tags/teresa-avila), [Discalced Carmelites (Order of Discalced Carmelites)](/tags/discalced-carmelites), [Religious Communities](/tags/communities) |</v>
      </c>
    </row>
    <row r="84" spans="1:89" ht="38.25" x14ac:dyDescent="0.25">
      <c r="A84" s="14" t="s">
        <v>1322</v>
      </c>
      <c r="B84" s="24" t="s">
        <v>552</v>
      </c>
      <c r="C84" s="15" t="s">
        <v>2149</v>
      </c>
      <c r="D84" s="15">
        <v>40.655097925791601</v>
      </c>
      <c r="E84" s="49">
        <v>-4.6919360712877101</v>
      </c>
      <c r="F84" s="114" t="s">
        <v>2177</v>
      </c>
      <c r="G84" s="53" t="s">
        <v>2162</v>
      </c>
      <c r="H84" s="15" t="s">
        <v>1835</v>
      </c>
      <c r="I84" s="15" t="b">
        <v>1</v>
      </c>
      <c r="K84" s="15" t="b">
        <v>1</v>
      </c>
      <c r="L84" s="114" t="s">
        <v>2196</v>
      </c>
      <c r="N84" s="15" t="s">
        <v>2166</v>
      </c>
      <c r="O84" s="15" t="s">
        <v>1826</v>
      </c>
      <c r="P84" s="60" t="s">
        <v>2160</v>
      </c>
      <c r="Q84" s="15" t="s">
        <v>2165</v>
      </c>
      <c r="R84" s="64" t="s">
        <v>336</v>
      </c>
      <c r="Y84" s="15" t="s">
        <v>2157</v>
      </c>
      <c r="Z84" s="15" t="s">
        <v>2153</v>
      </c>
      <c r="AA84" s="115" t="s">
        <v>1426</v>
      </c>
      <c r="AR84" s="28" t="b">
        <f t="shared" si="416"/>
        <v>1</v>
      </c>
      <c r="AS84" s="29" t="str">
        <f t="shared" si="417"/>
        <v>title: "Convento de San Jose, Avila"</v>
      </c>
      <c r="AT84" s="29" t="str">
        <f t="shared" si="418"/>
        <v>location: {lat: 40.6550979257916, lng: -4.69193607128771}</v>
      </c>
      <c r="AU84" s="29" t="str">
        <f t="shared" si="419"/>
        <v>level: local</v>
      </c>
      <c r="AV84" s="29" t="str">
        <f>"- "&amp;VLOOKUP(B84,'(Ref) Countries'!A:C,3,)</f>
        <v>- spain</v>
      </c>
      <c r="AW84" s="29" t="str">
        <f t="shared" si="420"/>
        <v>- avila</v>
      </c>
      <c r="AX84" s="29" t="str">
        <f t="shared" si="421"/>
        <v>- churches</v>
      </c>
      <c r="AY84" s="29" t="str">
        <f t="shared" si="422"/>
        <v/>
      </c>
      <c r="AZ84" s="29" t="str">
        <f t="shared" si="423"/>
        <v>- holy-persons</v>
      </c>
      <c r="BA84" s="29" t="str">
        <f t="shared" si="424"/>
        <v>- teresa-avila</v>
      </c>
      <c r="BB84" s="29" t="str">
        <f t="shared" si="425"/>
        <v>- discalced-carmelites</v>
      </c>
      <c r="BC84" s="29" t="str">
        <f t="shared" si="426"/>
        <v>- communities</v>
      </c>
      <c r="BD84" s="29" t="str">
        <f t="shared" si="427"/>
        <v/>
      </c>
      <c r="BE84" s="29" t="str">
        <f t="shared" si="428"/>
        <v/>
      </c>
      <c r="BF84" s="29" t="str">
        <f t="shared" si="429"/>
        <v/>
      </c>
      <c r="BG84" s="29" t="str">
        <f t="shared" si="430"/>
        <v/>
      </c>
      <c r="BH84" s="29" t="str">
        <f t="shared" si="431"/>
        <v/>
      </c>
      <c r="BI84" s="29" t="str">
        <f t="shared" si="432"/>
        <v/>
      </c>
      <c r="BJ84" s="29" t="str">
        <f t="shared" si="433"/>
        <v/>
      </c>
      <c r="BK84" s="29" t="str">
        <f t="shared" si="434"/>
        <v xml:space="preserve">tags:
- spain_x000D_
- avila_x000D_
- churches_x000D_
- holy-persons_x000D_
- teresa-avila_x000D_
- discalced-carmelites_x000D_
- communities_x000D_
</v>
      </c>
      <c r="BL84" s="29" t="str">
        <f t="shared" si="435"/>
        <v>[Official site](http://www.sanjosedeavila.es/) (note: website not active at time of writing)</v>
      </c>
      <c r="BM84" s="29" t="str">
        <f t="shared" si="436"/>
        <v>[Avila tourism site](https://www.avilaturismo.com/en/convent-and-church-of-san-jose)</v>
      </c>
      <c r="BN84" s="29" t="str">
        <f t="shared" si="437"/>
        <v/>
      </c>
      <c r="BO84" s="29" t="str">
        <f t="shared" si="438"/>
        <v/>
      </c>
      <c r="BP84" s="29" t="str">
        <f t="shared" si="439"/>
        <v xml:space="preserve">* [Official site](http://www.sanjosedeavila.es/) (note: website not active at time of writing)
* [Avila tourism site](https://www.avilaturismo.com/en/convent-and-church-of-san-jose)
</v>
      </c>
      <c r="BQ84" s="29" t="str">
        <f t="shared" si="440"/>
        <v/>
      </c>
      <c r="BR84" s="29" t="str">
        <f t="shared" si="441"/>
        <v/>
      </c>
      <c r="BS84" s="29" t="str">
        <f t="shared" si="442"/>
        <v/>
      </c>
      <c r="BT84" s="29" t="str">
        <f>IF(LEN(concat(BQ84:BS84))&gt;0,concat("| ",BQ84," | ",BR84," | ",BS84," |"),"")</f>
        <v/>
      </c>
      <c r="BU84" s="29" t="str">
        <f t="shared" si="443"/>
        <v/>
      </c>
      <c r="BV84" s="29" t="str">
        <f>IF(LEN(BP84&amp;BU84)&gt;0,concatll("#### More Information",BP84,BU84),"")</f>
        <v xml:space="preserve">#### More Information_x000D_
_x000D_
* [Official site](http://www.sanjosedeavila.es/) (note: website not active at time of writing)
* [Avila tourism site](https://www.avilaturismo.com/en/convent-and-church-of-san-jose)
_x000D_
_x000D_
</v>
      </c>
      <c r="BW84" s="29" t="str">
        <f>IF(LEN(M84)&gt;1,concatll("#### Author's Note",M84),"")</f>
        <v/>
      </c>
      <c r="BX84" s="23" t="str">
        <f>IF(AR84,concatll(concatl("---",AS84:AU84,BK84,"---"),L84,BV84:BW84),"")</f>
        <v xml:space="preserve">---_x000D_
title: "Convento de San Jose, Avila"_x000D_
location: {lat: 40.6550979257916, lng: -4.69193607128771}_x000D_
level: local_x000D_
tags:
- spain_x000D_
- avila_x000D_
- churches_x000D_
- holy-persons_x000D_
- teresa-avila_x000D_
- discalced-carmelites_x000D_
- communities_x000D_
_x000D_
---_x000D_
_x000D_
_x000D_
The first of 17 communities founded by St. Teresa of Avila, in 1562. Visitors can explore the church, cloister, and St. Teresa's cell, now a chapel dedicated to prayer._x000D_
_x000D_
#### More Information_x000D_
_x000D_
* [Official site](http://www.sanjosedeavila.es/) (note: website not active at time of writing)
* [Avila tourism site](https://www.avilaturismo.com/en/convent-and-church-of-san-jose)
_x000D_
_x000D_
_x000D_
_x000D_
</v>
      </c>
      <c r="BY84" s="31" t="str">
        <f>IF(AR84,VLOOKUP(B84,'(Ref) Countries'!A:B,2,)&amp;IF(LEN(C84)&gt;1,"-"&amp;LOWER(SUBSTITUTE(C84," ","-")),"")&amp;"-"&amp;LOWER(SUBSTITUTE(G84," ","-"))&amp;".md","")</f>
        <v>es-avila-convento-de-san-jose.md</v>
      </c>
      <c r="BZ84" s="29" t="str">
        <f>IF(LEN(Y84)&gt;1,VLOOKUP(Y84,'Tag List'!$A:$B,2,),"")</f>
        <v>St. Teresa of Avila, OCD</v>
      </c>
      <c r="CA84" s="29" t="str">
        <f>IF(LEN(Z84)&gt;1,VLOOKUP(Z84,'Tag List'!$A:$B,2,),"")</f>
        <v>Discalced Carmelites (Order of Discalced Carmelites)</v>
      </c>
      <c r="CB84" s="29" t="str">
        <f>IF(LEN(AA84)&gt;1,VLOOKUP(AA84,'Tag List'!$A:$B,2,),"")</f>
        <v>Religious Communities</v>
      </c>
      <c r="CC84" s="29" t="str">
        <f>IF(LEN(Y84)&gt;1,GetTagPage(BZ84,Y84),"")</f>
        <v>[St. Teresa of Avila, OCD](/tags/teresa-avila)</v>
      </c>
      <c r="CD84" s="29" t="str">
        <f>IF(LEN(Z84)&gt;1,GetTagPage(CA84,Z84),"")</f>
        <v>[Discalced Carmelites (Order of Discalced Carmelites)](/tags/discalced-carmelites)</v>
      </c>
      <c r="CE84" s="29" t="str">
        <f>IF(LEN(AA84)&gt;1,GetTagPage(CB84,AA84),"")</f>
        <v>[Religious Communities](/tags/communities)</v>
      </c>
      <c r="CF84" s="29" t="str">
        <f t="shared" si="444"/>
        <v xml:space="preserve">| [St. Teresa of Avila, OCD](/tags/teresa-avila), [Discalced Carmelites (Order of Discalced Carmelites)](/tags/discalced-carmelites), [Religious Communities](/tags/communities) </v>
      </c>
      <c r="CG84" s="29" t="str">
        <f t="shared" si="445"/>
        <v xml:space="preserve">| [](/places/es-avila-convento-de-san-jose) </v>
      </c>
      <c r="CH84" s="29" t="str">
        <f>"| "&amp;IF(AR84,GetTagPage(B84,VLOOKUP(B84,'(Ref) Countries'!A:C,3,)),B84)&amp; " "</f>
        <v xml:space="preserve">| [Spain](/tags/spain) </v>
      </c>
      <c r="CI84" s="29" t="str">
        <f t="shared" si="446"/>
        <v xml:space="preserve">|  </v>
      </c>
      <c r="CJ84" s="29" t="str">
        <f t="shared" si="447"/>
        <v xml:space="preserve">| [Link](/places/es-avila-convento-de-san-jose) </v>
      </c>
      <c r="CK84" s="29" t="str">
        <f t="shared" si="448"/>
        <v xml:space="preserve">
| [](/places/es-avila-convento-de-san-jose) | [Spain](/tags/spain) |  | [Link](/places/es-avila-convento-de-san-jose) [Official site](http://www.sanjosedeavila.es/) (note: website not active at time of writing)| [St. Teresa of Avila, OCD](/tags/teresa-avila), [Discalced Carmelites (Order of Discalced Carmelites)](/tags/discalced-carmelites), [Religious Communities](/tags/communities) |</v>
      </c>
    </row>
    <row r="85" spans="1:89" ht="51" x14ac:dyDescent="0.25">
      <c r="A85" s="14" t="s">
        <v>1322</v>
      </c>
      <c r="B85" s="24" t="s">
        <v>552</v>
      </c>
      <c r="C85" s="115" t="s">
        <v>2178</v>
      </c>
      <c r="D85" s="15">
        <v>41.311399847334698</v>
      </c>
      <c r="E85" s="49">
        <v>-4.9193248846553699</v>
      </c>
      <c r="F85" s="114" t="s">
        <v>2179</v>
      </c>
      <c r="G85" s="53" t="s">
        <v>2162</v>
      </c>
      <c r="H85" s="15" t="s">
        <v>1835</v>
      </c>
      <c r="I85" s="15" t="b">
        <v>1</v>
      </c>
      <c r="K85" s="15" t="b">
        <v>1</v>
      </c>
      <c r="L85" s="114" t="s">
        <v>2274</v>
      </c>
      <c r="P85" s="119" t="s">
        <v>2270</v>
      </c>
      <c r="Q85" s="15" t="s">
        <v>2271</v>
      </c>
      <c r="R85" s="120" t="s">
        <v>336</v>
      </c>
      <c r="S85" s="119" t="s">
        <v>2272</v>
      </c>
      <c r="T85" s="15" t="s">
        <v>2273</v>
      </c>
      <c r="U85" s="64" t="s">
        <v>1826</v>
      </c>
      <c r="V85" s="117" t="s">
        <v>336</v>
      </c>
      <c r="Y85" s="15" t="s">
        <v>2157</v>
      </c>
      <c r="Z85" s="15" t="s">
        <v>2153</v>
      </c>
      <c r="AA85" s="15" t="s">
        <v>1426</v>
      </c>
      <c r="AB85" s="15" t="s">
        <v>2156</v>
      </c>
      <c r="AR85" s="28" t="b">
        <f t="shared" si="416"/>
        <v>1</v>
      </c>
      <c r="AS85" s="29" t="str">
        <f t="shared" si="417"/>
        <v>title: "Convento de San Jose, Medina del Campo"</v>
      </c>
      <c r="AT85" s="29" t="str">
        <f t="shared" si="418"/>
        <v>location: {lat: 41.3113998473347, lng: -4.91932488465537}</v>
      </c>
      <c r="AU85" s="29" t="str">
        <f t="shared" si="419"/>
        <v>level: local</v>
      </c>
      <c r="AV85" s="29" t="str">
        <f>"- "&amp;VLOOKUP(B85,'(Ref) Countries'!A:C,3,)</f>
        <v>- spain</v>
      </c>
      <c r="AW85" s="29" t="str">
        <f t="shared" si="420"/>
        <v>- medina-del-campo</v>
      </c>
      <c r="AX85" s="29" t="str">
        <f t="shared" si="421"/>
        <v>- churches</v>
      </c>
      <c r="AY85" s="29" t="str">
        <f t="shared" si="422"/>
        <v/>
      </c>
      <c r="AZ85" s="29" t="str">
        <f t="shared" si="423"/>
        <v>- holy-persons</v>
      </c>
      <c r="BA85" s="29" t="str">
        <f t="shared" si="424"/>
        <v>- teresa-avila</v>
      </c>
      <c r="BB85" s="29" t="str">
        <f t="shared" si="425"/>
        <v>- discalced-carmelites</v>
      </c>
      <c r="BC85" s="29" t="str">
        <f t="shared" si="426"/>
        <v>- communities</v>
      </c>
      <c r="BD85" s="29" t="str">
        <f t="shared" si="427"/>
        <v>- john-cross</v>
      </c>
      <c r="BE85" s="29" t="str">
        <f t="shared" si="428"/>
        <v/>
      </c>
      <c r="BF85" s="29" t="str">
        <f t="shared" si="429"/>
        <v/>
      </c>
      <c r="BG85" s="29" t="str">
        <f t="shared" si="430"/>
        <v/>
      </c>
      <c r="BH85" s="29" t="str">
        <f t="shared" si="431"/>
        <v/>
      </c>
      <c r="BI85" s="29" t="str">
        <f t="shared" si="432"/>
        <v/>
      </c>
      <c r="BJ85" s="29" t="str">
        <f t="shared" si="433"/>
        <v/>
      </c>
      <c r="BK85" s="29" t="str">
        <f t="shared" si="434"/>
        <v xml:space="preserve">tags:
- spain_x000D_
- medina-del-campo_x000D_
- churches_x000D_
- holy-persons_x000D_
- teresa-avila_x000D_
- discalced-carmelites_x000D_
- communities_x000D_
- john-cross_x000D_
</v>
      </c>
      <c r="BL85" s="29" t="str">
        <f t="shared" si="435"/>
        <v/>
      </c>
      <c r="BM85" s="29" t="str">
        <f t="shared" si="436"/>
        <v>[Castila y Leon tourism site](https://www.turismocastillayleon.com/en/art-culture-heritage/museums/teresian-museum-san-jose-medina-del-campo-m-m-carmelitas)</v>
      </c>
      <c r="BN85" s="29" t="str">
        <f t="shared" si="437"/>
        <v>[Medina del Campo tourism site](http://medinadelcampo.es/lo-indispensable/donde-la-historia-cobra-vida/23-lo-indispensable/donde-la-historia-cobra-vida/367-convento-san-juan-de-la-cruz-ruta-teresiana) (note: website not active at time of writing)</v>
      </c>
      <c r="BO85" s="29" t="str">
        <f t="shared" si="438"/>
        <v/>
      </c>
      <c r="BP85" s="29" t="str">
        <f t="shared" si="439"/>
        <v xml:space="preserve">* [Castila y Leon tourism site](https://www.turismocastillayleon.com/en/art-culture-heritage/museums/teresian-museum-san-jose-medina-del-campo-m-m-carmelitas)
* [Medina del Campo tourism site](http://medinadelcampo.es/lo-indispensable/donde-la-historia-cobra-vida/23-lo-indispensable/donde-la-historia-cobra-vida/367-convento-san-juan-de-la-cruz-ruta-teresiana) (note: website not active at time of writing)
</v>
      </c>
      <c r="BQ85" s="29" t="str">
        <f t="shared" si="440"/>
        <v/>
      </c>
      <c r="BR85" s="29" t="str">
        <f t="shared" si="441"/>
        <v/>
      </c>
      <c r="BS85" s="29" t="str">
        <f t="shared" si="442"/>
        <v/>
      </c>
      <c r="BT85" s="29" t="str">
        <f>IF(LEN(concat(BQ85:BS85))&gt;0,concat("| ",BQ85," | ",BR85," | ",BS85," |"),"")</f>
        <v/>
      </c>
      <c r="BU85" s="29" t="str">
        <f t="shared" si="443"/>
        <v/>
      </c>
      <c r="BV85" s="29" t="str">
        <f>IF(LEN(BP85&amp;BU85)&gt;0,concatll("#### More Information",BP85,BU85),"")</f>
        <v xml:space="preserve">#### More Information_x000D_
_x000D_
* [Castila y Leon tourism site](https://www.turismocastillayleon.com/en/art-culture-heritage/museums/teresian-museum-san-jose-medina-del-campo-m-m-carmelitas)
* [Medina del Campo tourism site](http://medinadelcampo.es/lo-indispensable/donde-la-historia-cobra-vida/23-lo-indispensable/donde-la-historia-cobra-vida/367-convento-san-juan-de-la-cruz-ruta-teresiana) (note: website not active at time of writing)
_x000D_
_x000D_
</v>
      </c>
      <c r="BW85" s="29" t="str">
        <f>IF(LEN(M85)&gt;1,concatll("#### Author's Note",M85),"")</f>
        <v/>
      </c>
      <c r="BX85" s="23" t="str">
        <f>IF(AR85,concatll(concatl("---",AS85:AU85,BK85,"---"),L85,BV85:BW85),"")</f>
        <v xml:space="preserve">---_x000D_
title: "Convento de San Jose, Medina del Campo"_x000D_
location: {lat: 41.3113998473347, lng: -4.91932488465537}_x000D_
level: local_x000D_
tags:
- spain_x000D_
- medina-del-campo_x000D_
- churches_x000D_
- holy-persons_x000D_
- teresa-avila_x000D_
- discalced-carmelites_x000D_
- communities_x000D_
- john-cross_x000D_
_x000D_
---_x000D_
_x000D_
_x000D_
The second of 17 communities founded by St. Teresa of Avila, in 1567, and also where she met and influenced St. John of the Cross.
Now houses a museum._x000D_
_x000D_
#### More Information_x000D_
_x000D_
* [Castila y Leon tourism site](https://www.turismocastillayleon.com/en/art-culture-heritage/museums/teresian-museum-san-jose-medina-del-campo-m-m-carmelitas)
* [Medina del Campo tourism site](http://medinadelcampo.es/lo-indispensable/donde-la-historia-cobra-vida/23-lo-indispensable/donde-la-historia-cobra-vida/367-convento-san-juan-de-la-cruz-ruta-teresiana) (note: website not active at time of writing)
_x000D_
_x000D_
_x000D_
_x000D_
</v>
      </c>
      <c r="BY85" s="31" t="str">
        <f>IF(AR85,VLOOKUP(B85,'(Ref) Countries'!A:B,2,)&amp;IF(LEN(C85)&gt;1,"-"&amp;LOWER(SUBSTITUTE(C85," ","-")),"")&amp;"-"&amp;LOWER(SUBSTITUTE(G85," ","-"))&amp;".md","")</f>
        <v>es-medina-del-campo-convento-de-san-jose.md</v>
      </c>
      <c r="BZ85" s="29" t="str">
        <f>IF(LEN(Y85)&gt;1,VLOOKUP(Y85,'Tag List'!$A:$B,2,),"")</f>
        <v>St. Teresa of Avila, OCD</v>
      </c>
      <c r="CA85" s="29" t="str">
        <f>IF(LEN(Z85)&gt;1,VLOOKUP(Z85,'Tag List'!$A:$B,2,),"")</f>
        <v>Discalced Carmelites (Order of Discalced Carmelites)</v>
      </c>
      <c r="CB85" s="29" t="str">
        <f>IF(LEN(AA85)&gt;1,VLOOKUP(AA85,'Tag List'!$A:$B,2,),"")</f>
        <v>Religious Communities</v>
      </c>
      <c r="CC85" s="29" t="str">
        <f>IF(LEN(Y85)&gt;1,GetTagPage(BZ85,Y85),"")</f>
        <v>[St. Teresa of Avila, OCD](/tags/teresa-avila)</v>
      </c>
      <c r="CD85" s="29" t="str">
        <f>IF(LEN(Z85)&gt;1,GetTagPage(CA85,Z85),"")</f>
        <v>[Discalced Carmelites (Order of Discalced Carmelites)](/tags/discalced-carmelites)</v>
      </c>
      <c r="CE85" s="29" t="str">
        <f>IF(LEN(AA85)&gt;1,GetTagPage(CB85,AA85),"")</f>
        <v>[Religious Communities](/tags/communities)</v>
      </c>
      <c r="CF85" s="29" t="str">
        <f t="shared" si="444"/>
        <v xml:space="preserve">| [St. Teresa of Avila, OCD](/tags/teresa-avila), [Discalced Carmelites (Order of Discalced Carmelites)](/tags/discalced-carmelites), [Religious Communities](/tags/communities) </v>
      </c>
      <c r="CG85" s="29" t="str">
        <f t="shared" si="445"/>
        <v xml:space="preserve">| [](/places/es-medina-del-campo-convento-de-san-jose) </v>
      </c>
      <c r="CH85" s="29" t="str">
        <f>"| "&amp;IF(AR85,GetTagPage(B85,VLOOKUP(B85,'(Ref) Countries'!A:C,3,)),B85)&amp; " "</f>
        <v xml:space="preserve">| [Spain](/tags/spain) </v>
      </c>
      <c r="CI85" s="29" t="str">
        <f t="shared" si="446"/>
        <v xml:space="preserve">|  </v>
      </c>
      <c r="CJ85" s="29" t="str">
        <f t="shared" si="447"/>
        <v xml:space="preserve">| [Link](/places/es-medina-del-campo-convento-de-san-jose) </v>
      </c>
      <c r="CK85" s="29" t="str">
        <f t="shared" si="448"/>
        <v xml:space="preserve">
| [](/places/es-medina-del-campo-convento-de-san-jose) | [Spain](/tags/spain) |  | [Link](/places/es-medina-del-campo-convento-de-san-jose) | [St. Teresa of Avila, OCD](/tags/teresa-avila), [Discalced Carmelites (Order of Discalced Carmelites)](/tags/discalced-carmelites), [Religious Communities](/tags/communities) |</v>
      </c>
    </row>
    <row r="86" spans="1:89" x14ac:dyDescent="0.25">
      <c r="A86" s="14" t="s">
        <v>1322</v>
      </c>
      <c r="B86" s="24" t="s">
        <v>552</v>
      </c>
      <c r="C86" s="115" t="s">
        <v>2180</v>
      </c>
      <c r="D86" s="15">
        <v>39.172836506337802</v>
      </c>
      <c r="E86" s="49">
        <v>-3.8518511711638399</v>
      </c>
      <c r="F86" s="114" t="s">
        <v>2181</v>
      </c>
      <c r="G86" s="53" t="s">
        <v>2162</v>
      </c>
      <c r="H86" s="15" t="s">
        <v>1835</v>
      </c>
      <c r="I86" s="15" t="b">
        <v>1</v>
      </c>
      <c r="K86" s="15" t="b">
        <v>1</v>
      </c>
      <c r="L86" s="114" t="s">
        <v>2195</v>
      </c>
      <c r="Y86" s="15" t="s">
        <v>2157</v>
      </c>
      <c r="Z86" s="15" t="s">
        <v>2153</v>
      </c>
      <c r="AA86" s="15" t="s">
        <v>1426</v>
      </c>
      <c r="AR86" s="28" t="b">
        <f t="shared" si="416"/>
        <v>1</v>
      </c>
      <c r="AS86" s="29" t="str">
        <f t="shared" si="417"/>
        <v>title: "Convento de San Jose, Malagon"</v>
      </c>
      <c r="AT86" s="29" t="str">
        <f t="shared" si="418"/>
        <v>location: {lat: 39.1728365063378, lng: -3.85185117116384}</v>
      </c>
      <c r="AU86" s="29" t="str">
        <f t="shared" si="419"/>
        <v>level: local</v>
      </c>
      <c r="AV86" s="29" t="str">
        <f>"- "&amp;VLOOKUP(B86,'(Ref) Countries'!A:C,3,)</f>
        <v>- spain</v>
      </c>
      <c r="AW86" s="29" t="str">
        <f t="shared" si="420"/>
        <v>- malagon</v>
      </c>
      <c r="AX86" s="29" t="str">
        <f t="shared" si="421"/>
        <v>- churches</v>
      </c>
      <c r="AY86" s="29" t="str">
        <f t="shared" si="422"/>
        <v/>
      </c>
      <c r="AZ86" s="29" t="str">
        <f t="shared" si="423"/>
        <v>- holy-persons</v>
      </c>
      <c r="BA86" s="29" t="str">
        <f t="shared" si="424"/>
        <v>- teresa-avila</v>
      </c>
      <c r="BB86" s="29" t="str">
        <f t="shared" si="425"/>
        <v>- discalced-carmelites</v>
      </c>
      <c r="BC86" s="29" t="str">
        <f t="shared" si="426"/>
        <v>- communities</v>
      </c>
      <c r="BD86" s="29" t="str">
        <f t="shared" si="427"/>
        <v/>
      </c>
      <c r="BE86" s="29" t="str">
        <f t="shared" si="428"/>
        <v/>
      </c>
      <c r="BF86" s="29" t="str">
        <f t="shared" si="429"/>
        <v/>
      </c>
      <c r="BG86" s="29" t="str">
        <f t="shared" si="430"/>
        <v/>
      </c>
      <c r="BH86" s="29" t="str">
        <f t="shared" si="431"/>
        <v/>
      </c>
      <c r="BI86" s="29" t="str">
        <f t="shared" si="432"/>
        <v/>
      </c>
      <c r="BJ86" s="29" t="str">
        <f t="shared" si="433"/>
        <v/>
      </c>
      <c r="BK86" s="29" t="str">
        <f t="shared" si="434"/>
        <v xml:space="preserve">tags:
- spain_x000D_
- malagon_x000D_
- churches_x000D_
- holy-persons_x000D_
- teresa-avila_x000D_
- discalced-carmelites_x000D_
- communities_x000D_
</v>
      </c>
      <c r="BL86" s="29" t="str">
        <f t="shared" si="435"/>
        <v/>
      </c>
      <c r="BM86" s="29" t="str">
        <f t="shared" si="436"/>
        <v/>
      </c>
      <c r="BN86" s="29" t="str">
        <f t="shared" si="437"/>
        <v/>
      </c>
      <c r="BO86" s="29" t="str">
        <f t="shared" si="438"/>
        <v/>
      </c>
      <c r="BP86" s="29" t="str">
        <f t="shared" si="439"/>
        <v/>
      </c>
      <c r="BQ86" s="29" t="str">
        <f t="shared" si="440"/>
        <v/>
      </c>
      <c r="BR86" s="29" t="str">
        <f t="shared" si="441"/>
        <v/>
      </c>
      <c r="BS86" s="29" t="str">
        <f t="shared" si="442"/>
        <v/>
      </c>
      <c r="BT86" s="29" t="str">
        <f>IF(LEN(concat(BQ86:BS86))&gt;0,concat("| ",BQ86," | ",BR86," | ",BS86," |"),"")</f>
        <v/>
      </c>
      <c r="BU86" s="29" t="str">
        <f t="shared" si="443"/>
        <v/>
      </c>
      <c r="BV86" s="29" t="str">
        <f>IF(LEN(BP86&amp;BU86)&gt;0,concatll("#### More Information",BP86,BU86),"")</f>
        <v/>
      </c>
      <c r="BW86" s="29" t="str">
        <f>IF(LEN(M86)&gt;1,concatll("#### Author's Note",M86),"")</f>
        <v/>
      </c>
      <c r="BX86" s="23" t="str">
        <f>IF(AR86,concatll(concatl("---",AS86:AU86,BK86,"---"),L86,BV86:BW86),"")</f>
        <v xml:space="preserve">---_x000D_
title: "Convento de San Jose, Malagon"_x000D_
location: {lat: 39.1728365063378, lng: -3.85185117116384}_x000D_
level: local_x000D_
tags:
- spain_x000D_
- malagon_x000D_
- churches_x000D_
- holy-persons_x000D_
- teresa-avila_x000D_
- discalced-carmelites_x000D_
- communities_x000D_
_x000D_
---_x000D_
_x000D_
_x000D_
The third of 17 communities founded by St. Teresa of Avila, in 1568._x000D_
_x000D_
</v>
      </c>
      <c r="BY86" s="31" t="str">
        <f>IF(AR86,VLOOKUP(B86,'(Ref) Countries'!A:B,2,)&amp;IF(LEN(C86)&gt;1,"-"&amp;LOWER(SUBSTITUTE(C86," ","-")),"")&amp;"-"&amp;LOWER(SUBSTITUTE(G86," ","-"))&amp;".md","")</f>
        <v>es-malagon-convento-de-san-jose.md</v>
      </c>
      <c r="BZ86" s="29" t="str">
        <f>IF(LEN(Y86)&gt;1,VLOOKUP(Y86,'Tag List'!$A:$B,2,),"")</f>
        <v>St. Teresa of Avila, OCD</v>
      </c>
      <c r="CA86" s="29" t="str">
        <f>IF(LEN(Z86)&gt;1,VLOOKUP(Z86,'Tag List'!$A:$B,2,),"")</f>
        <v>Discalced Carmelites (Order of Discalced Carmelites)</v>
      </c>
      <c r="CB86" s="29" t="str">
        <f>IF(LEN(AA86)&gt;1,VLOOKUP(AA86,'Tag List'!$A:$B,2,),"")</f>
        <v>Religious Communities</v>
      </c>
      <c r="CC86" s="29" t="str">
        <f>IF(LEN(Y86)&gt;1,GetTagPage(BZ86,Y86),"")</f>
        <v>[St. Teresa of Avila, OCD](/tags/teresa-avila)</v>
      </c>
      <c r="CD86" s="29" t="str">
        <f>IF(LEN(Z86)&gt;1,GetTagPage(CA86,Z86),"")</f>
        <v>[Discalced Carmelites (Order of Discalced Carmelites)](/tags/discalced-carmelites)</v>
      </c>
      <c r="CE86" s="29" t="str">
        <f>IF(LEN(AA86)&gt;1,GetTagPage(CB86,AA86),"")</f>
        <v>[Religious Communities](/tags/communities)</v>
      </c>
      <c r="CF86" s="29" t="str">
        <f t="shared" si="444"/>
        <v xml:space="preserve">| [St. Teresa of Avila, OCD](/tags/teresa-avila), [Discalced Carmelites (Order of Discalced Carmelites)](/tags/discalced-carmelites), [Religious Communities](/tags/communities) </v>
      </c>
      <c r="CG86" s="29" t="str">
        <f t="shared" si="445"/>
        <v xml:space="preserve">| [](/places/es-malagon-convento-de-san-jose) </v>
      </c>
      <c r="CH86" s="29" t="str">
        <f>"| "&amp;IF(AR86,GetTagPage(B86,VLOOKUP(B86,'(Ref) Countries'!A:C,3,)),B86)&amp; " "</f>
        <v xml:space="preserve">| [Spain](/tags/spain) </v>
      </c>
      <c r="CI86" s="29" t="str">
        <f t="shared" si="446"/>
        <v xml:space="preserve">|  </v>
      </c>
      <c r="CJ86" s="29" t="str">
        <f t="shared" si="447"/>
        <v xml:space="preserve">| [Link](/places/es-malagon-convento-de-san-jose) </v>
      </c>
      <c r="CK86" s="29" t="str">
        <f t="shared" si="448"/>
        <v xml:space="preserve">
| [](/places/es-malagon-convento-de-san-jose) | [Spain](/tags/spain) |  | [Link](/places/es-malagon-convento-de-san-jose) | [St. Teresa of Avila, OCD](/tags/teresa-avila), [Discalced Carmelites (Order of Discalced Carmelites)](/tags/discalced-carmelites), [Religious Communities](/tags/communities) |</v>
      </c>
    </row>
    <row r="87" spans="1:89" x14ac:dyDescent="0.25">
      <c r="A87" s="14" t="s">
        <v>1322</v>
      </c>
      <c r="B87" s="24" t="s">
        <v>552</v>
      </c>
      <c r="C87" s="115" t="s">
        <v>2183</v>
      </c>
      <c r="D87" s="15">
        <v>41.659886377779202</v>
      </c>
      <c r="E87" s="49">
        <v>-4.72687771534462</v>
      </c>
      <c r="F87" s="114" t="s">
        <v>2182</v>
      </c>
      <c r="G87" s="53" t="s">
        <v>2182</v>
      </c>
      <c r="H87" s="15" t="s">
        <v>1835</v>
      </c>
      <c r="I87" s="15" t="b">
        <v>1</v>
      </c>
      <c r="K87" s="15" t="b">
        <v>1</v>
      </c>
      <c r="L87" s="114" t="s">
        <v>2197</v>
      </c>
      <c r="Y87" s="15" t="s">
        <v>2157</v>
      </c>
      <c r="Z87" s="15" t="s">
        <v>2153</v>
      </c>
      <c r="AA87" s="15" t="s">
        <v>1426</v>
      </c>
      <c r="AR87" s="28" t="b">
        <f t="shared" si="416"/>
        <v>1</v>
      </c>
      <c r="AS87" s="29" t="str">
        <f t="shared" si="417"/>
        <v>title: "Convento de Santa Teresa"</v>
      </c>
      <c r="AT87" s="29" t="str">
        <f t="shared" si="418"/>
        <v>location: {lat: 41.6598863777792, lng: -4.72687771534462}</v>
      </c>
      <c r="AU87" s="29" t="str">
        <f t="shared" si="419"/>
        <v>level: local</v>
      </c>
      <c r="AV87" s="29" t="str">
        <f>"- "&amp;VLOOKUP(B87,'(Ref) Countries'!A:C,3,)</f>
        <v>- spain</v>
      </c>
      <c r="AW87" s="29" t="str">
        <f t="shared" si="420"/>
        <v>- valladolid</v>
      </c>
      <c r="AX87" s="29" t="str">
        <f t="shared" si="421"/>
        <v>- churches</v>
      </c>
      <c r="AY87" s="29" t="str">
        <f t="shared" si="422"/>
        <v/>
      </c>
      <c r="AZ87" s="29" t="str">
        <f t="shared" si="423"/>
        <v>- holy-persons</v>
      </c>
      <c r="BA87" s="29" t="str">
        <f t="shared" si="424"/>
        <v>- teresa-avila</v>
      </c>
      <c r="BB87" s="29" t="str">
        <f t="shared" si="425"/>
        <v>- discalced-carmelites</v>
      </c>
      <c r="BC87" s="29" t="str">
        <f t="shared" si="426"/>
        <v>- communities</v>
      </c>
      <c r="BD87" s="29" t="str">
        <f t="shared" si="427"/>
        <v/>
      </c>
      <c r="BE87" s="29" t="str">
        <f t="shared" si="428"/>
        <v/>
      </c>
      <c r="BF87" s="29" t="str">
        <f t="shared" si="429"/>
        <v/>
      </c>
      <c r="BG87" s="29" t="str">
        <f t="shared" si="430"/>
        <v/>
      </c>
      <c r="BH87" s="29" t="str">
        <f t="shared" si="431"/>
        <v/>
      </c>
      <c r="BI87" s="29" t="str">
        <f t="shared" si="432"/>
        <v/>
      </c>
      <c r="BJ87" s="29" t="str">
        <f t="shared" si="433"/>
        <v/>
      </c>
      <c r="BK87" s="29" t="str">
        <f t="shared" si="434"/>
        <v xml:space="preserve">tags:
- spain_x000D_
- valladolid_x000D_
- churches_x000D_
- holy-persons_x000D_
- teresa-avila_x000D_
- discalced-carmelites_x000D_
- communities_x000D_
</v>
      </c>
      <c r="BL87" s="29" t="str">
        <f t="shared" si="435"/>
        <v/>
      </c>
      <c r="BM87" s="29" t="str">
        <f t="shared" si="436"/>
        <v/>
      </c>
      <c r="BN87" s="29" t="str">
        <f t="shared" si="437"/>
        <v/>
      </c>
      <c r="BO87" s="29" t="str">
        <f t="shared" si="438"/>
        <v/>
      </c>
      <c r="BP87" s="29" t="str">
        <f t="shared" si="439"/>
        <v/>
      </c>
      <c r="BQ87" s="29" t="str">
        <f t="shared" si="440"/>
        <v/>
      </c>
      <c r="BR87" s="29" t="str">
        <f t="shared" si="441"/>
        <v/>
      </c>
      <c r="BS87" s="29" t="str">
        <f t="shared" si="442"/>
        <v/>
      </c>
      <c r="BT87" s="29" t="str">
        <f>IF(LEN(concat(BQ87:BS87))&gt;0,concat("| ",BQ87," | ",BR87," | ",BS87," |"),"")</f>
        <v/>
      </c>
      <c r="BU87" s="29" t="str">
        <f t="shared" si="443"/>
        <v/>
      </c>
      <c r="BV87" s="29" t="str">
        <f>IF(LEN(BP87&amp;BU87)&gt;0,concatll("#### More Information",BP87,BU87),"")</f>
        <v/>
      </c>
      <c r="BW87" s="29" t="str">
        <f>IF(LEN(M87)&gt;1,concatll("#### Author's Note",M87),"")</f>
        <v/>
      </c>
      <c r="BX87" s="23" t="str">
        <f>IF(AR87,concatll(concatl("---",AS87:AU87,BK87,"---"),L87,BV87:BW87),"")</f>
        <v xml:space="preserve">---_x000D_
title: "Convento de Santa Teresa"_x000D_
location: {lat: 41.6598863777792, lng: -4.72687771534462}_x000D_
level: local_x000D_
tags:
- spain_x000D_
- valladolid_x000D_
- churches_x000D_
- holy-persons_x000D_
- teresa-avila_x000D_
- discalced-carmelites_x000D_
- communities_x000D_
_x000D_
---_x000D_
_x000D_
_x000D_
The fourth of 17 communities founded by St. Teresa of Avila, in 1568._x000D_
_x000D_
</v>
      </c>
      <c r="BY87" s="31" t="str">
        <f>IF(AR87,VLOOKUP(B87,'(Ref) Countries'!A:B,2,)&amp;IF(LEN(C87)&gt;1,"-"&amp;LOWER(SUBSTITUTE(C87," ","-")),"")&amp;"-"&amp;LOWER(SUBSTITUTE(G87," ","-"))&amp;".md","")</f>
        <v>es-valladolid-convento-de-santa-teresa.md</v>
      </c>
      <c r="BZ87" s="29" t="str">
        <f>IF(LEN(Y87)&gt;1,VLOOKUP(Y87,'Tag List'!$A:$B,2,),"")</f>
        <v>St. Teresa of Avila, OCD</v>
      </c>
      <c r="CA87" s="29" t="str">
        <f>IF(LEN(Z87)&gt;1,VLOOKUP(Z87,'Tag List'!$A:$B,2,),"")</f>
        <v>Discalced Carmelites (Order of Discalced Carmelites)</v>
      </c>
      <c r="CB87" s="29" t="str">
        <f>IF(LEN(AA87)&gt;1,VLOOKUP(AA87,'Tag List'!$A:$B,2,),"")</f>
        <v>Religious Communities</v>
      </c>
      <c r="CC87" s="29" t="str">
        <f>IF(LEN(Y87)&gt;1,GetTagPage(BZ87,Y87),"")</f>
        <v>[St. Teresa of Avila, OCD](/tags/teresa-avila)</v>
      </c>
      <c r="CD87" s="29" t="str">
        <f>IF(LEN(Z87)&gt;1,GetTagPage(CA87,Z87),"")</f>
        <v>[Discalced Carmelites (Order of Discalced Carmelites)](/tags/discalced-carmelites)</v>
      </c>
      <c r="CE87" s="29" t="str">
        <f>IF(LEN(AA87)&gt;1,GetTagPage(CB87,AA87),"")</f>
        <v>[Religious Communities](/tags/communities)</v>
      </c>
      <c r="CF87" s="29" t="str">
        <f t="shared" si="444"/>
        <v xml:space="preserve">| [St. Teresa of Avila, OCD](/tags/teresa-avila), [Discalced Carmelites (Order of Discalced Carmelites)](/tags/discalced-carmelites), [Religious Communities](/tags/communities) </v>
      </c>
      <c r="CG87" s="29" t="str">
        <f t="shared" si="445"/>
        <v xml:space="preserve">| [](/places/es-valladolid-convento-de-santa-teresa) </v>
      </c>
      <c r="CH87" s="29" t="str">
        <f>"| "&amp;IF(AR87,GetTagPage(B87,VLOOKUP(B87,'(Ref) Countries'!A:C,3,)),B87)&amp; " "</f>
        <v xml:space="preserve">| [Spain](/tags/spain) </v>
      </c>
      <c r="CI87" s="29" t="str">
        <f t="shared" si="446"/>
        <v xml:space="preserve">|  </v>
      </c>
      <c r="CJ87" s="29" t="str">
        <f t="shared" si="447"/>
        <v xml:space="preserve">| [Link](/places/es-valladolid-convento-de-santa-teresa) </v>
      </c>
      <c r="CK87" s="29" t="str">
        <f t="shared" si="448"/>
        <v xml:space="preserve">
| [](/places/es-valladolid-convento-de-santa-teresa) | [Spain](/tags/spain) |  | [Link](/places/es-valladolid-convento-de-santa-teresa) | [St. Teresa of Avila, OCD](/tags/teresa-avila), [Discalced Carmelites (Order of Discalced Carmelites)](/tags/discalced-carmelites), [Religious Communities](/tags/communities) |</v>
      </c>
    </row>
    <row r="88" spans="1:89" x14ac:dyDescent="0.25">
      <c r="A88" s="14" t="s">
        <v>1322</v>
      </c>
      <c r="B88" s="24" t="s">
        <v>552</v>
      </c>
      <c r="C88" s="115" t="s">
        <v>2186</v>
      </c>
      <c r="D88" s="15">
        <v>39.860357499451801</v>
      </c>
      <c r="E88" s="49">
        <v>-4.0247343354961798</v>
      </c>
      <c r="F88" s="114" t="s">
        <v>2187</v>
      </c>
      <c r="G88" s="53" t="s">
        <v>2162</v>
      </c>
      <c r="H88" s="15" t="s">
        <v>1835</v>
      </c>
      <c r="I88" s="15" t="b">
        <v>1</v>
      </c>
      <c r="K88" s="15" t="b">
        <v>1</v>
      </c>
      <c r="L88" s="114" t="s">
        <v>2198</v>
      </c>
      <c r="Y88" s="15" t="s">
        <v>2157</v>
      </c>
      <c r="Z88" s="15" t="s">
        <v>2153</v>
      </c>
      <c r="AA88" s="15" t="s">
        <v>1426</v>
      </c>
      <c r="AR88" s="28" t="b">
        <f t="shared" si="416"/>
        <v>1</v>
      </c>
      <c r="AS88" s="29" t="str">
        <f t="shared" si="417"/>
        <v>title: "Convento de San Jose, Toledo"</v>
      </c>
      <c r="AT88" s="29" t="str">
        <f t="shared" si="418"/>
        <v>location: {lat: 39.8603574994518, lng: -4.02473433549618}</v>
      </c>
      <c r="AU88" s="29" t="str">
        <f t="shared" si="419"/>
        <v>level: local</v>
      </c>
      <c r="AV88" s="29" t="str">
        <f>"- "&amp;VLOOKUP(B88,'(Ref) Countries'!A:C,3,)</f>
        <v>- spain</v>
      </c>
      <c r="AW88" s="29" t="str">
        <f t="shared" si="420"/>
        <v>- toledo</v>
      </c>
      <c r="AX88" s="29" t="str">
        <f t="shared" si="421"/>
        <v>- churches</v>
      </c>
      <c r="AY88" s="29" t="str">
        <f t="shared" si="422"/>
        <v/>
      </c>
      <c r="AZ88" s="29" t="str">
        <f t="shared" si="423"/>
        <v>- holy-persons</v>
      </c>
      <c r="BA88" s="29" t="str">
        <f t="shared" si="424"/>
        <v>- teresa-avila</v>
      </c>
      <c r="BB88" s="29" t="str">
        <f t="shared" si="425"/>
        <v>- discalced-carmelites</v>
      </c>
      <c r="BC88" s="29" t="str">
        <f t="shared" si="426"/>
        <v>- communities</v>
      </c>
      <c r="BD88" s="29" t="str">
        <f t="shared" si="427"/>
        <v/>
      </c>
      <c r="BE88" s="29" t="str">
        <f t="shared" si="428"/>
        <v/>
      </c>
      <c r="BF88" s="29" t="str">
        <f t="shared" si="429"/>
        <v/>
      </c>
      <c r="BG88" s="29" t="str">
        <f t="shared" si="430"/>
        <v/>
      </c>
      <c r="BH88" s="29" t="str">
        <f t="shared" si="431"/>
        <v/>
      </c>
      <c r="BI88" s="29" t="str">
        <f t="shared" si="432"/>
        <v/>
      </c>
      <c r="BJ88" s="29" t="str">
        <f t="shared" si="433"/>
        <v/>
      </c>
      <c r="BK88" s="29" t="str">
        <f t="shared" si="434"/>
        <v xml:space="preserve">tags:
- spain_x000D_
- toledo_x000D_
- churches_x000D_
- holy-persons_x000D_
- teresa-avila_x000D_
- discalced-carmelites_x000D_
- communities_x000D_
</v>
      </c>
      <c r="BL88" s="29" t="str">
        <f t="shared" si="435"/>
        <v/>
      </c>
      <c r="BM88" s="29" t="str">
        <f t="shared" si="436"/>
        <v/>
      </c>
      <c r="BN88" s="29" t="str">
        <f t="shared" si="437"/>
        <v/>
      </c>
      <c r="BO88" s="29" t="str">
        <f t="shared" si="438"/>
        <v/>
      </c>
      <c r="BP88" s="29" t="str">
        <f t="shared" si="439"/>
        <v/>
      </c>
      <c r="BQ88" s="29" t="str">
        <f t="shared" si="440"/>
        <v/>
      </c>
      <c r="BR88" s="29" t="str">
        <f t="shared" si="441"/>
        <v/>
      </c>
      <c r="BS88" s="29" t="str">
        <f t="shared" si="442"/>
        <v/>
      </c>
      <c r="BT88" s="29" t="str">
        <f>IF(LEN(concat(BQ88:BS88))&gt;0,concat("| ",BQ88," | ",BR88," | ",BS88," |"),"")</f>
        <v/>
      </c>
      <c r="BU88" s="29" t="str">
        <f t="shared" si="443"/>
        <v/>
      </c>
      <c r="BV88" s="29" t="str">
        <f>IF(LEN(BP88&amp;BU88)&gt;0,concatll("#### More Information",BP88,BU88),"")</f>
        <v/>
      </c>
      <c r="BW88" s="29" t="str">
        <f>IF(LEN(M88)&gt;1,concatll("#### Author's Note",M88),"")</f>
        <v/>
      </c>
      <c r="BX88" s="23" t="str">
        <f>IF(AR88,concatll(concatl("---",AS88:AU88,BK88,"---"),L88,BV88:BW88),"")</f>
        <v xml:space="preserve">---_x000D_
title: "Convento de San Jose, Toledo"_x000D_
location: {lat: 39.8603574994518, lng: -4.02473433549618}_x000D_
level: local_x000D_
tags:
- spain_x000D_
- toledo_x000D_
- churches_x000D_
- holy-persons_x000D_
- teresa-avila_x000D_
- discalced-carmelites_x000D_
- communities_x000D_
_x000D_
---_x000D_
_x000D_
_x000D_
The fifth of 17 communities founded by St. Teresa of Avila, in 1569._x000D_
_x000D_
</v>
      </c>
      <c r="BY88" s="31" t="str">
        <f>IF(AR88,VLOOKUP(B88,'(Ref) Countries'!A:B,2,)&amp;IF(LEN(C88)&gt;1,"-"&amp;LOWER(SUBSTITUTE(C88," ","-")),"")&amp;"-"&amp;LOWER(SUBSTITUTE(G88," ","-"))&amp;".md","")</f>
        <v>es-toledo-convento-de-san-jose.md</v>
      </c>
      <c r="BZ88" s="29" t="str">
        <f>IF(LEN(Y88)&gt;1,VLOOKUP(Y88,'Tag List'!$A:$B,2,),"")</f>
        <v>St. Teresa of Avila, OCD</v>
      </c>
      <c r="CA88" s="29" t="str">
        <f>IF(LEN(Z88)&gt;1,VLOOKUP(Z88,'Tag List'!$A:$B,2,),"")</f>
        <v>Discalced Carmelites (Order of Discalced Carmelites)</v>
      </c>
      <c r="CB88" s="29" t="str">
        <f>IF(LEN(AA88)&gt;1,VLOOKUP(AA88,'Tag List'!$A:$B,2,),"")</f>
        <v>Religious Communities</v>
      </c>
      <c r="CC88" s="29" t="str">
        <f>IF(LEN(Y88)&gt;1,GetTagPage(BZ88,Y88),"")</f>
        <v>[St. Teresa of Avila, OCD](/tags/teresa-avila)</v>
      </c>
      <c r="CD88" s="29" t="str">
        <f>IF(LEN(Z88)&gt;1,GetTagPage(CA88,Z88),"")</f>
        <v>[Discalced Carmelites (Order of Discalced Carmelites)](/tags/discalced-carmelites)</v>
      </c>
      <c r="CE88" s="29" t="str">
        <f>IF(LEN(AA88)&gt;1,GetTagPage(CB88,AA88),"")</f>
        <v>[Religious Communities](/tags/communities)</v>
      </c>
      <c r="CF88" s="29" t="str">
        <f t="shared" si="444"/>
        <v xml:space="preserve">| [St. Teresa of Avila, OCD](/tags/teresa-avila), [Discalced Carmelites (Order of Discalced Carmelites)](/tags/discalced-carmelites), [Religious Communities](/tags/communities) </v>
      </c>
      <c r="CG88" s="29" t="str">
        <f t="shared" si="445"/>
        <v xml:space="preserve">| [](/places/es-toledo-convento-de-san-jose) </v>
      </c>
      <c r="CH88" s="29" t="str">
        <f>"| "&amp;IF(AR88,GetTagPage(B88,VLOOKUP(B88,'(Ref) Countries'!A:C,3,)),B88)&amp; " "</f>
        <v xml:space="preserve">| [Spain](/tags/spain) </v>
      </c>
      <c r="CI88" s="29" t="str">
        <f t="shared" si="446"/>
        <v xml:space="preserve">|  </v>
      </c>
      <c r="CJ88" s="29" t="str">
        <f t="shared" si="447"/>
        <v xml:space="preserve">| [Link](/places/es-toledo-convento-de-san-jose) </v>
      </c>
      <c r="CK88" s="29" t="str">
        <f t="shared" si="448"/>
        <v xml:space="preserve">
| [](/places/es-toledo-convento-de-san-jose) | [Spain](/tags/spain) |  | [Link](/places/es-toledo-convento-de-san-jose) | [St. Teresa of Avila, OCD](/tags/teresa-avila), [Discalced Carmelites (Order of Discalced Carmelites)](/tags/discalced-carmelites), [Religious Communities](/tags/communities) |</v>
      </c>
    </row>
    <row r="89" spans="1:89" ht="89.25" x14ac:dyDescent="0.25">
      <c r="A89" s="14" t="s">
        <v>1322</v>
      </c>
      <c r="B89" s="24" t="s">
        <v>552</v>
      </c>
      <c r="C89" s="115" t="s">
        <v>2190</v>
      </c>
      <c r="D89" s="15">
        <v>40.405087686540597</v>
      </c>
      <c r="E89" s="49">
        <v>-2.9172532935268598</v>
      </c>
      <c r="F89" s="114" t="s">
        <v>2189</v>
      </c>
      <c r="G89" s="116" t="s">
        <v>2188</v>
      </c>
      <c r="H89" s="15" t="s">
        <v>1835</v>
      </c>
      <c r="I89" s="15" t="b">
        <v>1</v>
      </c>
      <c r="K89" s="15" t="b">
        <v>1</v>
      </c>
      <c r="L89" s="114" t="s">
        <v>2296</v>
      </c>
      <c r="P89" s="119" t="s">
        <v>2193</v>
      </c>
      <c r="Q89" s="15" t="s">
        <v>2194</v>
      </c>
      <c r="R89" s="120" t="s">
        <v>336</v>
      </c>
      <c r="Y89" s="15" t="s">
        <v>2157</v>
      </c>
      <c r="Z89" s="115" t="s">
        <v>2153</v>
      </c>
      <c r="AA89" s="15" t="s">
        <v>1426</v>
      </c>
      <c r="AB89" s="15" t="s">
        <v>2191</v>
      </c>
      <c r="AC89" s="115" t="s">
        <v>2156</v>
      </c>
      <c r="AR89" s="28" t="b">
        <f t="shared" si="416"/>
        <v>1</v>
      </c>
      <c r="AS89" s="29" t="str">
        <f t="shared" si="417"/>
        <v>title: "Convento del Carmen, Pastrana"</v>
      </c>
      <c r="AT89" s="29" t="str">
        <f t="shared" si="418"/>
        <v>location: {lat: 40.4050876865406, lng: -2.91725329352686}</v>
      </c>
      <c r="AU89" s="29" t="str">
        <f t="shared" si="419"/>
        <v>level: local</v>
      </c>
      <c r="AV89" s="29" t="str">
        <f>"- "&amp;VLOOKUP(B89,'(Ref) Countries'!A:C,3,)</f>
        <v>- spain</v>
      </c>
      <c r="AW89" s="29" t="str">
        <f t="shared" si="420"/>
        <v>- pastrana</v>
      </c>
      <c r="AX89" s="29" t="str">
        <f t="shared" si="421"/>
        <v>- churches</v>
      </c>
      <c r="AY89" s="29" t="str">
        <f t="shared" si="422"/>
        <v/>
      </c>
      <c r="AZ89" s="29" t="str">
        <f t="shared" si="423"/>
        <v>- holy-persons</v>
      </c>
      <c r="BA89" s="29" t="str">
        <f t="shared" si="424"/>
        <v>- teresa-avila</v>
      </c>
      <c r="BB89" s="29" t="str">
        <f t="shared" si="425"/>
        <v>- discalced-carmelites</v>
      </c>
      <c r="BC89" s="29" t="str">
        <f t="shared" si="426"/>
        <v>- communities</v>
      </c>
      <c r="BD89" s="29" t="str">
        <f t="shared" si="427"/>
        <v>- conceptionists</v>
      </c>
      <c r="BE89" s="29" t="str">
        <f t="shared" si="428"/>
        <v>- john-cross</v>
      </c>
      <c r="BF89" s="29" t="str">
        <f t="shared" si="429"/>
        <v/>
      </c>
      <c r="BG89" s="29" t="str">
        <f t="shared" si="430"/>
        <v/>
      </c>
      <c r="BH89" s="29" t="str">
        <f t="shared" si="431"/>
        <v/>
      </c>
      <c r="BI89" s="29" t="str">
        <f t="shared" si="432"/>
        <v/>
      </c>
      <c r="BJ89" s="29" t="str">
        <f t="shared" si="433"/>
        <v/>
      </c>
      <c r="BK89" s="29" t="str">
        <f t="shared" si="434"/>
        <v xml:space="preserve">tags:
- spain_x000D_
- pastrana_x000D_
- churches_x000D_
- holy-persons_x000D_
- teresa-avila_x000D_
- discalced-carmelites_x000D_
- communities_x000D_
- conceptionists_x000D_
- john-cross_x000D_
</v>
      </c>
      <c r="BL89" s="29" t="str">
        <f t="shared" si="435"/>
        <v/>
      </c>
      <c r="BM89" s="29" t="str">
        <f t="shared" si="436"/>
        <v>[Pastrana tourism site](https://turismo.pastrana.org/destino-pastrana/monumentos-pastrana-visitas-culturales/convento-del-carmen/)</v>
      </c>
      <c r="BN89" s="29" t="str">
        <f t="shared" si="437"/>
        <v/>
      </c>
      <c r="BO89" s="29" t="str">
        <f t="shared" si="438"/>
        <v/>
      </c>
      <c r="BP89" s="29" t="str">
        <f t="shared" si="439"/>
        <v xml:space="preserve">* [Pastrana tourism site](https://turismo.pastrana.org/destino-pastrana/monumentos-pastrana-visitas-culturales/convento-del-carmen/)
</v>
      </c>
      <c r="BQ89" s="29" t="str">
        <f t="shared" si="440"/>
        <v/>
      </c>
      <c r="BR89" s="29" t="str">
        <f t="shared" si="441"/>
        <v/>
      </c>
      <c r="BS89" s="29" t="str">
        <f t="shared" si="442"/>
        <v/>
      </c>
      <c r="BT89" s="29" t="str">
        <f>IF(LEN(concat(BQ89:BS89))&gt;0,concat("| ",BQ89," | ",BR89," | ",BS89," |"),"")</f>
        <v/>
      </c>
      <c r="BU89" s="29" t="str">
        <f t="shared" si="443"/>
        <v/>
      </c>
      <c r="BV89" s="29" t="str">
        <f>IF(LEN(BP89&amp;BU89)&gt;0,concatll("#### More Information",BP89,BU89),"")</f>
        <v xml:space="preserve">#### More Information_x000D_
_x000D_
* [Pastrana tourism site](https://turismo.pastrana.org/destino-pastrana/monumentos-pastrana-visitas-culturales/convento-del-carmen/)
_x000D_
_x000D_
</v>
      </c>
      <c r="BW89" s="29" t="str">
        <f>IF(LEN(M89)&gt;1,concatll("#### Author's Note",M89),"")</f>
        <v/>
      </c>
      <c r="BX89" s="23" t="str">
        <f>IF(AR89,concatll(concatl("---",AS89:AU89,BK89,"---"),L89,BV89:BW89),"")</f>
        <v xml:space="preserve">---_x000D_
title: "Convento del Carmen, Pastrana"_x000D_
location: {lat: 40.4050876865406, lng: -2.91725329352686}_x000D_
level: local_x000D_
tags:
- spain_x000D_
- pastrana_x000D_
- churches_x000D_
- holy-persons_x000D_
- teresa-avila_x000D_
- discalced-carmelites_x000D_
- communities_x000D_
- conceptionists_x000D_
- john-cross_x000D_
_x000D_
---_x000D_
_x000D_
_x000D_
The sixth of 17 communities founded by St. Teresa of Avila, in 1569.  St. John of the Cross may have written his *Dark Night of the Soul* and *Ascent of Mount Carmel* here.
In 1836 the convent was confiscated by the Spanish government, but in 1855 was reoccupied by Conceptionist Franciscan nuns.  Today it serves as a Conceptionist convent and Teresan museum._x000D_
_x000D_
#### More Information_x000D_
_x000D_
* [Pastrana tourism site](https://turismo.pastrana.org/destino-pastrana/monumentos-pastrana-visitas-culturales/convento-del-carmen/)
_x000D_
_x000D_
_x000D_
_x000D_
</v>
      </c>
      <c r="BY89" s="31" t="str">
        <f>IF(AR89,VLOOKUP(B89,'(Ref) Countries'!A:B,2,)&amp;IF(LEN(C89)&gt;1,"-"&amp;LOWER(SUBSTITUTE(C89," ","-")),"")&amp;"-"&amp;LOWER(SUBSTITUTE(G89," ","-"))&amp;".md","")</f>
        <v>es-pastrana-convento-del-carmen.md</v>
      </c>
      <c r="BZ89" s="29" t="str">
        <f>IF(LEN(Y89)&gt;1,VLOOKUP(Y89,'Tag List'!$A:$B,2,),"")</f>
        <v>St. Teresa of Avila, OCD</v>
      </c>
      <c r="CA89" s="29" t="str">
        <f>IF(LEN(Z89)&gt;1,VLOOKUP(Z89,'Tag List'!$A:$B,2,),"")</f>
        <v>Discalced Carmelites (Order of Discalced Carmelites)</v>
      </c>
      <c r="CB89" s="29" t="str">
        <f>IF(LEN(AA89)&gt;1,VLOOKUP(AA89,'Tag List'!$A:$B,2,),"")</f>
        <v>Religious Communities</v>
      </c>
      <c r="CC89" s="29" t="str">
        <f>IF(LEN(Y89)&gt;1,GetTagPage(BZ89,Y89),"")</f>
        <v>[St. Teresa of Avila, OCD](/tags/teresa-avila)</v>
      </c>
      <c r="CD89" s="29" t="str">
        <f>IF(LEN(Z89)&gt;1,GetTagPage(CA89,Z89),"")</f>
        <v>[Discalced Carmelites (Order of Discalced Carmelites)](/tags/discalced-carmelites)</v>
      </c>
      <c r="CE89" s="29" t="str">
        <f>IF(LEN(AA89)&gt;1,GetTagPage(CB89,AA89),"")</f>
        <v>[Religious Communities](/tags/communities)</v>
      </c>
      <c r="CF89" s="29" t="str">
        <f t="shared" si="444"/>
        <v xml:space="preserve">| [St. Teresa of Avila, OCD](/tags/teresa-avila), [Discalced Carmelites (Order of Discalced Carmelites)](/tags/discalced-carmelites), [Religious Communities](/tags/communities) </v>
      </c>
      <c r="CG89" s="29" t="str">
        <f t="shared" si="445"/>
        <v xml:space="preserve">| [](/places/es-pastrana-convento-del-carmen) </v>
      </c>
      <c r="CH89" s="29" t="str">
        <f>"| "&amp;IF(AR89,GetTagPage(B89,VLOOKUP(B89,'(Ref) Countries'!A:C,3,)),B89)&amp; " "</f>
        <v xml:space="preserve">| [Spain](/tags/spain) </v>
      </c>
      <c r="CI89" s="29" t="str">
        <f t="shared" si="446"/>
        <v xml:space="preserve">|  </v>
      </c>
      <c r="CJ89" s="29" t="str">
        <f t="shared" si="447"/>
        <v xml:space="preserve">| [Link](/places/es-pastrana-convento-del-carmen) </v>
      </c>
      <c r="CK89" s="29" t="str">
        <f t="shared" si="448"/>
        <v xml:space="preserve">
| [](/places/es-pastrana-convento-del-carmen) | [Spain](/tags/spain) |  | [Link](/places/es-pastrana-convento-del-carmen) | [St. Teresa of Avila, OCD](/tags/teresa-avila), [Discalced Carmelites (Order of Discalced Carmelites)](/tags/discalced-carmelites), [Religious Communities](/tags/communities) |</v>
      </c>
    </row>
    <row r="90" spans="1:89" ht="89.25" x14ac:dyDescent="0.25">
      <c r="A90" s="14" t="s">
        <v>1322</v>
      </c>
      <c r="B90" s="24" t="s">
        <v>552</v>
      </c>
      <c r="C90" s="115"/>
      <c r="D90" s="15">
        <v>40.461168474019402</v>
      </c>
      <c r="E90" s="49">
        <v>-6.1468564846553697</v>
      </c>
      <c r="F90" s="114" t="s">
        <v>2167</v>
      </c>
      <c r="G90" s="53" t="s">
        <v>2167</v>
      </c>
      <c r="H90" s="15" t="s">
        <v>1835</v>
      </c>
      <c r="I90" s="15" t="b">
        <v>1</v>
      </c>
      <c r="K90" s="15" t="b">
        <v>1</v>
      </c>
      <c r="L90" s="114" t="s">
        <v>2200</v>
      </c>
      <c r="N90" s="15" t="s">
        <v>2168</v>
      </c>
      <c r="O90" s="117" t="s">
        <v>336</v>
      </c>
      <c r="R90" s="64" t="s">
        <v>336</v>
      </c>
      <c r="Y90" s="15" t="s">
        <v>2157</v>
      </c>
      <c r="Z90" s="15" t="s">
        <v>2153</v>
      </c>
      <c r="AA90" s="15" t="s">
        <v>1426</v>
      </c>
      <c r="AR90" s="28" t="b">
        <f t="shared" si="416"/>
        <v>1</v>
      </c>
      <c r="AS90" s="29" t="str">
        <f t="shared" si="417"/>
        <v>title: "Monasterio de las Batuecas"</v>
      </c>
      <c r="AT90" s="29" t="str">
        <f t="shared" si="418"/>
        <v>location: {lat: 40.4611684740194, lng: -6.14685648465537}</v>
      </c>
      <c r="AU90" s="29" t="str">
        <f t="shared" si="419"/>
        <v>level: local</v>
      </c>
      <c r="AV90" s="29" t="str">
        <f>"- "&amp;VLOOKUP(B90,'(Ref) Countries'!A:C,3,)</f>
        <v>- spain</v>
      </c>
      <c r="AW90" s="29" t="str">
        <f t="shared" si="420"/>
        <v/>
      </c>
      <c r="AX90" s="29" t="str">
        <f t="shared" si="421"/>
        <v>- churches</v>
      </c>
      <c r="AY90" s="29" t="str">
        <f t="shared" si="422"/>
        <v/>
      </c>
      <c r="AZ90" s="29" t="str">
        <f t="shared" si="423"/>
        <v>- holy-persons</v>
      </c>
      <c r="BA90" s="29" t="str">
        <f t="shared" si="424"/>
        <v>- teresa-avila</v>
      </c>
      <c r="BB90" s="29" t="str">
        <f t="shared" si="425"/>
        <v>- discalced-carmelites</v>
      </c>
      <c r="BC90" s="29" t="str">
        <f t="shared" si="426"/>
        <v>- communities</v>
      </c>
      <c r="BD90" s="29" t="str">
        <f t="shared" si="427"/>
        <v/>
      </c>
      <c r="BE90" s="29" t="str">
        <f t="shared" si="428"/>
        <v/>
      </c>
      <c r="BF90" s="29" t="str">
        <f t="shared" si="429"/>
        <v/>
      </c>
      <c r="BG90" s="29" t="str">
        <f t="shared" si="430"/>
        <v/>
      </c>
      <c r="BH90" s="29" t="str">
        <f t="shared" si="431"/>
        <v/>
      </c>
      <c r="BI90" s="29" t="str">
        <f t="shared" si="432"/>
        <v/>
      </c>
      <c r="BJ90" s="29" t="str">
        <f t="shared" si="433"/>
        <v/>
      </c>
      <c r="BK90" s="29" t="str">
        <f t="shared" si="434"/>
        <v xml:space="preserve">tags:
- spain_x000D_
- churches_x000D_
- holy-persons_x000D_
- teresa-avila_x000D_
- discalced-carmelites_x000D_
- communities_x000D_
</v>
      </c>
      <c r="BL90" s="29" t="str">
        <f t="shared" si="435"/>
        <v>[Official site](https://monasteriodelasbatuecas.wordpress.com/)</v>
      </c>
      <c r="BM90" s="29" t="str">
        <f t="shared" si="436"/>
        <v/>
      </c>
      <c r="BN90" s="29" t="str">
        <f t="shared" si="437"/>
        <v/>
      </c>
      <c r="BO90" s="29" t="str">
        <f t="shared" si="438"/>
        <v/>
      </c>
      <c r="BP90" s="29" t="str">
        <f t="shared" si="439"/>
        <v xml:space="preserve">* [Official site](https://monasteriodelasbatuecas.wordpress.com/)
</v>
      </c>
      <c r="BQ90" s="29" t="str">
        <f t="shared" si="440"/>
        <v/>
      </c>
      <c r="BR90" s="29" t="str">
        <f t="shared" si="441"/>
        <v/>
      </c>
      <c r="BS90" s="29" t="str">
        <f t="shared" si="442"/>
        <v/>
      </c>
      <c r="BT90" s="29" t="str">
        <f>IF(LEN(concat(BQ90:BS90))&gt;0,concat("| ",BQ90," | ",BR90," | ",BS90," |"),"")</f>
        <v/>
      </c>
      <c r="BU90" s="29" t="str">
        <f t="shared" si="443"/>
        <v/>
      </c>
      <c r="BV90" s="29" t="str">
        <f>IF(LEN(BP90&amp;BU90)&gt;0,concatll("#### More Information",BP90,BU90),"")</f>
        <v xml:space="preserve">#### More Information_x000D_
_x000D_
* [Official site](https://monasteriodelasbatuecas.wordpress.com/)
_x000D_
_x000D_
</v>
      </c>
      <c r="BW90" s="29" t="str">
        <f>IF(LEN(M90)&gt;1,concatll("#### Author's Note",M90),"")</f>
        <v/>
      </c>
      <c r="BX90" s="23" t="str">
        <f>IF(AR90,concatll(concatl("---",AS90:AU90,BK90,"---"),L90,BV90:BW90),"")</f>
        <v xml:space="preserve">---_x000D_
title: "Monasterio de las Batuecas"_x000D_
location: {lat: 40.4611684740194, lng: -6.14685648465537}_x000D_
level: local_x000D_
tags:
- spain_x000D_
- churches_x000D_
- holy-persons_x000D_
- teresa-avila_x000D_
- discalced-carmelites_x000D_
- communities_x000D_
_x000D_
---_x000D_
_x000D_
_x000D_
The seventh of 17 communities founded by St. Teresa of Avila in 1578.  Its secluded setting reflects her desire for a life dedicated to prayer and contemplation.  As noted on the official site - the Carmelite Desert, more than a geographical place, is an interior experience of solitude and contemplation.
The monastery accepts pilgrims looking for a contemplative retreat.  Guests are invited to participate in community prayers._x000D_
_x000D_
#### More Information_x000D_
_x000D_
* [Official site](https://monasteriodelasbatuecas.wordpress.com/)
_x000D_
_x000D_
_x000D_
_x000D_
</v>
      </c>
      <c r="BY90" s="31" t="str">
        <f>IF(AR90,VLOOKUP(B90,'(Ref) Countries'!A:B,2,)&amp;IF(LEN(C90)&gt;1,"-"&amp;LOWER(SUBSTITUTE(C90," ","-")),"")&amp;"-"&amp;LOWER(SUBSTITUTE(G90," ","-"))&amp;".md","")</f>
        <v>es-monasterio-de-las-batuecas.md</v>
      </c>
      <c r="BZ90" s="29" t="str">
        <f>IF(LEN(Y90)&gt;1,VLOOKUP(Y90,'Tag List'!$A:$B,2,),"")</f>
        <v>St. Teresa of Avila, OCD</v>
      </c>
      <c r="CA90" s="29" t="str">
        <f>IF(LEN(Z90)&gt;1,VLOOKUP(Z90,'Tag List'!$A:$B,2,),"")</f>
        <v>Discalced Carmelites (Order of Discalced Carmelites)</v>
      </c>
      <c r="CB90" s="29" t="str">
        <f>IF(LEN(AA90)&gt;1,VLOOKUP(AA90,'Tag List'!$A:$B,2,),"")</f>
        <v>Religious Communities</v>
      </c>
      <c r="CC90" s="29" t="str">
        <f>IF(LEN(Y90)&gt;1,GetTagPage(BZ90,Y90),"")</f>
        <v>[St. Teresa of Avila, OCD](/tags/teresa-avila)</v>
      </c>
      <c r="CD90" s="29" t="str">
        <f>IF(LEN(Z90)&gt;1,GetTagPage(CA90,Z90),"")</f>
        <v>[Discalced Carmelites (Order of Discalced Carmelites)](/tags/discalced-carmelites)</v>
      </c>
      <c r="CE90" s="29" t="str">
        <f>IF(LEN(AA90)&gt;1,GetTagPage(CB90,AA90),"")</f>
        <v>[Religious Communities](/tags/communities)</v>
      </c>
      <c r="CF90" s="29" t="str">
        <f t="shared" si="444"/>
        <v xml:space="preserve">| [St. Teresa of Avila, OCD](/tags/teresa-avila), [Discalced Carmelites (Order of Discalced Carmelites)](/tags/discalced-carmelites), [Religious Communities](/tags/communities) </v>
      </c>
      <c r="CG90" s="29" t="str">
        <f t="shared" si="445"/>
        <v xml:space="preserve">| [](/places/es-monasterio-de-las-batuecas) </v>
      </c>
      <c r="CH90" s="29" t="str">
        <f>"| "&amp;IF(AR90,GetTagPage(B90,VLOOKUP(B90,'(Ref) Countries'!A:C,3,)),B90)&amp; " "</f>
        <v xml:space="preserve">| [Spain](/tags/spain) </v>
      </c>
      <c r="CI90" s="29" t="str">
        <f t="shared" si="446"/>
        <v xml:space="preserve">|  </v>
      </c>
      <c r="CJ90" s="29" t="str">
        <f t="shared" si="447"/>
        <v xml:space="preserve">| [Link](/places/es-monasterio-de-las-batuecas) </v>
      </c>
      <c r="CK90" s="29" t="str">
        <f t="shared" si="448"/>
        <v xml:space="preserve">
| [](/places/es-monasterio-de-las-batuecas) | [Spain](/tags/spain) |  | [Link](/places/es-monasterio-de-las-batuecas) [Official site](https://monasteriodelasbatuecas.wordpress.com/)| [St. Teresa of Avila, OCD](/tags/teresa-avila), [Discalced Carmelites (Order of Discalced Carmelites)](/tags/discalced-carmelites), [Religious Communities](/tags/communities) |</v>
      </c>
    </row>
    <row r="91" spans="1:89" ht="38.25" x14ac:dyDescent="0.25">
      <c r="A91" s="14" t="s">
        <v>1322</v>
      </c>
      <c r="B91" s="24" t="s">
        <v>552</v>
      </c>
      <c r="C91" s="115" t="s">
        <v>2201</v>
      </c>
      <c r="D91" s="15">
        <v>40.826532835917298</v>
      </c>
      <c r="E91" s="49">
        <v>-5.5144056355381297</v>
      </c>
      <c r="F91" s="114" t="s">
        <v>2173</v>
      </c>
      <c r="G91" s="116" t="s">
        <v>2172</v>
      </c>
      <c r="H91" s="115" t="s">
        <v>1767</v>
      </c>
      <c r="I91" s="15" t="b">
        <v>1</v>
      </c>
      <c r="K91" s="15" t="b">
        <v>1</v>
      </c>
      <c r="L91" s="114" t="s">
        <v>2199</v>
      </c>
      <c r="N91" s="15" t="s">
        <v>2176</v>
      </c>
      <c r="O91" s="15" t="s">
        <v>336</v>
      </c>
      <c r="P91" s="119" t="s">
        <v>2174</v>
      </c>
      <c r="Q91" s="15" t="s">
        <v>2175</v>
      </c>
      <c r="R91" s="64" t="s">
        <v>336</v>
      </c>
      <c r="Y91" s="15" t="s">
        <v>2157</v>
      </c>
      <c r="Z91" s="15" t="s">
        <v>2153</v>
      </c>
      <c r="AA91" s="15" t="s">
        <v>1426</v>
      </c>
      <c r="AR91" s="28" t="b">
        <f t="shared" si="416"/>
        <v>1</v>
      </c>
      <c r="AS91" s="29" t="str">
        <f t="shared" si="417"/>
        <v>title: "Convent of the Anunciation in Alba de Tormes (Convento de La Anunciacion)"</v>
      </c>
      <c r="AT91" s="29" t="str">
        <f t="shared" si="418"/>
        <v>location: {lat: 40.8265328359173, lng: -5.51440563553813}</v>
      </c>
      <c r="AU91" s="29" t="str">
        <f t="shared" si="419"/>
        <v>level: regional</v>
      </c>
      <c r="AV91" s="29" t="str">
        <f>"- "&amp;VLOOKUP(B91,'(Ref) Countries'!A:C,3,)</f>
        <v>- spain</v>
      </c>
      <c r="AW91" s="29" t="str">
        <f t="shared" si="420"/>
        <v>- alba-de-tormes</v>
      </c>
      <c r="AX91" s="29" t="str">
        <f t="shared" si="421"/>
        <v>- churches</v>
      </c>
      <c r="AY91" s="29" t="str">
        <f t="shared" si="422"/>
        <v/>
      </c>
      <c r="AZ91" s="29" t="str">
        <f t="shared" si="423"/>
        <v>- holy-persons</v>
      </c>
      <c r="BA91" s="29" t="str">
        <f t="shared" si="424"/>
        <v>- teresa-avila</v>
      </c>
      <c r="BB91" s="29" t="str">
        <f t="shared" si="425"/>
        <v>- discalced-carmelites</v>
      </c>
      <c r="BC91" s="29" t="str">
        <f t="shared" si="426"/>
        <v>- communities</v>
      </c>
      <c r="BD91" s="29" t="str">
        <f t="shared" si="427"/>
        <v/>
      </c>
      <c r="BE91" s="29" t="str">
        <f t="shared" si="428"/>
        <v/>
      </c>
      <c r="BF91" s="29" t="str">
        <f t="shared" si="429"/>
        <v/>
      </c>
      <c r="BG91" s="29" t="str">
        <f t="shared" si="430"/>
        <v/>
      </c>
      <c r="BH91" s="29" t="str">
        <f t="shared" si="431"/>
        <v/>
      </c>
      <c r="BI91" s="29" t="str">
        <f t="shared" si="432"/>
        <v/>
      </c>
      <c r="BJ91" s="29" t="str">
        <f t="shared" si="433"/>
        <v/>
      </c>
      <c r="BK91" s="29" t="str">
        <f t="shared" si="434"/>
        <v xml:space="preserve">tags:
- spain_x000D_
- alba-de-tormes_x000D_
- churches_x000D_
- holy-persons_x000D_
- teresa-avila_x000D_
- discalced-carmelites_x000D_
- communities_x000D_
</v>
      </c>
      <c r="BL91" s="29" t="str">
        <f t="shared" si="435"/>
        <v>[Official site](https://carmelitasalba.org/)</v>
      </c>
      <c r="BM91" s="29" t="str">
        <f t="shared" si="436"/>
        <v>[Information in English](https://www.carmelitasalba.org/wp-content/themes/Florida_child_theme/images/carmus-ingles-web.pdf)</v>
      </c>
      <c r="BN91" s="29" t="str">
        <f t="shared" si="437"/>
        <v/>
      </c>
      <c r="BO91" s="29" t="str">
        <f t="shared" si="438"/>
        <v/>
      </c>
      <c r="BP91" s="29" t="str">
        <f t="shared" si="439"/>
        <v xml:space="preserve">* [Official site](https://carmelitasalba.org/)
* [Information in English](https://www.carmelitasalba.org/wp-content/themes/Florida_child_theme/images/carmus-ingles-web.pdf)
</v>
      </c>
      <c r="BQ91" s="29" t="str">
        <f t="shared" si="440"/>
        <v/>
      </c>
      <c r="BR91" s="29" t="str">
        <f t="shared" si="441"/>
        <v/>
      </c>
      <c r="BS91" s="29" t="str">
        <f t="shared" si="442"/>
        <v/>
      </c>
      <c r="BT91" s="29" t="str">
        <f>IF(LEN(concat(BQ91:BS91))&gt;0,concat("| ",BQ91," | ",BR91," | ",BS91," |"),"")</f>
        <v/>
      </c>
      <c r="BU91" s="29" t="str">
        <f t="shared" si="443"/>
        <v/>
      </c>
      <c r="BV91" s="29" t="str">
        <f>IF(LEN(BP91&amp;BU91)&gt;0,concatll("#### More Information",BP91,BU91),"")</f>
        <v xml:space="preserve">#### More Information_x000D_
_x000D_
* [Official site](https://carmelitasalba.org/)
* [Information in English](https://www.carmelitasalba.org/wp-content/themes/Florida_child_theme/images/carmus-ingles-web.pdf)
_x000D_
_x000D_
</v>
      </c>
      <c r="BW91" s="29" t="str">
        <f>IF(LEN(M91)&gt;1,concatll("#### Author's Note",M91),"")</f>
        <v/>
      </c>
      <c r="BX91" s="23" t="str">
        <f>IF(AR91,concatll(concatl("---",AS91:AU91,BK91,"---"),L91,BV91:BW91),"")</f>
        <v xml:space="preserve">---_x000D_
title: "Convent of the Anunciation in Alba de Tormes (Convento de La Anunciacion)"_x000D_
location: {lat: 40.8265328359173, lng: -5.51440563553813}_x000D_
level: regional_x000D_
tags:
- spain_x000D_
- alba-de-tormes_x000D_
- churches_x000D_
- holy-persons_x000D_
- teresa-avila_x000D_
- discalced-carmelites_x000D_
- communities_x000D_
_x000D_
---_x000D_
_x000D_
_x000D_
The eigth of 17 communities founded by St. Teresa of Avila, in 1571, and also the place of her death in 1582.  Today the main altarpiece houses St. Teresa's incorrupt heart and arm._x000D_
_x000D_
#### More Information_x000D_
_x000D_
* [Official site](https://carmelitasalba.org/)
* [Information in English](https://www.carmelitasalba.org/wp-content/themes/Florida_child_theme/images/carmus-ingles-web.pdf)
_x000D_
_x000D_
_x000D_
_x000D_
</v>
      </c>
      <c r="BY91" s="31" t="str">
        <f>IF(AR91,VLOOKUP(B91,'(Ref) Countries'!A:B,2,)&amp;IF(LEN(C91)&gt;1,"-"&amp;LOWER(SUBSTITUTE(C91," ","-")),"")&amp;"-"&amp;LOWER(SUBSTITUTE(G91," ","-"))&amp;".md","")</f>
        <v>es-alba-de-tormes-convento-de-la-anunciacion.md</v>
      </c>
      <c r="BZ91" s="29" t="str">
        <f>IF(LEN(Y91)&gt;1,VLOOKUP(Y91,'Tag List'!$A:$B,2,),"")</f>
        <v>St. Teresa of Avila, OCD</v>
      </c>
      <c r="CA91" s="29" t="str">
        <f>IF(LEN(Z91)&gt;1,VLOOKUP(Z91,'Tag List'!$A:$B,2,),"")</f>
        <v>Discalced Carmelites (Order of Discalced Carmelites)</v>
      </c>
      <c r="CB91" s="29" t="str">
        <f>IF(LEN(AA91)&gt;1,VLOOKUP(AA91,'Tag List'!$A:$B,2,),"")</f>
        <v>Religious Communities</v>
      </c>
      <c r="CC91" s="29" t="str">
        <f>IF(LEN(Y91)&gt;1,GetTagPage(BZ91,Y91),"")</f>
        <v>[St. Teresa of Avila, OCD](/tags/teresa-avila)</v>
      </c>
      <c r="CD91" s="29" t="str">
        <f>IF(LEN(Z91)&gt;1,GetTagPage(CA91,Z91),"")</f>
        <v>[Discalced Carmelites (Order of Discalced Carmelites)](/tags/discalced-carmelites)</v>
      </c>
      <c r="CE91" s="29" t="str">
        <f>IF(LEN(AA91)&gt;1,GetTagPage(CB91,AA91),"")</f>
        <v>[Religious Communities](/tags/communities)</v>
      </c>
      <c r="CF91" s="29" t="str">
        <f t="shared" si="444"/>
        <v xml:space="preserve">| [St. Teresa of Avila, OCD](/tags/teresa-avila), [Discalced Carmelites (Order of Discalced Carmelites)](/tags/discalced-carmelites), [Religious Communities](/tags/communities) </v>
      </c>
      <c r="CG91" s="29" t="str">
        <f t="shared" si="445"/>
        <v xml:space="preserve">| [](/places/es-alba-de-tormes-convento-de-la-anunciacion) </v>
      </c>
      <c r="CH91" s="29" t="str">
        <f>"| "&amp;IF(AR91,GetTagPage(B91,VLOOKUP(B91,'(Ref) Countries'!A:C,3,)),B91)&amp; " "</f>
        <v xml:space="preserve">| [Spain](/tags/spain) </v>
      </c>
      <c r="CI91" s="29" t="str">
        <f t="shared" si="446"/>
        <v xml:space="preserve">|  </v>
      </c>
      <c r="CJ91" s="29" t="str">
        <f t="shared" si="447"/>
        <v xml:space="preserve">| [Link](/places/es-alba-de-tormes-convento-de-la-anunciacion) </v>
      </c>
      <c r="CK91" s="29" t="str">
        <f t="shared" si="448"/>
        <v xml:space="preserve">
| [](/places/es-alba-de-tormes-convento-de-la-anunciacion) | [Spain](/tags/spain) |  | [Link](/places/es-alba-de-tormes-convento-de-la-anunciacion) [Official site](https://carmelitasalba.org/)| [St. Teresa of Avila, OCD](/tags/teresa-avila), [Discalced Carmelites (Order of Discalced Carmelites)](/tags/discalced-carmelites), [Religious Communities](/tags/communities) |</v>
      </c>
    </row>
    <row r="92" spans="1:89" x14ac:dyDescent="0.25">
      <c r="A92" s="14" t="s">
        <v>1322</v>
      </c>
      <c r="B92" s="24" t="s">
        <v>552</v>
      </c>
      <c r="C92" s="115" t="s">
        <v>2202</v>
      </c>
      <c r="D92" s="15">
        <v>40.951196907421703</v>
      </c>
      <c r="E92" s="49">
        <v>-4.1268227200102796</v>
      </c>
      <c r="F92" s="114" t="s">
        <v>2203</v>
      </c>
      <c r="G92" s="53" t="s">
        <v>2162</v>
      </c>
      <c r="H92" s="15" t="s">
        <v>1835</v>
      </c>
      <c r="I92" s="15" t="b">
        <v>1</v>
      </c>
      <c r="K92" s="15" t="b">
        <v>1</v>
      </c>
      <c r="L92" s="114" t="s">
        <v>2204</v>
      </c>
      <c r="Y92" s="15" t="s">
        <v>2157</v>
      </c>
      <c r="Z92" s="15" t="s">
        <v>2153</v>
      </c>
      <c r="AA92" s="15" t="s">
        <v>1426</v>
      </c>
      <c r="AR92" s="28" t="b">
        <f t="shared" si="416"/>
        <v>1</v>
      </c>
      <c r="AS92" s="29" t="str">
        <f t="shared" si="417"/>
        <v>title: "Convento de San Jose, Segovia"</v>
      </c>
      <c r="AT92" s="29" t="str">
        <f t="shared" si="418"/>
        <v>location: {lat: 40.9511969074217, lng: -4.12682272001028}</v>
      </c>
      <c r="AU92" s="29" t="str">
        <f t="shared" si="419"/>
        <v>level: local</v>
      </c>
      <c r="AV92" s="29" t="str">
        <f>"- "&amp;VLOOKUP(B92,'(Ref) Countries'!A:C,3,)</f>
        <v>- spain</v>
      </c>
      <c r="AW92" s="29" t="str">
        <f t="shared" si="420"/>
        <v>- segovia</v>
      </c>
      <c r="AX92" s="29" t="str">
        <f t="shared" si="421"/>
        <v>- churches</v>
      </c>
      <c r="AY92" s="29" t="str">
        <f t="shared" si="422"/>
        <v/>
      </c>
      <c r="AZ92" s="29" t="str">
        <f t="shared" si="423"/>
        <v>- holy-persons</v>
      </c>
      <c r="BA92" s="29" t="str">
        <f t="shared" si="424"/>
        <v>- teresa-avila</v>
      </c>
      <c r="BB92" s="29" t="str">
        <f t="shared" si="425"/>
        <v>- discalced-carmelites</v>
      </c>
      <c r="BC92" s="29" t="str">
        <f t="shared" si="426"/>
        <v>- communities</v>
      </c>
      <c r="BD92" s="29" t="str">
        <f t="shared" si="427"/>
        <v/>
      </c>
      <c r="BE92" s="29" t="str">
        <f t="shared" si="428"/>
        <v/>
      </c>
      <c r="BF92" s="29" t="str">
        <f t="shared" si="429"/>
        <v/>
      </c>
      <c r="BG92" s="29" t="str">
        <f t="shared" si="430"/>
        <v/>
      </c>
      <c r="BH92" s="29" t="str">
        <f t="shared" si="431"/>
        <v/>
      </c>
      <c r="BI92" s="29" t="str">
        <f t="shared" si="432"/>
        <v/>
      </c>
      <c r="BJ92" s="29" t="str">
        <f t="shared" si="433"/>
        <v/>
      </c>
      <c r="BK92" s="29" t="str">
        <f t="shared" si="434"/>
        <v xml:space="preserve">tags:
- spain_x000D_
- segovia_x000D_
- churches_x000D_
- holy-persons_x000D_
- teresa-avila_x000D_
- discalced-carmelites_x000D_
- communities_x000D_
</v>
      </c>
      <c r="BL92" s="29" t="str">
        <f t="shared" si="435"/>
        <v/>
      </c>
      <c r="BM92" s="29" t="str">
        <f t="shared" si="436"/>
        <v/>
      </c>
      <c r="BN92" s="29" t="str">
        <f t="shared" si="437"/>
        <v/>
      </c>
      <c r="BO92" s="29" t="str">
        <f t="shared" si="438"/>
        <v/>
      </c>
      <c r="BP92" s="29" t="str">
        <f t="shared" si="439"/>
        <v/>
      </c>
      <c r="BQ92" s="29" t="str">
        <f t="shared" si="440"/>
        <v/>
      </c>
      <c r="BR92" s="29" t="str">
        <f t="shared" si="441"/>
        <v/>
      </c>
      <c r="BS92" s="29" t="str">
        <f t="shared" si="442"/>
        <v/>
      </c>
      <c r="BT92" s="29" t="str">
        <f>IF(LEN(concat(BQ92:BS92))&gt;0,concat("| ",BQ92," | ",BR92," | ",BS92," |"),"")</f>
        <v/>
      </c>
      <c r="BU92" s="29" t="str">
        <f t="shared" si="443"/>
        <v/>
      </c>
      <c r="BV92" s="29" t="str">
        <f>IF(LEN(BP92&amp;BU92)&gt;0,concatll("#### More Information",BP92,BU92),"")</f>
        <v/>
      </c>
      <c r="BW92" s="29" t="str">
        <f>IF(LEN(M92)&gt;1,concatll("#### Author's Note",M92),"")</f>
        <v/>
      </c>
      <c r="BX92" s="23" t="str">
        <f>IF(AR92,concatll(concatl("---",AS92:AU92,BK92,"---"),L92,BV92:BW92),"")</f>
        <v xml:space="preserve">---_x000D_
title: "Convento de San Jose, Segovia"_x000D_
location: {lat: 40.9511969074217, lng: -4.12682272001028}_x000D_
level: local_x000D_
tags:
- spain_x000D_
- segovia_x000D_
- churches_x000D_
- holy-persons_x000D_
- teresa-avila_x000D_
- discalced-carmelites_x000D_
- communities_x000D_
_x000D_
---_x000D_
_x000D_
_x000D_
The ninth of 17 communities founded by St. Teresa of Avila, in 1574._x000D_
_x000D_
</v>
      </c>
      <c r="BY92" s="31" t="str">
        <f>IF(AR92,VLOOKUP(B92,'(Ref) Countries'!A:B,2,)&amp;IF(LEN(C92)&gt;1,"-"&amp;LOWER(SUBSTITUTE(C92," ","-")),"")&amp;"-"&amp;LOWER(SUBSTITUTE(G92," ","-"))&amp;".md","")</f>
        <v>es-segovia-convento-de-san-jose.md</v>
      </c>
      <c r="BZ92" s="29" t="str">
        <f>IF(LEN(Y92)&gt;1,VLOOKUP(Y92,'Tag List'!$A:$B,2,),"")</f>
        <v>St. Teresa of Avila, OCD</v>
      </c>
      <c r="CA92" s="29" t="str">
        <f>IF(LEN(Z92)&gt;1,VLOOKUP(Z92,'Tag List'!$A:$B,2,),"")</f>
        <v>Discalced Carmelites (Order of Discalced Carmelites)</v>
      </c>
      <c r="CB92" s="29" t="str">
        <f>IF(LEN(AA92)&gt;1,VLOOKUP(AA92,'Tag List'!$A:$B,2,),"")</f>
        <v>Religious Communities</v>
      </c>
      <c r="CC92" s="29" t="str">
        <f>IF(LEN(Y92)&gt;1,GetTagPage(BZ92,Y92),"")</f>
        <v>[St. Teresa of Avila, OCD](/tags/teresa-avila)</v>
      </c>
      <c r="CD92" s="29" t="str">
        <f>IF(LEN(Z92)&gt;1,GetTagPage(CA92,Z92),"")</f>
        <v>[Discalced Carmelites (Order of Discalced Carmelites)](/tags/discalced-carmelites)</v>
      </c>
      <c r="CE92" s="29" t="str">
        <f>IF(LEN(AA92)&gt;1,GetTagPage(CB92,AA92),"")</f>
        <v>[Religious Communities](/tags/communities)</v>
      </c>
      <c r="CF92" s="29" t="str">
        <f t="shared" si="444"/>
        <v xml:space="preserve">| [St. Teresa of Avila, OCD](/tags/teresa-avila), [Discalced Carmelites (Order of Discalced Carmelites)](/tags/discalced-carmelites), [Religious Communities](/tags/communities) </v>
      </c>
      <c r="CG92" s="29" t="str">
        <f t="shared" si="445"/>
        <v xml:space="preserve">| [](/places/es-segovia-convento-de-san-jose) </v>
      </c>
      <c r="CH92" s="29" t="str">
        <f>"| "&amp;IF(AR92,GetTagPage(B92,VLOOKUP(B92,'(Ref) Countries'!A:C,3,)),B92)&amp; " "</f>
        <v xml:space="preserve">| [Spain](/tags/spain) </v>
      </c>
      <c r="CI92" s="29" t="str">
        <f t="shared" si="446"/>
        <v xml:space="preserve">|  </v>
      </c>
      <c r="CJ92" s="29" t="str">
        <f t="shared" si="447"/>
        <v xml:space="preserve">| [Link](/places/es-segovia-convento-de-san-jose) </v>
      </c>
      <c r="CK92" s="29" t="str">
        <f t="shared" si="448"/>
        <v xml:space="preserve">
| [](/places/es-segovia-convento-de-san-jose) | [Spain](/tags/spain) |  | [Link](/places/es-segovia-convento-de-san-jose) | [St. Teresa of Avila, OCD](/tags/teresa-avila), [Discalced Carmelites (Order of Discalced Carmelites)](/tags/discalced-carmelites), [Religious Communities](/tags/communities) |</v>
      </c>
    </row>
    <row r="93" spans="1:89" x14ac:dyDescent="0.25">
      <c r="A93" s="14" t="s">
        <v>1322</v>
      </c>
      <c r="B93" s="24" t="s">
        <v>552</v>
      </c>
      <c r="C93" s="115" t="s">
        <v>2205</v>
      </c>
      <c r="D93" s="15">
        <v>38.251042949170802</v>
      </c>
      <c r="E93" s="49">
        <v>-2.88706618465537</v>
      </c>
      <c r="F93" s="114" t="s">
        <v>2206</v>
      </c>
      <c r="G93" s="53" t="s">
        <v>2206</v>
      </c>
      <c r="H93" s="15" t="s">
        <v>1835</v>
      </c>
      <c r="I93" s="15" t="b">
        <v>1</v>
      </c>
      <c r="K93" s="15" t="b">
        <v>1</v>
      </c>
      <c r="L93" s="114" t="s">
        <v>2212</v>
      </c>
      <c r="P93" s="119" t="s">
        <v>2207</v>
      </c>
      <c r="Q93" s="15" t="s">
        <v>2208</v>
      </c>
      <c r="R93" s="120" t="s">
        <v>336</v>
      </c>
      <c r="S93" s="119" t="s">
        <v>2209</v>
      </c>
      <c r="T93" s="15" t="s">
        <v>2210</v>
      </c>
      <c r="U93" s="121" t="s">
        <v>2211</v>
      </c>
      <c r="V93" s="117" t="s">
        <v>336</v>
      </c>
      <c r="Y93" s="15" t="s">
        <v>2157</v>
      </c>
      <c r="Z93" s="15" t="s">
        <v>2153</v>
      </c>
      <c r="AA93" s="15" t="s">
        <v>1426</v>
      </c>
      <c r="AR93" s="28" t="b">
        <f t="shared" si="416"/>
        <v>1</v>
      </c>
      <c r="AS93" s="29" t="str">
        <f t="shared" si="417"/>
        <v>title: "Monasterio de San Jose del Salvador"</v>
      </c>
      <c r="AT93" s="29" t="str">
        <f t="shared" si="418"/>
        <v>location: {lat: 38.2510429491708, lng: -2.88706618465537}</v>
      </c>
      <c r="AU93" s="29" t="str">
        <f t="shared" si="419"/>
        <v>level: local</v>
      </c>
      <c r="AV93" s="29" t="str">
        <f>"- "&amp;VLOOKUP(B93,'(Ref) Countries'!A:C,3,)</f>
        <v>- spain</v>
      </c>
      <c r="AW93" s="29" t="str">
        <f t="shared" si="420"/>
        <v>- beas-de-segura</v>
      </c>
      <c r="AX93" s="29" t="str">
        <f t="shared" si="421"/>
        <v>- churches</v>
      </c>
      <c r="AY93" s="29" t="str">
        <f t="shared" si="422"/>
        <v/>
      </c>
      <c r="AZ93" s="29" t="str">
        <f t="shared" si="423"/>
        <v>- holy-persons</v>
      </c>
      <c r="BA93" s="29" t="str">
        <f t="shared" si="424"/>
        <v>- teresa-avila</v>
      </c>
      <c r="BB93" s="29" t="str">
        <f t="shared" si="425"/>
        <v>- discalced-carmelites</v>
      </c>
      <c r="BC93" s="29" t="str">
        <f t="shared" si="426"/>
        <v>- communities</v>
      </c>
      <c r="BD93" s="29" t="str">
        <f t="shared" si="427"/>
        <v/>
      </c>
      <c r="BE93" s="29" t="str">
        <f t="shared" si="428"/>
        <v/>
      </c>
      <c r="BF93" s="29" t="str">
        <f t="shared" si="429"/>
        <v/>
      </c>
      <c r="BG93" s="29" t="str">
        <f t="shared" si="430"/>
        <v/>
      </c>
      <c r="BH93" s="29" t="str">
        <f t="shared" si="431"/>
        <v/>
      </c>
      <c r="BI93" s="29" t="str">
        <f t="shared" si="432"/>
        <v/>
      </c>
      <c r="BJ93" s="29" t="str">
        <f t="shared" si="433"/>
        <v/>
      </c>
      <c r="BK93" s="29" t="str">
        <f t="shared" si="434"/>
        <v xml:space="preserve">tags:
- spain_x000D_
- beas-de-segura_x000D_
- churches_x000D_
- holy-persons_x000D_
- teresa-avila_x000D_
- discalced-carmelites_x000D_
- communities_x000D_
</v>
      </c>
      <c r="BL93" s="29" t="str">
        <f t="shared" si="435"/>
        <v/>
      </c>
      <c r="BM93" s="29" t="str">
        <f t="shared" si="436"/>
        <v>[Sierra de Segura tourism site](https://lasierradesegura.org/parajes-naturales/convento-de-las-carmelitas-descalzas-de-san-jose-del-salvador/)</v>
      </c>
      <c r="BN93" s="29" t="str">
        <f t="shared" si="437"/>
        <v>[Wikipedia](https://es.wikipedia.org/wiki/Convento_de_Carmelitas_Descalzas_(Beas_de_Segura)) Significant amounts of information of the associated Wikipedia page</v>
      </c>
      <c r="BO93" s="29" t="str">
        <f t="shared" si="438"/>
        <v/>
      </c>
      <c r="BP93" s="29" t="str">
        <f t="shared" si="439"/>
        <v xml:space="preserve">* [Sierra de Segura tourism site](https://lasierradesegura.org/parajes-naturales/convento-de-las-carmelitas-descalzas-de-san-jose-del-salvador/)
* [Wikipedia](https://es.wikipedia.org/wiki/Convento_de_Carmelitas_Descalzas_(Beas_de_Segura)) Significant amounts of information of the associated Wikipedia page
</v>
      </c>
      <c r="BQ93" s="29" t="str">
        <f t="shared" si="440"/>
        <v/>
      </c>
      <c r="BR93" s="29" t="str">
        <f t="shared" si="441"/>
        <v/>
      </c>
      <c r="BS93" s="29" t="str">
        <f t="shared" si="442"/>
        <v/>
      </c>
      <c r="BT93" s="29" t="str">
        <f>IF(LEN(concat(BQ93:BS93))&gt;0,concat("| ",BQ93," | ",BR93," | ",BS93," |"),"")</f>
        <v/>
      </c>
      <c r="BU93" s="29" t="str">
        <f t="shared" si="443"/>
        <v/>
      </c>
      <c r="BV93" s="29" t="str">
        <f>IF(LEN(BP93&amp;BU93)&gt;0,concatll("#### More Information",BP93,BU93),"")</f>
        <v xml:space="preserve">#### More Information_x000D_
_x000D_
* [Sierra de Segura tourism site](https://lasierradesegura.org/parajes-naturales/convento-de-las-carmelitas-descalzas-de-san-jose-del-salvador/)
* [Wikipedia](https://es.wikipedia.org/wiki/Convento_de_Carmelitas_Descalzas_(Beas_de_Segura)) Significant amounts of information of the associated Wikipedia page
_x000D_
_x000D_
</v>
      </c>
      <c r="BW93" s="29" t="str">
        <f>IF(LEN(M93)&gt;1,concatll("#### Author's Note",M93),"")</f>
        <v/>
      </c>
      <c r="BX93" s="23" t="str">
        <f>IF(AR93,concatll(concatl("---",AS93:AU93,BK93,"---"),L93,BV93:BW93),"")</f>
        <v xml:space="preserve">---_x000D_
title: "Monasterio de San Jose del Salvador"_x000D_
location: {lat: 38.2510429491708, lng: -2.88706618465537}_x000D_
level: local_x000D_
tags:
- spain_x000D_
- beas-de-segura_x000D_
- churches_x000D_
- holy-persons_x000D_
- teresa-avila_x000D_
- discalced-carmelites_x000D_
- communities_x000D_
_x000D_
---_x000D_
_x000D_
_x000D_
The tenth of 17 communities founded by St. Teresa of Avila, in 1575._x000D_
_x000D_
#### More Information_x000D_
_x000D_
* [Sierra de Segura tourism site](https://lasierradesegura.org/parajes-naturales/convento-de-las-carmelitas-descalzas-de-san-jose-del-salvador/)
* [Wikipedia](https://es.wikipedia.org/wiki/Convento_de_Carmelitas_Descalzas_(Beas_de_Segura)) Significant amounts of information of the associated Wikipedia page
_x000D_
_x000D_
_x000D_
_x000D_
</v>
      </c>
      <c r="BY93" s="31" t="str">
        <f>IF(AR93,VLOOKUP(B93,'(Ref) Countries'!A:B,2,)&amp;IF(LEN(C93)&gt;1,"-"&amp;LOWER(SUBSTITUTE(C93," ","-")),"")&amp;"-"&amp;LOWER(SUBSTITUTE(G93," ","-"))&amp;".md","")</f>
        <v>es-beas-de-segura-monasterio-de-san-jose-del-salvador.md</v>
      </c>
      <c r="BZ93" s="29" t="str">
        <f>IF(LEN(Y93)&gt;1,VLOOKUP(Y93,'Tag List'!$A:$B,2,),"")</f>
        <v>St. Teresa of Avila, OCD</v>
      </c>
      <c r="CA93" s="29" t="str">
        <f>IF(LEN(Z93)&gt;1,VLOOKUP(Z93,'Tag List'!$A:$B,2,),"")</f>
        <v>Discalced Carmelites (Order of Discalced Carmelites)</v>
      </c>
      <c r="CB93" s="29" t="str">
        <f>IF(LEN(AA93)&gt;1,VLOOKUP(AA93,'Tag List'!$A:$B,2,),"")</f>
        <v>Religious Communities</v>
      </c>
      <c r="CC93" s="29" t="str">
        <f>IF(LEN(Y93)&gt;1,GetTagPage(BZ93,Y93),"")</f>
        <v>[St. Teresa of Avila, OCD](/tags/teresa-avila)</v>
      </c>
      <c r="CD93" s="29" t="str">
        <f>IF(LEN(Z93)&gt;1,GetTagPage(CA93,Z93),"")</f>
        <v>[Discalced Carmelites (Order of Discalced Carmelites)](/tags/discalced-carmelites)</v>
      </c>
      <c r="CE93" s="29" t="str">
        <f>IF(LEN(AA93)&gt;1,GetTagPage(CB93,AA93),"")</f>
        <v>[Religious Communities](/tags/communities)</v>
      </c>
      <c r="CF93" s="29" t="str">
        <f t="shared" si="444"/>
        <v xml:space="preserve">| [St. Teresa of Avila, OCD](/tags/teresa-avila), [Discalced Carmelites (Order of Discalced Carmelites)](/tags/discalced-carmelites), [Religious Communities](/tags/communities) </v>
      </c>
      <c r="CG93" s="29" t="str">
        <f t="shared" si="445"/>
        <v xml:space="preserve">| [](/places/es-beas-de-segura-monasterio-de-san-jose-del-salvador) </v>
      </c>
      <c r="CH93" s="29" t="str">
        <f>"| "&amp;IF(AR93,GetTagPage(B93,VLOOKUP(B93,'(Ref) Countries'!A:C,3,)),B93)&amp; " "</f>
        <v xml:space="preserve">| [Spain](/tags/spain) </v>
      </c>
      <c r="CI93" s="29" t="str">
        <f t="shared" si="446"/>
        <v xml:space="preserve">|  </v>
      </c>
      <c r="CJ93" s="29" t="str">
        <f t="shared" si="447"/>
        <v xml:space="preserve">| [Link](/places/es-beas-de-segura-monasterio-de-san-jose-del-salvador) </v>
      </c>
      <c r="CK93" s="29" t="str">
        <f t="shared" si="448"/>
        <v xml:space="preserve">
| [](/places/es-beas-de-segura-monasterio-de-san-jose-del-salvador) | [Spain](/tags/spain) |  | [Link](/places/es-beas-de-segura-monasterio-de-san-jose-del-salvador) | [St. Teresa of Avila, OCD](/tags/teresa-avila), [Discalced Carmelites (Order of Discalced Carmelites)](/tags/discalced-carmelites), [Religious Communities](/tags/communities) |</v>
      </c>
    </row>
    <row r="94" spans="1:89" ht="25.5" x14ac:dyDescent="0.25">
      <c r="A94" s="14" t="s">
        <v>1322</v>
      </c>
      <c r="B94" s="24" t="s">
        <v>552</v>
      </c>
      <c r="C94" s="115" t="s">
        <v>2213</v>
      </c>
      <c r="D94" s="15">
        <v>37.385800751465098</v>
      </c>
      <c r="E94" s="49">
        <v>-5.9889938846553701</v>
      </c>
      <c r="F94" s="114" t="s">
        <v>2215</v>
      </c>
      <c r="G94" s="53" t="s">
        <v>2214</v>
      </c>
      <c r="H94" s="15" t="s">
        <v>1835</v>
      </c>
      <c r="I94" s="15" t="b">
        <v>1</v>
      </c>
      <c r="K94" s="15" t="b">
        <v>1</v>
      </c>
      <c r="L94" s="114" t="s">
        <v>2216</v>
      </c>
      <c r="P94" s="119" t="s">
        <v>2217</v>
      </c>
      <c r="Q94" s="15" t="s">
        <v>2218</v>
      </c>
      <c r="R94" s="120" t="s">
        <v>336</v>
      </c>
      <c r="Y94" s="15" t="s">
        <v>2157</v>
      </c>
      <c r="Z94" s="15" t="s">
        <v>2153</v>
      </c>
      <c r="AA94" s="15" t="s">
        <v>1426</v>
      </c>
      <c r="AR94" s="28" t="b">
        <f t="shared" si="416"/>
        <v>1</v>
      </c>
      <c r="AS94" s="29" t="str">
        <f t="shared" si="417"/>
        <v>title: "Convento de San Jose del Carmen (Las Teresas)"</v>
      </c>
      <c r="AT94" s="29" t="str">
        <f t="shared" si="418"/>
        <v>location: {lat: 37.3858007514651, lng: -5.98899388465537}</v>
      </c>
      <c r="AU94" s="29" t="str">
        <f t="shared" si="419"/>
        <v>level: local</v>
      </c>
      <c r="AV94" s="29" t="str">
        <f>"- "&amp;VLOOKUP(B94,'(Ref) Countries'!A:C,3,)</f>
        <v>- spain</v>
      </c>
      <c r="AW94" s="29" t="str">
        <f t="shared" si="420"/>
        <v>- seville</v>
      </c>
      <c r="AX94" s="29" t="str">
        <f t="shared" si="421"/>
        <v>- churches</v>
      </c>
      <c r="AY94" s="29" t="str">
        <f t="shared" si="422"/>
        <v/>
      </c>
      <c r="AZ94" s="29" t="str">
        <f t="shared" si="423"/>
        <v>- holy-persons</v>
      </c>
      <c r="BA94" s="29" t="str">
        <f t="shared" si="424"/>
        <v>- teresa-avila</v>
      </c>
      <c r="BB94" s="29" t="str">
        <f t="shared" si="425"/>
        <v>- discalced-carmelites</v>
      </c>
      <c r="BC94" s="29" t="str">
        <f t="shared" si="426"/>
        <v>- communities</v>
      </c>
      <c r="BD94" s="29" t="str">
        <f t="shared" si="427"/>
        <v/>
      </c>
      <c r="BE94" s="29" t="str">
        <f t="shared" si="428"/>
        <v/>
      </c>
      <c r="BF94" s="29" t="str">
        <f t="shared" si="429"/>
        <v/>
      </c>
      <c r="BG94" s="29" t="str">
        <f t="shared" si="430"/>
        <v/>
      </c>
      <c r="BH94" s="29" t="str">
        <f t="shared" si="431"/>
        <v/>
      </c>
      <c r="BI94" s="29" t="str">
        <f t="shared" si="432"/>
        <v/>
      </c>
      <c r="BJ94" s="29" t="str">
        <f t="shared" si="433"/>
        <v/>
      </c>
      <c r="BK94" s="29" t="str">
        <f t="shared" si="434"/>
        <v xml:space="preserve">tags:
- spain_x000D_
- seville_x000D_
- churches_x000D_
- holy-persons_x000D_
- teresa-avila_x000D_
- discalced-carmelites_x000D_
- communities_x000D_
</v>
      </c>
      <c r="BL94" s="29" t="str">
        <f t="shared" si="435"/>
        <v/>
      </c>
      <c r="BM94" s="29" t="str">
        <f t="shared" si="436"/>
        <v>[Seville tourism site](https://www.turismosevilla.org/en/what-see-and-do/heritage/monuments/san-jose-conventual-church-las-teresas)</v>
      </c>
      <c r="BN94" s="29" t="str">
        <f t="shared" si="437"/>
        <v/>
      </c>
      <c r="BO94" s="29" t="str">
        <f t="shared" si="438"/>
        <v/>
      </c>
      <c r="BP94" s="29" t="str">
        <f t="shared" si="439"/>
        <v xml:space="preserve">* [Seville tourism site](https://www.turismosevilla.org/en/what-see-and-do/heritage/monuments/san-jose-conventual-church-las-teresas)
</v>
      </c>
      <c r="BQ94" s="29" t="str">
        <f t="shared" si="440"/>
        <v/>
      </c>
      <c r="BR94" s="29" t="str">
        <f t="shared" si="441"/>
        <v/>
      </c>
      <c r="BS94" s="29" t="str">
        <f t="shared" si="442"/>
        <v/>
      </c>
      <c r="BT94" s="29" t="str">
        <f>IF(LEN(concat(BQ94:BS94))&gt;0,concat("| ",BQ94," | ",BR94," | ",BS94," |"),"")</f>
        <v/>
      </c>
      <c r="BU94" s="29" t="str">
        <f t="shared" si="443"/>
        <v/>
      </c>
      <c r="BV94" s="29" t="str">
        <f>IF(LEN(BP94&amp;BU94)&gt;0,concatll("#### More Information",BP94,BU94),"")</f>
        <v xml:space="preserve">#### More Information_x000D_
_x000D_
* [Seville tourism site](https://www.turismosevilla.org/en/what-see-and-do/heritage/monuments/san-jose-conventual-church-las-teresas)
_x000D_
_x000D_
</v>
      </c>
      <c r="BW94" s="29" t="str">
        <f>IF(LEN(M94)&gt;1,concatll("#### Author's Note",M94),"")</f>
        <v/>
      </c>
      <c r="BX94" s="23" t="str">
        <f>IF(AR94,concatll(concatl("---",AS94:AU94,BK94,"---"),L94,BV94:BW94),"")</f>
        <v xml:space="preserve">---_x000D_
title: "Convento de San Jose del Carmen (Las Teresas)"_x000D_
location: {lat: 37.3858007514651, lng: -5.98899388465537}_x000D_
level: local_x000D_
tags:
- spain_x000D_
- seville_x000D_
- churches_x000D_
- holy-persons_x000D_
- teresa-avila_x000D_
- discalced-carmelites_x000D_
- communities_x000D_
_x000D_
---_x000D_
_x000D_
_x000D_
The eleventh of 17 communities founded by St. Teresa of Avila, in 1575.  This convent does not appear open to the public._x000D_
_x000D_
#### More Information_x000D_
_x000D_
* [Seville tourism site](https://www.turismosevilla.org/en/what-see-and-do/heritage/monuments/san-jose-conventual-church-las-teresas)
_x000D_
_x000D_
_x000D_
_x000D_
</v>
      </c>
      <c r="BY94" s="31" t="str">
        <f>IF(AR94,VLOOKUP(B94,'(Ref) Countries'!A:B,2,)&amp;IF(LEN(C94)&gt;1,"-"&amp;LOWER(SUBSTITUTE(C94," ","-")),"")&amp;"-"&amp;LOWER(SUBSTITUTE(G94," ","-"))&amp;".md","")</f>
        <v>es-seville-convento-de-san-jose-del-carmen.md</v>
      </c>
      <c r="BZ94" s="29" t="str">
        <f>IF(LEN(Y94)&gt;1,VLOOKUP(Y94,'Tag List'!$A:$B,2,),"")</f>
        <v>St. Teresa of Avila, OCD</v>
      </c>
      <c r="CA94" s="29" t="str">
        <f>IF(LEN(Z94)&gt;1,VLOOKUP(Z94,'Tag List'!$A:$B,2,),"")</f>
        <v>Discalced Carmelites (Order of Discalced Carmelites)</v>
      </c>
      <c r="CB94" s="29" t="str">
        <f>IF(LEN(AA94)&gt;1,VLOOKUP(AA94,'Tag List'!$A:$B,2,),"")</f>
        <v>Religious Communities</v>
      </c>
      <c r="CC94" s="29" t="str">
        <f>IF(LEN(Y94)&gt;1,GetTagPage(BZ94,Y94),"")</f>
        <v>[St. Teresa of Avila, OCD](/tags/teresa-avila)</v>
      </c>
      <c r="CD94" s="29" t="str">
        <f>IF(LEN(Z94)&gt;1,GetTagPage(CA94,Z94),"")</f>
        <v>[Discalced Carmelites (Order of Discalced Carmelites)](/tags/discalced-carmelites)</v>
      </c>
      <c r="CE94" s="29" t="str">
        <f>IF(LEN(AA94)&gt;1,GetTagPage(CB94,AA94),"")</f>
        <v>[Religious Communities](/tags/communities)</v>
      </c>
      <c r="CF94" s="29" t="str">
        <f t="shared" si="444"/>
        <v xml:space="preserve">| [St. Teresa of Avila, OCD](/tags/teresa-avila), [Discalced Carmelites (Order of Discalced Carmelites)](/tags/discalced-carmelites), [Religious Communities](/tags/communities) </v>
      </c>
      <c r="CG94" s="29" t="str">
        <f t="shared" si="445"/>
        <v xml:space="preserve">| [](/places/es-seville-convento-de-san-jose-del-carmen) </v>
      </c>
      <c r="CH94" s="29" t="str">
        <f>"| "&amp;IF(AR94,GetTagPage(B94,VLOOKUP(B94,'(Ref) Countries'!A:C,3,)),B94)&amp; " "</f>
        <v xml:space="preserve">| [Spain](/tags/spain) </v>
      </c>
      <c r="CI94" s="29" t="str">
        <f t="shared" si="446"/>
        <v xml:space="preserve">|  </v>
      </c>
      <c r="CJ94" s="29" t="str">
        <f t="shared" si="447"/>
        <v xml:space="preserve">| [Link](/places/es-seville-convento-de-san-jose-del-carmen) </v>
      </c>
      <c r="CK94" s="29" t="str">
        <f t="shared" si="448"/>
        <v xml:space="preserve">
| [](/places/es-seville-convento-de-san-jose-del-carmen) | [Spain](/tags/spain) |  | [Link](/places/es-seville-convento-de-san-jose-del-carmen) | [St. Teresa of Avila, OCD](/tags/teresa-avila), [Discalced Carmelites (Order of Discalced Carmelites)](/tags/discalced-carmelites), [Religious Communities](/tags/communities) |</v>
      </c>
    </row>
    <row r="95" spans="1:89" ht="25.5" x14ac:dyDescent="0.25">
      <c r="A95" s="14" t="s">
        <v>1322</v>
      </c>
      <c r="B95" s="24" t="s">
        <v>552</v>
      </c>
      <c r="C95" s="115" t="s">
        <v>2220</v>
      </c>
      <c r="D95" s="15">
        <v>38.106719284242402</v>
      </c>
      <c r="E95" s="49">
        <v>-1.8610296</v>
      </c>
      <c r="F95" s="114" t="s">
        <v>2221</v>
      </c>
      <c r="G95" s="53" t="s">
        <v>2162</v>
      </c>
      <c r="H95" s="15" t="s">
        <v>1835</v>
      </c>
      <c r="I95" s="15" t="b">
        <v>1</v>
      </c>
      <c r="K95" s="15" t="b">
        <v>1</v>
      </c>
      <c r="L95" s="114" t="s">
        <v>2226</v>
      </c>
      <c r="P95" s="119" t="s">
        <v>2224</v>
      </c>
      <c r="Q95" s="15" t="s">
        <v>2225</v>
      </c>
      <c r="R95" s="120" t="s">
        <v>336</v>
      </c>
      <c r="S95" s="119" t="s">
        <v>2222</v>
      </c>
      <c r="T95" s="15" t="s">
        <v>2223</v>
      </c>
      <c r="U95" s="120" t="s">
        <v>336</v>
      </c>
      <c r="Y95" s="15" t="s">
        <v>2157</v>
      </c>
      <c r="Z95" s="15" t="s">
        <v>2153</v>
      </c>
      <c r="AA95" s="15" t="s">
        <v>1426</v>
      </c>
      <c r="AR95" s="28" t="b">
        <f t="shared" si="416"/>
        <v>1</v>
      </c>
      <c r="AS95" s="29" t="str">
        <f t="shared" si="417"/>
        <v>title: "Convento de San Jose, Caravaca de la Cruz"</v>
      </c>
      <c r="AT95" s="29" t="str">
        <f t="shared" si="418"/>
        <v>location: {lat: 38.1067192842424, lng: -1.8610296}</v>
      </c>
      <c r="AU95" s="29" t="str">
        <f t="shared" si="419"/>
        <v>level: local</v>
      </c>
      <c r="AV95" s="29" t="str">
        <f>"- "&amp;VLOOKUP(B95,'(Ref) Countries'!A:C,3,)</f>
        <v>- spain</v>
      </c>
      <c r="AW95" s="29" t="str">
        <f t="shared" si="420"/>
        <v>- caravaca</v>
      </c>
      <c r="AX95" s="29" t="str">
        <f t="shared" si="421"/>
        <v>- churches</v>
      </c>
      <c r="AY95" s="29" t="str">
        <f t="shared" si="422"/>
        <v/>
      </c>
      <c r="AZ95" s="29" t="str">
        <f t="shared" si="423"/>
        <v>- holy-persons</v>
      </c>
      <c r="BA95" s="29" t="str">
        <f t="shared" si="424"/>
        <v>- teresa-avila</v>
      </c>
      <c r="BB95" s="29" t="str">
        <f t="shared" si="425"/>
        <v>- discalced-carmelites</v>
      </c>
      <c r="BC95" s="29" t="str">
        <f t="shared" si="426"/>
        <v>- communities</v>
      </c>
      <c r="BD95" s="29" t="str">
        <f t="shared" si="427"/>
        <v/>
      </c>
      <c r="BE95" s="29" t="str">
        <f t="shared" si="428"/>
        <v/>
      </c>
      <c r="BF95" s="29" t="str">
        <f t="shared" si="429"/>
        <v/>
      </c>
      <c r="BG95" s="29" t="str">
        <f t="shared" si="430"/>
        <v/>
      </c>
      <c r="BH95" s="29" t="str">
        <f t="shared" si="431"/>
        <v/>
      </c>
      <c r="BI95" s="29" t="str">
        <f t="shared" si="432"/>
        <v/>
      </c>
      <c r="BJ95" s="29" t="str">
        <f t="shared" si="433"/>
        <v/>
      </c>
      <c r="BK95" s="29" t="str">
        <f t="shared" si="434"/>
        <v xml:space="preserve">tags:
- spain_x000D_
- caravaca_x000D_
- churches_x000D_
- holy-persons_x000D_
- teresa-avila_x000D_
- discalced-carmelites_x000D_
- communities_x000D_
</v>
      </c>
      <c r="BL95" s="29" t="str">
        <f t="shared" si="435"/>
        <v/>
      </c>
      <c r="BM95" s="29" t="str">
        <f t="shared" si="436"/>
        <v>[Caravaca tourism site](https://www.turismocaravaca.com/blog/church-and-convent-san-jose-of-madres-carmelitas/)</v>
      </c>
      <c r="BN95" s="29" t="str">
        <f t="shared" si="437"/>
        <v>[Article from Murcia Today](https://murciatoday.com/the-convent_church-of-san-jose-in-caravaca-de-la-cruz_34175-a.html)</v>
      </c>
      <c r="BO95" s="29" t="str">
        <f t="shared" si="438"/>
        <v/>
      </c>
      <c r="BP95" s="29" t="str">
        <f t="shared" si="439"/>
        <v xml:space="preserve">* [Caravaca tourism site](https://www.turismocaravaca.com/blog/church-and-convent-san-jose-of-madres-carmelitas/)
* [Article from Murcia Today](https://murciatoday.com/the-convent_church-of-san-jose-in-caravaca-de-la-cruz_34175-a.html)
</v>
      </c>
      <c r="BQ95" s="29" t="str">
        <f t="shared" si="440"/>
        <v/>
      </c>
      <c r="BR95" s="29" t="str">
        <f t="shared" si="441"/>
        <v/>
      </c>
      <c r="BS95" s="29" t="str">
        <f t="shared" si="442"/>
        <v/>
      </c>
      <c r="BT95" s="29" t="str">
        <f>IF(LEN(concat(BQ95:BS95))&gt;0,concat("| ",BQ95," | ",BR95," | ",BS95," |"),"")</f>
        <v/>
      </c>
      <c r="BU95" s="29" t="str">
        <f t="shared" si="443"/>
        <v/>
      </c>
      <c r="BV95" s="29" t="str">
        <f>IF(LEN(BP95&amp;BU95)&gt;0,concatll("#### More Information",BP95,BU95),"")</f>
        <v xml:space="preserve">#### More Information_x000D_
_x000D_
* [Caravaca tourism site](https://www.turismocaravaca.com/blog/church-and-convent-san-jose-of-madres-carmelitas/)
* [Article from Murcia Today](https://murciatoday.com/the-convent_church-of-san-jose-in-caravaca-de-la-cruz_34175-a.html)
_x000D_
_x000D_
</v>
      </c>
      <c r="BW95" s="29" t="str">
        <f>IF(LEN(M95)&gt;1,concatll("#### Author's Note",M95),"")</f>
        <v/>
      </c>
      <c r="BX95" s="23" t="str">
        <f>IF(AR95,concatll(concatl("---",AS95:AU95,BK95,"---"),L95,BV95:BW95),"")</f>
        <v xml:space="preserve">---_x000D_
title: "Convento de San Jose, Caravaca de la Cruz"_x000D_
location: {lat: 38.1067192842424, lng: -1.8610296}_x000D_
level: local_x000D_
tags:
- spain_x000D_
- caravaca_x000D_
- churches_x000D_
- holy-persons_x000D_
- teresa-avila_x000D_
- discalced-carmelites_x000D_
- communities_x000D_
_x000D_
---_x000D_
_x000D_
_x000D_
The twelvth of 17 communities founded by St. Teresa of Avila, in 1576._x000D_
_x000D_
#### More Information_x000D_
_x000D_
* [Caravaca tourism site](https://www.turismocaravaca.com/blog/church-and-convent-san-jose-of-madres-carmelitas/)
* [Article from Murcia Today](https://murciatoday.com/the-convent_church-of-san-jose-in-caravaca-de-la-cruz_34175-a.html)
_x000D_
_x000D_
_x000D_
_x000D_
</v>
      </c>
      <c r="BY95" s="31" t="str">
        <f>IF(AR95,VLOOKUP(B95,'(Ref) Countries'!A:B,2,)&amp;IF(LEN(C95)&gt;1,"-"&amp;LOWER(SUBSTITUTE(C95," ","-")),"")&amp;"-"&amp;LOWER(SUBSTITUTE(G95," ","-"))&amp;".md","")</f>
        <v>es-caravaca-convento-de-san-jose.md</v>
      </c>
      <c r="BZ95" s="29" t="str">
        <f>IF(LEN(Y95)&gt;1,VLOOKUP(Y95,'Tag List'!$A:$B,2,),"")</f>
        <v>St. Teresa of Avila, OCD</v>
      </c>
      <c r="CA95" s="29" t="str">
        <f>IF(LEN(Z95)&gt;1,VLOOKUP(Z95,'Tag List'!$A:$B,2,),"")</f>
        <v>Discalced Carmelites (Order of Discalced Carmelites)</v>
      </c>
      <c r="CB95" s="29" t="str">
        <f>IF(LEN(AA95)&gt;1,VLOOKUP(AA95,'Tag List'!$A:$B,2,),"")</f>
        <v>Religious Communities</v>
      </c>
      <c r="CC95" s="29" t="str">
        <f>IF(LEN(Y95)&gt;1,GetTagPage(BZ95,Y95),"")</f>
        <v>[St. Teresa of Avila, OCD](/tags/teresa-avila)</v>
      </c>
      <c r="CD95" s="29" t="str">
        <f>IF(LEN(Z95)&gt;1,GetTagPage(CA95,Z95),"")</f>
        <v>[Discalced Carmelites (Order of Discalced Carmelites)](/tags/discalced-carmelites)</v>
      </c>
      <c r="CE95" s="29" t="str">
        <f>IF(LEN(AA95)&gt;1,GetTagPage(CB95,AA95),"")</f>
        <v>[Religious Communities](/tags/communities)</v>
      </c>
      <c r="CF95" s="29" t="str">
        <f t="shared" si="444"/>
        <v xml:space="preserve">| [St. Teresa of Avila, OCD](/tags/teresa-avila), [Discalced Carmelites (Order of Discalced Carmelites)](/tags/discalced-carmelites), [Religious Communities](/tags/communities) </v>
      </c>
      <c r="CG95" s="29" t="str">
        <f t="shared" si="445"/>
        <v xml:space="preserve">| [](/places/es-caravaca-convento-de-san-jose) </v>
      </c>
      <c r="CH95" s="29" t="str">
        <f>"| "&amp;IF(AR95,GetTagPage(B95,VLOOKUP(B95,'(Ref) Countries'!A:C,3,)),B95)&amp; " "</f>
        <v xml:space="preserve">| [Spain](/tags/spain) </v>
      </c>
      <c r="CI95" s="29" t="str">
        <f t="shared" si="446"/>
        <v xml:space="preserve">|  </v>
      </c>
      <c r="CJ95" s="29" t="str">
        <f t="shared" si="447"/>
        <v xml:space="preserve">| [Link](/places/es-caravaca-convento-de-san-jose) </v>
      </c>
      <c r="CK95" s="29" t="str">
        <f t="shared" si="448"/>
        <v xml:space="preserve">
| [](/places/es-caravaca-convento-de-san-jose) | [Spain](/tags/spain) |  | [Link](/places/es-caravaca-convento-de-san-jose) | [St. Teresa of Avila, OCD](/tags/teresa-avila), [Discalced Carmelites (Order of Discalced Carmelites)](/tags/discalced-carmelites), [Religious Communities](/tags/communities) |</v>
      </c>
    </row>
    <row r="96" spans="1:89" x14ac:dyDescent="0.25">
      <c r="A96" s="14" t="s">
        <v>1322</v>
      </c>
      <c r="B96" s="24" t="s">
        <v>552</v>
      </c>
      <c r="C96" s="115" t="s">
        <v>2228</v>
      </c>
      <c r="D96" s="15">
        <v>39.439610215366898</v>
      </c>
      <c r="E96" s="49">
        <v>-1.95650919993269</v>
      </c>
      <c r="F96" s="24" t="s">
        <v>2227</v>
      </c>
      <c r="G96" s="53" t="s">
        <v>2227</v>
      </c>
      <c r="H96" s="15" t="s">
        <v>1835</v>
      </c>
      <c r="I96" s="15" t="b">
        <v>1</v>
      </c>
      <c r="K96" s="15" t="b">
        <v>1</v>
      </c>
      <c r="L96" s="114" t="s">
        <v>2229</v>
      </c>
      <c r="P96" s="119" t="s">
        <v>2230</v>
      </c>
      <c r="Q96" s="15" t="s">
        <v>2231</v>
      </c>
      <c r="R96" s="120" t="s">
        <v>336</v>
      </c>
      <c r="Y96" s="15" t="s">
        <v>2157</v>
      </c>
      <c r="Z96" s="15" t="s">
        <v>2153</v>
      </c>
      <c r="AA96" s="15" t="s">
        <v>1426</v>
      </c>
      <c r="AR96" s="28" t="b">
        <f t="shared" si="416"/>
        <v>1</v>
      </c>
      <c r="AS96" s="29" t="str">
        <f t="shared" si="417"/>
        <v>title: "Convento de Santa Ana"</v>
      </c>
      <c r="AT96" s="29" t="str">
        <f t="shared" si="418"/>
        <v>location: {lat: 39.4396102153669, lng: -1.95650919993269}</v>
      </c>
      <c r="AU96" s="29" t="str">
        <f t="shared" si="419"/>
        <v>level: local</v>
      </c>
      <c r="AV96" s="29" t="str">
        <f>"- "&amp;VLOOKUP(B96,'(Ref) Countries'!A:C,3,)</f>
        <v>- spain</v>
      </c>
      <c r="AW96" s="29" t="str">
        <f t="shared" si="420"/>
        <v>- villanueva-de-la-jara</v>
      </c>
      <c r="AX96" s="29" t="str">
        <f t="shared" si="421"/>
        <v>- churches</v>
      </c>
      <c r="AY96" s="29" t="str">
        <f t="shared" si="422"/>
        <v/>
      </c>
      <c r="AZ96" s="29" t="str">
        <f t="shared" si="423"/>
        <v>- holy-persons</v>
      </c>
      <c r="BA96" s="29" t="str">
        <f t="shared" si="424"/>
        <v>- teresa-avila</v>
      </c>
      <c r="BB96" s="29" t="str">
        <f t="shared" si="425"/>
        <v>- discalced-carmelites</v>
      </c>
      <c r="BC96" s="29" t="str">
        <f t="shared" si="426"/>
        <v>- communities</v>
      </c>
      <c r="BD96" s="29" t="str">
        <f t="shared" si="427"/>
        <v/>
      </c>
      <c r="BE96" s="29" t="str">
        <f t="shared" si="428"/>
        <v/>
      </c>
      <c r="BF96" s="29" t="str">
        <f t="shared" si="429"/>
        <v/>
      </c>
      <c r="BG96" s="29" t="str">
        <f t="shared" si="430"/>
        <v/>
      </c>
      <c r="BH96" s="29" t="str">
        <f t="shared" si="431"/>
        <v/>
      </c>
      <c r="BI96" s="29" t="str">
        <f t="shared" si="432"/>
        <v/>
      </c>
      <c r="BJ96" s="29" t="str">
        <f t="shared" si="433"/>
        <v/>
      </c>
      <c r="BK96" s="29" t="str">
        <f t="shared" si="434"/>
        <v xml:space="preserve">tags:
- spain_x000D_
- villanueva-de-la-jara_x000D_
- churches_x000D_
- holy-persons_x000D_
- teresa-avila_x000D_
- discalced-carmelites_x000D_
- communities_x000D_
</v>
      </c>
      <c r="BL96" s="29" t="str">
        <f t="shared" si="435"/>
        <v/>
      </c>
      <c r="BM96" s="29" t="str">
        <f t="shared" si="436"/>
        <v>[Villanueva de la Jara offical site](https://www.villanuevadelajara.eu/english/the-footprints-of-st-teresa-of-jesus-in-villanueva-de-la-jara/)</v>
      </c>
      <c r="BN96" s="29" t="str">
        <f t="shared" si="437"/>
        <v/>
      </c>
      <c r="BO96" s="29" t="str">
        <f t="shared" si="438"/>
        <v/>
      </c>
      <c r="BP96" s="29" t="str">
        <f t="shared" si="439"/>
        <v xml:space="preserve">* [Villanueva de la Jara offical site](https://www.villanuevadelajara.eu/english/the-footprints-of-st-teresa-of-jesus-in-villanueva-de-la-jara/)
</v>
      </c>
      <c r="BQ96" s="29" t="str">
        <f t="shared" si="440"/>
        <v/>
      </c>
      <c r="BR96" s="29" t="str">
        <f t="shared" si="441"/>
        <v/>
      </c>
      <c r="BS96" s="29" t="str">
        <f t="shared" si="442"/>
        <v/>
      </c>
      <c r="BT96" s="29" t="str">
        <f>IF(LEN(concat(BQ96:BS96))&gt;0,concat("| ",BQ96," | ",BR96," | ",BS96," |"),"")</f>
        <v/>
      </c>
      <c r="BU96" s="29" t="str">
        <f t="shared" si="443"/>
        <v/>
      </c>
      <c r="BV96" s="29" t="str">
        <f>IF(LEN(BP96&amp;BU96)&gt;0,concatll("#### More Information",BP96,BU96),"")</f>
        <v xml:space="preserve">#### More Information_x000D_
_x000D_
* [Villanueva de la Jara offical site](https://www.villanuevadelajara.eu/english/the-footprints-of-st-teresa-of-jesus-in-villanueva-de-la-jara/)
_x000D_
_x000D_
</v>
      </c>
      <c r="BW96" s="29" t="str">
        <f>IF(LEN(M96)&gt;1,concatll("#### Author's Note",M96),"")</f>
        <v/>
      </c>
      <c r="BX96" s="23" t="str">
        <f>IF(AR96,concatll(concatl("---",AS96:AU96,BK96,"---"),L96,BV96:BW96),"")</f>
        <v xml:space="preserve">---_x000D_
title: "Convento de Santa Ana"_x000D_
location: {lat: 39.4396102153669, lng: -1.95650919993269}_x000D_
level: local_x000D_
tags:
- spain_x000D_
- villanueva-de-la-jara_x000D_
- churches_x000D_
- holy-persons_x000D_
- teresa-avila_x000D_
- discalced-carmelites_x000D_
- communities_x000D_
_x000D_
---_x000D_
_x000D_
_x000D_
The thirteenth of 17 communities founded by St. Teresa of Avila, in 1580._x000D_
_x000D_
#### More Information_x000D_
_x000D_
* [Villanueva de la Jara offical site](https://www.villanuevadelajara.eu/english/the-footprints-of-st-teresa-of-jesus-in-villanueva-de-la-jara/)
_x000D_
_x000D_
_x000D_
_x000D_
</v>
      </c>
      <c r="BY96" s="31" t="str">
        <f>IF(AR96,VLOOKUP(B96,'(Ref) Countries'!A:B,2,)&amp;IF(LEN(C96)&gt;1,"-"&amp;LOWER(SUBSTITUTE(C96," ","-")),"")&amp;"-"&amp;LOWER(SUBSTITUTE(G96," ","-"))&amp;".md","")</f>
        <v>es-villanueva-de-la-jara-convento-de-santa-ana.md</v>
      </c>
      <c r="BZ96" s="29" t="str">
        <f>IF(LEN(Y96)&gt;1,VLOOKUP(Y96,'Tag List'!$A:$B,2,),"")</f>
        <v>St. Teresa of Avila, OCD</v>
      </c>
      <c r="CA96" s="29" t="str">
        <f>IF(LEN(Z96)&gt;1,VLOOKUP(Z96,'Tag List'!$A:$B,2,),"")</f>
        <v>Discalced Carmelites (Order of Discalced Carmelites)</v>
      </c>
      <c r="CB96" s="29" t="str">
        <f>IF(LEN(AA96)&gt;1,VLOOKUP(AA96,'Tag List'!$A:$B,2,),"")</f>
        <v>Religious Communities</v>
      </c>
      <c r="CC96" s="29" t="str">
        <f>IF(LEN(Y96)&gt;1,GetTagPage(BZ96,Y96),"")</f>
        <v>[St. Teresa of Avila, OCD](/tags/teresa-avila)</v>
      </c>
      <c r="CD96" s="29" t="str">
        <f>IF(LEN(Z96)&gt;1,GetTagPage(CA96,Z96),"")</f>
        <v>[Discalced Carmelites (Order of Discalced Carmelites)](/tags/discalced-carmelites)</v>
      </c>
      <c r="CE96" s="29" t="str">
        <f>IF(LEN(AA96)&gt;1,GetTagPage(CB96,AA96),"")</f>
        <v>[Religious Communities](/tags/communities)</v>
      </c>
      <c r="CF96" s="29" t="str">
        <f t="shared" si="444"/>
        <v xml:space="preserve">| [St. Teresa of Avila, OCD](/tags/teresa-avila), [Discalced Carmelites (Order of Discalced Carmelites)](/tags/discalced-carmelites), [Religious Communities](/tags/communities) </v>
      </c>
      <c r="CG96" s="29" t="str">
        <f t="shared" si="445"/>
        <v xml:space="preserve">| [](/places/es-villanueva-de-la-jara-convento-de-santa-ana) </v>
      </c>
      <c r="CH96" s="29" t="str">
        <f>"| "&amp;IF(AR96,GetTagPage(B96,VLOOKUP(B96,'(Ref) Countries'!A:C,3,)),B96)&amp; " "</f>
        <v xml:space="preserve">| [Spain](/tags/spain) </v>
      </c>
      <c r="CI96" s="29" t="str">
        <f t="shared" si="446"/>
        <v xml:space="preserve">|  </v>
      </c>
      <c r="CJ96" s="29" t="str">
        <f t="shared" si="447"/>
        <v xml:space="preserve">| [Link](/places/es-villanueva-de-la-jara-convento-de-santa-ana) </v>
      </c>
      <c r="CK96" s="29" t="str">
        <f t="shared" si="448"/>
        <v xml:space="preserve">
| [](/places/es-villanueva-de-la-jara-convento-de-santa-ana) | [Spain](/tags/spain) |  | [Link](/places/es-villanueva-de-la-jara-convento-de-santa-ana) | [St. Teresa of Avila, OCD](/tags/teresa-avila), [Discalced Carmelites (Order of Discalced Carmelites)](/tags/discalced-carmelites), [Religious Communities](/tags/communities) |</v>
      </c>
    </row>
    <row r="97" spans="1:89" ht="25.5" x14ac:dyDescent="0.25">
      <c r="A97" s="14" t="s">
        <v>1322</v>
      </c>
      <c r="B97" s="24" t="s">
        <v>552</v>
      </c>
      <c r="C97" s="115" t="s">
        <v>2232</v>
      </c>
      <c r="D97" s="15">
        <v>42.007672479991903</v>
      </c>
      <c r="E97" s="49">
        <v>-4.5314706466260501</v>
      </c>
      <c r="F97" s="114" t="s">
        <v>2237</v>
      </c>
      <c r="G97" s="116" t="s">
        <v>2238</v>
      </c>
      <c r="H97" s="15" t="s">
        <v>1835</v>
      </c>
      <c r="I97" s="15" t="b">
        <v>1</v>
      </c>
      <c r="K97" s="15" t="b">
        <v>1</v>
      </c>
      <c r="L97" s="114" t="s">
        <v>2233</v>
      </c>
      <c r="P97" s="119" t="s">
        <v>2234</v>
      </c>
      <c r="Q97" s="15" t="s">
        <v>2235</v>
      </c>
      <c r="R97" s="64" t="s">
        <v>336</v>
      </c>
      <c r="Y97" s="15" t="s">
        <v>2157</v>
      </c>
      <c r="Z97" s="15" t="s">
        <v>2153</v>
      </c>
      <c r="AR97" s="28" t="b">
        <f t="shared" si="416"/>
        <v>1</v>
      </c>
      <c r="AS97" s="29" t="str">
        <f t="shared" si="417"/>
        <v>title: "St. Bernard Church (Iglesia de San Bernardo)"</v>
      </c>
      <c r="AT97" s="29" t="str">
        <f t="shared" si="418"/>
        <v>location: {lat: 42.0076724799919, lng: -4.53147064662605}</v>
      </c>
      <c r="AU97" s="29" t="str">
        <f t="shared" si="419"/>
        <v>level: local</v>
      </c>
      <c r="AV97" s="29" t="str">
        <f>"- "&amp;VLOOKUP(B97,'(Ref) Countries'!A:C,3,)</f>
        <v>- spain</v>
      </c>
      <c r="AW97" s="29" t="str">
        <f t="shared" si="420"/>
        <v>- palencia</v>
      </c>
      <c r="AX97" s="29" t="str">
        <f t="shared" si="421"/>
        <v>- churches</v>
      </c>
      <c r="AY97" s="29" t="str">
        <f t="shared" si="422"/>
        <v/>
      </c>
      <c r="AZ97" s="29" t="str">
        <f t="shared" si="423"/>
        <v>- holy-persons</v>
      </c>
      <c r="BA97" s="29" t="str">
        <f t="shared" si="424"/>
        <v>- teresa-avila</v>
      </c>
      <c r="BB97" s="29" t="str">
        <f t="shared" si="425"/>
        <v>- discalced-carmelites</v>
      </c>
      <c r="BC97" s="29" t="str">
        <f t="shared" si="426"/>
        <v/>
      </c>
      <c r="BD97" s="29" t="str">
        <f t="shared" si="427"/>
        <v/>
      </c>
      <c r="BE97" s="29" t="str">
        <f t="shared" si="428"/>
        <v/>
      </c>
      <c r="BF97" s="29" t="str">
        <f t="shared" si="429"/>
        <v/>
      </c>
      <c r="BG97" s="29" t="str">
        <f t="shared" si="430"/>
        <v/>
      </c>
      <c r="BH97" s="29" t="str">
        <f t="shared" si="431"/>
        <v/>
      </c>
      <c r="BI97" s="29" t="str">
        <f t="shared" si="432"/>
        <v/>
      </c>
      <c r="BJ97" s="29" t="str">
        <f t="shared" si="433"/>
        <v/>
      </c>
      <c r="BK97" s="29" t="str">
        <f t="shared" si="434"/>
        <v xml:space="preserve">tags:
- spain_x000D_
- palencia_x000D_
- churches_x000D_
- holy-persons_x000D_
- teresa-avila_x000D_
- discalced-carmelites_x000D_
</v>
      </c>
      <c r="BL97" s="29" t="str">
        <f t="shared" si="435"/>
        <v/>
      </c>
      <c r="BM97" s="29" t="str">
        <f t="shared" si="436"/>
        <v>[Palencia tourism site](https://turismo.aytopalencia.es/en/poi/church-san-bernardo)</v>
      </c>
      <c r="BN97" s="29" t="str">
        <f t="shared" si="437"/>
        <v/>
      </c>
      <c r="BO97" s="29" t="str">
        <f t="shared" si="438"/>
        <v/>
      </c>
      <c r="BP97" s="29" t="str">
        <f t="shared" si="439"/>
        <v xml:space="preserve">* [Palencia tourism site](https://turismo.aytopalencia.es/en/poi/church-san-bernardo)
</v>
      </c>
      <c r="BQ97" s="29" t="str">
        <f t="shared" si="440"/>
        <v/>
      </c>
      <c r="BR97" s="29" t="str">
        <f t="shared" si="441"/>
        <v/>
      </c>
      <c r="BS97" s="29" t="str">
        <f t="shared" si="442"/>
        <v/>
      </c>
      <c r="BT97" s="29" t="str">
        <f>IF(LEN(concat(BQ97:BS97))&gt;0,concat("| ",BQ97," | ",BR97," | ",BS97," |"),"")</f>
        <v/>
      </c>
      <c r="BU97" s="29" t="str">
        <f t="shared" si="443"/>
        <v/>
      </c>
      <c r="BV97" s="29" t="str">
        <f>IF(LEN(BP97&amp;BU97)&gt;0,concatll("#### More Information",BP97,BU97),"")</f>
        <v xml:space="preserve">#### More Information_x000D_
_x000D_
* [Palencia tourism site](https://turismo.aytopalencia.es/en/poi/church-san-bernardo)
_x000D_
_x000D_
</v>
      </c>
      <c r="BW97" s="29" t="str">
        <f>IF(LEN(M97)&gt;1,concatll("#### Author's Note",M97),"")</f>
        <v/>
      </c>
      <c r="BX97" s="23" t="str">
        <f>IF(AR97,concatll(concatl("---",AS97:AU97,BK97,"---"),L97,BV97:BW97),"")</f>
        <v xml:space="preserve">---_x000D_
title: "St. Bernard Church (Iglesia de San Bernardo)"_x000D_
location: {lat: 42.0076724799919, lng: -4.53147064662605}_x000D_
level: local_x000D_
tags:
- spain_x000D_
- palencia_x000D_
- churches_x000D_
- holy-persons_x000D_
- teresa-avila_x000D_
- discalced-carmelites_x000D_
_x000D_
---_x000D_
_x000D_
_x000D_
The fourteenth of 17 communities founded by St. Teresa of Avila, in 1580.  It is likely the original convent is no longer in existence, though a church remains._x000D_
_x000D_
#### More Information_x000D_
_x000D_
* [Palencia tourism site](https://turismo.aytopalencia.es/en/poi/church-san-bernardo)
_x000D_
_x000D_
_x000D_
_x000D_
</v>
      </c>
      <c r="BY97" s="31" t="str">
        <f>IF(AR97,VLOOKUP(B97,'(Ref) Countries'!A:B,2,)&amp;IF(LEN(C97)&gt;1,"-"&amp;LOWER(SUBSTITUTE(C97," ","-")),"")&amp;"-"&amp;LOWER(SUBSTITUTE(G97," ","-"))&amp;".md","")</f>
        <v>es-palencia-iglesia-de-san-bernardo.md</v>
      </c>
      <c r="BZ97" s="29" t="str">
        <f>IF(LEN(Y97)&gt;1,VLOOKUP(Y97,'Tag List'!$A:$B,2,),"")</f>
        <v>St. Teresa of Avila, OCD</v>
      </c>
      <c r="CA97" s="29" t="str">
        <f>IF(LEN(Z97)&gt;1,VLOOKUP(Z97,'Tag List'!$A:$B,2,),"")</f>
        <v>Discalced Carmelites (Order of Discalced Carmelites)</v>
      </c>
      <c r="CB97" s="29" t="str">
        <f>IF(LEN(AA97)&gt;1,VLOOKUP(AA97,'Tag List'!$A:$B,2,),"")</f>
        <v/>
      </c>
      <c r="CC97" s="29" t="str">
        <f>IF(LEN(Y97)&gt;1,GetTagPage(BZ97,Y97),"")</f>
        <v>[St. Teresa of Avila, OCD](/tags/teresa-avila)</v>
      </c>
      <c r="CD97" s="29" t="str">
        <f>IF(LEN(Z97)&gt;1,GetTagPage(CA97,Z97),"")</f>
        <v>[Discalced Carmelites (Order of Discalced Carmelites)](/tags/discalced-carmelites)</v>
      </c>
      <c r="CE97" s="29" t="str">
        <f>IF(LEN(AA97)&gt;1,GetTagPage(CB97,AA97),"")</f>
        <v/>
      </c>
      <c r="CF97" s="29" t="str">
        <f t="shared" si="444"/>
        <v xml:space="preserve">| [St. Teresa of Avila, OCD](/tags/teresa-avila), [Discalced Carmelites (Order of Discalced Carmelites)](/tags/discalced-carmelites) </v>
      </c>
      <c r="CG97" s="29" t="str">
        <f t="shared" si="445"/>
        <v xml:space="preserve">| [](/places/es-palencia-iglesia-de-san-bernardo) </v>
      </c>
      <c r="CH97" s="29" t="str">
        <f>"| "&amp;IF(AR97,GetTagPage(B97,VLOOKUP(B97,'(Ref) Countries'!A:C,3,)),B97)&amp; " "</f>
        <v xml:space="preserve">| [Spain](/tags/spain) </v>
      </c>
      <c r="CI97" s="29" t="str">
        <f t="shared" si="446"/>
        <v xml:space="preserve">|  </v>
      </c>
      <c r="CJ97" s="29" t="str">
        <f t="shared" si="447"/>
        <v xml:space="preserve">| [Link](/places/es-palencia-iglesia-de-san-bernardo) </v>
      </c>
      <c r="CK97" s="29" t="str">
        <f t="shared" si="448"/>
        <v xml:space="preserve">
| [](/places/es-palencia-iglesia-de-san-bernardo) | [Spain](/tags/spain) |  | [Link](/places/es-palencia-iglesia-de-san-bernardo) | [St. Teresa of Avila, OCD](/tags/teresa-avila), [Discalced Carmelites (Order of Discalced Carmelites)](/tags/discalced-carmelites) |</v>
      </c>
    </row>
    <row r="98" spans="1:89" ht="89.25" x14ac:dyDescent="0.25">
      <c r="A98" s="14" t="s">
        <v>1322</v>
      </c>
      <c r="B98" s="24" t="s">
        <v>552</v>
      </c>
      <c r="C98" s="115" t="s">
        <v>2236</v>
      </c>
      <c r="D98" s="15">
        <v>41.764625448349499</v>
      </c>
      <c r="E98" s="49">
        <v>-2.46296793728833</v>
      </c>
      <c r="F98" s="114" t="s">
        <v>2239</v>
      </c>
      <c r="G98" s="53" t="s">
        <v>2240</v>
      </c>
      <c r="H98" s="15" t="s">
        <v>1835</v>
      </c>
      <c r="I98" s="15" t="b">
        <v>1</v>
      </c>
      <c r="K98" s="15" t="b">
        <v>1</v>
      </c>
      <c r="L98" s="114" t="s">
        <v>2244</v>
      </c>
      <c r="M98" s="116" t="s">
        <v>2243</v>
      </c>
      <c r="P98" s="119" t="s">
        <v>2241</v>
      </c>
      <c r="Q98" s="15" t="s">
        <v>2242</v>
      </c>
      <c r="R98" s="64" t="s">
        <v>336</v>
      </c>
      <c r="Y98" s="15" t="s">
        <v>2157</v>
      </c>
      <c r="Z98" s="15" t="s">
        <v>2153</v>
      </c>
      <c r="AA98" s="15" t="s">
        <v>1426</v>
      </c>
      <c r="AR98" s="28" t="b">
        <f t="shared" si="416"/>
        <v>1</v>
      </c>
      <c r="AS98" s="29" t="str">
        <f t="shared" si="417"/>
        <v>title: "Convent of our Lady of Carmen (Convento de Nuestra Senora del Carmen)"</v>
      </c>
      <c r="AT98" s="29" t="str">
        <f t="shared" si="418"/>
        <v>location: {lat: 41.7646254483495, lng: -2.46296793728833}</v>
      </c>
      <c r="AU98" s="29" t="str">
        <f t="shared" si="419"/>
        <v>level: local</v>
      </c>
      <c r="AV98" s="29" t="str">
        <f>"- "&amp;VLOOKUP(B98,'(Ref) Countries'!A:C,3,)</f>
        <v>- spain</v>
      </c>
      <c r="AW98" s="29" t="str">
        <f t="shared" si="420"/>
        <v>- soria</v>
      </c>
      <c r="AX98" s="29" t="str">
        <f t="shared" si="421"/>
        <v>- churches</v>
      </c>
      <c r="AY98" s="29" t="str">
        <f t="shared" si="422"/>
        <v/>
      </c>
      <c r="AZ98" s="29" t="str">
        <f t="shared" si="423"/>
        <v>- holy-persons</v>
      </c>
      <c r="BA98" s="29" t="str">
        <f t="shared" si="424"/>
        <v>- teresa-avila</v>
      </c>
      <c r="BB98" s="29" t="str">
        <f t="shared" si="425"/>
        <v>- discalced-carmelites</v>
      </c>
      <c r="BC98" s="29" t="str">
        <f t="shared" si="426"/>
        <v>- communities</v>
      </c>
      <c r="BD98" s="29" t="str">
        <f t="shared" si="427"/>
        <v/>
      </c>
      <c r="BE98" s="29" t="str">
        <f t="shared" si="428"/>
        <v/>
      </c>
      <c r="BF98" s="29" t="str">
        <f t="shared" si="429"/>
        <v/>
      </c>
      <c r="BG98" s="29" t="str">
        <f t="shared" si="430"/>
        <v/>
      </c>
      <c r="BH98" s="29" t="str">
        <f t="shared" si="431"/>
        <v/>
      </c>
      <c r="BI98" s="29" t="str">
        <f t="shared" si="432"/>
        <v/>
      </c>
      <c r="BJ98" s="29" t="str">
        <f t="shared" si="433"/>
        <v/>
      </c>
      <c r="BK98" s="29" t="str">
        <f t="shared" si="434"/>
        <v xml:space="preserve">tags:
- spain_x000D_
- soria_x000D_
- churches_x000D_
- holy-persons_x000D_
- teresa-avila_x000D_
- discalced-carmelites_x000D_
- communities_x000D_
</v>
      </c>
      <c r="BL98" s="29" t="str">
        <f t="shared" si="435"/>
        <v/>
      </c>
      <c r="BM98" s="29" t="str">
        <f t="shared" si="436"/>
        <v>[Soria tourism site](https://www.turismosoria.es/en/what-to-see/monuments/convent-of-el-carmen/)</v>
      </c>
      <c r="BN98" s="29" t="str">
        <f t="shared" si="437"/>
        <v/>
      </c>
      <c r="BO98" s="29" t="str">
        <f t="shared" si="438"/>
        <v/>
      </c>
      <c r="BP98" s="29" t="str">
        <f t="shared" si="439"/>
        <v xml:space="preserve">* [Soria tourism site](https://www.turismosoria.es/en/what-to-see/monuments/convent-of-el-carmen/)
</v>
      </c>
      <c r="BQ98" s="29" t="str">
        <f t="shared" si="440"/>
        <v/>
      </c>
      <c r="BR98" s="29" t="str">
        <f t="shared" si="441"/>
        <v/>
      </c>
      <c r="BS98" s="29" t="str">
        <f t="shared" si="442"/>
        <v/>
      </c>
      <c r="BT98" s="29" t="str">
        <f>IF(LEN(concat(BQ98:BS98))&gt;0,concat("| ",BQ98," | ",BR98," | ",BS98," |"),"")</f>
        <v/>
      </c>
      <c r="BU98" s="29" t="str">
        <f t="shared" si="443"/>
        <v/>
      </c>
      <c r="BV98" s="29" t="str">
        <f>IF(LEN(BP98&amp;BU98)&gt;0,concatll("#### More Information",BP98,BU98),"")</f>
        <v xml:space="preserve">#### More Information_x000D_
_x000D_
* [Soria tourism site](https://www.turismosoria.es/en/what-to-see/monuments/convent-of-el-carmen/)
_x000D_
_x000D_
</v>
      </c>
      <c r="BW98" s="29" t="str">
        <f>IF(LEN(M98)&gt;1,concatll("#### Author's Note",M98),"")</f>
        <v xml:space="preserve">#### Author's Note_x000D_
_x000D_
It's unclear which church is associated with the original convent - the one pinpointed on this article, or the nearby Iglesia de Santa Maria la Mayor (as noted, possibly incorrectly, on Soria's tourism site).  Regardless, the convent is still actively functioning.
-JMM_x000D_
_x000D_
</v>
      </c>
      <c r="BX98" s="23" t="str">
        <f>IF(AR98,concatll(concatl("---",AS98:AU98,BK98,"---"),L98,BV98:BW98),"")</f>
        <v xml:space="preserve">---_x000D_
title: "Convent of our Lady of Carmen (Convento de Nuestra Senora del Carmen)"_x000D_
location: {lat: 41.7646254483495, lng: -2.46296793728833}_x000D_
level: local_x000D_
tags:
- spain_x000D_
- soria_x000D_
- churches_x000D_
- holy-persons_x000D_
- teresa-avila_x000D_
- discalced-carmelites_x000D_
- communities_x000D_
_x000D_
---_x000D_
_x000D_
_x000D_
The fifteenth of 17 communities founded by St. Teresa of Avila, in 1581._x000D_
_x000D_
#### More Information_x000D_
_x000D_
* [Soria tourism site](https://www.turismosoria.es/en/what-to-see/monuments/convent-of-el-carmen/)
_x000D_
_x000D_
_x000D_
_x000D_
#### Author's Note_x000D_
_x000D_
It's unclear which church is associated with the original convent - the one pinpointed on this article, or the nearby Iglesia de Santa Maria la Mayor (as noted, possibly incorrectly, on Soria's tourism site).  Regardless, the convent is still actively functioning.
-JMM_x000D_
_x000D_
_x000D_
_x000D_
</v>
      </c>
      <c r="BY98" s="31" t="str">
        <f>IF(AR98,VLOOKUP(B98,'(Ref) Countries'!A:B,2,)&amp;IF(LEN(C98)&gt;1,"-"&amp;LOWER(SUBSTITUTE(C98," ","-")),"")&amp;"-"&amp;LOWER(SUBSTITUTE(G98," ","-"))&amp;".md","")</f>
        <v>es-soria-convento-de-nuestra-senora-del-carmen.md</v>
      </c>
      <c r="BZ98" s="29" t="str">
        <f>IF(LEN(Y98)&gt;1,VLOOKUP(Y98,'Tag List'!$A:$B,2,),"")</f>
        <v>St. Teresa of Avila, OCD</v>
      </c>
      <c r="CA98" s="29" t="str">
        <f>IF(LEN(Z98)&gt;1,VLOOKUP(Z98,'Tag List'!$A:$B,2,),"")</f>
        <v>Discalced Carmelites (Order of Discalced Carmelites)</v>
      </c>
      <c r="CB98" s="29" t="str">
        <f>IF(LEN(AA98)&gt;1,VLOOKUP(AA98,'Tag List'!$A:$B,2,),"")</f>
        <v>Religious Communities</v>
      </c>
      <c r="CC98" s="29" t="str">
        <f>IF(LEN(Y98)&gt;1,GetTagPage(BZ98,Y98),"")</f>
        <v>[St. Teresa of Avila, OCD](/tags/teresa-avila)</v>
      </c>
      <c r="CD98" s="29" t="str">
        <f>IF(LEN(Z98)&gt;1,GetTagPage(CA98,Z98),"")</f>
        <v>[Discalced Carmelites (Order of Discalced Carmelites)](/tags/discalced-carmelites)</v>
      </c>
      <c r="CE98" s="29" t="str">
        <f>IF(LEN(AA98)&gt;1,GetTagPage(CB98,AA98),"")</f>
        <v>[Religious Communities](/tags/communities)</v>
      </c>
      <c r="CF98" s="29" t="str">
        <f t="shared" si="444"/>
        <v xml:space="preserve">| [St. Teresa of Avila, OCD](/tags/teresa-avila), [Discalced Carmelites (Order of Discalced Carmelites)](/tags/discalced-carmelites), [Religious Communities](/tags/communities) </v>
      </c>
      <c r="CG98" s="29" t="str">
        <f t="shared" si="445"/>
        <v xml:space="preserve">| [](/places/es-soria-convento-de-nuestra-senora-del-carmen) </v>
      </c>
      <c r="CH98" s="29" t="str">
        <f>"| "&amp;IF(AR98,GetTagPage(B98,VLOOKUP(B98,'(Ref) Countries'!A:C,3,)),B98)&amp; " "</f>
        <v xml:space="preserve">| [Spain](/tags/spain) </v>
      </c>
      <c r="CI98" s="29" t="str">
        <f t="shared" si="446"/>
        <v xml:space="preserve">|  </v>
      </c>
      <c r="CJ98" s="29" t="str">
        <f t="shared" si="447"/>
        <v xml:space="preserve">| [Link](/places/es-soria-convento-de-nuestra-senora-del-carmen) </v>
      </c>
      <c r="CK98" s="29" t="str">
        <f t="shared" si="448"/>
        <v xml:space="preserve">
| [](/places/es-soria-convento-de-nuestra-senora-del-carmen) | [Spain](/tags/spain) |  | [Link](/places/es-soria-convento-de-nuestra-senora-del-carmen) | [St. Teresa of Avila, OCD](/tags/teresa-avila), [Discalced Carmelites (Order of Discalced Carmelites)](/tags/discalced-carmelites), [Religious Communities](/tags/communities) |</v>
      </c>
    </row>
    <row r="99" spans="1:89" ht="25.5" x14ac:dyDescent="0.25">
      <c r="A99" s="14" t="s">
        <v>1322</v>
      </c>
      <c r="B99" s="24" t="s">
        <v>552</v>
      </c>
      <c r="C99" s="115" t="s">
        <v>2245</v>
      </c>
      <c r="D99" s="15">
        <v>37.175062581351298</v>
      </c>
      <c r="E99" s="49">
        <v>-3.5968724999999999</v>
      </c>
      <c r="F99" s="114" t="s">
        <v>2246</v>
      </c>
      <c r="G99" s="53" t="s">
        <v>2162</v>
      </c>
      <c r="H99" s="15" t="s">
        <v>1835</v>
      </c>
      <c r="I99" s="15" t="b">
        <v>1</v>
      </c>
      <c r="K99" s="15" t="b">
        <v>1</v>
      </c>
      <c r="L99" s="114" t="s">
        <v>2250</v>
      </c>
      <c r="N99" s="15" t="s">
        <v>2247</v>
      </c>
      <c r="O99" s="115" t="s">
        <v>1826</v>
      </c>
      <c r="P99" s="119" t="s">
        <v>2249</v>
      </c>
      <c r="Q99" s="15" t="s">
        <v>2248</v>
      </c>
      <c r="R99" s="64" t="s">
        <v>336</v>
      </c>
      <c r="Y99" s="15" t="s">
        <v>2157</v>
      </c>
      <c r="Z99" s="115" t="s">
        <v>2153</v>
      </c>
      <c r="AA99" s="15" t="s">
        <v>1426</v>
      </c>
      <c r="AB99" s="15" t="s">
        <v>2156</v>
      </c>
      <c r="AR99" s="28" t="b">
        <f t="shared" si="416"/>
        <v>1</v>
      </c>
      <c r="AS99" s="29" t="str">
        <f t="shared" si="417"/>
        <v>title: "Convento de San Jose, Granada"</v>
      </c>
      <c r="AT99" s="29" t="str">
        <f t="shared" si="418"/>
        <v>location: {lat: 37.1750625813513, lng: -3.5968725}</v>
      </c>
      <c r="AU99" s="29" t="str">
        <f t="shared" si="419"/>
        <v>level: local</v>
      </c>
      <c r="AV99" s="29" t="str">
        <f>"- "&amp;VLOOKUP(B99,'(Ref) Countries'!A:C,3,)</f>
        <v>- spain</v>
      </c>
      <c r="AW99" s="29" t="str">
        <f t="shared" si="420"/>
        <v>- granada</v>
      </c>
      <c r="AX99" s="29" t="str">
        <f t="shared" si="421"/>
        <v>- churches</v>
      </c>
      <c r="AY99" s="29" t="str">
        <f t="shared" si="422"/>
        <v/>
      </c>
      <c r="AZ99" s="29" t="str">
        <f t="shared" si="423"/>
        <v>- holy-persons</v>
      </c>
      <c r="BA99" s="29" t="str">
        <f t="shared" si="424"/>
        <v>- teresa-avila</v>
      </c>
      <c r="BB99" s="29" t="str">
        <f t="shared" si="425"/>
        <v>- discalced-carmelites</v>
      </c>
      <c r="BC99" s="29" t="str">
        <f t="shared" si="426"/>
        <v>- communities</v>
      </c>
      <c r="BD99" s="29" t="str">
        <f t="shared" si="427"/>
        <v>- john-cross</v>
      </c>
      <c r="BE99" s="29" t="str">
        <f t="shared" si="428"/>
        <v/>
      </c>
      <c r="BF99" s="29" t="str">
        <f t="shared" si="429"/>
        <v/>
      </c>
      <c r="BG99" s="29" t="str">
        <f t="shared" si="430"/>
        <v/>
      </c>
      <c r="BH99" s="29" t="str">
        <f t="shared" si="431"/>
        <v/>
      </c>
      <c r="BI99" s="29" t="str">
        <f t="shared" si="432"/>
        <v/>
      </c>
      <c r="BJ99" s="29" t="str">
        <f t="shared" si="433"/>
        <v/>
      </c>
      <c r="BK99" s="29" t="str">
        <f t="shared" si="434"/>
        <v xml:space="preserve">tags:
- spain_x000D_
- granada_x000D_
- churches_x000D_
- holy-persons_x000D_
- teresa-avila_x000D_
- discalced-carmelites_x000D_
- communities_x000D_
- john-cross_x000D_
</v>
      </c>
      <c r="BL99" s="29" t="str">
        <f t="shared" si="435"/>
        <v>[Official site](http://www.carmelitasdescalzasgranada.es/) (note: website not active at time of writing)</v>
      </c>
      <c r="BM99" s="29" t="str">
        <f t="shared" si="436"/>
        <v>[Information from the Federacion Virgen del Carmen](https://federacionvirgendelcarmen.wordpress.com/conventos/convento-de-san-jose-granada/)</v>
      </c>
      <c r="BN99" s="29" t="str">
        <f t="shared" si="437"/>
        <v/>
      </c>
      <c r="BO99" s="29" t="str">
        <f t="shared" si="438"/>
        <v/>
      </c>
      <c r="BP99" s="29" t="str">
        <f t="shared" si="439"/>
        <v xml:space="preserve">* [Official site](http://www.carmelitasdescalzasgranada.es/) (note: website not active at time of writing)
* [Information from the Federacion Virgen del Carmen](https://federacionvirgendelcarmen.wordpress.com/conventos/convento-de-san-jose-granada/)
</v>
      </c>
      <c r="BQ99" s="29" t="str">
        <f t="shared" si="440"/>
        <v/>
      </c>
      <c r="BR99" s="29" t="str">
        <f t="shared" si="441"/>
        <v/>
      </c>
      <c r="BS99" s="29" t="str">
        <f t="shared" si="442"/>
        <v/>
      </c>
      <c r="BT99" s="29" t="str">
        <f>IF(LEN(concat(BQ99:BS99))&gt;0,concat("| ",BQ99," | ",BR99," | ",BS99," |"),"")</f>
        <v/>
      </c>
      <c r="BU99" s="29" t="str">
        <f t="shared" si="443"/>
        <v/>
      </c>
      <c r="BV99" s="29" t="str">
        <f>IF(LEN(BP99&amp;BU99)&gt;0,concatll("#### More Information",BP99,BU99),"")</f>
        <v xml:space="preserve">#### More Information_x000D_
_x000D_
* [Official site](http://www.carmelitasdescalzasgranada.es/) (note: website not active at time of writing)
* [Information from the Federacion Virgen del Carmen](https://federacionvirgendelcarmen.wordpress.com/conventos/convento-de-san-jose-granada/)
_x000D_
_x000D_
</v>
      </c>
      <c r="BW99" s="29" t="str">
        <f>IF(LEN(M99)&gt;1,concatll("#### Author's Note",M99),"")</f>
        <v/>
      </c>
      <c r="BX99" s="23" t="str">
        <f>IF(AR99,concatll(concatl("---",AS99:AU99,BK99,"---"),L99,BV99:BW99),"")</f>
        <v xml:space="preserve">---_x000D_
title: "Convento de San Jose, Granada"_x000D_
location: {lat: 37.1750625813513, lng: -3.5968725}_x000D_
level: local_x000D_
tags:
- spain_x000D_
- granada_x000D_
- churches_x000D_
- holy-persons_x000D_
- teresa-avila_x000D_
- discalced-carmelites_x000D_
- communities_x000D_
- john-cross_x000D_
_x000D_
---_x000D_
_x000D_
_x000D_
The sixteenth of 17 communities founded by St. Teresa of Avila, in 1582.  Co-founded with St. John of the Cross._x000D_
_x000D_
#### More Information_x000D_
_x000D_
* [Official site](http://www.carmelitasdescalzasgranada.es/) (note: website not active at time of writing)
* [Information from the Federacion Virgen del Carmen](https://federacionvirgendelcarmen.wordpress.com/conventos/convento-de-san-jose-granada/)
_x000D_
_x000D_
_x000D_
_x000D_
</v>
      </c>
      <c r="BY99" s="31" t="str">
        <f>IF(AR99,VLOOKUP(B99,'(Ref) Countries'!A:B,2,)&amp;IF(LEN(C99)&gt;1,"-"&amp;LOWER(SUBSTITUTE(C99," ","-")),"")&amp;"-"&amp;LOWER(SUBSTITUTE(G99," ","-"))&amp;".md","")</f>
        <v>es-granada-convento-de-san-jose.md</v>
      </c>
      <c r="BZ99" s="29" t="str">
        <f>IF(LEN(Y99)&gt;1,VLOOKUP(Y99,'Tag List'!$A:$B,2,),"")</f>
        <v>St. Teresa of Avila, OCD</v>
      </c>
      <c r="CA99" s="29" t="str">
        <f>IF(LEN(Z99)&gt;1,VLOOKUP(Z99,'Tag List'!$A:$B,2,),"")</f>
        <v>Discalced Carmelites (Order of Discalced Carmelites)</v>
      </c>
      <c r="CB99" s="29" t="str">
        <f>IF(LEN(AA99)&gt;1,VLOOKUP(AA99,'Tag List'!$A:$B,2,),"")</f>
        <v>Religious Communities</v>
      </c>
      <c r="CC99" s="29" t="str">
        <f>IF(LEN(Y99)&gt;1,GetTagPage(BZ99,Y99),"")</f>
        <v>[St. Teresa of Avila, OCD](/tags/teresa-avila)</v>
      </c>
      <c r="CD99" s="29" t="str">
        <f>IF(LEN(Z99)&gt;1,GetTagPage(CA99,Z99),"")</f>
        <v>[Discalced Carmelites (Order of Discalced Carmelites)](/tags/discalced-carmelites)</v>
      </c>
      <c r="CE99" s="29" t="str">
        <f>IF(LEN(AA99)&gt;1,GetTagPage(CB99,AA99),"")</f>
        <v>[Religious Communities](/tags/communities)</v>
      </c>
      <c r="CF99" s="29" t="str">
        <f t="shared" si="444"/>
        <v xml:space="preserve">| [St. Teresa of Avila, OCD](/tags/teresa-avila), [Discalced Carmelites (Order of Discalced Carmelites)](/tags/discalced-carmelites), [Religious Communities](/tags/communities) </v>
      </c>
      <c r="CG99" s="29" t="str">
        <f t="shared" si="445"/>
        <v xml:space="preserve">| [](/places/es-granada-convento-de-san-jose) </v>
      </c>
      <c r="CH99" s="29" t="str">
        <f>"| "&amp;IF(AR99,GetTagPage(B99,VLOOKUP(B99,'(Ref) Countries'!A:C,3,)),B99)&amp; " "</f>
        <v xml:space="preserve">| [Spain](/tags/spain) </v>
      </c>
      <c r="CI99" s="29" t="str">
        <f t="shared" si="446"/>
        <v xml:space="preserve">|  </v>
      </c>
      <c r="CJ99" s="29" t="str">
        <f t="shared" si="447"/>
        <v xml:space="preserve">| [Link](/places/es-granada-convento-de-san-jose) </v>
      </c>
      <c r="CK99" s="29" t="str">
        <f t="shared" si="448"/>
        <v xml:space="preserve">
| [](/places/es-granada-convento-de-san-jose) | [Spain](/tags/spain) |  | [Link](/places/es-granada-convento-de-san-jose) [Official site](http://www.carmelitasdescalzasgranada.es/) (note: website not active at time of writing)| [St. Teresa of Avila, OCD](/tags/teresa-avila), [Discalced Carmelites (Order of Discalced Carmelites)](/tags/discalced-carmelites), [Religious Communities](/tags/communities) |</v>
      </c>
    </row>
    <row r="100" spans="1:89" ht="51" x14ac:dyDescent="0.25">
      <c r="A100" s="14" t="s">
        <v>1322</v>
      </c>
      <c r="B100" s="24" t="s">
        <v>552</v>
      </c>
      <c r="C100" s="115" t="s">
        <v>2251</v>
      </c>
      <c r="D100" s="15">
        <v>42.340120675583002</v>
      </c>
      <c r="E100" s="49">
        <v>-3.6942737000000001</v>
      </c>
      <c r="F100" s="114" t="s">
        <v>2252</v>
      </c>
      <c r="G100" s="53" t="s">
        <v>2252</v>
      </c>
      <c r="H100" s="15" t="s">
        <v>1835</v>
      </c>
      <c r="I100" s="15" t="b">
        <v>1</v>
      </c>
      <c r="K100" s="15" t="b">
        <v>1</v>
      </c>
      <c r="L100" s="114" t="s">
        <v>2253</v>
      </c>
      <c r="M100" s="116" t="s">
        <v>2254</v>
      </c>
      <c r="P100" s="119" t="s">
        <v>2256</v>
      </c>
      <c r="Q100" s="15" t="s">
        <v>2255</v>
      </c>
      <c r="R100" s="64" t="s">
        <v>1826</v>
      </c>
      <c r="S100" s="122" t="s">
        <v>336</v>
      </c>
      <c r="Y100" s="15" t="s">
        <v>2157</v>
      </c>
      <c r="Z100" s="15" t="s">
        <v>2153</v>
      </c>
      <c r="AA100" s="15" t="s">
        <v>1426</v>
      </c>
      <c r="AR100" s="28" t="b">
        <f t="shared" si="416"/>
        <v>1</v>
      </c>
      <c r="AS100" s="29" t="str">
        <f t="shared" si="417"/>
        <v>title: "Convento de San Jose y Santa Ana"</v>
      </c>
      <c r="AT100" s="29" t="str">
        <f t="shared" si="418"/>
        <v>location: {lat: 42.340120675583, lng: -3.6942737}</v>
      </c>
      <c r="AU100" s="29" t="str">
        <f t="shared" si="419"/>
        <v>level: local</v>
      </c>
      <c r="AV100" s="29" t="str">
        <f>"- "&amp;VLOOKUP(B100,'(Ref) Countries'!A:C,3,)</f>
        <v>- spain</v>
      </c>
      <c r="AW100" s="29" t="str">
        <f t="shared" si="420"/>
        <v>- burgos</v>
      </c>
      <c r="AX100" s="29" t="str">
        <f t="shared" si="421"/>
        <v>- churches</v>
      </c>
      <c r="AY100" s="29" t="str">
        <f t="shared" si="422"/>
        <v/>
      </c>
      <c r="AZ100" s="29" t="str">
        <f t="shared" si="423"/>
        <v>- holy-persons</v>
      </c>
      <c r="BA100" s="29" t="str">
        <f t="shared" si="424"/>
        <v>- teresa-avila</v>
      </c>
      <c r="BB100" s="29" t="str">
        <f t="shared" si="425"/>
        <v>- discalced-carmelites</v>
      </c>
      <c r="BC100" s="29" t="str">
        <f t="shared" si="426"/>
        <v>- communities</v>
      </c>
      <c r="BD100" s="29" t="str">
        <f t="shared" si="427"/>
        <v/>
      </c>
      <c r="BE100" s="29" t="str">
        <f t="shared" si="428"/>
        <v/>
      </c>
      <c r="BF100" s="29" t="str">
        <f t="shared" si="429"/>
        <v/>
      </c>
      <c r="BG100" s="29" t="str">
        <f t="shared" si="430"/>
        <v/>
      </c>
      <c r="BH100" s="29" t="str">
        <f t="shared" si="431"/>
        <v/>
      </c>
      <c r="BI100" s="29" t="str">
        <f t="shared" si="432"/>
        <v/>
      </c>
      <c r="BJ100" s="29" t="str">
        <f t="shared" si="433"/>
        <v/>
      </c>
      <c r="BK100" s="29" t="str">
        <f t="shared" si="434"/>
        <v xml:space="preserve">tags:
- spain_x000D_
- burgos_x000D_
- churches_x000D_
- holy-persons_x000D_
- teresa-avila_x000D_
- discalced-carmelites_x000D_
- communities_x000D_
</v>
      </c>
      <c r="BL100" s="29" t="str">
        <f t="shared" si="435"/>
        <v/>
      </c>
      <c r="BM100" s="29" t="str">
        <f t="shared" si="436"/>
        <v>[Burgos tourism site](https://turismo.aytoburgos.es/cultura-y-patrimonio1/-/asset_publisher/PMC541iCzJ73/content/convento-de-san-jos%25C3%25A9-y-santa-ana) (note: website not active at time of writing)</v>
      </c>
      <c r="BN100" s="29" t="str">
        <f t="shared" si="437"/>
        <v/>
      </c>
      <c r="BO100" s="29" t="str">
        <f t="shared" si="438"/>
        <v/>
      </c>
      <c r="BP100" s="29" t="str">
        <f t="shared" si="439"/>
        <v xml:space="preserve">* [Burgos tourism site](https://turismo.aytoburgos.es/cultura-y-patrimonio1/-/asset_publisher/PMC541iCzJ73/content/convento-de-san-jos%25C3%25A9-y-santa-ana) (note: website not active at time of writing)
</v>
      </c>
      <c r="BQ100" s="29" t="str">
        <f t="shared" si="440"/>
        <v/>
      </c>
      <c r="BR100" s="29" t="str">
        <f t="shared" si="441"/>
        <v/>
      </c>
      <c r="BS100" s="29" t="str">
        <f t="shared" si="442"/>
        <v/>
      </c>
      <c r="BT100" s="29" t="str">
        <f>IF(LEN(concat(BQ100:BS100))&gt;0,concat("| ",BQ100," | ",BR100," | ",BS100," |"),"")</f>
        <v/>
      </c>
      <c r="BU100" s="29" t="str">
        <f t="shared" si="443"/>
        <v/>
      </c>
      <c r="BV100" s="29" t="str">
        <f>IF(LEN(BP100&amp;BU100)&gt;0,concatll("#### More Information",BP100,BU100),"")</f>
        <v xml:space="preserve">#### More Information_x000D_
_x000D_
* [Burgos tourism site](https://turismo.aytoburgos.es/cultura-y-patrimonio1/-/asset_publisher/PMC541iCzJ73/content/convento-de-san-jos%25C3%25A9-y-santa-ana) (note: website not active at time of writing)
_x000D_
_x000D_
</v>
      </c>
      <c r="BW100" s="29" t="str">
        <f>IF(LEN(M100)&gt;1,concatll("#### Author's Note",M100),"")</f>
        <v xml:space="preserve">#### Author's Note_x000D_
_x000D_
Many of the websites associated with this site were not working at time of writing.
-JMM_x000D_
_x000D_
</v>
      </c>
      <c r="BX100" s="23" t="str">
        <f>IF(AR100,concatll(concatl("---",AS100:AU100,BK100,"---"),L100,BV100:BW100),"")</f>
        <v xml:space="preserve">---_x000D_
title: "Convento de San Jose y Santa Ana"_x000D_
location: {lat: 42.340120675583, lng: -3.6942737}_x000D_
level: local_x000D_
tags:
- spain_x000D_
- burgos_x000D_
- churches_x000D_
- holy-persons_x000D_
- teresa-avila_x000D_
- discalced-carmelites_x000D_
- communities_x000D_
_x000D_
---_x000D_
_x000D_
_x000D_
The last of 17 communities founded by St. Teresa of Avila, in 1582._x000D_
_x000D_
#### More Information_x000D_
_x000D_
* [Burgos tourism site](https://turismo.aytoburgos.es/cultura-y-patrimonio1/-/asset_publisher/PMC541iCzJ73/content/convento-de-san-jos%25C3%25A9-y-santa-ana) (note: website not active at time of writing)
_x000D_
_x000D_
_x000D_
_x000D_
#### Author's Note_x000D_
_x000D_
Many of the websites associated with this site were not working at time of writing.
-JMM_x000D_
_x000D_
_x000D_
_x000D_
</v>
      </c>
      <c r="BY100" s="31" t="str">
        <f>IF(AR100,VLOOKUP(B100,'(Ref) Countries'!A:B,2,)&amp;IF(LEN(C100)&gt;1,"-"&amp;LOWER(SUBSTITUTE(C100," ","-")),"")&amp;"-"&amp;LOWER(SUBSTITUTE(G100," ","-"))&amp;".md","")</f>
        <v>es-burgos-convento-de-san-jose-y-santa-ana.md</v>
      </c>
      <c r="BZ100" s="29" t="str">
        <f>IF(LEN(Y100)&gt;1,VLOOKUP(Y100,'Tag List'!$A:$B,2,),"")</f>
        <v>St. Teresa of Avila, OCD</v>
      </c>
      <c r="CA100" s="29" t="str">
        <f>IF(LEN(Z100)&gt;1,VLOOKUP(Z100,'Tag List'!$A:$B,2,),"")</f>
        <v>Discalced Carmelites (Order of Discalced Carmelites)</v>
      </c>
      <c r="CB100" s="29" t="str">
        <f>IF(LEN(AA100)&gt;1,VLOOKUP(AA100,'Tag List'!$A:$B,2,),"")</f>
        <v>Religious Communities</v>
      </c>
      <c r="CC100" s="29" t="str">
        <f>IF(LEN(Y100)&gt;1,GetTagPage(BZ100,Y100),"")</f>
        <v>[St. Teresa of Avila, OCD](/tags/teresa-avila)</v>
      </c>
      <c r="CD100" s="29" t="str">
        <f>IF(LEN(Z100)&gt;1,GetTagPage(CA100,Z100),"")</f>
        <v>[Discalced Carmelites (Order of Discalced Carmelites)](/tags/discalced-carmelites)</v>
      </c>
      <c r="CE100" s="29" t="str">
        <f>IF(LEN(AA100)&gt;1,GetTagPage(CB100,AA100),"")</f>
        <v>[Religious Communities](/tags/communities)</v>
      </c>
      <c r="CF100" s="29" t="str">
        <f t="shared" si="444"/>
        <v xml:space="preserve">| [St. Teresa of Avila, OCD](/tags/teresa-avila), [Discalced Carmelites (Order of Discalced Carmelites)](/tags/discalced-carmelites), [Religious Communities](/tags/communities) </v>
      </c>
      <c r="CG100" s="29" t="str">
        <f t="shared" si="445"/>
        <v xml:space="preserve">| [](/places/es-burgos-convento-de-san-jose-y-santa-ana) </v>
      </c>
      <c r="CH100" s="29" t="str">
        <f>"| "&amp;IF(AR100,GetTagPage(B100,VLOOKUP(B100,'(Ref) Countries'!A:C,3,)),B100)&amp; " "</f>
        <v xml:space="preserve">| [Spain](/tags/spain) </v>
      </c>
      <c r="CI100" s="29" t="str">
        <f t="shared" si="446"/>
        <v xml:space="preserve">|  </v>
      </c>
      <c r="CJ100" s="29" t="str">
        <f t="shared" si="447"/>
        <v xml:space="preserve">| [Link](/places/es-burgos-convento-de-san-jose-y-santa-ana) </v>
      </c>
      <c r="CK100" s="29" t="str">
        <f t="shared" si="448"/>
        <v xml:space="preserve">
| [](/places/es-burgos-convento-de-san-jose-y-santa-ana) | [Spain](/tags/spain) |  | [Link](/places/es-burgos-convento-de-san-jose-y-santa-ana) | [St. Teresa of Avila, OCD](/tags/teresa-avila), [Discalced Carmelites (Order of Discalced Carmelites)](/tags/discalced-carmelites), [Religious Communities](/tags/communities) |</v>
      </c>
    </row>
    <row r="101" spans="1:89" ht="38.25" x14ac:dyDescent="0.25">
      <c r="A101" s="14" t="s">
        <v>1322</v>
      </c>
      <c r="B101" s="24" t="s">
        <v>552</v>
      </c>
      <c r="C101" s="115" t="s">
        <v>2149</v>
      </c>
      <c r="D101" s="15">
        <v>40.655737633857697</v>
      </c>
      <c r="E101" s="49">
        <v>-4.69703687109845</v>
      </c>
      <c r="F101" s="114" t="s">
        <v>2259</v>
      </c>
      <c r="G101" s="116" t="s">
        <v>1838</v>
      </c>
      <c r="H101" s="15" t="s">
        <v>1767</v>
      </c>
      <c r="I101" s="15" t="b">
        <v>1</v>
      </c>
      <c r="L101" s="114" t="s">
        <v>2258</v>
      </c>
      <c r="N101" s="15" t="s">
        <v>2257</v>
      </c>
      <c r="O101" s="117" t="s">
        <v>336</v>
      </c>
      <c r="R101" s="64" t="s">
        <v>336</v>
      </c>
      <c r="AR101" s="28" t="b">
        <f t="shared" si="416"/>
        <v>1</v>
      </c>
      <c r="AS101" s="29" t="str">
        <f t="shared" si="417"/>
        <v>title: "Avila Cathedral (Catedral del Salvador)"</v>
      </c>
      <c r="AT101" s="29" t="str">
        <f t="shared" si="418"/>
        <v>location: {lat: 40.6557376338577, lng: -4.69703687109845}</v>
      </c>
      <c r="AU101" s="29" t="str">
        <f t="shared" si="419"/>
        <v>level: regional</v>
      </c>
      <c r="AV101" s="29" t="str">
        <f>"- "&amp;VLOOKUP(B101,'(Ref) Countries'!A:C,3,)</f>
        <v>- spain</v>
      </c>
      <c r="AW101" s="29" t="str">
        <f t="shared" si="420"/>
        <v>- avila</v>
      </c>
      <c r="AX101" s="29" t="str">
        <f t="shared" si="421"/>
        <v>- churches</v>
      </c>
      <c r="AY101" s="29" t="str">
        <f t="shared" si="422"/>
        <v/>
      </c>
      <c r="AZ101" s="29" t="str">
        <f t="shared" si="423"/>
        <v/>
      </c>
      <c r="BA101" s="29" t="str">
        <f t="shared" si="424"/>
        <v/>
      </c>
      <c r="BB101" s="29" t="str">
        <f t="shared" si="425"/>
        <v/>
      </c>
      <c r="BC101" s="29" t="str">
        <f t="shared" si="426"/>
        <v/>
      </c>
      <c r="BD101" s="29" t="str">
        <f t="shared" si="427"/>
        <v/>
      </c>
      <c r="BE101" s="29" t="str">
        <f t="shared" si="428"/>
        <v/>
      </c>
      <c r="BF101" s="29" t="str">
        <f t="shared" si="429"/>
        <v/>
      </c>
      <c r="BG101" s="29" t="str">
        <f t="shared" si="430"/>
        <v/>
      </c>
      <c r="BH101" s="29" t="str">
        <f t="shared" si="431"/>
        <v/>
      </c>
      <c r="BI101" s="29" t="str">
        <f t="shared" si="432"/>
        <v/>
      </c>
      <c r="BJ101" s="29" t="str">
        <f t="shared" si="433"/>
        <v/>
      </c>
      <c r="BK101" s="29" t="str">
        <f t="shared" si="434"/>
        <v xml:space="preserve">tags:
- spain_x000D_
- avila_x000D_
- churches_x000D_
</v>
      </c>
      <c r="BL101" s="29" t="str">
        <f t="shared" si="435"/>
        <v>[Official site](https://catedralavila.es/)</v>
      </c>
      <c r="BM101" s="29" t="str">
        <f t="shared" si="436"/>
        <v/>
      </c>
      <c r="BN101" s="29" t="str">
        <f t="shared" si="437"/>
        <v/>
      </c>
      <c r="BO101" s="29" t="str">
        <f t="shared" si="438"/>
        <v/>
      </c>
      <c r="BP101" s="29" t="str">
        <f t="shared" si="439"/>
        <v xml:space="preserve">* [Official site](https://catedralavila.es/)
</v>
      </c>
      <c r="BQ101" s="29" t="str">
        <f t="shared" si="440"/>
        <v/>
      </c>
      <c r="BR101" s="29" t="str">
        <f t="shared" si="441"/>
        <v/>
      </c>
      <c r="BS101" s="29" t="str">
        <f t="shared" si="442"/>
        <v/>
      </c>
      <c r="BT101" s="29" t="str">
        <f>IF(LEN(concat(BQ101:BS101))&gt;0,concat("| ",BQ101," | ",BR101," | ",BS101," |"),"")</f>
        <v/>
      </c>
      <c r="BU101" s="29" t="str">
        <f t="shared" si="443"/>
        <v/>
      </c>
      <c r="BV101" s="29" t="str">
        <f>IF(LEN(BP101&amp;BU101)&gt;0,concatll("#### More Information",BP101,BU101),"")</f>
        <v xml:space="preserve">#### More Information_x000D_
_x000D_
* [Official site](https://catedralavila.es/)
_x000D_
_x000D_
</v>
      </c>
      <c r="BW101" s="29" t="str">
        <f>IF(LEN(M101)&gt;1,concatll("#### Author's Note",M101),"")</f>
        <v/>
      </c>
      <c r="BX101" s="23" t="str">
        <f>IF(AR101,concatll(concatl("---",AS101:AU101,BK101,"---"),L101,BV101:BW101),"")</f>
        <v xml:space="preserve">---_x000D_
title: "Avila Cathedral (Catedral del Salvador)"_x000D_
location: {lat: 40.6557376338577, lng: -4.69703687109845}_x000D_
level: regional_x000D_
tags:
- spain_x000D_
- avila_x000D_
- churches_x000D_
_x000D_
---_x000D_
_x000D_
_x000D_
Construction on the cathedral first began in the 12th century and continued up until the 17th century.  As part of the Old Town of Avila, it was inscribed as a UNESCO World Heritage site in 1985._x000D_
_x000D_
#### More Information_x000D_
_x000D_
* [Official site](https://catedralavila.es/)
_x000D_
_x000D_
_x000D_
_x000D_
</v>
      </c>
      <c r="BY101" s="31" t="str">
        <f>IF(AR101,VLOOKUP(B101,'(Ref) Countries'!A:B,2,)&amp;IF(LEN(C101)&gt;1,"-"&amp;LOWER(SUBSTITUTE(C101," ","-")),"")&amp;"-"&amp;LOWER(SUBSTITUTE(G101," ","-"))&amp;".md","")</f>
        <v>es-avila-cathedral.md</v>
      </c>
      <c r="BZ101" s="29" t="str">
        <f>IF(LEN(Y101)&gt;1,VLOOKUP(Y101,'Tag List'!$A:$B,2,),"")</f>
        <v/>
      </c>
      <c r="CA101" s="29" t="str">
        <f>IF(LEN(Z101)&gt;1,VLOOKUP(Z101,'Tag List'!$A:$B,2,),"")</f>
        <v/>
      </c>
      <c r="CB101" s="29" t="str">
        <f>IF(LEN(AA101)&gt;1,VLOOKUP(AA101,'Tag List'!$A:$B,2,),"")</f>
        <v/>
      </c>
      <c r="CC101" s="29" t="str">
        <f>IF(LEN(Y101)&gt;1,GetTagPage(BZ101,Y101),"")</f>
        <v/>
      </c>
      <c r="CD101" s="29" t="str">
        <f>IF(LEN(Z101)&gt;1,GetTagPage(CA101,Z101),"")</f>
        <v/>
      </c>
      <c r="CE101" s="29" t="str">
        <f>IF(LEN(AA101)&gt;1,GetTagPage(CB101,AA101),"")</f>
        <v/>
      </c>
      <c r="CF101" s="29" t="str">
        <f t="shared" si="444"/>
        <v xml:space="preserve">| </v>
      </c>
      <c r="CG101" s="29" t="str">
        <f t="shared" si="445"/>
        <v xml:space="preserve">| [](/places/es-avila-cathedral) </v>
      </c>
      <c r="CH101" s="29" t="str">
        <f>"| "&amp;IF(AR101,GetTagPage(B101,VLOOKUP(B101,'(Ref) Countries'!A:C,3,)),B101)&amp; " "</f>
        <v xml:space="preserve">| [Spain](/tags/spain) </v>
      </c>
      <c r="CI101" s="29" t="str">
        <f t="shared" si="446"/>
        <v xml:space="preserve">|  </v>
      </c>
      <c r="CJ101" s="29" t="str">
        <f t="shared" si="447"/>
        <v xml:space="preserve">| [Link](/places/es-avila-cathedral) </v>
      </c>
      <c r="CK101" s="29" t="str">
        <f t="shared" si="448"/>
        <v xml:space="preserve">
| [](/places/es-avila-cathedral) | [Spain](/tags/spain) |  | [Link](/places/es-avila-cathedral) [Official site](https://catedralavila.es/)| |</v>
      </c>
    </row>
    <row r="102" spans="1:89" ht="38.25" x14ac:dyDescent="0.25">
      <c r="A102" s="14" t="s">
        <v>1322</v>
      </c>
      <c r="B102" s="24" t="s">
        <v>552</v>
      </c>
      <c r="C102" s="15" t="s">
        <v>2149</v>
      </c>
      <c r="D102" s="15">
        <v>40.657935208986103</v>
      </c>
      <c r="E102" s="49">
        <v>-4.6960390893359802</v>
      </c>
      <c r="F102" s="114" t="s">
        <v>2260</v>
      </c>
      <c r="G102" s="116" t="s">
        <v>2261</v>
      </c>
      <c r="H102" s="115" t="s">
        <v>1767</v>
      </c>
      <c r="I102" s="15" t="b">
        <v>1</v>
      </c>
      <c r="K102" s="15" t="b">
        <v>1</v>
      </c>
      <c r="L102" s="114" t="s">
        <v>2262</v>
      </c>
      <c r="N102" s="15" t="s">
        <v>2263</v>
      </c>
      <c r="O102" s="15" t="s">
        <v>336</v>
      </c>
      <c r="R102" s="64" t="s">
        <v>336</v>
      </c>
      <c r="Y102" s="115" t="s">
        <v>2264</v>
      </c>
      <c r="Z102" s="115" t="s">
        <v>2266</v>
      </c>
      <c r="AA102" s="115" t="s">
        <v>2268</v>
      </c>
      <c r="AR102" s="28" t="b">
        <f t="shared" ref="AR102" si="449">IF(OR(A102="Done",A102="In Progress"),TRUE)</f>
        <v>1</v>
      </c>
      <c r="AS102" s="29" t="str">
        <f t="shared" ref="AS102" si="450">"title: """&amp;F102&amp;""""</f>
        <v>title: "Basilica of Sts. Vincent, Sabina and Cristeta (San Vicente de Avila)"</v>
      </c>
      <c r="AT102" s="29" t="str">
        <f t="shared" ref="AT102" si="451">"location: {lat: "&amp;D102&amp;", lng: "&amp;E102&amp;"}"</f>
        <v>location: {lat: 40.6579352089861, lng: -4.69603908933598}</v>
      </c>
      <c r="AU102" s="29" t="str">
        <f t="shared" ref="AU102" si="452">"level: "&amp;H102</f>
        <v>level: regional</v>
      </c>
      <c r="AV102" s="29" t="str">
        <f>"- "&amp;VLOOKUP(B102,'(Ref) Countries'!A:C,3,)</f>
        <v>- spain</v>
      </c>
      <c r="AW102" s="29" t="str">
        <f t="shared" ref="AW102" si="453">IF(LEN(C102)&gt;1,"- "&amp;LOWER(SUBSTITUTE(C102," ","-")),"")</f>
        <v>- avila</v>
      </c>
      <c r="AX102" s="29" t="str">
        <f t="shared" ref="AX102" si="454">IF(I102,"- churches","")</f>
        <v>- churches</v>
      </c>
      <c r="AY102" s="29" t="str">
        <f t="shared" ref="AY102" si="455">IF(J102,"- marian-sites","")</f>
        <v/>
      </c>
      <c r="AZ102" s="29" t="str">
        <f t="shared" ref="AZ102" si="456">IF(K102,"- holy-persons","")</f>
        <v>- holy-persons</v>
      </c>
      <c r="BA102" s="29" t="str">
        <f t="shared" ref="BA102" si="457">IF(LEN(Y102)&gt;0,"- "&amp;Y102,"")</f>
        <v>- vincent</v>
      </c>
      <c r="BB102" s="29" t="str">
        <f t="shared" ref="BB102" si="458">IF(LEN(Z102)&gt;0,"- "&amp;Z102,"")</f>
        <v>- sabina</v>
      </c>
      <c r="BC102" s="29" t="str">
        <f t="shared" ref="BC102" si="459">IF(LEN(AA102)&gt;0,"- "&amp;AA102,"")</f>
        <v>- cristeta</v>
      </c>
      <c r="BD102" s="29" t="str">
        <f t="shared" ref="BD102" si="460">IF(LEN(AB102)&gt;0,"- "&amp;AB102,"")</f>
        <v/>
      </c>
      <c r="BE102" s="29" t="str">
        <f t="shared" ref="BE102" si="461">IF(LEN(AC102)&gt;0,"- "&amp;AC102,"")</f>
        <v/>
      </c>
      <c r="BF102" s="29" t="str">
        <f t="shared" ref="BF102" si="462">IF(LEN(AD102)&gt;0,"- "&amp;AD102,"")</f>
        <v/>
      </c>
      <c r="BG102" s="29" t="str">
        <f t="shared" ref="BG102" si="463">IF(LEN(AE102)&gt;0,"- "&amp;AE102,"")</f>
        <v/>
      </c>
      <c r="BH102" s="29" t="str">
        <f t="shared" ref="BH102" si="464">IF(LEN(AF102)&gt;0,"- "&amp;AF102,"")</f>
        <v/>
      </c>
      <c r="BI102" s="29" t="str">
        <f t="shared" ref="BI102" si="465">IF(LEN(AG102)&gt;0,"- "&amp;AG102,"")</f>
        <v/>
      </c>
      <c r="BJ102" s="29" t="str">
        <f t="shared" ref="BJ102" si="466">IF(LEN(AH102)&gt;0,"- "&amp;AH102,"")</f>
        <v/>
      </c>
      <c r="BK102" s="29" t="str">
        <f t="shared" ref="BK102" si="467">"tags:"&amp;CHAR(10)&amp;concatl(AV102:BJ102)</f>
        <v xml:space="preserve">tags:
- spain_x000D_
- avila_x000D_
- churches_x000D_
- holy-persons_x000D_
- vincent_x000D_
- sabina_x000D_
- cristeta_x000D_
</v>
      </c>
      <c r="BL102" s="29" t="str">
        <f t="shared" ref="BL102" si="468">IF(LEN(N102)&gt;0,TRIM(CONCATENATE("[Official site](",N102,") ",O102)),"")</f>
        <v>[Official site](https://basilicasanvicente.es/)</v>
      </c>
      <c r="BM102" s="29" t="str">
        <f t="shared" ref="BM102" si="469">IF(LEN(Q102)&gt;0,TRIM(CONCATENATE("["&amp;P102&amp;"](",Q102,") ",R102)),"")</f>
        <v/>
      </c>
      <c r="BN102" s="29" t="str">
        <f t="shared" ref="BN102" si="470">IF(LEN(T102)&gt;0,TRIM(CONCATENATE("["&amp;S102&amp;"](",T102,") ",U102)),"")</f>
        <v/>
      </c>
      <c r="BO102" s="29" t="str">
        <f t="shared" ref="BO102" si="471">IF(LEN(W102)&gt;0,TRIM(CONCATENATE("["&amp;V102&amp;"](",W102,") ",X102)),"")</f>
        <v/>
      </c>
      <c r="BP102" s="29" t="str">
        <f t="shared" ref="BP102" si="472">IF(LEN(BL102)&gt;0,"* "&amp;BL102&amp;CHAR(10),"")&amp;
IF(LEN(BM102)&gt;0,"* "&amp;BM102&amp;CHAR(10),"")&amp;
IF(LEN(BN102)&gt;0,"* "&amp;BN102&amp;CHAR(10),"")&amp;
IF(LEN(BO102)&gt;0,"* "&amp;BO102&amp;CHAR(10),"")</f>
        <v xml:space="preserve">* [Official site](https://basilicasanvicente.es/)
</v>
      </c>
      <c r="BQ102" s="29" t="str">
        <f t="shared" ref="BQ102" si="473">IF(LEN(AK102)&gt;0,TRIM(CONCATENATE("[Link](",AK102,") ",AL102)),"")</f>
        <v/>
      </c>
      <c r="BR102" s="29" t="str">
        <f t="shared" ref="BR102" si="474">IF(LEN(AM102)&gt;0,TRIM(CONCATENATE("[Link](",AM102,") ",AN102)),"")</f>
        <v/>
      </c>
      <c r="BS102" s="29" t="str">
        <f t="shared" ref="BS102" si="475">IF(LEN(AO102)&gt;0,TRIM(CONCATENATE("[Link](",AO102,") ",AP102)),"")</f>
        <v/>
      </c>
      <c r="BT102" s="29" t="str">
        <f>IF(LEN(concat(BQ102:BS102))&gt;0,concat("| ",BQ102," | ",BR102," | ",BS102," |"),"")</f>
        <v/>
      </c>
      <c r="BU102" s="29" t="str">
        <f t="shared" ref="BU102" si="476">IF(J102,concatl("| The Real Presence | Miracle Hunter | MaryPages |","| --- | --- | --- |",BT102),"")</f>
        <v/>
      </c>
      <c r="BV102" s="29" t="str">
        <f>IF(LEN(BP102&amp;BU102)&gt;0,concatll("#### More Information",BP102,BU102),"")</f>
        <v xml:space="preserve">#### More Information_x000D_
_x000D_
* [Official site](https://basilicasanvicente.es/)
_x000D_
_x000D_
</v>
      </c>
      <c r="BW102" s="29" t="str">
        <f>IF(LEN(M102)&gt;1,concatll("#### Author's Note",M102),"")</f>
        <v/>
      </c>
      <c r="BX102" s="23" t="str">
        <f>IF(AR102,concatll(concatl("---",AS102:AU102,BK102,"---"),L102,BV102:BW102),"")</f>
        <v xml:space="preserve">---_x000D_
title: "Basilica of Sts. Vincent, Sabina and Cristeta (San Vicente de Avila)"_x000D_
location: {lat: 40.6579352089861, lng: -4.69603908933598}_x000D_
level: regional_x000D_
tags:
- spain_x000D_
- avila_x000D_
- churches_x000D_
- holy-persons_x000D_
- vincent_x000D_
- sabina_x000D_
- cristeta_x000D_
_x000D_
---_x000D_
_x000D_
_x000D_
This basilica is built on traditional burial site of Saint Vincent, a young deacon martyred for his faith in the 4th century under the reign of Diocletian.  The church houses his relics and those of fellow martyrs Sts. Sabina and Cristeta._x000D_
_x000D_
#### More Information_x000D_
_x000D_
* [Official site](https://basilicasanvicente.es/)
_x000D_
_x000D_
_x000D_
_x000D_
</v>
      </c>
      <c r="BY102" s="31" t="str">
        <f>IF(AR102,VLOOKUP(B102,'(Ref) Countries'!A:B,2,)&amp;IF(LEN(C102)&gt;1,"-"&amp;LOWER(SUBSTITUTE(C102," ","-")),"")&amp;"-"&amp;LOWER(SUBSTITUTE(G102," ","-"))&amp;".md","")</f>
        <v>es-avila-san-vincente.md</v>
      </c>
      <c r="BZ102" s="29" t="str">
        <f>IF(LEN(Y102)&gt;1,VLOOKUP(Y102,'Tag List'!$A:$B,2,),"")</f>
        <v>St. Vincent</v>
      </c>
      <c r="CA102" s="29" t="str">
        <f>IF(LEN(Z102)&gt;1,VLOOKUP(Z102,'Tag List'!$A:$B,2,),"")</f>
        <v>St. Sabina</v>
      </c>
      <c r="CB102" s="29" t="str">
        <f>IF(LEN(AA102)&gt;1,VLOOKUP(AA102,'Tag List'!$A:$B,2,),"")</f>
        <v>St. Cristeta</v>
      </c>
      <c r="CC102" s="29" t="str">
        <f>IF(LEN(Y102)&gt;1,GetTagPage(BZ102,Y102),"")</f>
        <v>[St. Vincent](/tags/vincent)</v>
      </c>
      <c r="CD102" s="29" t="str">
        <f>IF(LEN(Z102)&gt;1,GetTagPage(CA102,Z102),"")</f>
        <v>[St. Sabina](/tags/sabina)</v>
      </c>
      <c r="CE102" s="29" t="str">
        <f>IF(LEN(AA102)&gt;1,GetTagPage(CB102,AA102),"")</f>
        <v>[St. Cristeta](/tags/cristeta)</v>
      </c>
      <c r="CF102" s="29" t="str">
        <f t="shared" ref="CF102" si="477">"|"&amp;IF(LEN(CC102)&gt;1," "&amp;CC102,"")&amp;IF(LEN(CD102)&gt;1,", "&amp;CD102,"")&amp;IF(LEN(CE102)&gt;1,", "&amp;CE102,"")&amp;" "</f>
        <v xml:space="preserve">| [St. Vincent](/tags/vincent), [St. Sabina](/tags/sabina), [St. Cristeta](/tags/cristeta) </v>
      </c>
      <c r="CG102" s="29" t="str">
        <f t="shared" ref="CG102" si="478">"| "&amp;IF(AR102,"["&amp;AI102&amp;"](/places/"&amp;SUBSTITUTE(BY102,".md","")&amp;")",AI102)&amp;" "</f>
        <v xml:space="preserve">| [](/places/es-avila-san-vincente) </v>
      </c>
      <c r="CH102" s="29" t="str">
        <f>"| "&amp;IF(AR102,GetTagPage(B102,VLOOKUP(B102,'(Ref) Countries'!A:C,3,)),B102)&amp; " "</f>
        <v xml:space="preserve">| [Spain](/tags/spain) </v>
      </c>
      <c r="CI102" s="29" t="str">
        <f t="shared" ref="CI102" si="479">"| "&amp;AJ102&amp;" "</f>
        <v xml:space="preserve">|  </v>
      </c>
      <c r="CJ102" s="29" t="str">
        <f t="shared" ref="CJ102" si="480">"|"&amp;IF(AR102," [Link](/places/"&amp;SUBSTITUTE(BY102,".md","")&amp;")","")&amp;" "</f>
        <v xml:space="preserve">| [Link](/places/es-avila-san-vincente) </v>
      </c>
      <c r="CK102" s="29" t="str">
        <f t="shared" ref="CK102" si="481">"
"&amp;CG102&amp;CH102&amp;CI102&amp;CJ102&amp;BL102&amp;BQ102&amp;BR102&amp;BS102&amp;CF102&amp;"|"</f>
        <v xml:space="preserve">
| [](/places/es-avila-san-vincente) | [Spain](/tags/spain) |  | [Link](/places/es-avila-san-vincente) [Official site](https://basilicasanvicente.es/)| [St. Vincent](/tags/vincent), [St. Sabina](/tags/sabina), [St. Cristeta](/tags/cristeta) |</v>
      </c>
    </row>
    <row r="103" spans="1:89" ht="38.25" x14ac:dyDescent="0.25">
      <c r="A103" s="14" t="s">
        <v>1322</v>
      </c>
      <c r="B103" s="24" t="s">
        <v>552</v>
      </c>
      <c r="C103" s="115" t="s">
        <v>2275</v>
      </c>
      <c r="D103" s="15">
        <v>40.834106372070302</v>
      </c>
      <c r="E103" s="49">
        <v>-5.1301381279179701</v>
      </c>
      <c r="F103" s="114" t="s">
        <v>2276</v>
      </c>
      <c r="G103" s="116" t="s">
        <v>2277</v>
      </c>
      <c r="H103" s="115" t="s">
        <v>1835</v>
      </c>
      <c r="I103" s="15" t="b">
        <v>1</v>
      </c>
      <c r="K103" s="15" t="b">
        <v>1</v>
      </c>
      <c r="L103" s="114" t="s">
        <v>2278</v>
      </c>
      <c r="O103" s="15" t="s">
        <v>336</v>
      </c>
      <c r="R103" s="64" t="s">
        <v>336</v>
      </c>
      <c r="Y103" s="115" t="s">
        <v>2157</v>
      </c>
      <c r="Z103" s="115" t="s">
        <v>2153</v>
      </c>
      <c r="AA103" s="15" t="s">
        <v>2156</v>
      </c>
      <c r="AR103" s="28" t="b">
        <f t="shared" ref="AR103" si="482">IF(OR(A103="Done",A103="In Progress"),TRUE)</f>
        <v>1</v>
      </c>
      <c r="AS103" s="29" t="str">
        <f t="shared" ref="AS103" si="483">"title: """&amp;F103&amp;""""</f>
        <v>title: "Monastery of Duruelo"</v>
      </c>
      <c r="AT103" s="29" t="str">
        <f t="shared" ref="AT103" si="484">"location: {lat: "&amp;D103&amp;", lng: "&amp;E103&amp;"}"</f>
        <v>location: {lat: 40.8341063720703, lng: -5.13013812791797}</v>
      </c>
      <c r="AU103" s="29" t="str">
        <f t="shared" ref="AU103" si="485">"level: "&amp;H103</f>
        <v>level: local</v>
      </c>
      <c r="AV103" s="29" t="str">
        <f>"- "&amp;VLOOKUP(B103,'(Ref) Countries'!A:C,3,)</f>
        <v>- spain</v>
      </c>
      <c r="AW103" s="29" t="str">
        <f t="shared" ref="AW103" si="486">IF(LEN(C103)&gt;1,"- "&amp;LOWER(SUBSTITUTE(C103," ","-")),"")</f>
        <v>- duruelo</v>
      </c>
      <c r="AX103" s="29" t="str">
        <f t="shared" ref="AX103" si="487">IF(I103,"- churches","")</f>
        <v>- churches</v>
      </c>
      <c r="AY103" s="29" t="str">
        <f t="shared" ref="AY103" si="488">IF(J103,"- marian-sites","")</f>
        <v/>
      </c>
      <c r="AZ103" s="29" t="str">
        <f t="shared" ref="AZ103" si="489">IF(K103,"- holy-persons","")</f>
        <v>- holy-persons</v>
      </c>
      <c r="BA103" s="29" t="str">
        <f t="shared" ref="BA103" si="490">IF(LEN(Y103)&gt;0,"- "&amp;Y103,"")</f>
        <v>- teresa-avila</v>
      </c>
      <c r="BB103" s="29" t="str">
        <f t="shared" ref="BB103" si="491">IF(LEN(Z103)&gt;0,"- "&amp;Z103,"")</f>
        <v>- discalced-carmelites</v>
      </c>
      <c r="BC103" s="29" t="str">
        <f t="shared" ref="BC103" si="492">IF(LEN(AA103)&gt;0,"- "&amp;AA103,"")</f>
        <v>- john-cross</v>
      </c>
      <c r="BD103" s="29" t="str">
        <f t="shared" ref="BD103" si="493">IF(LEN(AB103)&gt;0,"- "&amp;AB103,"")</f>
        <v/>
      </c>
      <c r="BE103" s="29" t="str">
        <f t="shared" ref="BE103" si="494">IF(LEN(AC103)&gt;0,"- "&amp;AC103,"")</f>
        <v/>
      </c>
      <c r="BF103" s="29" t="str">
        <f t="shared" ref="BF103" si="495">IF(LEN(AD103)&gt;0,"- "&amp;AD103,"")</f>
        <v/>
      </c>
      <c r="BG103" s="29" t="str">
        <f t="shared" ref="BG103" si="496">IF(LEN(AE103)&gt;0,"- "&amp;AE103,"")</f>
        <v/>
      </c>
      <c r="BH103" s="29" t="str">
        <f t="shared" ref="BH103" si="497">IF(LEN(AF103)&gt;0,"- "&amp;AF103,"")</f>
        <v/>
      </c>
      <c r="BI103" s="29" t="str">
        <f t="shared" ref="BI103" si="498">IF(LEN(AG103)&gt;0,"- "&amp;AG103,"")</f>
        <v/>
      </c>
      <c r="BJ103" s="29" t="str">
        <f t="shared" ref="BJ103" si="499">IF(LEN(AH103)&gt;0,"- "&amp;AH103,"")</f>
        <v/>
      </c>
      <c r="BK103" s="29" t="str">
        <f t="shared" ref="BK103" si="500">"tags:"&amp;CHAR(10)&amp;concatl(AV103:BJ103)</f>
        <v xml:space="preserve">tags:
- spain_x000D_
- duruelo_x000D_
- churches_x000D_
- holy-persons_x000D_
- teresa-avila_x000D_
- discalced-carmelites_x000D_
- john-cross_x000D_
</v>
      </c>
      <c r="BL103" s="29" t="str">
        <f t="shared" ref="BL103" si="501">IF(LEN(N103)&gt;0,TRIM(CONCATENATE("[Official site](",N103,") ",O103)),"")</f>
        <v/>
      </c>
      <c r="BM103" s="29" t="str">
        <f t="shared" ref="BM103" si="502">IF(LEN(Q103)&gt;0,TRIM(CONCATENATE("["&amp;P103&amp;"](",Q103,") ",R103)),"")</f>
        <v/>
      </c>
      <c r="BN103" s="29" t="str">
        <f t="shared" ref="BN103" si="503">IF(LEN(T103)&gt;0,TRIM(CONCATENATE("["&amp;S103&amp;"](",T103,") ",U103)),"")</f>
        <v/>
      </c>
      <c r="BO103" s="29" t="str">
        <f t="shared" ref="BO103" si="504">IF(LEN(W103)&gt;0,TRIM(CONCATENATE("["&amp;V103&amp;"](",W103,") ",X103)),"")</f>
        <v/>
      </c>
      <c r="BP103" s="29" t="str">
        <f t="shared" ref="BP103" si="505">IF(LEN(BL103)&gt;0,"* "&amp;BL103&amp;CHAR(10),"")&amp;
IF(LEN(BM103)&gt;0,"* "&amp;BM103&amp;CHAR(10),"")&amp;
IF(LEN(BN103)&gt;0,"* "&amp;BN103&amp;CHAR(10),"")&amp;
IF(LEN(BO103)&gt;0,"* "&amp;BO103&amp;CHAR(10),"")</f>
        <v/>
      </c>
      <c r="BQ103" s="29" t="str">
        <f t="shared" ref="BQ103" si="506">IF(LEN(AK103)&gt;0,TRIM(CONCATENATE("[Link](",AK103,") ",AL103)),"")</f>
        <v/>
      </c>
      <c r="BR103" s="29" t="str">
        <f t="shared" ref="BR103" si="507">IF(LEN(AM103)&gt;0,TRIM(CONCATENATE("[Link](",AM103,") ",AN103)),"")</f>
        <v/>
      </c>
      <c r="BS103" s="29" t="str">
        <f t="shared" ref="BS103" si="508">IF(LEN(AO103)&gt;0,TRIM(CONCATENATE("[Link](",AO103,") ",AP103)),"")</f>
        <v/>
      </c>
      <c r="BT103" s="29" t="str">
        <f>IF(LEN(concat(BQ103:BS103))&gt;0,concat("| ",BQ103," | ",BR103," | ",BS103," |"),"")</f>
        <v/>
      </c>
      <c r="BU103" s="29" t="str">
        <f t="shared" ref="BU103" si="509">IF(J103,concatl("| The Real Presence | Miracle Hunter | MaryPages |","| --- | --- | --- |",BT103),"")</f>
        <v/>
      </c>
      <c r="BV103" s="29" t="str">
        <f>IF(LEN(BP103&amp;BU103)&gt;0,concatll("#### More Information",BP103,BU103),"")</f>
        <v/>
      </c>
      <c r="BW103" s="29" t="str">
        <f>IF(LEN(M103)&gt;1,concatll("#### Author's Note",M103),"")</f>
        <v/>
      </c>
      <c r="BX103" s="23" t="str">
        <f>IF(AR103,concatll(concatl("---",AS103:AU103,BK103,"---"),L103,BV103:BW103),"")</f>
        <v xml:space="preserve">---_x000D_
title: "Monastery of Duruelo"_x000D_
location: {lat: 40.8341063720703, lng: -5.13013812791797}_x000D_
level: local_x000D_
tags:
- spain_x000D_
- duruelo_x000D_
- churches_x000D_
- holy-persons_x000D_
- teresa-avila_x000D_
- discalced-carmelites_x000D_
- john-cross_x000D_
_x000D_
---_x000D_
_x000D_
_x000D_
The first monastery established by St. John of the Cross in 1568, using a small farmhouse which had been donated to St. Teresa of Avila.  Soon the community outgrew the building, and moved to Mancera de Abajo in 1570._x000D_
_x000D_
</v>
      </c>
      <c r="BY103" s="31" t="str">
        <f>IF(AR103,VLOOKUP(B103,'(Ref) Countries'!A:B,2,)&amp;IF(LEN(C103)&gt;1,"-"&amp;LOWER(SUBSTITUTE(C103," ","-")),"")&amp;"-"&amp;LOWER(SUBSTITUTE(G103," ","-"))&amp;".md","")</f>
        <v>es-duruelo-monastery.md</v>
      </c>
      <c r="BZ103" s="29" t="str">
        <f>IF(LEN(Y103)&gt;1,VLOOKUP(Y103,'Tag List'!$A:$B,2,),"")</f>
        <v>St. Teresa of Avila, OCD</v>
      </c>
      <c r="CA103" s="29" t="str">
        <f>IF(LEN(Z103)&gt;1,VLOOKUP(Z103,'Tag List'!$A:$B,2,),"")</f>
        <v>Discalced Carmelites (Order of Discalced Carmelites)</v>
      </c>
      <c r="CB103" s="29" t="str">
        <f>IF(LEN(AA103)&gt;1,VLOOKUP(AA103,'Tag List'!$A:$B,2,),"")</f>
        <v>St. John of the Cross, OCD</v>
      </c>
      <c r="CC103" s="29" t="str">
        <f>IF(LEN(Y103)&gt;1,GetTagPage(BZ103,Y103),"")</f>
        <v>[St. Teresa of Avila, OCD](/tags/teresa-avila)</v>
      </c>
      <c r="CD103" s="29" t="str">
        <f>IF(LEN(Z103)&gt;1,GetTagPage(CA103,Z103),"")</f>
        <v>[Discalced Carmelites (Order of Discalced Carmelites)](/tags/discalced-carmelites)</v>
      </c>
      <c r="CE103" s="29" t="str">
        <f>IF(LEN(AA103)&gt;1,GetTagPage(CB103,AA103),"")</f>
        <v>[St. John of the Cross, OCD](/tags/john-cross)</v>
      </c>
      <c r="CF103" s="29" t="str">
        <f t="shared" ref="CF103" si="510">"|"&amp;IF(LEN(CC103)&gt;1," "&amp;CC103,"")&amp;IF(LEN(CD103)&gt;1,", "&amp;CD103,"")&amp;IF(LEN(CE103)&gt;1,", "&amp;CE103,"")&amp;" "</f>
        <v xml:space="preserve">| [St. Teresa of Avila, OCD](/tags/teresa-avila), [Discalced Carmelites (Order of Discalced Carmelites)](/tags/discalced-carmelites), [St. John of the Cross, OCD](/tags/john-cross) </v>
      </c>
      <c r="CG103" s="29" t="str">
        <f t="shared" ref="CG103" si="511">"| "&amp;IF(AR103,"["&amp;AI103&amp;"](/places/"&amp;SUBSTITUTE(BY103,".md","")&amp;")",AI103)&amp;" "</f>
        <v xml:space="preserve">| [](/places/es-duruelo-monastery) </v>
      </c>
      <c r="CH103" s="29" t="str">
        <f>"| "&amp;IF(AR103,GetTagPage(B103,VLOOKUP(B103,'(Ref) Countries'!A:C,3,)),B103)&amp; " "</f>
        <v xml:space="preserve">| [Spain](/tags/spain) </v>
      </c>
      <c r="CI103" s="29" t="str">
        <f t="shared" ref="CI103" si="512">"| "&amp;AJ103&amp;" "</f>
        <v xml:space="preserve">|  </v>
      </c>
      <c r="CJ103" s="29" t="str">
        <f t="shared" ref="CJ103" si="513">"|"&amp;IF(AR103," [Link](/places/"&amp;SUBSTITUTE(BY103,".md","")&amp;")","")&amp;" "</f>
        <v xml:space="preserve">| [Link](/places/es-duruelo-monastery) </v>
      </c>
      <c r="CK103" s="29" t="str">
        <f t="shared" ref="CK103" si="514">"
"&amp;CG103&amp;CH103&amp;CI103&amp;CJ103&amp;BL103&amp;BQ103&amp;BR103&amp;BS103&amp;CF103&amp;"|"</f>
        <v xml:space="preserve">
| [](/places/es-duruelo-monastery) | [Spain](/tags/spain) |  | [Link](/places/es-duruelo-monastery) | [St. Teresa of Avila, OCD](/tags/teresa-avila), [Discalced Carmelites (Order of Discalced Carmelites)](/tags/discalced-carmelites), [St. John of the Cross, OCD](/tags/john-cross) |</v>
      </c>
    </row>
    <row r="104" spans="1:89" ht="127.5" x14ac:dyDescent="0.25">
      <c r="A104" s="14" t="s">
        <v>1322</v>
      </c>
      <c r="B104" s="24" t="s">
        <v>552</v>
      </c>
      <c r="C104" s="15" t="s">
        <v>2275</v>
      </c>
      <c r="D104" s="15">
        <v>40.834106372070302</v>
      </c>
      <c r="E104" s="49">
        <v>-5.1301381279179701</v>
      </c>
      <c r="F104" s="24" t="s">
        <v>2276</v>
      </c>
      <c r="G104" s="53" t="s">
        <v>2277</v>
      </c>
      <c r="H104" s="15" t="s">
        <v>1835</v>
      </c>
      <c r="I104" s="15" t="b">
        <v>1</v>
      </c>
      <c r="K104" s="15" t="b">
        <v>1</v>
      </c>
      <c r="L104" s="114" t="s">
        <v>2279</v>
      </c>
      <c r="M104" s="116" t="s">
        <v>2280</v>
      </c>
      <c r="O104" s="15" t="s">
        <v>336</v>
      </c>
      <c r="R104" s="64" t="s">
        <v>336</v>
      </c>
      <c r="Y104" s="15" t="s">
        <v>2157</v>
      </c>
      <c r="Z104" s="15" t="s">
        <v>2153</v>
      </c>
      <c r="AA104" s="15" t="s">
        <v>2156</v>
      </c>
      <c r="AR104" s="28" t="b">
        <f t="shared" ref="AR104" si="515">IF(OR(A104="Done",A104="In Progress"),TRUE)</f>
        <v>1</v>
      </c>
      <c r="AS104" s="29" t="str">
        <f t="shared" ref="AS104" si="516">"title: """&amp;F104&amp;""""</f>
        <v>title: "Monastery of Duruelo"</v>
      </c>
      <c r="AT104" s="29" t="str">
        <f t="shared" ref="AT104" si="517">"location: {lat: "&amp;D104&amp;", lng: "&amp;E104&amp;"}"</f>
        <v>location: {lat: 40.8341063720703, lng: -5.13013812791797}</v>
      </c>
      <c r="AU104" s="29" t="str">
        <f t="shared" ref="AU104" si="518">"level: "&amp;H104</f>
        <v>level: local</v>
      </c>
      <c r="AV104" s="29" t="str">
        <f>"- "&amp;VLOOKUP(B104,'(Ref) Countries'!A:C,3,)</f>
        <v>- spain</v>
      </c>
      <c r="AW104" s="29" t="str">
        <f t="shared" ref="AW104" si="519">IF(LEN(C104)&gt;1,"- "&amp;LOWER(SUBSTITUTE(C104," ","-")),"")</f>
        <v>- duruelo</v>
      </c>
      <c r="AX104" s="29" t="str">
        <f t="shared" ref="AX104" si="520">IF(I104,"- churches","")</f>
        <v>- churches</v>
      </c>
      <c r="AY104" s="29" t="str">
        <f t="shared" ref="AY104" si="521">IF(J104,"- marian-sites","")</f>
        <v/>
      </c>
      <c r="AZ104" s="29" t="str">
        <f t="shared" ref="AZ104" si="522">IF(K104,"- holy-persons","")</f>
        <v>- holy-persons</v>
      </c>
      <c r="BA104" s="29" t="str">
        <f t="shared" ref="BA104" si="523">IF(LEN(Y104)&gt;0,"- "&amp;Y104,"")</f>
        <v>- teresa-avila</v>
      </c>
      <c r="BB104" s="29" t="str">
        <f t="shared" ref="BB104" si="524">IF(LEN(Z104)&gt;0,"- "&amp;Z104,"")</f>
        <v>- discalced-carmelites</v>
      </c>
      <c r="BC104" s="29" t="str">
        <f t="shared" ref="BC104" si="525">IF(LEN(AA104)&gt;0,"- "&amp;AA104,"")</f>
        <v>- john-cross</v>
      </c>
      <c r="BD104" s="29" t="str">
        <f t="shared" ref="BD104" si="526">IF(LEN(AB104)&gt;0,"- "&amp;AB104,"")</f>
        <v/>
      </c>
      <c r="BE104" s="29" t="str">
        <f t="shared" ref="BE104" si="527">IF(LEN(AC104)&gt;0,"- "&amp;AC104,"")</f>
        <v/>
      </c>
      <c r="BF104" s="29" t="str">
        <f t="shared" ref="BF104" si="528">IF(LEN(AD104)&gt;0,"- "&amp;AD104,"")</f>
        <v/>
      </c>
      <c r="BG104" s="29" t="str">
        <f t="shared" ref="BG104" si="529">IF(LEN(AE104)&gt;0,"- "&amp;AE104,"")</f>
        <v/>
      </c>
      <c r="BH104" s="29" t="str">
        <f t="shared" ref="BH104" si="530">IF(LEN(AF104)&gt;0,"- "&amp;AF104,"")</f>
        <v/>
      </c>
      <c r="BI104" s="29" t="str">
        <f t="shared" ref="BI104" si="531">IF(LEN(AG104)&gt;0,"- "&amp;AG104,"")</f>
        <v/>
      </c>
      <c r="BJ104" s="29" t="str">
        <f t="shared" ref="BJ104" si="532">IF(LEN(AH104)&gt;0,"- "&amp;AH104,"")</f>
        <v/>
      </c>
      <c r="BK104" s="29" t="str">
        <f t="shared" ref="BK104" si="533">"tags:"&amp;CHAR(10)&amp;concatl(AV104:BJ104)</f>
        <v xml:space="preserve">tags:
- spain_x000D_
- duruelo_x000D_
- churches_x000D_
- holy-persons_x000D_
- teresa-avila_x000D_
- discalced-carmelites_x000D_
- john-cross_x000D_
</v>
      </c>
      <c r="BL104" s="29" t="str">
        <f t="shared" ref="BL104" si="534">IF(LEN(N104)&gt;0,TRIM(CONCATENATE("[Official site](",N104,") ",O104)),"")</f>
        <v/>
      </c>
      <c r="BM104" s="29" t="str">
        <f t="shared" ref="BM104" si="535">IF(LEN(Q104)&gt;0,TRIM(CONCATENATE("["&amp;P104&amp;"](",Q104,") ",R104)),"")</f>
        <v/>
      </c>
      <c r="BN104" s="29" t="str">
        <f t="shared" ref="BN104" si="536">IF(LEN(T104)&gt;0,TRIM(CONCATENATE("["&amp;S104&amp;"](",T104,") ",U104)),"")</f>
        <v/>
      </c>
      <c r="BO104" s="29" t="str">
        <f t="shared" ref="BO104" si="537">IF(LEN(W104)&gt;0,TRIM(CONCATENATE("["&amp;V104&amp;"](",W104,") ",X104)),"")</f>
        <v/>
      </c>
      <c r="BP104" s="29" t="str">
        <f t="shared" ref="BP104" si="538">IF(LEN(BL104)&gt;0,"* "&amp;BL104&amp;CHAR(10),"")&amp;
IF(LEN(BM104)&gt;0,"* "&amp;BM104&amp;CHAR(10),"")&amp;
IF(LEN(BN104)&gt;0,"* "&amp;BN104&amp;CHAR(10),"")&amp;
IF(LEN(BO104)&gt;0,"* "&amp;BO104&amp;CHAR(10),"")</f>
        <v/>
      </c>
      <c r="BQ104" s="29" t="str">
        <f t="shared" ref="BQ104" si="539">IF(LEN(AK104)&gt;0,TRIM(CONCATENATE("[Link](",AK104,") ",AL104)),"")</f>
        <v/>
      </c>
      <c r="BR104" s="29" t="str">
        <f t="shared" ref="BR104" si="540">IF(LEN(AM104)&gt;0,TRIM(CONCATENATE("[Link](",AM104,") ",AN104)),"")</f>
        <v/>
      </c>
      <c r="BS104" s="29" t="str">
        <f t="shared" ref="BS104" si="541">IF(LEN(AO104)&gt;0,TRIM(CONCATENATE("[Link](",AO104,") ",AP104)),"")</f>
        <v/>
      </c>
      <c r="BT104" s="29" t="str">
        <f>IF(LEN(concat(BQ104:BS104))&gt;0,concat("| ",BQ104," | ",BR104," | ",BS104," |"),"")</f>
        <v/>
      </c>
      <c r="BU104" s="29" t="str">
        <f t="shared" ref="BU104" si="542">IF(J104,concatl("| The Real Presence | Miracle Hunter | MaryPages |","| --- | --- | --- |",BT104),"")</f>
        <v/>
      </c>
      <c r="BV104" s="29" t="str">
        <f>IF(LEN(BP104&amp;BU104)&gt;0,concatll("#### More Information",BP104,BU104),"")</f>
        <v/>
      </c>
      <c r="BW104" s="29" t="str">
        <f>IF(LEN(M104)&gt;1,concatll("#### Author's Note",M104),"")</f>
        <v xml:space="preserve">#### Author's Note_x000D_
_x000D_
Additional history of the current monastery in Mancera de Abaio can be found [here](https://salamancartvaldia.es/noticia/2023-03-02-la-vida-en-el-monasterio-de-mancera-de-abajo-es-ilusionante-porque-cada-hora-es-la-de-amar-a-dios-316830), though it should be noted there is not a contiguous lineage back to the community founded by St. John of the Cross.
-JMM_x000D_
_x000D_
</v>
      </c>
      <c r="BX104" s="23" t="str">
        <f>IF(AR104,concatll(concatl("---",AS104:AU104,BK104,"---"),L104,BV104:BW104),"")</f>
        <v xml:space="preserve">---_x000D_
title: "Monastery of Duruelo"_x000D_
location: {lat: 40.8341063720703, lng: -5.13013812791797}_x000D_
level: local_x000D_
tags:
- spain_x000D_
- duruelo_x000D_
- churches_x000D_
- holy-persons_x000D_
- teresa-avila_x000D_
- discalced-carmelites_x000D_
- john-cross_x000D_
_x000D_
---_x000D_
_x000D_
_x000D_
The first monastery established by St. John of the Cross and Fr. Antonio of Jesus in 1568, using a small farmhouse which had been donated to St. Teresa of Avila.  Soon the community outgrew the building, and moved to Mancera de Abajo in 1570, then Avila in 1600._x000D_
_x000D_
#### Author's Note_x000D_
_x000D_
Additional history of the current monastery in Mancera de Abaio can be found [here](https://salamancartvaldia.es/noticia/2023-03-02-la-vida-en-el-monasterio-de-mancera-de-abajo-es-ilusionante-porque-cada-hora-es-la-de-amar-a-dios-316830), though it should be noted there is not a contiguous lineage back to the community founded by St. John of the Cross.
-JMM_x000D_
_x000D_
_x000D_
_x000D_
</v>
      </c>
      <c r="BY104" s="31" t="str">
        <f>IF(AR104,VLOOKUP(B104,'(Ref) Countries'!A:B,2,)&amp;IF(LEN(C104)&gt;1,"-"&amp;LOWER(SUBSTITUTE(C104," ","-")),"")&amp;"-"&amp;LOWER(SUBSTITUTE(G104," ","-"))&amp;".md","")</f>
        <v>es-duruelo-monastery.md</v>
      </c>
      <c r="BZ104" s="29" t="str">
        <f>IF(LEN(Y104)&gt;1,VLOOKUP(Y104,'Tag List'!$A:$B,2,),"")</f>
        <v>St. Teresa of Avila, OCD</v>
      </c>
      <c r="CA104" s="29" t="str">
        <f>IF(LEN(Z104)&gt;1,VLOOKUP(Z104,'Tag List'!$A:$B,2,),"")</f>
        <v>Discalced Carmelites (Order of Discalced Carmelites)</v>
      </c>
      <c r="CB104" s="29" t="str">
        <f>IF(LEN(AA104)&gt;1,VLOOKUP(AA104,'Tag List'!$A:$B,2,),"")</f>
        <v>St. John of the Cross, OCD</v>
      </c>
      <c r="CC104" s="29" t="str">
        <f>IF(LEN(Y104)&gt;1,GetTagPage(BZ104,Y104),"")</f>
        <v>[St. Teresa of Avila, OCD](/tags/teresa-avila)</v>
      </c>
      <c r="CD104" s="29" t="str">
        <f>IF(LEN(Z104)&gt;1,GetTagPage(CA104,Z104),"")</f>
        <v>[Discalced Carmelites (Order of Discalced Carmelites)](/tags/discalced-carmelites)</v>
      </c>
      <c r="CE104" s="29" t="str">
        <f>IF(LEN(AA104)&gt;1,GetTagPage(CB104,AA104),"")</f>
        <v>[St. John of the Cross, OCD](/tags/john-cross)</v>
      </c>
      <c r="CF104" s="29" t="str">
        <f t="shared" ref="CF104" si="543">"|"&amp;IF(LEN(CC104)&gt;1," "&amp;CC104,"")&amp;IF(LEN(CD104)&gt;1,", "&amp;CD104,"")&amp;IF(LEN(CE104)&gt;1,", "&amp;CE104,"")&amp;" "</f>
        <v xml:space="preserve">| [St. Teresa of Avila, OCD](/tags/teresa-avila), [Discalced Carmelites (Order of Discalced Carmelites)](/tags/discalced-carmelites), [St. John of the Cross, OCD](/tags/john-cross) </v>
      </c>
      <c r="CG104" s="29" t="str">
        <f t="shared" ref="CG104" si="544">"| "&amp;IF(AR104,"["&amp;AI104&amp;"](/places/"&amp;SUBSTITUTE(BY104,".md","")&amp;")",AI104)&amp;" "</f>
        <v xml:space="preserve">| [](/places/es-duruelo-monastery) </v>
      </c>
      <c r="CH104" s="29" t="str">
        <f>"| "&amp;IF(AR104,GetTagPage(B104,VLOOKUP(B104,'(Ref) Countries'!A:C,3,)),B104)&amp; " "</f>
        <v xml:space="preserve">| [Spain](/tags/spain) </v>
      </c>
      <c r="CI104" s="29" t="str">
        <f t="shared" ref="CI104" si="545">"| "&amp;AJ104&amp;" "</f>
        <v xml:space="preserve">|  </v>
      </c>
      <c r="CJ104" s="29" t="str">
        <f t="shared" ref="CJ104" si="546">"|"&amp;IF(AR104," [Link](/places/"&amp;SUBSTITUTE(BY104,".md","")&amp;")","")&amp;" "</f>
        <v xml:space="preserve">| [Link](/places/es-duruelo-monastery) </v>
      </c>
      <c r="CK104" s="29" t="str">
        <f t="shared" ref="CK104" si="547">"
"&amp;CG104&amp;CH104&amp;CI104&amp;CJ104&amp;BL104&amp;BQ104&amp;BR104&amp;BS104&amp;CF104&amp;"|"</f>
        <v xml:space="preserve">
| [](/places/es-duruelo-monastery) | [Spain](/tags/spain) |  | [Link](/places/es-duruelo-monastery) | [St. Teresa of Avila, OCD](/tags/teresa-avila), [Discalced Carmelites (Order of Discalced Carmelites)](/tags/discalced-carmelites), [St. John of the Cross, OCD](/tags/john-cross) |</v>
      </c>
    </row>
    <row r="105" spans="1:89" ht="63.75" x14ac:dyDescent="0.25">
      <c r="A105" s="14" t="s">
        <v>1322</v>
      </c>
      <c r="B105" s="24" t="s">
        <v>552</v>
      </c>
      <c r="C105" s="115" t="s">
        <v>2202</v>
      </c>
      <c r="D105" s="15">
        <v>40.955391357159002</v>
      </c>
      <c r="E105" s="49">
        <v>-4.1334718632315699</v>
      </c>
      <c r="F105" s="114" t="s">
        <v>2281</v>
      </c>
      <c r="G105" s="116" t="s">
        <v>2282</v>
      </c>
      <c r="H105" s="115" t="s">
        <v>1767</v>
      </c>
      <c r="I105" s="15" t="b">
        <v>1</v>
      </c>
      <c r="K105" s="15" t="b">
        <v>1</v>
      </c>
      <c r="L105" s="114" t="s">
        <v>2283</v>
      </c>
      <c r="N105" s="15" t="s">
        <v>2284</v>
      </c>
      <c r="O105" s="15" t="s">
        <v>336</v>
      </c>
      <c r="R105" s="64" t="s">
        <v>336</v>
      </c>
      <c r="Y105" s="15" t="s">
        <v>2157</v>
      </c>
      <c r="Z105" s="15" t="s">
        <v>2153</v>
      </c>
      <c r="AA105" s="15" t="s">
        <v>2156</v>
      </c>
      <c r="AR105" s="28" t="b">
        <f t="shared" ref="AR105" si="548">IF(OR(A105="Done",A105="In Progress"),TRUE)</f>
        <v>1</v>
      </c>
      <c r="AS105" s="29" t="str">
        <f t="shared" ref="AS105" si="549">"title: """&amp;F105&amp;""""</f>
        <v>title: "Convent of St. John of the Cross (Convento de San Juan de la Cruz)"</v>
      </c>
      <c r="AT105" s="29" t="str">
        <f t="shared" ref="AT105" si="550">"location: {lat: "&amp;D105&amp;", lng: "&amp;E105&amp;"}"</f>
        <v>location: {lat: 40.955391357159, lng: -4.13347186323157}</v>
      </c>
      <c r="AU105" s="29" t="str">
        <f t="shared" ref="AU105" si="551">"level: "&amp;H105</f>
        <v>level: regional</v>
      </c>
      <c r="AV105" s="29" t="str">
        <f>"- "&amp;VLOOKUP(B105,'(Ref) Countries'!A:C,3,)</f>
        <v>- spain</v>
      </c>
      <c r="AW105" s="29" t="str">
        <f t="shared" ref="AW105" si="552">IF(LEN(C105)&gt;1,"- "&amp;LOWER(SUBSTITUTE(C105," ","-")),"")</f>
        <v>- segovia</v>
      </c>
      <c r="AX105" s="29" t="str">
        <f t="shared" ref="AX105" si="553">IF(I105,"- churches","")</f>
        <v>- churches</v>
      </c>
      <c r="AY105" s="29" t="str">
        <f t="shared" ref="AY105" si="554">IF(J105,"- marian-sites","")</f>
        <v/>
      </c>
      <c r="AZ105" s="29" t="str">
        <f t="shared" ref="AZ105" si="555">IF(K105,"- holy-persons","")</f>
        <v>- holy-persons</v>
      </c>
      <c r="BA105" s="29" t="str">
        <f t="shared" ref="BA105" si="556">IF(LEN(Y105)&gt;0,"- "&amp;Y105,"")</f>
        <v>- teresa-avila</v>
      </c>
      <c r="BB105" s="29" t="str">
        <f t="shared" ref="BB105" si="557">IF(LEN(Z105)&gt;0,"- "&amp;Z105,"")</f>
        <v>- discalced-carmelites</v>
      </c>
      <c r="BC105" s="29" t="str">
        <f t="shared" ref="BC105" si="558">IF(LEN(AA105)&gt;0,"- "&amp;AA105,"")</f>
        <v>- john-cross</v>
      </c>
      <c r="BD105" s="29" t="str">
        <f t="shared" ref="BD105" si="559">IF(LEN(AB105)&gt;0,"- "&amp;AB105,"")</f>
        <v/>
      </c>
      <c r="BE105" s="29" t="str">
        <f t="shared" ref="BE105" si="560">IF(LEN(AC105)&gt;0,"- "&amp;AC105,"")</f>
        <v/>
      </c>
      <c r="BF105" s="29" t="str">
        <f t="shared" ref="BF105" si="561">IF(LEN(AD105)&gt;0,"- "&amp;AD105,"")</f>
        <v/>
      </c>
      <c r="BG105" s="29" t="str">
        <f t="shared" ref="BG105" si="562">IF(LEN(AE105)&gt;0,"- "&amp;AE105,"")</f>
        <v/>
      </c>
      <c r="BH105" s="29" t="str">
        <f t="shared" ref="BH105" si="563">IF(LEN(AF105)&gt;0,"- "&amp;AF105,"")</f>
        <v/>
      </c>
      <c r="BI105" s="29" t="str">
        <f t="shared" ref="BI105" si="564">IF(LEN(AG105)&gt;0,"- "&amp;AG105,"")</f>
        <v/>
      </c>
      <c r="BJ105" s="29" t="str">
        <f t="shared" ref="BJ105" si="565">IF(LEN(AH105)&gt;0,"- "&amp;AH105,"")</f>
        <v/>
      </c>
      <c r="BK105" s="29" t="str">
        <f t="shared" ref="BK105" si="566">"tags:"&amp;CHAR(10)&amp;concatl(AV105:BJ105)</f>
        <v xml:space="preserve">tags:
- spain_x000D_
- segovia_x000D_
- churches_x000D_
- holy-persons_x000D_
- teresa-avila_x000D_
- discalced-carmelites_x000D_
- john-cross_x000D_
</v>
      </c>
      <c r="BL105" s="29" t="str">
        <f t="shared" ref="BL105" si="567">IF(LEN(N105)&gt;0,TRIM(CONCATENATE("[Official site](",N105,") ",O105)),"")</f>
        <v>[Official site](https://sanjuandelacruzsegovia.com/)</v>
      </c>
      <c r="BM105" s="29" t="str">
        <f t="shared" ref="BM105" si="568">IF(LEN(Q105)&gt;0,TRIM(CONCATENATE("["&amp;P105&amp;"](",Q105,") ",R105)),"")</f>
        <v/>
      </c>
      <c r="BN105" s="29" t="str">
        <f t="shared" ref="BN105" si="569">IF(LEN(T105)&gt;0,TRIM(CONCATENATE("["&amp;S105&amp;"](",T105,") ",U105)),"")</f>
        <v/>
      </c>
      <c r="BO105" s="29" t="str">
        <f t="shared" ref="BO105" si="570">IF(LEN(W105)&gt;0,TRIM(CONCATENATE("["&amp;V105&amp;"](",W105,") ",X105)),"")</f>
        <v/>
      </c>
      <c r="BP105" s="29" t="str">
        <f t="shared" ref="BP105" si="571">IF(LEN(BL105)&gt;0,"* "&amp;BL105&amp;CHAR(10),"")&amp;
IF(LEN(BM105)&gt;0,"* "&amp;BM105&amp;CHAR(10),"")&amp;
IF(LEN(BN105)&gt;0,"* "&amp;BN105&amp;CHAR(10),"")&amp;
IF(LEN(BO105)&gt;0,"* "&amp;BO105&amp;CHAR(10),"")</f>
        <v xml:space="preserve">* [Official site](https://sanjuandelacruzsegovia.com/)
</v>
      </c>
      <c r="BQ105" s="29" t="str">
        <f t="shared" ref="BQ105" si="572">IF(LEN(AK105)&gt;0,TRIM(CONCATENATE("[Link](",AK105,") ",AL105)),"")</f>
        <v/>
      </c>
      <c r="BR105" s="29" t="str">
        <f t="shared" ref="BR105" si="573">IF(LEN(AM105)&gt;0,TRIM(CONCATENATE("[Link](",AM105,") ",AN105)),"")</f>
        <v/>
      </c>
      <c r="BS105" s="29" t="str">
        <f t="shared" ref="BS105" si="574">IF(LEN(AO105)&gt;0,TRIM(CONCATENATE("[Link](",AO105,") ",AP105)),"")</f>
        <v/>
      </c>
      <c r="BT105" s="29" t="str">
        <f>IF(LEN(concat(BQ105:BS105))&gt;0,concat("| ",BQ105," | ",BR105," | ",BS105," |"),"")</f>
        <v/>
      </c>
      <c r="BU105" s="29" t="str">
        <f t="shared" ref="BU105" si="575">IF(J105,concatl("| The Real Presence | Miracle Hunter | MaryPages |","| --- | --- | --- |",BT105),"")</f>
        <v/>
      </c>
      <c r="BV105" s="29" t="str">
        <f>IF(LEN(BP105&amp;BU105)&gt;0,concatll("#### More Information",BP105,BU105),"")</f>
        <v xml:space="preserve">#### More Information_x000D_
_x000D_
* [Official site](https://sanjuandelacruzsegovia.com/)
_x000D_
_x000D_
</v>
      </c>
      <c r="BW105" s="29" t="str">
        <f>IF(LEN(M105)&gt;1,concatll("#### Author's Note",M105),"")</f>
        <v/>
      </c>
      <c r="BX105" s="23" t="str">
        <f>IF(AR105,concatll(concatl("---",AS105:AU105,BK105,"---"),L105,BV105:BW105),"")</f>
        <v xml:space="preserve">---_x000D_
title: "Convent of St. John of the Cross (Convento de San Juan de la Cruz)"_x000D_
location: {lat: 40.955391357159, lng: -4.13347186323157}_x000D_
level: regional_x000D_
tags:
- spain_x000D_
- segovia_x000D_
- churches_x000D_
- holy-persons_x000D_
- teresa-avila_x000D_
- discalced-carmelites_x000D_
- john-cross_x000D_
_x000D_
---_x000D_
_x000D_
_x000D_
St. John of the Cross founded the convent in 1588 and led the community as prior until 1591.  His head and body are located in a side chapel.
Although no longer an active monastery, the site serves as a sanctuary for spiritual exercises.  Pope St. John Paul II visited the site in 1982._x000D_
_x000D_
#### More Information_x000D_
_x000D_
* [Official site](https://sanjuandelacruzsegovia.com/)
_x000D_
_x000D_
_x000D_
_x000D_
</v>
      </c>
      <c r="BY105" s="31" t="str">
        <f>IF(AR105,VLOOKUP(B105,'(Ref) Countries'!A:B,2,)&amp;IF(LEN(C105)&gt;1,"-"&amp;LOWER(SUBSTITUTE(C105," ","-")),"")&amp;"-"&amp;LOWER(SUBSTITUTE(G105," ","-"))&amp;".md","")</f>
        <v>es-segovia-convento-de-san-juan-de-la-cruz.md</v>
      </c>
      <c r="BZ105" s="29" t="str">
        <f>IF(LEN(Y105)&gt;1,VLOOKUP(Y105,'Tag List'!$A:$B,2,),"")</f>
        <v>St. Teresa of Avila, OCD</v>
      </c>
      <c r="CA105" s="29" t="str">
        <f>IF(LEN(Z105)&gt;1,VLOOKUP(Z105,'Tag List'!$A:$B,2,),"")</f>
        <v>Discalced Carmelites (Order of Discalced Carmelites)</v>
      </c>
      <c r="CB105" s="29" t="str">
        <f>IF(LEN(AA105)&gt;1,VLOOKUP(AA105,'Tag List'!$A:$B,2,),"")</f>
        <v>St. John of the Cross, OCD</v>
      </c>
      <c r="CC105" s="29" t="str">
        <f>IF(LEN(Y105)&gt;1,GetTagPage(BZ105,Y105),"")</f>
        <v>[St. Teresa of Avila, OCD](/tags/teresa-avila)</v>
      </c>
      <c r="CD105" s="29" t="str">
        <f>IF(LEN(Z105)&gt;1,GetTagPage(CA105,Z105),"")</f>
        <v>[Discalced Carmelites (Order of Discalced Carmelites)](/tags/discalced-carmelites)</v>
      </c>
      <c r="CE105" s="29" t="str">
        <f>IF(LEN(AA105)&gt;1,GetTagPage(CB105,AA105),"")</f>
        <v>[St. John of the Cross, OCD](/tags/john-cross)</v>
      </c>
      <c r="CF105" s="29" t="str">
        <f t="shared" ref="CF105" si="576">"|"&amp;IF(LEN(CC105)&gt;1," "&amp;CC105,"")&amp;IF(LEN(CD105)&gt;1,", "&amp;CD105,"")&amp;IF(LEN(CE105)&gt;1,", "&amp;CE105,"")&amp;" "</f>
        <v xml:space="preserve">| [St. Teresa of Avila, OCD](/tags/teresa-avila), [Discalced Carmelites (Order of Discalced Carmelites)](/tags/discalced-carmelites), [St. John of the Cross, OCD](/tags/john-cross) </v>
      </c>
      <c r="CG105" s="29" t="str">
        <f t="shared" ref="CG105" si="577">"| "&amp;IF(AR105,"["&amp;AI105&amp;"](/places/"&amp;SUBSTITUTE(BY105,".md","")&amp;")",AI105)&amp;" "</f>
        <v xml:space="preserve">| [](/places/es-segovia-convento-de-san-juan-de-la-cruz) </v>
      </c>
      <c r="CH105" s="29" t="str">
        <f>"| "&amp;IF(AR105,GetTagPage(B105,VLOOKUP(B105,'(Ref) Countries'!A:C,3,)),B105)&amp; " "</f>
        <v xml:space="preserve">| [Spain](/tags/spain) </v>
      </c>
      <c r="CI105" s="29" t="str">
        <f t="shared" ref="CI105" si="578">"| "&amp;AJ105&amp;" "</f>
        <v xml:space="preserve">|  </v>
      </c>
      <c r="CJ105" s="29" t="str">
        <f t="shared" ref="CJ105" si="579">"|"&amp;IF(AR105," [Link](/places/"&amp;SUBSTITUTE(BY105,".md","")&amp;")","")&amp;" "</f>
        <v xml:space="preserve">| [Link](/places/es-segovia-convento-de-san-juan-de-la-cruz) </v>
      </c>
      <c r="CK105" s="29" t="str">
        <f t="shared" ref="CK105" si="580">"
"&amp;CG105&amp;CH105&amp;CI105&amp;CJ105&amp;BL105&amp;BQ105&amp;BR105&amp;BS105&amp;CF105&amp;"|"</f>
        <v xml:space="preserve">
| [](/places/es-segovia-convento-de-san-juan-de-la-cruz) | [Spain](/tags/spain) |  | [Link](/places/es-segovia-convento-de-san-juan-de-la-cruz) [Official site](https://sanjuandelacruzsegovia.com/)| [St. Teresa of Avila, OCD](/tags/teresa-avila), [Discalced Carmelites (Order of Discalced Carmelites)](/tags/discalced-carmelites), [St. John of the Cross, OCD](/tags/john-cross) |</v>
      </c>
    </row>
    <row r="106" spans="1:89" ht="38.25" x14ac:dyDescent="0.25">
      <c r="A106" s="14" t="s">
        <v>1322</v>
      </c>
      <c r="B106" s="24" t="s">
        <v>552</v>
      </c>
      <c r="C106" s="115" t="s">
        <v>2285</v>
      </c>
      <c r="D106" s="15">
        <v>38.009716453448398</v>
      </c>
      <c r="E106" s="49">
        <v>-3.36573704226182</v>
      </c>
      <c r="F106" s="114" t="s">
        <v>2286</v>
      </c>
      <c r="G106" s="116" t="s">
        <v>2287</v>
      </c>
      <c r="H106" s="15" t="s">
        <v>1767</v>
      </c>
      <c r="I106" s="15" t="b">
        <v>1</v>
      </c>
      <c r="K106" s="15" t="b">
        <v>1</v>
      </c>
      <c r="L106" s="114" t="s">
        <v>2288</v>
      </c>
      <c r="N106" s="15" t="s">
        <v>2289</v>
      </c>
      <c r="O106" s="15" t="s">
        <v>336</v>
      </c>
      <c r="R106" s="64" t="s">
        <v>336</v>
      </c>
      <c r="Y106" s="15" t="s">
        <v>2156</v>
      </c>
      <c r="Z106" s="15" t="s">
        <v>2153</v>
      </c>
      <c r="AR106" s="28" t="b">
        <f t="shared" ref="AR106" si="581">IF(OR(A106="Done",A106="In Progress"),TRUE)</f>
        <v>1</v>
      </c>
      <c r="AS106" s="29" t="str">
        <f t="shared" ref="AS106" si="582">"title: """&amp;F106&amp;""""</f>
        <v>title: "Oratory of St. John of the Cross (Oratorio de San Juan de la Cruz)"</v>
      </c>
      <c r="AT106" s="29" t="str">
        <f t="shared" ref="AT106" si="583">"location: {lat: "&amp;D106&amp;", lng: "&amp;E106&amp;"}"</f>
        <v>location: {lat: 38.0097164534484, lng: -3.36573704226182}</v>
      </c>
      <c r="AU106" s="29" t="str">
        <f t="shared" ref="AU106" si="584">"level: "&amp;H106</f>
        <v>level: regional</v>
      </c>
      <c r="AV106" s="29" t="str">
        <f>"- "&amp;VLOOKUP(B106,'(Ref) Countries'!A:C,3,)</f>
        <v>- spain</v>
      </c>
      <c r="AW106" s="29" t="str">
        <f t="shared" ref="AW106" si="585">IF(LEN(C106)&gt;1,"- "&amp;LOWER(SUBSTITUTE(C106," ","-")),"")</f>
        <v>- ubeda</v>
      </c>
      <c r="AX106" s="29" t="str">
        <f t="shared" ref="AX106" si="586">IF(I106,"- churches","")</f>
        <v>- churches</v>
      </c>
      <c r="AY106" s="29" t="str">
        <f t="shared" ref="AY106" si="587">IF(J106,"- marian-sites","")</f>
        <v/>
      </c>
      <c r="AZ106" s="29" t="str">
        <f t="shared" ref="AZ106" si="588">IF(K106,"- holy-persons","")</f>
        <v>- holy-persons</v>
      </c>
      <c r="BA106" s="29" t="str">
        <f t="shared" ref="BA106" si="589">IF(LEN(Y106)&gt;0,"- "&amp;Y106,"")</f>
        <v>- john-cross</v>
      </c>
      <c r="BB106" s="29" t="str">
        <f t="shared" ref="BB106" si="590">IF(LEN(Z106)&gt;0,"- "&amp;Z106,"")</f>
        <v>- discalced-carmelites</v>
      </c>
      <c r="BC106" s="29" t="str">
        <f t="shared" ref="BC106" si="591">IF(LEN(AA106)&gt;0,"- "&amp;AA106,"")</f>
        <v/>
      </c>
      <c r="BD106" s="29" t="str">
        <f t="shared" ref="BD106" si="592">IF(LEN(AB106)&gt;0,"- "&amp;AB106,"")</f>
        <v/>
      </c>
      <c r="BE106" s="29" t="str">
        <f t="shared" ref="BE106" si="593">IF(LEN(AC106)&gt;0,"- "&amp;AC106,"")</f>
        <v/>
      </c>
      <c r="BF106" s="29" t="str">
        <f t="shared" ref="BF106" si="594">IF(LEN(AD106)&gt;0,"- "&amp;AD106,"")</f>
        <v/>
      </c>
      <c r="BG106" s="29" t="str">
        <f t="shared" ref="BG106" si="595">IF(LEN(AE106)&gt;0,"- "&amp;AE106,"")</f>
        <v/>
      </c>
      <c r="BH106" s="29" t="str">
        <f t="shared" ref="BH106" si="596">IF(LEN(AF106)&gt;0,"- "&amp;AF106,"")</f>
        <v/>
      </c>
      <c r="BI106" s="29" t="str">
        <f t="shared" ref="BI106" si="597">IF(LEN(AG106)&gt;0,"- "&amp;AG106,"")</f>
        <v/>
      </c>
      <c r="BJ106" s="29" t="str">
        <f t="shared" ref="BJ106" si="598">IF(LEN(AH106)&gt;0,"- "&amp;AH106,"")</f>
        <v/>
      </c>
      <c r="BK106" s="29" t="str">
        <f t="shared" ref="BK106" si="599">"tags:"&amp;CHAR(10)&amp;concatl(AV106:BJ106)</f>
        <v xml:space="preserve">tags:
- spain_x000D_
- ubeda_x000D_
- churches_x000D_
- holy-persons_x000D_
- john-cross_x000D_
- discalced-carmelites_x000D_
</v>
      </c>
      <c r="BL106" s="29" t="str">
        <f t="shared" ref="BL106" si="600">IF(LEN(N106)&gt;0,TRIM(CONCATENATE("[Official site](",N106,") ",O106)),"")</f>
        <v>[Official site](https://www.sanjuandelacruzubeda.com/)</v>
      </c>
      <c r="BM106" s="29" t="str">
        <f t="shared" ref="BM106" si="601">IF(LEN(Q106)&gt;0,TRIM(CONCATENATE("["&amp;P106&amp;"](",Q106,") ",R106)),"")</f>
        <v/>
      </c>
      <c r="BN106" s="29" t="str">
        <f t="shared" ref="BN106" si="602">IF(LEN(T106)&gt;0,TRIM(CONCATENATE("["&amp;S106&amp;"](",T106,") ",U106)),"")</f>
        <v/>
      </c>
      <c r="BO106" s="29" t="str">
        <f t="shared" ref="BO106" si="603">IF(LEN(W106)&gt;0,TRIM(CONCATENATE("["&amp;V106&amp;"](",W106,") ",X106)),"")</f>
        <v/>
      </c>
      <c r="BP106" s="29" t="str">
        <f t="shared" ref="BP106" si="604">IF(LEN(BL106)&gt;0,"* "&amp;BL106&amp;CHAR(10),"")&amp;
IF(LEN(BM106)&gt;0,"* "&amp;BM106&amp;CHAR(10),"")&amp;
IF(LEN(BN106)&gt;0,"* "&amp;BN106&amp;CHAR(10),"")&amp;
IF(LEN(BO106)&gt;0,"* "&amp;BO106&amp;CHAR(10),"")</f>
        <v xml:space="preserve">* [Official site](https://www.sanjuandelacruzubeda.com/)
</v>
      </c>
      <c r="BQ106" s="29" t="str">
        <f t="shared" ref="BQ106" si="605">IF(LEN(AK106)&gt;0,TRIM(CONCATENATE("[Link](",AK106,") ",AL106)),"")</f>
        <v/>
      </c>
      <c r="BR106" s="29" t="str">
        <f t="shared" ref="BR106" si="606">IF(LEN(AM106)&gt;0,TRIM(CONCATENATE("[Link](",AM106,") ",AN106)),"")</f>
        <v/>
      </c>
      <c r="BS106" s="29" t="str">
        <f t="shared" ref="BS106" si="607">IF(LEN(AO106)&gt;0,TRIM(CONCATENATE("[Link](",AO106,") ",AP106)),"")</f>
        <v/>
      </c>
      <c r="BT106" s="29" t="str">
        <f>IF(LEN(concat(BQ106:BS106))&gt;0,concat("| ",BQ106," | ",BR106," | ",BS106," |"),"")</f>
        <v/>
      </c>
      <c r="BU106" s="29" t="str">
        <f t="shared" ref="BU106" si="608">IF(J106,concatl("| The Real Presence | Miracle Hunter | MaryPages |","| --- | --- | --- |",BT106),"")</f>
        <v/>
      </c>
      <c r="BV106" s="29" t="str">
        <f>IF(LEN(BP106&amp;BU106)&gt;0,concatll("#### More Information",BP106,BU106),"")</f>
        <v xml:space="preserve">#### More Information_x000D_
_x000D_
* [Official site](https://www.sanjuandelacruzubeda.com/)
_x000D_
_x000D_
</v>
      </c>
      <c r="BW106" s="29" t="str">
        <f>IF(LEN(M106)&gt;1,concatll("#### Author's Note",M106),"")</f>
        <v/>
      </c>
      <c r="BX106" s="23" t="str">
        <f>IF(AR106,concatll(concatl("---",AS106:AU106,BK106,"---"),L106,BV106:BW106),"")</f>
        <v xml:space="preserve">---_x000D_
title: "Oratory of St. John of the Cross (Oratorio de San Juan de la Cruz)"_x000D_
location: {lat: 38.0097164534484, lng: -3.36573704226182}_x000D_
level: regional_x000D_
tags:
- spain_x000D_
- ubeda_x000D_
- churches_x000D_
- holy-persons_x000D_
- john-cross_x000D_
- discalced-carmelites_x000D_
_x000D_
---_x000D_
_x000D_
_x000D_
In 1591, St. John of the Cross died here, the site of a former monastery.  Today, there is a chapel housing his relics (a hand and leg) and a museum related to his life._x000D_
_x000D_
#### More Information_x000D_
_x000D_
* [Official site](https://www.sanjuandelacruzubeda.com/)
_x000D_
_x000D_
_x000D_
_x000D_
</v>
      </c>
      <c r="BY106" s="31" t="str">
        <f>IF(AR106,VLOOKUP(B106,'(Ref) Countries'!A:B,2,)&amp;IF(LEN(C106)&gt;1,"-"&amp;LOWER(SUBSTITUTE(C106," ","-")),"")&amp;"-"&amp;LOWER(SUBSTITUTE(G106," ","-"))&amp;".md","")</f>
        <v>es-ubeda-oratorio-de-san-juan-de-la-cruz.md</v>
      </c>
      <c r="BZ106" s="29" t="str">
        <f>IF(LEN(Y106)&gt;1,VLOOKUP(Y106,'Tag List'!$A:$B,2,),"")</f>
        <v>St. John of the Cross, OCD</v>
      </c>
      <c r="CA106" s="29" t="str">
        <f>IF(LEN(Z106)&gt;1,VLOOKUP(Z106,'Tag List'!$A:$B,2,),"")</f>
        <v>Discalced Carmelites (Order of Discalced Carmelites)</v>
      </c>
      <c r="CB106" s="29" t="str">
        <f>IF(LEN(AA106)&gt;1,VLOOKUP(AA106,'Tag List'!$A:$B,2,),"")</f>
        <v/>
      </c>
      <c r="CC106" s="29" t="str">
        <f>IF(LEN(Y106)&gt;1,GetTagPage(BZ106,Y106),"")</f>
        <v>[St. John of the Cross, OCD](/tags/john-cross)</v>
      </c>
      <c r="CD106" s="29" t="str">
        <f>IF(LEN(Z106)&gt;1,GetTagPage(CA106,Z106),"")</f>
        <v>[Discalced Carmelites (Order of Discalced Carmelites)](/tags/discalced-carmelites)</v>
      </c>
      <c r="CE106" s="29" t="str">
        <f>IF(LEN(AA106)&gt;1,GetTagPage(CB106,AA106),"")</f>
        <v/>
      </c>
      <c r="CF106" s="29" t="str">
        <f t="shared" ref="CF106" si="609">"|"&amp;IF(LEN(CC106)&gt;1," "&amp;CC106,"")&amp;IF(LEN(CD106)&gt;1,", "&amp;CD106,"")&amp;IF(LEN(CE106)&gt;1,", "&amp;CE106,"")&amp;" "</f>
        <v xml:space="preserve">| [St. John of the Cross, OCD](/tags/john-cross), [Discalced Carmelites (Order of Discalced Carmelites)](/tags/discalced-carmelites) </v>
      </c>
      <c r="CG106" s="29" t="str">
        <f t="shared" ref="CG106" si="610">"| "&amp;IF(AR106,"["&amp;AI106&amp;"](/places/"&amp;SUBSTITUTE(BY106,".md","")&amp;")",AI106)&amp;" "</f>
        <v xml:space="preserve">| [](/places/es-ubeda-oratorio-de-san-juan-de-la-cruz) </v>
      </c>
      <c r="CH106" s="29" t="str">
        <f>"| "&amp;IF(AR106,GetTagPage(B106,VLOOKUP(B106,'(Ref) Countries'!A:C,3,)),B106)&amp; " "</f>
        <v xml:space="preserve">| [Spain](/tags/spain) </v>
      </c>
      <c r="CI106" s="29" t="str">
        <f t="shared" ref="CI106" si="611">"| "&amp;AJ106&amp;" "</f>
        <v xml:space="preserve">|  </v>
      </c>
      <c r="CJ106" s="29" t="str">
        <f t="shared" ref="CJ106" si="612">"|"&amp;IF(AR106," [Link](/places/"&amp;SUBSTITUTE(BY106,".md","")&amp;")","")&amp;" "</f>
        <v xml:space="preserve">| [Link](/places/es-ubeda-oratorio-de-san-juan-de-la-cruz) </v>
      </c>
      <c r="CK106" s="29" t="str">
        <f t="shared" ref="CK106" si="613">"
"&amp;CG106&amp;CH106&amp;CI106&amp;CJ106&amp;BL106&amp;BQ106&amp;BR106&amp;BS106&amp;CF106&amp;"|"</f>
        <v xml:space="preserve">
| [](/places/es-ubeda-oratorio-de-san-juan-de-la-cruz) | [Spain](/tags/spain) |  | [Link](/places/es-ubeda-oratorio-de-san-juan-de-la-cruz) [Official site](https://www.sanjuandelacruzubeda.com/)| [St. John of the Cross, OCD](/tags/john-cross), [Discalced Carmelites (Order of Discalced Carmelites)](/tags/discalced-carmelites) |</v>
      </c>
    </row>
    <row r="107" spans="1:89" ht="38.25" x14ac:dyDescent="0.25">
      <c r="A107" s="14" t="s">
        <v>1322</v>
      </c>
      <c r="B107" s="24" t="s">
        <v>552</v>
      </c>
      <c r="C107" s="115" t="s">
        <v>2290</v>
      </c>
      <c r="D107" s="15">
        <v>40.931787066841601</v>
      </c>
      <c r="E107" s="49">
        <v>-4.9646371</v>
      </c>
      <c r="F107" s="114" t="s">
        <v>2291</v>
      </c>
      <c r="G107" s="116" t="s">
        <v>2292</v>
      </c>
      <c r="H107" s="115" t="s">
        <v>1835</v>
      </c>
      <c r="I107" s="15" t="b">
        <v>1</v>
      </c>
      <c r="K107" s="15" t="b">
        <v>1</v>
      </c>
      <c r="L107" s="114" t="s">
        <v>2293</v>
      </c>
      <c r="O107" s="15" t="s">
        <v>336</v>
      </c>
      <c r="P107" s="119" t="s">
        <v>2270</v>
      </c>
      <c r="Q107" s="15" t="s">
        <v>2294</v>
      </c>
      <c r="R107" s="64" t="s">
        <v>336</v>
      </c>
      <c r="Y107" s="15" t="s">
        <v>2156</v>
      </c>
      <c r="Z107" s="15" t="s">
        <v>2153</v>
      </c>
      <c r="AR107" s="28" t="b">
        <f t="shared" ref="AR107" si="614">IF(OR(A107="Done",A107="In Progress"),TRUE)</f>
        <v>1</v>
      </c>
      <c r="AS107" s="29" t="str">
        <f t="shared" ref="AS107" si="615">"title: """&amp;F107&amp;""""</f>
        <v>title: "Church of the Birthplace of St. John of the Cross (Iglesia Casa Natal de San Juan de la Cruz)"</v>
      </c>
      <c r="AT107" s="29" t="str">
        <f t="shared" ref="AT107" si="616">"location: {lat: "&amp;D107&amp;", lng: "&amp;E107&amp;"}"</f>
        <v>location: {lat: 40.9317870668416, lng: -4.9646371}</v>
      </c>
      <c r="AU107" s="29" t="str">
        <f t="shared" ref="AU107" si="617">"level: "&amp;H107</f>
        <v>level: local</v>
      </c>
      <c r="AV107" s="29" t="str">
        <f>"- "&amp;VLOOKUP(B107,'(Ref) Countries'!A:C,3,)</f>
        <v>- spain</v>
      </c>
      <c r="AW107" s="29" t="str">
        <f t="shared" ref="AW107" si="618">IF(LEN(C107)&gt;1,"- "&amp;LOWER(SUBSTITUTE(C107," ","-")),"")</f>
        <v>- fontiveros</v>
      </c>
      <c r="AX107" s="29" t="str">
        <f t="shared" ref="AX107" si="619">IF(I107,"- churches","")</f>
        <v>- churches</v>
      </c>
      <c r="AY107" s="29" t="str">
        <f t="shared" ref="AY107" si="620">IF(J107,"- marian-sites","")</f>
        <v/>
      </c>
      <c r="AZ107" s="29" t="str">
        <f t="shared" ref="AZ107" si="621">IF(K107,"- holy-persons","")</f>
        <v>- holy-persons</v>
      </c>
      <c r="BA107" s="29" t="str">
        <f t="shared" ref="BA107" si="622">IF(LEN(Y107)&gt;0,"- "&amp;Y107,"")</f>
        <v>- john-cross</v>
      </c>
      <c r="BB107" s="29" t="str">
        <f t="shared" ref="BB107" si="623">IF(LEN(Z107)&gt;0,"- "&amp;Z107,"")</f>
        <v>- discalced-carmelites</v>
      </c>
      <c r="BC107" s="29" t="str">
        <f t="shared" ref="BC107" si="624">IF(LEN(AA107)&gt;0,"- "&amp;AA107,"")</f>
        <v/>
      </c>
      <c r="BD107" s="29" t="str">
        <f t="shared" ref="BD107" si="625">IF(LEN(AB107)&gt;0,"- "&amp;AB107,"")</f>
        <v/>
      </c>
      <c r="BE107" s="29" t="str">
        <f t="shared" ref="BE107" si="626">IF(LEN(AC107)&gt;0,"- "&amp;AC107,"")</f>
        <v/>
      </c>
      <c r="BF107" s="29" t="str">
        <f t="shared" ref="BF107" si="627">IF(LEN(AD107)&gt;0,"- "&amp;AD107,"")</f>
        <v/>
      </c>
      <c r="BG107" s="29" t="str">
        <f t="shared" ref="BG107" si="628">IF(LEN(AE107)&gt;0,"- "&amp;AE107,"")</f>
        <v/>
      </c>
      <c r="BH107" s="29" t="str">
        <f t="shared" ref="BH107" si="629">IF(LEN(AF107)&gt;0,"- "&amp;AF107,"")</f>
        <v/>
      </c>
      <c r="BI107" s="29" t="str">
        <f t="shared" ref="BI107" si="630">IF(LEN(AG107)&gt;0,"- "&amp;AG107,"")</f>
        <v/>
      </c>
      <c r="BJ107" s="29" t="str">
        <f t="shared" ref="BJ107" si="631">IF(LEN(AH107)&gt;0,"- "&amp;AH107,"")</f>
        <v/>
      </c>
      <c r="BK107" s="29" t="str">
        <f t="shared" ref="BK107" si="632">"tags:"&amp;CHAR(10)&amp;concatl(AV107:BJ107)</f>
        <v xml:space="preserve">tags:
- spain_x000D_
- fontiveros_x000D_
- churches_x000D_
- holy-persons_x000D_
- john-cross_x000D_
- discalced-carmelites_x000D_
</v>
      </c>
      <c r="BL107" s="29" t="str">
        <f t="shared" ref="BL107" si="633">IF(LEN(N107)&gt;0,TRIM(CONCATENATE("[Official site](",N107,") ",O107)),"")</f>
        <v/>
      </c>
      <c r="BM107" s="29" t="str">
        <f t="shared" ref="BM107" si="634">IF(LEN(Q107)&gt;0,TRIM(CONCATENATE("["&amp;P107&amp;"](",Q107,") ",R107)),"")</f>
        <v>[Castila y Leon tourism site](https://www.turismocastillayleon.com/en/art-culture-heritage/monuments/churches-chapels/church-san-juan-de-la-cruz-house-natal)</v>
      </c>
      <c r="BN107" s="29" t="str">
        <f t="shared" ref="BN107" si="635">IF(LEN(T107)&gt;0,TRIM(CONCATENATE("["&amp;S107&amp;"](",T107,") ",U107)),"")</f>
        <v/>
      </c>
      <c r="BO107" s="29" t="str">
        <f t="shared" ref="BO107" si="636">IF(LEN(W107)&gt;0,TRIM(CONCATENATE("["&amp;V107&amp;"](",W107,") ",X107)),"")</f>
        <v/>
      </c>
      <c r="BP107" s="29" t="str">
        <f t="shared" ref="BP107" si="637">IF(LEN(BL107)&gt;0,"* "&amp;BL107&amp;CHAR(10),"")&amp;
IF(LEN(BM107)&gt;0,"* "&amp;BM107&amp;CHAR(10),"")&amp;
IF(LEN(BN107)&gt;0,"* "&amp;BN107&amp;CHAR(10),"")&amp;
IF(LEN(BO107)&gt;0,"* "&amp;BO107&amp;CHAR(10),"")</f>
        <v xml:space="preserve">* [Castila y Leon tourism site](https://www.turismocastillayleon.com/en/art-culture-heritage/monuments/churches-chapels/church-san-juan-de-la-cruz-house-natal)
</v>
      </c>
      <c r="BQ107" s="29" t="str">
        <f t="shared" ref="BQ107" si="638">IF(LEN(AK107)&gt;0,TRIM(CONCATENATE("[Link](",AK107,") ",AL107)),"")</f>
        <v/>
      </c>
      <c r="BR107" s="29" t="str">
        <f t="shared" ref="BR107" si="639">IF(LEN(AM107)&gt;0,TRIM(CONCATENATE("[Link](",AM107,") ",AN107)),"")</f>
        <v/>
      </c>
      <c r="BS107" s="29" t="str">
        <f t="shared" ref="BS107" si="640">IF(LEN(AO107)&gt;0,TRIM(CONCATENATE("[Link](",AO107,") ",AP107)),"")</f>
        <v/>
      </c>
      <c r="BT107" s="29" t="str">
        <f>IF(LEN(concat(BQ107:BS107))&gt;0,concat("| ",BQ107," | ",BR107," | ",BS107," |"),"")</f>
        <v/>
      </c>
      <c r="BU107" s="29" t="str">
        <f t="shared" ref="BU107" si="641">IF(J107,concatl("| The Real Presence | Miracle Hunter | MaryPages |","| --- | --- | --- |",BT107),"")</f>
        <v/>
      </c>
      <c r="BV107" s="29" t="str">
        <f>IF(LEN(BP107&amp;BU107)&gt;0,concatll("#### More Information",BP107,BU107),"")</f>
        <v xml:space="preserve">#### More Information_x000D_
_x000D_
* [Castila y Leon tourism site](https://www.turismocastillayleon.com/en/art-culture-heritage/monuments/churches-chapels/church-san-juan-de-la-cruz-house-natal)
_x000D_
_x000D_
</v>
      </c>
      <c r="BW107" s="29" t="str">
        <f>IF(LEN(M107)&gt;1,concatll("#### Author's Note",M107),"")</f>
        <v/>
      </c>
      <c r="BX107" s="23" t="str">
        <f>IF(AR107,concatll(concatl("---",AS107:AU107,BK107,"---"),L107,BV107:BW107),"")</f>
        <v xml:space="preserve">---_x000D_
title: "Church of the Birthplace of St. John of the Cross (Iglesia Casa Natal de San Juan de la Cruz)"_x000D_
location: {lat: 40.9317870668416, lng: -4.9646371}_x000D_
level: local_x000D_
tags:
- spain_x000D_
- fontiveros_x000D_
- churches_x000D_
- holy-persons_x000D_
- john-cross_x000D_
- discalced-carmelites_x000D_
_x000D_
---_x000D_
_x000D_
_x000D_
Church in the town of St. John of the Cross's birth_x000D_
_x000D_
#### More Information_x000D_
_x000D_
* [Castila y Leon tourism site](https://www.turismocastillayleon.com/en/art-culture-heritage/monuments/churches-chapels/church-san-juan-de-la-cruz-house-natal)
_x000D_
_x000D_
_x000D_
_x000D_
</v>
      </c>
      <c r="BY107" s="31" t="str">
        <f>IF(AR107,VLOOKUP(B107,'(Ref) Countries'!A:B,2,)&amp;IF(LEN(C107)&gt;1,"-"&amp;LOWER(SUBSTITUTE(C107," ","-")),"")&amp;"-"&amp;LOWER(SUBSTITUTE(G107," ","-"))&amp;".md","")</f>
        <v>es-fontiveros-iglesia-casa-natal-de-san-juan-de-la-cruz.md</v>
      </c>
      <c r="BZ107" s="29" t="str">
        <f>IF(LEN(Y107)&gt;1,VLOOKUP(Y107,'Tag List'!$A:$B,2,),"")</f>
        <v>St. John of the Cross, OCD</v>
      </c>
      <c r="CA107" s="29" t="str">
        <f>IF(LEN(Z107)&gt;1,VLOOKUP(Z107,'Tag List'!$A:$B,2,),"")</f>
        <v>Discalced Carmelites (Order of Discalced Carmelites)</v>
      </c>
      <c r="CB107" s="29" t="str">
        <f>IF(LEN(AA107)&gt;1,VLOOKUP(AA107,'Tag List'!$A:$B,2,),"")</f>
        <v/>
      </c>
      <c r="CC107" s="29" t="str">
        <f>IF(LEN(Y107)&gt;1,GetTagPage(BZ107,Y107),"")</f>
        <v>[St. John of the Cross, OCD](/tags/john-cross)</v>
      </c>
      <c r="CD107" s="29" t="str">
        <f>IF(LEN(Z107)&gt;1,GetTagPage(CA107,Z107),"")</f>
        <v>[Discalced Carmelites (Order of Discalced Carmelites)](/tags/discalced-carmelites)</v>
      </c>
      <c r="CE107" s="29" t="str">
        <f>IF(LEN(AA107)&gt;1,GetTagPage(CB107,AA107),"")</f>
        <v/>
      </c>
      <c r="CF107" s="29" t="str">
        <f t="shared" ref="CF107" si="642">"|"&amp;IF(LEN(CC107)&gt;1," "&amp;CC107,"")&amp;IF(LEN(CD107)&gt;1,", "&amp;CD107,"")&amp;IF(LEN(CE107)&gt;1,", "&amp;CE107,"")&amp;" "</f>
        <v xml:space="preserve">| [St. John of the Cross, OCD](/tags/john-cross), [Discalced Carmelites (Order of Discalced Carmelites)](/tags/discalced-carmelites) </v>
      </c>
      <c r="CG107" s="29" t="str">
        <f t="shared" ref="CG107" si="643">"| "&amp;IF(AR107,"["&amp;AI107&amp;"](/places/"&amp;SUBSTITUTE(BY107,".md","")&amp;")",AI107)&amp;" "</f>
        <v xml:space="preserve">| [](/places/es-fontiveros-iglesia-casa-natal-de-san-juan-de-la-cruz) </v>
      </c>
      <c r="CH107" s="29" t="str">
        <f>"| "&amp;IF(AR107,GetTagPage(B107,VLOOKUP(B107,'(Ref) Countries'!A:C,3,)),B107)&amp; " "</f>
        <v xml:space="preserve">| [Spain](/tags/spain) </v>
      </c>
      <c r="CI107" s="29" t="str">
        <f t="shared" ref="CI107" si="644">"| "&amp;AJ107&amp;" "</f>
        <v xml:space="preserve">|  </v>
      </c>
      <c r="CJ107" s="29" t="str">
        <f t="shared" ref="CJ107" si="645">"|"&amp;IF(AR107," [Link](/places/"&amp;SUBSTITUTE(BY107,".md","")&amp;")","")&amp;" "</f>
        <v xml:space="preserve">| [Link](/places/es-fontiveros-iglesia-casa-natal-de-san-juan-de-la-cruz) </v>
      </c>
      <c r="CK107" s="29" t="str">
        <f t="shared" ref="CK107" si="646">"
"&amp;CG107&amp;CH107&amp;CI107&amp;CJ107&amp;BL107&amp;BQ107&amp;BR107&amp;BS107&amp;CF107&amp;"|"</f>
        <v xml:space="preserve">
| [](/places/es-fontiveros-iglesia-casa-natal-de-san-juan-de-la-cruz) | [Spain](/tags/spain) |  | [Link](/places/es-fontiveros-iglesia-casa-natal-de-san-juan-de-la-cruz) | [St. John of the Cross, OCD](/tags/john-cross), [Discalced Carmelites (Order of Discalced Carmelites)](/tags/discalced-carmelites) |</v>
      </c>
    </row>
  </sheetData>
  <autoFilter ref="A1:CQ81" xr:uid="{A598B8B3-DE60-41C5-96BA-7CC5FA9AD3BE}"/>
  <conditionalFormatting sqref="A1:AP1048576 AR1:CK1048576">
    <cfRule type="expression" dxfId="7" priority="2">
      <formula>IF($A1="Blocked",TRUE,FALSE)</formula>
    </cfRule>
    <cfRule type="expression" dxfId="6" priority="3">
      <formula>IF($A1="In Progress",TRUE,FALSE)</formula>
    </cfRule>
  </conditionalFormatting>
  <conditionalFormatting sqref="AI1:AP1048576">
    <cfRule type="expression" dxfId="5" priority="1">
      <formula>IF(AND($A1&lt;&gt;0,$J1=0),TRUE,FALSE)</formula>
    </cfRule>
  </conditionalFormatting>
  <hyperlinks>
    <hyperlink ref="AI2" r:id="rId1" display="http://www.therealpresence.org/eucharst/misc/BVM/09_ZARAGOZA_60x96.pdf" xr:uid="{C32278E4-7B7A-4954-906D-9C47B409BA2E}"/>
    <hyperlink ref="AI3" r:id="rId2" display="http://www.therealpresence.org/eucharst/misc/BVM/68_LE_PUY_60x96.pdf" xr:uid="{CA03B079-2CAD-492C-9E3F-618DC97F1315}"/>
    <hyperlink ref="AI5" r:id="rId3" display="http://www.therealpresence.org/eucharst/misc/BVM/117_ROMA_60x96.pdf" xr:uid="{19903BBD-2E0B-4FC0-B12B-17CA17D1BEAD}"/>
    <hyperlink ref="AI6" r:id="rId4" display="http://www.therealpresence.org/eucharst/misc/BVM/90_TINDARI_60x96.pdf" xr:uid="{5DEB3489-2F6D-49A0-874C-5F62C2659263}"/>
    <hyperlink ref="AI7" r:id="rId5" display="http://www.therealpresence.org/eucharst/misc/BVM/153_WALSINGHAM_60x96.pdf" xr:uid="{F08A0A36-1EB4-43EE-82AF-E0260EA92604}"/>
    <hyperlink ref="AI8" r:id="rId6" display="http://www.therealpresence.org/eucharst/misc/BVM/138_SWIETA_LIPKA_60x96.pdf" xr:uid="{A5DE945D-29BF-4310-B2D2-A673B5065271}"/>
    <hyperlink ref="AI9" r:id="rId7" display="http://www.therealpresence.org/eucharst/misc/BVM/13_VALVERDE_60x96.pdf" xr:uid="{7BCA5074-E5ED-4665-ABB7-0692B0D6A186}"/>
    <hyperlink ref="AI11" r:id="rId8" display="http://www.therealpresence.org/eucharst/misc/BVM/32_VAILANKANNI_60x96.pdf" xr:uid="{489E131A-8E14-46B5-BB24-7DDA799C38FB}"/>
    <hyperlink ref="AI12" r:id="rId9" display="http://www.therealpresence.org/eucharst/misc/BVM/70_GUADALUPE_96x96.pdf" xr:uid="{B1B8B53E-5BAF-460A-AABE-EF5672BC9ACC}"/>
    <hyperlink ref="AI13" r:id="rId10" display="http://www.therealpresence.org/eucharst/misc/BVM/137_SVETA_GORA_60x96.pdf" xr:uid="{DF9F5ACF-66C9-4DC5-971D-5E7894EEDBED}"/>
    <hyperlink ref="AI14" r:id="rId11" display="http://www.therealpresence.org/eucharst/misc/BVM/140_GOZO_60x96.pdf" xr:uid="{12021650-E5C0-4596-B9DA-B5910F446D73}"/>
    <hyperlink ref="AI16" r:id="rId12" display="http://www.therealpresence.org/eucharst/misc/BVM/112_LUJAN_96x96.pdf" xr:uid="{9C9EE3D2-20D5-4611-BE8D-C4DEC3E1DD45}"/>
    <hyperlink ref="AI17" r:id="rId13" display="http://www.therealpresence.org/eucharst/misc/BVM/94_CAYSASAY_60x96.pdf" xr:uid="{E30EF88F-2468-4403-A13B-FC90525FB784}"/>
    <hyperlink ref="AI18" r:id="rId14" display="http://www.therealpresence.org/eucharst/misc/BVM/104_DOROSZLO_60x96.pdf" xr:uid="{D355AD30-56C2-4752-AF84-7613A746082C}"/>
    <hyperlink ref="AI19" r:id="rId15" display="http://www.therealpresence.org/eucharst/misc/BVM/57_SILUVA_96x96.pdf" xr:uid="{57CA58CD-A9F6-41BA-9AFE-3EF68EFC1E97}"/>
    <hyperlink ref="AI20" r:id="rId16" display="http://www.therealpresence.org/eucharst/misc/BVM/88_MANAOAG_60x96.pdf" xr:uid="{9B5AE47B-71F0-4951-BA0C-73F35609D322}"/>
    <hyperlink ref="AI21" r:id="rId17" display="http://www.therealpresence.org/eucharst/misc/BVM/102_CUBA_96x96.pdf" xr:uid="{AE52E191-4C08-4325-AAC1-F431733684EE}"/>
    <hyperlink ref="AI22" r:id="rId18" display="http://www.therealpresence.org/eucharst/misc/BVM/69_LAUS_140x96.pdf" xr:uid="{47EBC17E-3022-4B54-8C06-F6E30985CF34}"/>
    <hyperlink ref="AI23" r:id="rId19" display="http://www.therealpresence.org/eucharst/misc/BVM/109_LAJAS_96x96.pdf" xr:uid="{5E55BC1B-CDB5-4035-B57A-F4F9C4615022}"/>
    <hyperlink ref="AI24" r:id="rId20" display="http://www.therealpresence.org/eucharst/misc/BVM/21_LAVANG_60x96.pdf" xr:uid="{E25E80BB-D05A-4AE7-A237-C4CE83C48226}"/>
    <hyperlink ref="AI25" r:id="rId21" display="http://www.therealpresence.org/eucharst/misc/BVM/110_LICHEN_96x96.pdf" xr:uid="{C3DA243D-69BB-40E7-B6C2-682AC414D5CF}"/>
    <hyperlink ref="AI26" r:id="rId22" display="http://www.therealpresence.org/eucharst/misc/BVM/06_PARIGI_60x96.pdf" xr:uid="{B55806A6-B198-4A9F-8B4E-C8B236010F2F}"/>
    <hyperlink ref="AI27" r:id="rId23" display="http://www.therealpresence.org/eucharst/misc/BVM/23_ROMA_60x96.pdf" xr:uid="{04873456-C162-4CCF-A15B-B99C615CE702}"/>
    <hyperlink ref="AI28" r:id="rId24" display="http://www.therealpresence.org/eucharst/misc/BVM/30_LA_SALETTE_96x96.pdf" xr:uid="{196A5320-6676-4EF1-8332-90C055C3F324}"/>
    <hyperlink ref="AI29" r:id="rId25" display="http://www.therealpresence.org/eucharst/misc/BVM/40_LOURDES_140x96.pdf" xr:uid="{0E442E49-F47F-4E39-B0F8-7BD5EE632E6A}"/>
    <hyperlink ref="AI30" r:id="rId26" display="http://www.therealpresence.org/eucharst/misc/BVM/89_FILIPOV_96x96.pdf" xr:uid="{487ABD3A-F8BB-4BE0-ACFC-033D0C037295}"/>
    <hyperlink ref="AI31" r:id="rId27" display="http://www.therealpresence.org/eucharst/misc/BVM/26_PONTMAIN_60x96.pdf" xr:uid="{1C4295E7-38F2-4746-9EA4-3167D315BC85}"/>
    <hyperlink ref="AI32" r:id="rId28" display="http://www.therealpresence.org/eucharst/misc/BVM/07_PELLEVOISIN_60x96.pdf" xr:uid="{D2B26C3B-937B-4D07-805A-79B71B01D389}"/>
    <hyperlink ref="AI33" r:id="rId29" display="http://www.therealpresence.org/eucharst/misc/BVM/85_GIETRZALD_96x96.pdf" xr:uid="{2E378F3D-BCCF-40CC-B461-739D7CE2DB36}"/>
    <hyperlink ref="AI34" r:id="rId30" display="http://www.therealpresence.org/eucharst/misc/BVM/63_KNOCK_60x96.pdf" xr:uid="{7AEA5702-3D74-45DC-BBA5-772B410C7ABB}"/>
    <hyperlink ref="AI35" r:id="rId31" display="http://www.therealpresence.org/eucharst/misc/BVM/154_FATIMA_96x96_1.pdf" xr:uid="{BBE3D2C4-1E15-438E-874E-7C013CE9F038}"/>
    <hyperlink ref="AI36" r:id="rId32" display="http://www.therealpresence.org/eucharst/misc/BVM/128_KALLIKULAM_60x96.pdf" xr:uid="{EC20155A-4D8F-4B9A-8BC9-AD53DDAA3B2D}"/>
    <hyperlink ref="AI37" r:id="rId33" display="http://www.therealpresence.org/eucharst/misc/BVM/124_NGOME_140x96.pdf" xr:uid="{4235EB2E-6994-48B8-B2B9-BD0AF0481CF3}"/>
    <hyperlink ref="AI38" r:id="rId34" display="http://www.therealpresence.org/eucharst/misc/BVM/144_ZEITUN_96x96.pdf" xr:uid="{0EDD73A9-5A3C-4483-A3C8-1A95818F3C4B}"/>
    <hyperlink ref="AI39" r:id="rId35" display="http://www.therealpresence.org/eucharst/misc/BVM/01_AKITA_60x96.pdf" xr:uid="{FA8314A8-A194-4DAE-9A7E-65EECB2DC573}"/>
    <hyperlink ref="AI40" r:id="rId36" display="http://www.therealpresence.org/eucharst/misc/BVM/16_CUAPA_60x96.pdf" xr:uid="{71244677-A467-4D01-B899-925B6A0E0158}"/>
    <hyperlink ref="AI41" r:id="rId37" display="http://www.therealpresence.org/eucharst/misc/BVM/20_KIBEHO_96x96.pdf" xr:uid="{FF0B29AE-9B16-4798-BF10-3705A44A3613}"/>
  </hyperlinks>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expression" priority="19" id="{1BCE7D4C-278A-4156-90B9-020449CA49D6}">
            <xm:f>IF(AND(LEN(Y1)&lt;&gt;0,ROW(Y1)&gt;1,ISNA(VLOOKUP(Y1,'Tag List'!$A:$B,2,))),TRUE,FALSE)</xm:f>
            <x14:dxf>
              <fill>
                <patternFill>
                  <bgColor rgb="FFFF0000"/>
                </patternFill>
              </fill>
            </x14:dxf>
          </x14:cfRule>
          <xm:sqref>Y1:AH1048576</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FDC2CDB7-970C-41B0-825B-FE221D5E63BF}">
          <x14:formula1>
            <xm:f>'(Ref) Countries'!$A:$A</xm:f>
          </x14:formula1>
          <xm:sqref>B1:B1048576</xm:sqref>
        </x14:dataValidation>
        <x14:dataValidation type="list" allowBlank="1" showInputMessage="1" showErrorMessage="1" xr:uid="{4D7BA9E5-C59A-4982-8ECD-C721C2B91B0B}">
          <x14:formula1>
            <xm:f>'Tag List'!$A:$A</xm:f>
          </x14:formula1>
          <xm:sqref>Y1:AH1048576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98B8B3-DE60-41C5-96BA-7CC5FA9AD3BE}">
  <sheetPr codeName="Sheet4"/>
  <dimension ref="A1:AP124"/>
  <sheetViews>
    <sheetView zoomScale="80" zoomScaleNormal="80" workbookViewId="0">
      <pane xSplit="1" ySplit="1" topLeftCell="M84" activePane="bottomRight" state="frozen"/>
      <selection pane="topRight" activeCell="B1" sqref="B1"/>
      <selection pane="bottomLeft" activeCell="A2" sqref="A2"/>
      <selection pane="bottomRight" activeCell="AF117" sqref="AF117"/>
    </sheetView>
  </sheetViews>
  <sheetFormatPr defaultRowHeight="12.75" x14ac:dyDescent="0.25"/>
  <cols>
    <col min="1" max="1" width="10.42578125" style="14" bestFit="1" customWidth="1"/>
    <col min="2" max="2" width="9.85546875" style="24" bestFit="1" customWidth="1"/>
    <col min="3" max="3" width="14.42578125" style="15" customWidth="1"/>
    <col min="4" max="4" width="3.85546875" style="52" bestFit="1" customWidth="1"/>
    <col min="5" max="5" width="4.42578125" style="49" bestFit="1" customWidth="1"/>
    <col min="6" max="6" width="38.140625" style="24" bestFit="1" customWidth="1"/>
    <col min="7" max="7" width="38.140625" style="53" customWidth="1"/>
    <col min="8" max="8" width="9.42578125" style="15" bestFit="1" customWidth="1"/>
    <col min="9" max="9" width="9.42578125" style="15" customWidth="1"/>
    <col min="10" max="11" width="14.42578125" style="15" customWidth="1"/>
    <col min="12" max="12" width="69" style="24" customWidth="1"/>
    <col min="13" max="13" width="45.5703125" style="53" customWidth="1"/>
    <col min="14" max="15" width="9.140625" style="15"/>
    <col min="16" max="16" width="9.140625" style="60"/>
    <col min="17" max="17" width="9.140625" style="15"/>
    <col min="18" max="18" width="9.140625" style="64"/>
    <col min="19" max="19" width="9.140625" style="60"/>
    <col min="20" max="20" width="9.140625" style="15"/>
    <col min="21" max="21" width="9.140625" style="64"/>
    <col min="22" max="23" width="9.140625" style="15"/>
    <col min="24" max="24" width="9.140625" style="49"/>
    <col min="25" max="33" width="18.85546875" style="15" customWidth="1"/>
    <col min="34" max="34" width="18.85546875" style="82" customWidth="1"/>
    <col min="35" max="35" width="36.28515625" style="102" bestFit="1" customWidth="1"/>
    <col min="36" max="36" width="21" style="99" bestFit="1" customWidth="1"/>
    <col min="37" max="37" width="18.42578125" style="15" bestFit="1" customWidth="1"/>
    <col min="38" max="38" width="18.42578125" style="15" customWidth="1"/>
    <col min="39" max="39" width="14.42578125" style="15" bestFit="1" customWidth="1"/>
    <col min="40" max="41" width="14.42578125" style="15" customWidth="1"/>
    <col min="42" max="42" width="14.42578125" style="49" customWidth="1"/>
    <col min="43" max="16384" width="9.140625" style="15"/>
  </cols>
  <sheetData>
    <row r="1" spans="1:42" s="67" customFormat="1" ht="13.5" thickBot="1" x14ac:dyDescent="0.3">
      <c r="A1" s="67" t="s">
        <v>1323</v>
      </c>
      <c r="B1" s="68" t="s">
        <v>485</v>
      </c>
      <c r="C1" s="67" t="s">
        <v>1729</v>
      </c>
      <c r="D1" s="73" t="s">
        <v>341</v>
      </c>
      <c r="E1" s="74" t="s">
        <v>342</v>
      </c>
      <c r="F1" s="68" t="s">
        <v>728</v>
      </c>
      <c r="G1" s="70" t="s">
        <v>729</v>
      </c>
      <c r="H1" s="67" t="s">
        <v>1719</v>
      </c>
      <c r="I1" s="67" t="s">
        <v>1804</v>
      </c>
      <c r="J1" s="67" t="s">
        <v>1775</v>
      </c>
      <c r="K1" s="67" t="s">
        <v>1762</v>
      </c>
      <c r="L1" s="68" t="s">
        <v>165</v>
      </c>
      <c r="M1" s="70" t="s">
        <v>369</v>
      </c>
      <c r="N1" s="67" t="s">
        <v>1786</v>
      </c>
      <c r="O1" s="67" t="s">
        <v>1783</v>
      </c>
      <c r="P1" s="71" t="s">
        <v>1784</v>
      </c>
      <c r="Q1" s="67" t="s">
        <v>1785</v>
      </c>
      <c r="R1" s="72" t="s">
        <v>1787</v>
      </c>
      <c r="S1" s="71" t="s">
        <v>1788</v>
      </c>
      <c r="T1" s="67" t="s">
        <v>1789</v>
      </c>
      <c r="U1" s="72" t="s">
        <v>1790</v>
      </c>
      <c r="V1" s="67" t="s">
        <v>1791</v>
      </c>
      <c r="W1" s="67" t="s">
        <v>1792</v>
      </c>
      <c r="X1" s="74" t="s">
        <v>1793</v>
      </c>
      <c r="Y1" s="67" t="s">
        <v>1420</v>
      </c>
      <c r="Z1" s="67" t="s">
        <v>1422</v>
      </c>
      <c r="AA1" s="67" t="s">
        <v>1424</v>
      </c>
      <c r="AB1" s="67" t="s">
        <v>1776</v>
      </c>
      <c r="AC1" s="67" t="s">
        <v>1777</v>
      </c>
      <c r="AD1" s="67" t="s">
        <v>1778</v>
      </c>
      <c r="AE1" s="67" t="s">
        <v>1779</v>
      </c>
      <c r="AF1" s="67" t="s">
        <v>1780</v>
      </c>
      <c r="AG1" s="67" t="s">
        <v>1781</v>
      </c>
      <c r="AH1" s="80" t="s">
        <v>1782</v>
      </c>
      <c r="AI1" s="97" t="s">
        <v>1775</v>
      </c>
      <c r="AJ1" s="69" t="s">
        <v>163</v>
      </c>
      <c r="AK1" s="67" t="s">
        <v>333</v>
      </c>
      <c r="AL1" s="67" t="s">
        <v>1327</v>
      </c>
      <c r="AM1" s="67" t="s">
        <v>335</v>
      </c>
      <c r="AN1" s="67" t="s">
        <v>1328</v>
      </c>
      <c r="AO1" s="67" t="s">
        <v>350</v>
      </c>
      <c r="AP1" s="74" t="s">
        <v>1329</v>
      </c>
    </row>
    <row r="2" spans="1:42" x14ac:dyDescent="0.25">
      <c r="B2" s="24" t="s">
        <v>552</v>
      </c>
      <c r="H2" s="15" t="s">
        <v>1720</v>
      </c>
      <c r="I2" s="25" t="b">
        <v>1</v>
      </c>
      <c r="J2" s="15" t="b">
        <v>1</v>
      </c>
      <c r="N2" s="15" t="s">
        <v>336</v>
      </c>
      <c r="O2" s="15" t="s">
        <v>336</v>
      </c>
      <c r="Y2" s="39"/>
      <c r="Z2" s="39"/>
      <c r="AA2" s="39"/>
      <c r="AB2" s="39"/>
      <c r="AC2" s="39"/>
      <c r="AD2" s="39"/>
      <c r="AE2" s="39"/>
      <c r="AF2" s="39"/>
      <c r="AG2" s="39"/>
      <c r="AH2" s="85"/>
      <c r="AI2" s="98" t="s">
        <v>625</v>
      </c>
      <c r="AJ2" s="99" t="s">
        <v>1064</v>
      </c>
      <c r="AK2" s="15" t="s">
        <v>183</v>
      </c>
      <c r="AL2" s="15" t="s">
        <v>336</v>
      </c>
      <c r="AM2" s="15" t="s">
        <v>336</v>
      </c>
      <c r="AN2" s="15" t="s">
        <v>336</v>
      </c>
      <c r="AO2" s="15" t="s">
        <v>336</v>
      </c>
      <c r="AP2" s="49" t="s">
        <v>336</v>
      </c>
    </row>
    <row r="3" spans="1:42" x14ac:dyDescent="0.25">
      <c r="B3" s="24" t="s">
        <v>11</v>
      </c>
      <c r="H3" s="15" t="s">
        <v>1720</v>
      </c>
      <c r="I3" s="25" t="b">
        <v>1</v>
      </c>
      <c r="J3" s="15" t="b">
        <v>1</v>
      </c>
      <c r="N3" s="15" t="s">
        <v>336</v>
      </c>
      <c r="O3" s="15" t="s">
        <v>336</v>
      </c>
      <c r="Y3" s="15" t="s">
        <v>336</v>
      </c>
      <c r="AI3" s="98" t="s">
        <v>1185</v>
      </c>
      <c r="AJ3" s="99">
        <v>1000</v>
      </c>
      <c r="AK3" s="15" t="s">
        <v>185</v>
      </c>
      <c r="AL3" s="15" t="s">
        <v>336</v>
      </c>
      <c r="AM3" s="15" t="s">
        <v>336</v>
      </c>
      <c r="AN3" s="15" t="s">
        <v>336</v>
      </c>
      <c r="AO3" s="15" t="s">
        <v>336</v>
      </c>
      <c r="AP3" s="49" t="s">
        <v>336</v>
      </c>
    </row>
    <row r="4" spans="1:42" x14ac:dyDescent="0.25">
      <c r="B4" s="24" t="s">
        <v>11</v>
      </c>
      <c r="H4" s="15" t="s">
        <v>1720</v>
      </c>
      <c r="I4" s="25" t="b">
        <v>1</v>
      </c>
      <c r="J4" s="15" t="b">
        <v>1</v>
      </c>
      <c r="N4" s="15" t="s">
        <v>336</v>
      </c>
      <c r="O4" s="15" t="s">
        <v>336</v>
      </c>
      <c r="Y4" s="15" t="s">
        <v>336</v>
      </c>
      <c r="AI4" s="98" t="s">
        <v>1186</v>
      </c>
      <c r="AJ4" s="99">
        <v>1001</v>
      </c>
      <c r="AK4" s="15" t="s">
        <v>186</v>
      </c>
      <c r="AL4" s="15" t="s">
        <v>336</v>
      </c>
      <c r="AM4" s="15" t="s">
        <v>336</v>
      </c>
      <c r="AN4" s="15" t="s">
        <v>336</v>
      </c>
      <c r="AO4" s="15" t="s">
        <v>336</v>
      </c>
      <c r="AP4" s="49" t="s">
        <v>336</v>
      </c>
    </row>
    <row r="5" spans="1:42" x14ac:dyDescent="0.25">
      <c r="B5" s="24" t="s">
        <v>557</v>
      </c>
      <c r="H5" s="15" t="s">
        <v>1720</v>
      </c>
      <c r="I5" s="25" t="b">
        <v>1</v>
      </c>
      <c r="J5" s="15" t="b">
        <v>1</v>
      </c>
      <c r="N5" s="15" t="s">
        <v>336</v>
      </c>
      <c r="O5" s="15" t="s">
        <v>336</v>
      </c>
      <c r="Y5" s="15" t="s">
        <v>336</v>
      </c>
      <c r="AI5" s="98" t="s">
        <v>1187</v>
      </c>
      <c r="AJ5" s="99">
        <v>1105</v>
      </c>
      <c r="AK5" s="15" t="s">
        <v>187</v>
      </c>
      <c r="AL5" s="15" t="s">
        <v>336</v>
      </c>
      <c r="AM5" s="15" t="s">
        <v>336</v>
      </c>
      <c r="AN5" s="15" t="s">
        <v>336</v>
      </c>
      <c r="AO5" s="15" t="s">
        <v>336</v>
      </c>
      <c r="AP5" s="49" t="s">
        <v>336</v>
      </c>
    </row>
    <row r="6" spans="1:42" x14ac:dyDescent="0.25">
      <c r="B6" s="24" t="s">
        <v>655</v>
      </c>
      <c r="H6" s="15" t="s">
        <v>1720</v>
      </c>
      <c r="I6" s="25" t="b">
        <v>1</v>
      </c>
      <c r="J6" s="15" t="b">
        <v>1</v>
      </c>
      <c r="N6" s="15" t="s">
        <v>336</v>
      </c>
      <c r="O6" s="15" t="s">
        <v>336</v>
      </c>
      <c r="Y6" s="15" t="s">
        <v>336</v>
      </c>
      <c r="AI6" s="98" t="s">
        <v>1188</v>
      </c>
      <c r="AJ6" s="99">
        <v>1182</v>
      </c>
      <c r="AK6" s="15" t="s">
        <v>188</v>
      </c>
      <c r="AL6" s="15" t="s">
        <v>336</v>
      </c>
      <c r="AM6" s="15" t="s">
        <v>336</v>
      </c>
      <c r="AN6" s="15" t="s">
        <v>336</v>
      </c>
      <c r="AO6" s="15" t="s">
        <v>336</v>
      </c>
      <c r="AP6" s="49" t="s">
        <v>336</v>
      </c>
    </row>
    <row r="7" spans="1:42" x14ac:dyDescent="0.25">
      <c r="B7" s="24" t="s">
        <v>11</v>
      </c>
      <c r="H7" s="15" t="s">
        <v>1720</v>
      </c>
      <c r="I7" s="25" t="b">
        <v>1</v>
      </c>
      <c r="J7" s="15" t="b">
        <v>1</v>
      </c>
      <c r="N7" s="15" t="s">
        <v>336</v>
      </c>
      <c r="O7" s="15" t="s">
        <v>336</v>
      </c>
      <c r="Y7" s="15" t="s">
        <v>336</v>
      </c>
      <c r="AI7" s="98" t="s">
        <v>1190</v>
      </c>
      <c r="AJ7" s="99">
        <v>1216</v>
      </c>
      <c r="AK7" s="15" t="s">
        <v>190</v>
      </c>
      <c r="AL7" s="15" t="s">
        <v>336</v>
      </c>
      <c r="AM7" s="15" t="s">
        <v>336</v>
      </c>
      <c r="AN7" s="15" t="s">
        <v>336</v>
      </c>
      <c r="AO7" s="15" t="s">
        <v>336</v>
      </c>
      <c r="AP7" s="49" t="s">
        <v>336</v>
      </c>
    </row>
    <row r="8" spans="1:42" x14ac:dyDescent="0.25">
      <c r="B8" s="24" t="s">
        <v>655</v>
      </c>
      <c r="H8" s="15" t="s">
        <v>1720</v>
      </c>
      <c r="I8" s="25" t="b">
        <v>1</v>
      </c>
      <c r="J8" s="15" t="b">
        <v>1</v>
      </c>
      <c r="N8" s="15" t="s">
        <v>336</v>
      </c>
      <c r="O8" s="15" t="s">
        <v>336</v>
      </c>
      <c r="Y8" s="15" t="s">
        <v>336</v>
      </c>
      <c r="AI8" s="98" t="s">
        <v>1191</v>
      </c>
      <c r="AJ8" s="99">
        <v>1220</v>
      </c>
      <c r="AK8" s="15" t="s">
        <v>191</v>
      </c>
      <c r="AL8" s="15" t="s">
        <v>336</v>
      </c>
      <c r="AM8" s="15" t="s">
        <v>336</v>
      </c>
      <c r="AN8" s="15" t="s">
        <v>336</v>
      </c>
      <c r="AO8" s="15" t="s">
        <v>336</v>
      </c>
      <c r="AP8" s="49" t="s">
        <v>336</v>
      </c>
    </row>
    <row r="9" spans="1:42" x14ac:dyDescent="0.25">
      <c r="B9" s="24" t="s">
        <v>552</v>
      </c>
      <c r="H9" s="15" t="s">
        <v>1720</v>
      </c>
      <c r="I9" s="25" t="b">
        <v>1</v>
      </c>
      <c r="J9" s="15" t="b">
        <v>1</v>
      </c>
      <c r="N9" s="15" t="s">
        <v>336</v>
      </c>
      <c r="O9" s="15" t="s">
        <v>336</v>
      </c>
      <c r="Y9" s="15" t="s">
        <v>336</v>
      </c>
      <c r="AI9" s="98" t="s">
        <v>1192</v>
      </c>
      <c r="AJ9" s="99">
        <v>1222</v>
      </c>
      <c r="AK9" s="15" t="s">
        <v>192</v>
      </c>
      <c r="AL9" s="15" t="s">
        <v>336</v>
      </c>
      <c r="AM9" s="15" t="s">
        <v>336</v>
      </c>
      <c r="AN9" s="15" t="s">
        <v>336</v>
      </c>
      <c r="AO9" s="15" t="s">
        <v>336</v>
      </c>
      <c r="AP9" s="49" t="s">
        <v>336</v>
      </c>
    </row>
    <row r="10" spans="1:42" x14ac:dyDescent="0.25">
      <c r="B10" s="24" t="s">
        <v>11</v>
      </c>
      <c r="H10" s="15" t="s">
        <v>1720</v>
      </c>
      <c r="I10" s="25" t="b">
        <v>1</v>
      </c>
      <c r="J10" s="15" t="b">
        <v>1</v>
      </c>
      <c r="N10" s="15" t="s">
        <v>336</v>
      </c>
      <c r="O10" s="15" t="s">
        <v>336</v>
      </c>
      <c r="Y10" s="15" t="s">
        <v>336</v>
      </c>
      <c r="AI10" s="98" t="s">
        <v>1193</v>
      </c>
      <c r="AJ10" s="99">
        <v>1233</v>
      </c>
      <c r="AK10" s="15" t="s">
        <v>193</v>
      </c>
      <c r="AL10" s="15" t="s">
        <v>336</v>
      </c>
      <c r="AM10" s="15" t="s">
        <v>336</v>
      </c>
      <c r="AN10" s="15" t="s">
        <v>336</v>
      </c>
      <c r="AO10" s="15" t="s">
        <v>336</v>
      </c>
      <c r="AP10" s="49" t="s">
        <v>336</v>
      </c>
    </row>
    <row r="11" spans="1:42" ht="25.5" x14ac:dyDescent="0.25">
      <c r="B11" s="24" t="s">
        <v>736</v>
      </c>
      <c r="H11" s="15" t="s">
        <v>1720</v>
      </c>
      <c r="I11" s="25" t="b">
        <v>1</v>
      </c>
      <c r="J11" s="15" t="b">
        <v>1</v>
      </c>
      <c r="N11" s="15" t="s">
        <v>336</v>
      </c>
      <c r="O11" s="15" t="s">
        <v>336</v>
      </c>
      <c r="Y11" s="15" t="s">
        <v>336</v>
      </c>
      <c r="AI11" s="98" t="s">
        <v>1194</v>
      </c>
      <c r="AJ11" s="99">
        <v>1251</v>
      </c>
      <c r="AK11" s="15" t="s">
        <v>194</v>
      </c>
      <c r="AL11" s="15" t="s">
        <v>336</v>
      </c>
      <c r="AM11" s="15" t="s">
        <v>336</v>
      </c>
      <c r="AN11" s="15" t="s">
        <v>336</v>
      </c>
      <c r="AO11" s="15" t="s">
        <v>336</v>
      </c>
      <c r="AP11" s="49" t="s">
        <v>336</v>
      </c>
    </row>
    <row r="12" spans="1:42" x14ac:dyDescent="0.25">
      <c r="B12" s="27" t="s">
        <v>11</v>
      </c>
      <c r="C12" s="35" t="s">
        <v>1004</v>
      </c>
      <c r="H12" s="15" t="s">
        <v>1720</v>
      </c>
      <c r="I12" s="25" t="b">
        <v>1</v>
      </c>
      <c r="J12" s="15" t="b">
        <v>1</v>
      </c>
      <c r="N12" s="15" t="s">
        <v>336</v>
      </c>
      <c r="O12" s="15" t="s">
        <v>336</v>
      </c>
      <c r="Y12" s="39"/>
      <c r="AI12" s="98" t="s">
        <v>1310</v>
      </c>
      <c r="AJ12" s="99">
        <v>1256</v>
      </c>
      <c r="AK12" s="15" t="s">
        <v>195</v>
      </c>
      <c r="AL12" s="15" t="s">
        <v>336</v>
      </c>
      <c r="AM12" s="15" t="s">
        <v>336</v>
      </c>
      <c r="AN12" s="15" t="s">
        <v>336</v>
      </c>
      <c r="AO12" s="15" t="s">
        <v>336</v>
      </c>
      <c r="AP12" s="49" t="s">
        <v>336</v>
      </c>
    </row>
    <row r="13" spans="1:42" x14ac:dyDescent="0.25">
      <c r="B13" s="24" t="s">
        <v>11</v>
      </c>
      <c r="H13" s="15" t="s">
        <v>1720</v>
      </c>
      <c r="I13" s="25" t="b">
        <v>1</v>
      </c>
      <c r="J13" s="15" t="b">
        <v>1</v>
      </c>
      <c r="N13" s="15" t="s">
        <v>336</v>
      </c>
      <c r="O13" s="15" t="s">
        <v>336</v>
      </c>
      <c r="Y13" s="15" t="s">
        <v>336</v>
      </c>
      <c r="AI13" s="98" t="s">
        <v>1195</v>
      </c>
      <c r="AJ13" s="99">
        <v>1310</v>
      </c>
      <c r="AK13" s="15" t="s">
        <v>196</v>
      </c>
      <c r="AL13" s="15" t="s">
        <v>336</v>
      </c>
      <c r="AM13" s="15" t="s">
        <v>336</v>
      </c>
      <c r="AN13" s="15" t="s">
        <v>336</v>
      </c>
      <c r="AO13" s="15" t="s">
        <v>336</v>
      </c>
      <c r="AP13" s="49" t="s">
        <v>336</v>
      </c>
    </row>
    <row r="14" spans="1:42" x14ac:dyDescent="0.25">
      <c r="B14" s="24" t="s">
        <v>11</v>
      </c>
      <c r="H14" s="15" t="s">
        <v>1720</v>
      </c>
      <c r="I14" s="25" t="b">
        <v>1</v>
      </c>
      <c r="J14" s="15" t="b">
        <v>1</v>
      </c>
      <c r="N14" s="15" t="s">
        <v>336</v>
      </c>
      <c r="O14" s="15" t="s">
        <v>336</v>
      </c>
      <c r="Y14" s="15" t="s">
        <v>336</v>
      </c>
      <c r="AI14" s="98" t="s">
        <v>1196</v>
      </c>
      <c r="AJ14" s="99">
        <v>1336</v>
      </c>
      <c r="AK14" s="15" t="s">
        <v>197</v>
      </c>
      <c r="AL14" s="15" t="s">
        <v>336</v>
      </c>
      <c r="AM14" s="15" t="s">
        <v>336</v>
      </c>
      <c r="AN14" s="15" t="s">
        <v>336</v>
      </c>
      <c r="AO14" s="15" t="s">
        <v>336</v>
      </c>
      <c r="AP14" s="49" t="s">
        <v>336</v>
      </c>
    </row>
    <row r="15" spans="1:42" x14ac:dyDescent="0.25">
      <c r="B15" s="24" t="s">
        <v>11</v>
      </c>
      <c r="H15" s="15" t="s">
        <v>1720</v>
      </c>
      <c r="I15" s="25" t="b">
        <v>1</v>
      </c>
      <c r="J15" s="15" t="b">
        <v>1</v>
      </c>
      <c r="N15" s="15" t="s">
        <v>336</v>
      </c>
      <c r="O15" s="15" t="s">
        <v>336</v>
      </c>
      <c r="Y15" s="15" t="s">
        <v>336</v>
      </c>
      <c r="AI15" s="98" t="s">
        <v>1197</v>
      </c>
      <c r="AJ15" s="99">
        <v>1350</v>
      </c>
      <c r="AK15" s="15" t="s">
        <v>198</v>
      </c>
      <c r="AL15" s="15" t="s">
        <v>336</v>
      </c>
      <c r="AM15" s="15" t="s">
        <v>336</v>
      </c>
      <c r="AN15" s="15" t="s">
        <v>336</v>
      </c>
      <c r="AO15" s="15" t="s">
        <v>336</v>
      </c>
      <c r="AP15" s="49" t="s">
        <v>336</v>
      </c>
    </row>
    <row r="16" spans="1:42" x14ac:dyDescent="0.25">
      <c r="B16" s="24" t="s">
        <v>11</v>
      </c>
      <c r="H16" s="15" t="s">
        <v>1720</v>
      </c>
      <c r="I16" s="25" t="b">
        <v>1</v>
      </c>
      <c r="J16" s="15" t="b">
        <v>1</v>
      </c>
      <c r="N16" s="15" t="s">
        <v>336</v>
      </c>
      <c r="O16" s="15" t="s">
        <v>336</v>
      </c>
      <c r="Y16" s="15" t="s">
        <v>336</v>
      </c>
      <c r="AI16" s="98" t="s">
        <v>1199</v>
      </c>
      <c r="AJ16" s="99">
        <v>1420</v>
      </c>
      <c r="AK16" s="15" t="s">
        <v>200</v>
      </c>
      <c r="AL16" s="15" t="s">
        <v>336</v>
      </c>
      <c r="AM16" s="15" t="s">
        <v>336</v>
      </c>
      <c r="AN16" s="15" t="s">
        <v>336</v>
      </c>
      <c r="AO16" s="15" t="s">
        <v>336</v>
      </c>
      <c r="AP16" s="49" t="s">
        <v>336</v>
      </c>
    </row>
    <row r="17" spans="2:42" x14ac:dyDescent="0.25">
      <c r="B17" s="24" t="s">
        <v>552</v>
      </c>
      <c r="H17" s="15" t="s">
        <v>1720</v>
      </c>
      <c r="I17" s="25" t="b">
        <v>1</v>
      </c>
      <c r="J17" s="15" t="b">
        <v>1</v>
      </c>
      <c r="N17" s="15" t="s">
        <v>336</v>
      </c>
      <c r="O17" s="15" t="s">
        <v>336</v>
      </c>
      <c r="Y17" s="15" t="s">
        <v>336</v>
      </c>
      <c r="AI17" s="98" t="s">
        <v>1200</v>
      </c>
      <c r="AJ17" s="99">
        <v>1420</v>
      </c>
      <c r="AK17" s="15" t="s">
        <v>201</v>
      </c>
      <c r="AL17" s="15" t="s">
        <v>336</v>
      </c>
      <c r="AM17" s="15" t="s">
        <v>336</v>
      </c>
      <c r="AN17" s="15" t="s">
        <v>336</v>
      </c>
      <c r="AO17" s="15" t="s">
        <v>336</v>
      </c>
      <c r="AP17" s="49" t="s">
        <v>336</v>
      </c>
    </row>
    <row r="18" spans="2:42" x14ac:dyDescent="0.25">
      <c r="B18" s="24" t="s">
        <v>11</v>
      </c>
      <c r="H18" s="15" t="s">
        <v>1720</v>
      </c>
      <c r="I18" s="25" t="b">
        <v>1</v>
      </c>
      <c r="J18" s="15" t="b">
        <v>1</v>
      </c>
      <c r="N18" s="15" t="s">
        <v>336</v>
      </c>
      <c r="O18" s="15" t="s">
        <v>336</v>
      </c>
      <c r="Y18" s="15" t="s">
        <v>336</v>
      </c>
      <c r="AI18" s="98" t="s">
        <v>1201</v>
      </c>
      <c r="AJ18" s="99" t="s">
        <v>1081</v>
      </c>
      <c r="AK18" s="15" t="s">
        <v>202</v>
      </c>
      <c r="AL18" s="15" t="s">
        <v>336</v>
      </c>
      <c r="AM18" s="15" t="s">
        <v>336</v>
      </c>
      <c r="AN18" s="15" t="s">
        <v>336</v>
      </c>
      <c r="AO18" s="15" t="s">
        <v>336</v>
      </c>
      <c r="AP18" s="49" t="s">
        <v>336</v>
      </c>
    </row>
    <row r="19" spans="2:42" x14ac:dyDescent="0.25">
      <c r="B19" s="24" t="s">
        <v>11</v>
      </c>
      <c r="H19" s="15" t="s">
        <v>1720</v>
      </c>
      <c r="I19" s="25" t="b">
        <v>1</v>
      </c>
      <c r="J19" s="15" t="b">
        <v>1</v>
      </c>
      <c r="N19" s="15" t="s">
        <v>336</v>
      </c>
      <c r="O19" s="15" t="s">
        <v>336</v>
      </c>
      <c r="Y19" s="15" t="s">
        <v>336</v>
      </c>
      <c r="AI19" s="98" t="s">
        <v>1202</v>
      </c>
      <c r="AJ19" s="99">
        <v>1432</v>
      </c>
      <c r="AK19" s="15" t="s">
        <v>203</v>
      </c>
      <c r="AL19" s="15" t="s">
        <v>336</v>
      </c>
      <c r="AM19" s="15" t="s">
        <v>336</v>
      </c>
      <c r="AN19" s="15" t="s">
        <v>336</v>
      </c>
      <c r="AO19" s="15" t="s">
        <v>336</v>
      </c>
      <c r="AP19" s="49" t="s">
        <v>336</v>
      </c>
    </row>
    <row r="20" spans="2:42" x14ac:dyDescent="0.25">
      <c r="B20" s="24" t="s">
        <v>11</v>
      </c>
      <c r="H20" s="15" t="s">
        <v>1720</v>
      </c>
      <c r="I20" s="25" t="b">
        <v>1</v>
      </c>
      <c r="J20" s="15" t="b">
        <v>1</v>
      </c>
      <c r="N20" s="15" t="s">
        <v>336</v>
      </c>
      <c r="O20" s="15" t="s">
        <v>336</v>
      </c>
      <c r="Y20" s="15" t="s">
        <v>336</v>
      </c>
      <c r="AI20" s="98" t="s">
        <v>1203</v>
      </c>
      <c r="AJ20" s="99">
        <v>1440</v>
      </c>
      <c r="AK20" s="15" t="s">
        <v>204</v>
      </c>
      <c r="AL20" s="15" t="s">
        <v>336</v>
      </c>
      <c r="AM20" s="15" t="s">
        <v>336</v>
      </c>
      <c r="AN20" s="15" t="s">
        <v>336</v>
      </c>
      <c r="AO20" s="15" t="s">
        <v>336</v>
      </c>
      <c r="AP20" s="49" t="s">
        <v>336</v>
      </c>
    </row>
    <row r="21" spans="2:42" x14ac:dyDescent="0.25">
      <c r="B21" s="24" t="s">
        <v>552</v>
      </c>
      <c r="H21" s="15" t="s">
        <v>1720</v>
      </c>
      <c r="I21" s="25" t="b">
        <v>1</v>
      </c>
      <c r="J21" s="15" t="b">
        <v>1</v>
      </c>
      <c r="N21" s="15" t="s">
        <v>336</v>
      </c>
      <c r="O21" s="15" t="s">
        <v>336</v>
      </c>
      <c r="Y21" s="15" t="s">
        <v>336</v>
      </c>
      <c r="AI21" s="98" t="s">
        <v>1204</v>
      </c>
      <c r="AJ21" s="99">
        <v>1443</v>
      </c>
      <c r="AK21" s="15" t="s">
        <v>205</v>
      </c>
      <c r="AL21" s="15" t="s">
        <v>336</v>
      </c>
      <c r="AM21" s="15" t="s">
        <v>336</v>
      </c>
      <c r="AN21" s="15" t="s">
        <v>336</v>
      </c>
      <c r="AO21" s="15" t="s">
        <v>336</v>
      </c>
      <c r="AP21" s="49" t="s">
        <v>336</v>
      </c>
    </row>
    <row r="22" spans="2:42" x14ac:dyDescent="0.25">
      <c r="B22" s="24" t="s">
        <v>11</v>
      </c>
      <c r="H22" s="15" t="s">
        <v>1720</v>
      </c>
      <c r="I22" s="25" t="b">
        <v>1</v>
      </c>
      <c r="J22" s="15" t="b">
        <v>1</v>
      </c>
      <c r="N22" s="15" t="s">
        <v>336</v>
      </c>
      <c r="O22" s="15" t="s">
        <v>336</v>
      </c>
      <c r="Y22" s="15" t="s">
        <v>336</v>
      </c>
      <c r="AI22" s="98" t="s">
        <v>1315</v>
      </c>
      <c r="AJ22" s="99" t="s">
        <v>1314</v>
      </c>
      <c r="AK22" s="15" t="s">
        <v>206</v>
      </c>
      <c r="AL22" s="15" t="s">
        <v>336</v>
      </c>
      <c r="AM22" s="15" t="s">
        <v>336</v>
      </c>
      <c r="AN22" s="15" t="s">
        <v>336</v>
      </c>
      <c r="AO22" s="15" t="s">
        <v>336</v>
      </c>
      <c r="AP22" s="49" t="s">
        <v>336</v>
      </c>
    </row>
    <row r="23" spans="2:42" x14ac:dyDescent="0.25">
      <c r="B23" s="24" t="s">
        <v>11</v>
      </c>
      <c r="H23" s="15" t="s">
        <v>1720</v>
      </c>
      <c r="I23" s="25" t="b">
        <v>1</v>
      </c>
      <c r="J23" s="15" t="b">
        <v>1</v>
      </c>
      <c r="N23" s="15" t="s">
        <v>336</v>
      </c>
      <c r="O23" s="15" t="s">
        <v>336</v>
      </c>
      <c r="Y23" s="15" t="s">
        <v>336</v>
      </c>
      <c r="AI23" s="98" t="s">
        <v>1205</v>
      </c>
      <c r="AJ23" s="99">
        <v>1453</v>
      </c>
      <c r="AK23" s="15" t="s">
        <v>207</v>
      </c>
      <c r="AL23" s="15" t="s">
        <v>336</v>
      </c>
      <c r="AM23" s="15" t="s">
        <v>336</v>
      </c>
      <c r="AN23" s="15" t="s">
        <v>336</v>
      </c>
      <c r="AO23" s="15" t="s">
        <v>336</v>
      </c>
      <c r="AP23" s="49" t="s">
        <v>336</v>
      </c>
    </row>
    <row r="24" spans="2:42" x14ac:dyDescent="0.25">
      <c r="B24" s="24" t="s">
        <v>11</v>
      </c>
      <c r="H24" s="15" t="s">
        <v>1720</v>
      </c>
      <c r="I24" s="25" t="b">
        <v>1</v>
      </c>
      <c r="J24" s="15" t="b">
        <v>1</v>
      </c>
      <c r="N24" s="15" t="s">
        <v>336</v>
      </c>
      <c r="O24" s="15" t="s">
        <v>336</v>
      </c>
      <c r="Y24" s="15" t="s">
        <v>336</v>
      </c>
      <c r="AI24" s="98" t="s">
        <v>1206</v>
      </c>
      <c r="AJ24" s="99">
        <v>1462</v>
      </c>
      <c r="AK24" s="15" t="s">
        <v>208</v>
      </c>
      <c r="AL24" s="15" t="s">
        <v>336</v>
      </c>
      <c r="AM24" s="15" t="s">
        <v>336</v>
      </c>
      <c r="AN24" s="15" t="s">
        <v>336</v>
      </c>
      <c r="AO24" s="15" t="s">
        <v>336</v>
      </c>
      <c r="AP24" s="49" t="s">
        <v>336</v>
      </c>
    </row>
    <row r="25" spans="2:42" x14ac:dyDescent="0.25">
      <c r="B25" s="24" t="s">
        <v>11</v>
      </c>
      <c r="H25" s="15" t="s">
        <v>1720</v>
      </c>
      <c r="I25" s="25" t="b">
        <v>1</v>
      </c>
      <c r="J25" s="15" t="b">
        <v>1</v>
      </c>
      <c r="N25" s="15" t="s">
        <v>336</v>
      </c>
      <c r="O25" s="15" t="s">
        <v>336</v>
      </c>
      <c r="Y25" s="15" t="s">
        <v>336</v>
      </c>
      <c r="AI25" s="98" t="s">
        <v>1207</v>
      </c>
      <c r="AJ25" s="99">
        <v>1467</v>
      </c>
      <c r="AK25" s="15" t="s">
        <v>209</v>
      </c>
      <c r="AL25" s="15" t="s">
        <v>336</v>
      </c>
      <c r="AM25" s="15" t="s">
        <v>336</v>
      </c>
      <c r="AN25" s="15" t="s">
        <v>336</v>
      </c>
      <c r="AO25" s="15" t="s">
        <v>336</v>
      </c>
      <c r="AP25" s="49" t="s">
        <v>336</v>
      </c>
    </row>
    <row r="26" spans="2:42" x14ac:dyDescent="0.25">
      <c r="B26" s="24" t="s">
        <v>11</v>
      </c>
      <c r="H26" s="15" t="s">
        <v>1720</v>
      </c>
      <c r="I26" s="25" t="b">
        <v>1</v>
      </c>
      <c r="J26" s="15" t="b">
        <v>1</v>
      </c>
      <c r="N26" s="15" t="s">
        <v>336</v>
      </c>
      <c r="O26" s="15" t="s">
        <v>336</v>
      </c>
      <c r="Y26" s="15" t="s">
        <v>336</v>
      </c>
      <c r="AI26" s="98" t="s">
        <v>1208</v>
      </c>
      <c r="AJ26" s="99">
        <v>1470</v>
      </c>
      <c r="AK26" s="15" t="s">
        <v>210</v>
      </c>
      <c r="AL26" s="15" t="s">
        <v>336</v>
      </c>
      <c r="AM26" s="15" t="s">
        <v>336</v>
      </c>
      <c r="AN26" s="15" t="s">
        <v>336</v>
      </c>
      <c r="AO26" s="15" t="s">
        <v>336</v>
      </c>
      <c r="AP26" s="49" t="s">
        <v>336</v>
      </c>
    </row>
    <row r="27" spans="2:42" x14ac:dyDescent="0.25">
      <c r="B27" s="24" t="s">
        <v>11</v>
      </c>
      <c r="H27" s="15" t="s">
        <v>1720</v>
      </c>
      <c r="I27" s="25" t="b">
        <v>1</v>
      </c>
      <c r="J27" s="15" t="b">
        <v>1</v>
      </c>
      <c r="N27" s="15" t="s">
        <v>336</v>
      </c>
      <c r="O27" s="15" t="s">
        <v>336</v>
      </c>
      <c r="Y27" s="15" t="s">
        <v>336</v>
      </c>
      <c r="AI27" s="98" t="s">
        <v>1209</v>
      </c>
      <c r="AJ27" s="99">
        <v>1480</v>
      </c>
      <c r="AK27" s="15" t="s">
        <v>211</v>
      </c>
      <c r="AL27" s="15" t="s">
        <v>336</v>
      </c>
      <c r="AM27" s="15" t="s">
        <v>336</v>
      </c>
      <c r="AN27" s="15" t="s">
        <v>336</v>
      </c>
      <c r="AO27" s="15" t="s">
        <v>336</v>
      </c>
      <c r="AP27" s="49" t="s">
        <v>336</v>
      </c>
    </row>
    <row r="28" spans="2:42" x14ac:dyDescent="0.25">
      <c r="B28" s="24" t="s">
        <v>552</v>
      </c>
      <c r="H28" s="15" t="s">
        <v>1720</v>
      </c>
      <c r="I28" s="25" t="b">
        <v>1</v>
      </c>
      <c r="J28" s="15" t="b">
        <v>1</v>
      </c>
      <c r="N28" s="15" t="s">
        <v>336</v>
      </c>
      <c r="O28" s="15" t="s">
        <v>336</v>
      </c>
      <c r="Y28" s="15" t="s">
        <v>336</v>
      </c>
      <c r="AI28" s="98" t="s">
        <v>1210</v>
      </c>
      <c r="AJ28" s="99">
        <v>1481</v>
      </c>
      <c r="AK28" s="15" t="s">
        <v>212</v>
      </c>
      <c r="AL28" s="15" t="s">
        <v>336</v>
      </c>
      <c r="AM28" s="15" t="s">
        <v>336</v>
      </c>
      <c r="AN28" s="15" t="s">
        <v>336</v>
      </c>
      <c r="AO28" s="15" t="s">
        <v>336</v>
      </c>
      <c r="AP28" s="49" t="s">
        <v>336</v>
      </c>
    </row>
    <row r="29" spans="2:42" x14ac:dyDescent="0.25">
      <c r="B29" s="24" t="s">
        <v>11</v>
      </c>
      <c r="H29" s="15" t="s">
        <v>1720</v>
      </c>
      <c r="I29" s="25" t="b">
        <v>1</v>
      </c>
      <c r="J29" s="15" t="b">
        <v>1</v>
      </c>
      <c r="N29" s="15" t="s">
        <v>336</v>
      </c>
      <c r="O29" s="15" t="s">
        <v>336</v>
      </c>
      <c r="Y29" s="15" t="s">
        <v>336</v>
      </c>
      <c r="AI29" s="98" t="s">
        <v>1211</v>
      </c>
      <c r="AJ29" s="99">
        <v>1483</v>
      </c>
      <c r="AK29" s="15" t="s">
        <v>213</v>
      </c>
      <c r="AL29" s="15" t="s">
        <v>336</v>
      </c>
      <c r="AM29" s="15" t="s">
        <v>336</v>
      </c>
      <c r="AN29" s="15" t="s">
        <v>336</v>
      </c>
      <c r="AO29" s="15" t="s">
        <v>336</v>
      </c>
      <c r="AP29" s="49" t="s">
        <v>336</v>
      </c>
    </row>
    <row r="30" spans="2:42" x14ac:dyDescent="0.25">
      <c r="B30" s="24" t="s">
        <v>552</v>
      </c>
      <c r="H30" s="15" t="s">
        <v>1720</v>
      </c>
      <c r="I30" s="25" t="b">
        <v>1</v>
      </c>
      <c r="J30" s="15" t="b">
        <v>1</v>
      </c>
      <c r="N30" s="15" t="s">
        <v>336</v>
      </c>
      <c r="O30" s="15" t="s">
        <v>336</v>
      </c>
      <c r="Y30" s="15" t="s">
        <v>336</v>
      </c>
      <c r="AI30" s="98" t="s">
        <v>1212</v>
      </c>
      <c r="AJ30" s="99">
        <v>1484</v>
      </c>
      <c r="AK30" s="15" t="s">
        <v>214</v>
      </c>
      <c r="AL30" s="15" t="s">
        <v>336</v>
      </c>
      <c r="AM30" s="15" t="s">
        <v>336</v>
      </c>
      <c r="AN30" s="15" t="s">
        <v>336</v>
      </c>
      <c r="AO30" s="15" t="s">
        <v>336</v>
      </c>
      <c r="AP30" s="49" t="s">
        <v>336</v>
      </c>
    </row>
    <row r="31" spans="2:42" x14ac:dyDescent="0.25">
      <c r="B31" s="24" t="s">
        <v>11</v>
      </c>
      <c r="H31" s="15" t="s">
        <v>1720</v>
      </c>
      <c r="I31" s="25" t="b">
        <v>1</v>
      </c>
      <c r="J31" s="15" t="b">
        <v>1</v>
      </c>
      <c r="N31" s="15" t="s">
        <v>336</v>
      </c>
      <c r="O31" s="15" t="s">
        <v>336</v>
      </c>
      <c r="Y31" s="15" t="s">
        <v>336</v>
      </c>
      <c r="AI31" s="98" t="s">
        <v>1213</v>
      </c>
      <c r="AJ31" s="99">
        <v>1484</v>
      </c>
      <c r="AK31" s="15" t="s">
        <v>215</v>
      </c>
      <c r="AL31" s="15" t="s">
        <v>336</v>
      </c>
      <c r="AM31" s="15" t="s">
        <v>336</v>
      </c>
      <c r="AN31" s="15" t="s">
        <v>336</v>
      </c>
      <c r="AO31" s="15" t="s">
        <v>336</v>
      </c>
      <c r="AP31" s="49" t="s">
        <v>336</v>
      </c>
    </row>
    <row r="32" spans="2:42" x14ac:dyDescent="0.25">
      <c r="B32" s="24" t="s">
        <v>11</v>
      </c>
      <c r="H32" s="15" t="s">
        <v>1720</v>
      </c>
      <c r="I32" s="25" t="b">
        <v>1</v>
      </c>
      <c r="J32" s="15" t="b">
        <v>1</v>
      </c>
      <c r="N32" s="15" t="s">
        <v>336</v>
      </c>
      <c r="O32" s="15" t="s">
        <v>336</v>
      </c>
      <c r="Y32" s="15" t="s">
        <v>336</v>
      </c>
      <c r="AI32" s="98" t="s">
        <v>1214</v>
      </c>
      <c r="AJ32" s="99">
        <v>1490</v>
      </c>
      <c r="AK32" s="15" t="s">
        <v>216</v>
      </c>
      <c r="AL32" s="15" t="s">
        <v>336</v>
      </c>
      <c r="AM32" s="15" t="s">
        <v>336</v>
      </c>
      <c r="AN32" s="15" t="s">
        <v>336</v>
      </c>
      <c r="AO32" s="15" t="s">
        <v>336</v>
      </c>
      <c r="AP32" s="49" t="s">
        <v>336</v>
      </c>
    </row>
    <row r="33" spans="2:42" x14ac:dyDescent="0.25">
      <c r="B33" s="24" t="s">
        <v>557</v>
      </c>
      <c r="H33" s="15" t="s">
        <v>1720</v>
      </c>
      <c r="I33" s="25" t="b">
        <v>1</v>
      </c>
      <c r="J33" s="15" t="b">
        <v>1</v>
      </c>
      <c r="N33" s="15" t="s">
        <v>336</v>
      </c>
      <c r="O33" s="15" t="s">
        <v>336</v>
      </c>
      <c r="Y33" s="15" t="s">
        <v>336</v>
      </c>
      <c r="AI33" s="98" t="s">
        <v>1215</v>
      </c>
      <c r="AJ33" s="99">
        <v>1491</v>
      </c>
      <c r="AK33" s="15" t="s">
        <v>217</v>
      </c>
      <c r="AL33" s="15" t="s">
        <v>336</v>
      </c>
      <c r="AM33" s="15" t="s">
        <v>336</v>
      </c>
      <c r="AN33" s="15" t="s">
        <v>336</v>
      </c>
      <c r="AO33" s="15" t="s">
        <v>336</v>
      </c>
      <c r="AP33" s="49" t="s">
        <v>336</v>
      </c>
    </row>
    <row r="34" spans="2:42" x14ac:dyDescent="0.25">
      <c r="B34" s="24" t="s">
        <v>11</v>
      </c>
      <c r="H34" s="15" t="s">
        <v>1720</v>
      </c>
      <c r="I34" s="25" t="b">
        <v>1</v>
      </c>
      <c r="J34" s="15" t="b">
        <v>1</v>
      </c>
      <c r="N34" s="15" t="s">
        <v>336</v>
      </c>
      <c r="O34" s="15" t="s">
        <v>336</v>
      </c>
      <c r="Y34" s="15" t="s">
        <v>336</v>
      </c>
      <c r="AI34" s="98" t="s">
        <v>1216</v>
      </c>
      <c r="AJ34" s="99">
        <v>1492</v>
      </c>
      <c r="AK34" s="15" t="s">
        <v>218</v>
      </c>
      <c r="AL34" s="15" t="s">
        <v>336</v>
      </c>
      <c r="AM34" s="15" t="s">
        <v>336</v>
      </c>
      <c r="AN34" s="15" t="s">
        <v>336</v>
      </c>
      <c r="AO34" s="15" t="s">
        <v>336</v>
      </c>
      <c r="AP34" s="49" t="s">
        <v>336</v>
      </c>
    </row>
    <row r="35" spans="2:42" x14ac:dyDescent="0.25">
      <c r="B35" s="24" t="s">
        <v>11</v>
      </c>
      <c r="H35" s="15" t="s">
        <v>1720</v>
      </c>
      <c r="I35" s="25" t="b">
        <v>1</v>
      </c>
      <c r="J35" s="15" t="b">
        <v>1</v>
      </c>
      <c r="N35" s="15" t="s">
        <v>336</v>
      </c>
      <c r="O35" s="15" t="s">
        <v>336</v>
      </c>
      <c r="Y35" s="15" t="s">
        <v>336</v>
      </c>
      <c r="AI35" s="98" t="s">
        <v>1217</v>
      </c>
      <c r="AJ35" s="99">
        <v>1494</v>
      </c>
      <c r="AK35" s="15" t="s">
        <v>219</v>
      </c>
      <c r="AL35" s="15" t="s">
        <v>336</v>
      </c>
      <c r="AM35" s="15" t="s">
        <v>336</v>
      </c>
      <c r="AN35" s="15" t="s">
        <v>336</v>
      </c>
      <c r="AO35" s="15" t="s">
        <v>336</v>
      </c>
      <c r="AP35" s="49" t="s">
        <v>336</v>
      </c>
    </row>
    <row r="36" spans="2:42" x14ac:dyDescent="0.25">
      <c r="B36" s="24" t="s">
        <v>11</v>
      </c>
      <c r="H36" s="15" t="s">
        <v>1720</v>
      </c>
      <c r="I36" s="25" t="b">
        <v>1</v>
      </c>
      <c r="J36" s="15" t="b">
        <v>1</v>
      </c>
      <c r="N36" s="15" t="s">
        <v>336</v>
      </c>
      <c r="O36" s="15" t="s">
        <v>336</v>
      </c>
      <c r="Y36" s="15" t="s">
        <v>336</v>
      </c>
      <c r="AI36" s="98" t="s">
        <v>1218</v>
      </c>
      <c r="AJ36" s="99">
        <v>1496</v>
      </c>
      <c r="AK36" s="15" t="s">
        <v>220</v>
      </c>
      <c r="AL36" s="15" t="s">
        <v>336</v>
      </c>
      <c r="AM36" s="15" t="s">
        <v>336</v>
      </c>
      <c r="AN36" s="15" t="s">
        <v>336</v>
      </c>
      <c r="AO36" s="15" t="s">
        <v>336</v>
      </c>
      <c r="AP36" s="49" t="s">
        <v>336</v>
      </c>
    </row>
    <row r="37" spans="2:42" x14ac:dyDescent="0.25">
      <c r="B37" s="24" t="s">
        <v>11</v>
      </c>
      <c r="H37" s="15" t="s">
        <v>1720</v>
      </c>
      <c r="I37" s="25" t="b">
        <v>1</v>
      </c>
      <c r="J37" s="15" t="b">
        <v>1</v>
      </c>
      <c r="N37" s="15" t="s">
        <v>336</v>
      </c>
      <c r="O37" s="15" t="s">
        <v>336</v>
      </c>
      <c r="Y37" s="15" t="s">
        <v>336</v>
      </c>
      <c r="AI37" s="98" t="s">
        <v>1219</v>
      </c>
      <c r="AJ37" s="99" t="s">
        <v>1098</v>
      </c>
      <c r="AK37" s="15" t="s">
        <v>221</v>
      </c>
      <c r="AL37" s="15" t="s">
        <v>336</v>
      </c>
      <c r="AM37" s="15" t="s">
        <v>336</v>
      </c>
      <c r="AN37" s="15" t="s">
        <v>336</v>
      </c>
      <c r="AO37" s="15" t="s">
        <v>336</v>
      </c>
      <c r="AP37" s="49" t="s">
        <v>336</v>
      </c>
    </row>
    <row r="38" spans="2:42" x14ac:dyDescent="0.25">
      <c r="B38" s="24" t="s">
        <v>531</v>
      </c>
      <c r="H38" s="15" t="s">
        <v>1720</v>
      </c>
      <c r="I38" s="25" t="b">
        <v>1</v>
      </c>
      <c r="J38" s="15" t="b">
        <v>1</v>
      </c>
      <c r="N38" s="15" t="s">
        <v>336</v>
      </c>
      <c r="O38" s="15" t="s">
        <v>336</v>
      </c>
      <c r="Y38" s="15" t="s">
        <v>336</v>
      </c>
      <c r="AI38" s="98" t="s">
        <v>1221</v>
      </c>
      <c r="AJ38" s="99" t="s">
        <v>1098</v>
      </c>
      <c r="AK38" s="15" t="s">
        <v>223</v>
      </c>
      <c r="AL38" s="15" t="s">
        <v>336</v>
      </c>
      <c r="AM38" s="15" t="s">
        <v>336</v>
      </c>
      <c r="AN38" s="15" t="s">
        <v>336</v>
      </c>
      <c r="AO38" s="15" t="s">
        <v>336</v>
      </c>
      <c r="AP38" s="49" t="s">
        <v>336</v>
      </c>
    </row>
    <row r="39" spans="2:42" x14ac:dyDescent="0.25">
      <c r="B39" s="24" t="s">
        <v>502</v>
      </c>
      <c r="H39" s="15" t="s">
        <v>1720</v>
      </c>
      <c r="I39" s="25" t="b">
        <v>1</v>
      </c>
      <c r="J39" s="15" t="b">
        <v>1</v>
      </c>
      <c r="N39" s="15" t="s">
        <v>336</v>
      </c>
      <c r="O39" s="15" t="s">
        <v>336</v>
      </c>
      <c r="Y39" s="15" t="s">
        <v>336</v>
      </c>
      <c r="AI39" s="98" t="s">
        <v>1222</v>
      </c>
      <c r="AJ39" s="99" t="s">
        <v>1098</v>
      </c>
      <c r="AK39" s="15" t="s">
        <v>224</v>
      </c>
      <c r="AL39" s="15" t="s">
        <v>336</v>
      </c>
      <c r="AM39" s="15" t="s">
        <v>336</v>
      </c>
      <c r="AN39" s="15" t="s">
        <v>336</v>
      </c>
      <c r="AO39" s="15" t="s">
        <v>336</v>
      </c>
      <c r="AP39" s="49" t="s">
        <v>336</v>
      </c>
    </row>
    <row r="40" spans="2:42" x14ac:dyDescent="0.25">
      <c r="B40" s="24" t="s">
        <v>11</v>
      </c>
      <c r="H40" s="15" t="s">
        <v>1720</v>
      </c>
      <c r="I40" s="25" t="b">
        <v>1</v>
      </c>
      <c r="J40" s="15" t="b">
        <v>1</v>
      </c>
      <c r="N40" s="15" t="s">
        <v>336</v>
      </c>
      <c r="O40" s="15" t="s">
        <v>336</v>
      </c>
      <c r="Y40" s="15" t="s">
        <v>336</v>
      </c>
      <c r="AI40" s="98" t="s">
        <v>1223</v>
      </c>
      <c r="AJ40" s="99">
        <v>1504</v>
      </c>
      <c r="AK40" s="15" t="s">
        <v>225</v>
      </c>
      <c r="AL40" s="15" t="s">
        <v>336</v>
      </c>
      <c r="AM40" s="15" t="s">
        <v>336</v>
      </c>
      <c r="AN40" s="15" t="s">
        <v>336</v>
      </c>
      <c r="AO40" s="15" t="s">
        <v>336</v>
      </c>
      <c r="AP40" s="49" t="s">
        <v>336</v>
      </c>
    </row>
    <row r="41" spans="2:42" x14ac:dyDescent="0.25">
      <c r="B41" s="24" t="s">
        <v>11</v>
      </c>
      <c r="H41" s="15" t="s">
        <v>1720</v>
      </c>
      <c r="I41" s="25" t="b">
        <v>1</v>
      </c>
      <c r="J41" s="15" t="b">
        <v>1</v>
      </c>
      <c r="N41" s="15" t="s">
        <v>336</v>
      </c>
      <c r="O41" s="15" t="s">
        <v>336</v>
      </c>
      <c r="Y41" s="15" t="s">
        <v>336</v>
      </c>
      <c r="AI41" s="98" t="s">
        <v>1224</v>
      </c>
      <c r="AJ41" s="99">
        <v>1510</v>
      </c>
      <c r="AK41" s="15" t="s">
        <v>226</v>
      </c>
      <c r="AL41" s="15" t="s">
        <v>336</v>
      </c>
      <c r="AM41" s="15" t="s">
        <v>336</v>
      </c>
      <c r="AN41" s="15" t="s">
        <v>336</v>
      </c>
      <c r="AO41" s="15" t="s">
        <v>336</v>
      </c>
      <c r="AP41" s="49" t="s">
        <v>336</v>
      </c>
    </row>
    <row r="42" spans="2:42" x14ac:dyDescent="0.25">
      <c r="B42" s="24" t="s">
        <v>11</v>
      </c>
      <c r="H42" s="15" t="s">
        <v>1720</v>
      </c>
      <c r="I42" s="25" t="b">
        <v>1</v>
      </c>
      <c r="J42" s="15" t="b">
        <v>1</v>
      </c>
      <c r="N42" s="15" t="s">
        <v>336</v>
      </c>
      <c r="O42" s="15" t="s">
        <v>336</v>
      </c>
      <c r="Y42" s="15" t="s">
        <v>336</v>
      </c>
      <c r="AI42" s="98" t="s">
        <v>1225</v>
      </c>
      <c r="AJ42" s="99">
        <v>1510</v>
      </c>
      <c r="AK42" s="15" t="s">
        <v>227</v>
      </c>
      <c r="AL42" s="15" t="s">
        <v>336</v>
      </c>
      <c r="AM42" s="15" t="s">
        <v>336</v>
      </c>
      <c r="AN42" s="15" t="s">
        <v>336</v>
      </c>
      <c r="AO42" s="15" t="s">
        <v>336</v>
      </c>
      <c r="AP42" s="49" t="s">
        <v>336</v>
      </c>
    </row>
    <row r="43" spans="2:42" x14ac:dyDescent="0.25">
      <c r="B43" s="24" t="s">
        <v>11</v>
      </c>
      <c r="H43" s="15" t="s">
        <v>1720</v>
      </c>
      <c r="I43" s="25" t="b">
        <v>1</v>
      </c>
      <c r="J43" s="15" t="b">
        <v>1</v>
      </c>
      <c r="N43" s="15" t="s">
        <v>336</v>
      </c>
      <c r="O43" s="15" t="s">
        <v>336</v>
      </c>
      <c r="Y43" s="15" t="s">
        <v>336</v>
      </c>
      <c r="AI43" s="98" t="s">
        <v>1226</v>
      </c>
      <c r="AJ43" s="99">
        <v>1510</v>
      </c>
      <c r="AK43" s="15" t="s">
        <v>228</v>
      </c>
      <c r="AL43" s="15" t="s">
        <v>336</v>
      </c>
      <c r="AM43" s="15" t="s">
        <v>336</v>
      </c>
      <c r="AN43" s="15" t="s">
        <v>336</v>
      </c>
      <c r="AO43" s="15" t="s">
        <v>336</v>
      </c>
      <c r="AP43" s="49" t="s">
        <v>336</v>
      </c>
    </row>
    <row r="44" spans="2:42" x14ac:dyDescent="0.25">
      <c r="B44" s="24" t="s">
        <v>651</v>
      </c>
      <c r="H44" s="15" t="s">
        <v>1720</v>
      </c>
      <c r="I44" s="25" t="b">
        <v>1</v>
      </c>
      <c r="J44" s="15" t="b">
        <v>1</v>
      </c>
      <c r="N44" s="15" t="s">
        <v>336</v>
      </c>
      <c r="O44" s="15" t="s">
        <v>336</v>
      </c>
      <c r="Y44" s="15" t="s">
        <v>336</v>
      </c>
      <c r="AI44" s="98" t="s">
        <v>1227</v>
      </c>
      <c r="AJ44" s="99">
        <v>1513</v>
      </c>
      <c r="AK44" s="15" t="s">
        <v>229</v>
      </c>
      <c r="AL44" s="15" t="s">
        <v>336</v>
      </c>
      <c r="AM44" s="15" t="s">
        <v>336</v>
      </c>
      <c r="AN44" s="15" t="s">
        <v>336</v>
      </c>
      <c r="AO44" s="15" t="s">
        <v>336</v>
      </c>
      <c r="AP44" s="49" t="s">
        <v>336</v>
      </c>
    </row>
    <row r="45" spans="2:42" x14ac:dyDescent="0.25">
      <c r="B45" s="24" t="s">
        <v>557</v>
      </c>
      <c r="H45" s="15" t="s">
        <v>1720</v>
      </c>
      <c r="I45" s="25" t="b">
        <v>1</v>
      </c>
      <c r="J45" s="15" t="b">
        <v>1</v>
      </c>
      <c r="N45" s="15" t="s">
        <v>336</v>
      </c>
      <c r="O45" s="15" t="s">
        <v>336</v>
      </c>
      <c r="Y45" s="15" t="s">
        <v>336</v>
      </c>
      <c r="AI45" s="98" t="s">
        <v>1228</v>
      </c>
      <c r="AJ45" s="99">
        <v>1515</v>
      </c>
      <c r="AK45" s="15" t="s">
        <v>230</v>
      </c>
      <c r="AL45" s="15" t="s">
        <v>336</v>
      </c>
      <c r="AM45" s="15" t="s">
        <v>336</v>
      </c>
      <c r="AN45" s="15" t="s">
        <v>336</v>
      </c>
      <c r="AO45" s="15" t="s">
        <v>336</v>
      </c>
      <c r="AP45" s="49" t="s">
        <v>336</v>
      </c>
    </row>
    <row r="46" spans="2:42" x14ac:dyDescent="0.25">
      <c r="B46" s="24" t="s">
        <v>11</v>
      </c>
      <c r="H46" s="15" t="s">
        <v>1720</v>
      </c>
      <c r="I46" s="25" t="b">
        <v>1</v>
      </c>
      <c r="J46" s="15" t="b">
        <v>1</v>
      </c>
      <c r="N46" s="15" t="s">
        <v>336</v>
      </c>
      <c r="O46" s="15" t="s">
        <v>336</v>
      </c>
      <c r="Y46" s="15" t="s">
        <v>336</v>
      </c>
      <c r="AI46" s="98" t="s">
        <v>1229</v>
      </c>
      <c r="AJ46" s="99">
        <v>1519</v>
      </c>
      <c r="AK46" s="15" t="s">
        <v>231</v>
      </c>
      <c r="AL46" s="15" t="s">
        <v>336</v>
      </c>
      <c r="AM46" s="15" t="s">
        <v>336</v>
      </c>
      <c r="AN46" s="15" t="s">
        <v>336</v>
      </c>
      <c r="AO46" s="15" t="s">
        <v>336</v>
      </c>
      <c r="AP46" s="49" t="s">
        <v>336</v>
      </c>
    </row>
    <row r="47" spans="2:42" x14ac:dyDescent="0.25">
      <c r="B47" s="24" t="s">
        <v>557</v>
      </c>
      <c r="H47" s="15" t="s">
        <v>1720</v>
      </c>
      <c r="I47" s="25" t="b">
        <v>1</v>
      </c>
      <c r="J47" s="15" t="b">
        <v>1</v>
      </c>
      <c r="N47" s="15" t="s">
        <v>336</v>
      </c>
      <c r="O47" s="15" t="s">
        <v>336</v>
      </c>
      <c r="Y47" s="15" t="s">
        <v>336</v>
      </c>
      <c r="AI47" s="98" t="s">
        <v>1230</v>
      </c>
      <c r="AJ47" s="99" t="s">
        <v>1104</v>
      </c>
      <c r="AK47" s="15" t="s">
        <v>232</v>
      </c>
      <c r="AL47" s="15" t="s">
        <v>336</v>
      </c>
      <c r="AM47" s="15" t="s">
        <v>336</v>
      </c>
      <c r="AN47" s="15" t="s">
        <v>336</v>
      </c>
      <c r="AO47" s="15" t="s">
        <v>336</v>
      </c>
      <c r="AP47" s="49" t="s">
        <v>336</v>
      </c>
    </row>
    <row r="48" spans="2:42" x14ac:dyDescent="0.25">
      <c r="B48" s="24" t="s">
        <v>11</v>
      </c>
      <c r="H48" s="15" t="s">
        <v>1720</v>
      </c>
      <c r="I48" s="25" t="b">
        <v>1</v>
      </c>
      <c r="J48" s="15" t="b">
        <v>1</v>
      </c>
      <c r="N48" s="15" t="s">
        <v>336</v>
      </c>
      <c r="O48" s="15" t="s">
        <v>336</v>
      </c>
      <c r="Y48" s="15" t="s">
        <v>336</v>
      </c>
      <c r="AI48" s="98" t="s">
        <v>1231</v>
      </c>
      <c r="AJ48" s="99">
        <v>1521</v>
      </c>
      <c r="AK48" s="15" t="s">
        <v>233</v>
      </c>
      <c r="AL48" s="15" t="s">
        <v>336</v>
      </c>
      <c r="AM48" s="15" t="s">
        <v>336</v>
      </c>
      <c r="AN48" s="15" t="s">
        <v>336</v>
      </c>
      <c r="AO48" s="15" t="s">
        <v>336</v>
      </c>
      <c r="AP48" s="49" t="s">
        <v>336</v>
      </c>
    </row>
    <row r="49" spans="2:42" x14ac:dyDescent="0.25">
      <c r="B49" s="24" t="s">
        <v>11</v>
      </c>
      <c r="H49" s="15" t="s">
        <v>1720</v>
      </c>
      <c r="I49" s="25" t="b">
        <v>1</v>
      </c>
      <c r="J49" s="15" t="b">
        <v>1</v>
      </c>
      <c r="N49" s="15" t="s">
        <v>336</v>
      </c>
      <c r="O49" s="15" t="s">
        <v>336</v>
      </c>
      <c r="Y49" s="15" t="s">
        <v>336</v>
      </c>
      <c r="AI49" s="98" t="s">
        <v>1232</v>
      </c>
      <c r="AJ49" s="99">
        <v>1521</v>
      </c>
      <c r="AK49" s="15" t="s">
        <v>234</v>
      </c>
      <c r="AL49" s="15" t="s">
        <v>336</v>
      </c>
      <c r="AM49" s="15" t="s">
        <v>336</v>
      </c>
      <c r="AN49" s="15" t="s">
        <v>336</v>
      </c>
      <c r="AO49" s="15" t="s">
        <v>336</v>
      </c>
      <c r="AP49" s="49" t="s">
        <v>336</v>
      </c>
    </row>
    <row r="50" spans="2:42" x14ac:dyDescent="0.25">
      <c r="B50" s="24" t="s">
        <v>11</v>
      </c>
      <c r="H50" s="15" t="s">
        <v>1720</v>
      </c>
      <c r="I50" s="25" t="b">
        <v>1</v>
      </c>
      <c r="J50" s="15" t="b">
        <v>1</v>
      </c>
      <c r="N50" s="15" t="s">
        <v>336</v>
      </c>
      <c r="O50" s="15" t="s">
        <v>336</v>
      </c>
      <c r="Y50" s="15" t="s">
        <v>336</v>
      </c>
      <c r="AI50" s="98" t="s">
        <v>1233</v>
      </c>
      <c r="AJ50" s="99">
        <v>1525</v>
      </c>
      <c r="AK50" s="15" t="s">
        <v>235</v>
      </c>
      <c r="AL50" s="15" t="s">
        <v>336</v>
      </c>
      <c r="AM50" s="15" t="s">
        <v>336</v>
      </c>
      <c r="AN50" s="15" t="s">
        <v>336</v>
      </c>
      <c r="AO50" s="15" t="s">
        <v>336</v>
      </c>
      <c r="AP50" s="49" t="s">
        <v>336</v>
      </c>
    </row>
    <row r="51" spans="2:42" x14ac:dyDescent="0.25">
      <c r="B51" s="24" t="s">
        <v>11</v>
      </c>
      <c r="H51" s="15" t="s">
        <v>1720</v>
      </c>
      <c r="I51" s="25" t="b">
        <v>1</v>
      </c>
      <c r="J51" s="15" t="b">
        <v>1</v>
      </c>
      <c r="N51" s="15" t="s">
        <v>336</v>
      </c>
      <c r="O51" s="15" t="s">
        <v>336</v>
      </c>
      <c r="Y51" s="15" t="s">
        <v>336</v>
      </c>
      <c r="AI51" s="98" t="s">
        <v>1234</v>
      </c>
      <c r="AJ51" s="99">
        <v>1528</v>
      </c>
      <c r="AK51" s="15" t="s">
        <v>236</v>
      </c>
      <c r="AL51" s="15" t="s">
        <v>336</v>
      </c>
      <c r="AM51" s="15" t="s">
        <v>336</v>
      </c>
      <c r="AN51" s="15" t="s">
        <v>336</v>
      </c>
      <c r="AO51" s="15" t="s">
        <v>336</v>
      </c>
      <c r="AP51" s="49" t="s">
        <v>336</v>
      </c>
    </row>
    <row r="52" spans="2:42" x14ac:dyDescent="0.25">
      <c r="B52" s="24" t="s">
        <v>11</v>
      </c>
      <c r="H52" s="15" t="s">
        <v>1720</v>
      </c>
      <c r="I52" s="25" t="b">
        <v>1</v>
      </c>
      <c r="J52" s="15" t="b">
        <v>1</v>
      </c>
      <c r="N52" s="15" t="s">
        <v>336</v>
      </c>
      <c r="O52" s="15" t="s">
        <v>336</v>
      </c>
      <c r="Y52" s="15" t="s">
        <v>336</v>
      </c>
      <c r="AI52" s="98" t="s">
        <v>1235</v>
      </c>
      <c r="AJ52" s="99">
        <v>1536</v>
      </c>
      <c r="AK52" s="15" t="s">
        <v>238</v>
      </c>
      <c r="AL52" s="15" t="s">
        <v>336</v>
      </c>
      <c r="AM52" s="15" t="s">
        <v>336</v>
      </c>
      <c r="AN52" s="15" t="s">
        <v>336</v>
      </c>
      <c r="AO52" s="15" t="s">
        <v>336</v>
      </c>
      <c r="AP52" s="49" t="s">
        <v>336</v>
      </c>
    </row>
    <row r="53" spans="2:42" x14ac:dyDescent="0.25">
      <c r="B53" s="24" t="s">
        <v>630</v>
      </c>
      <c r="H53" s="15" t="s">
        <v>1720</v>
      </c>
      <c r="I53" s="25" t="b">
        <v>1</v>
      </c>
      <c r="J53" s="15" t="b">
        <v>1</v>
      </c>
      <c r="N53" s="15" t="s">
        <v>336</v>
      </c>
      <c r="O53" s="15" t="s">
        <v>336</v>
      </c>
      <c r="Y53" s="15" t="s">
        <v>336</v>
      </c>
      <c r="AI53" s="98" t="s">
        <v>1237</v>
      </c>
      <c r="AJ53" s="99">
        <v>1541</v>
      </c>
      <c r="AK53" s="15" t="s">
        <v>240</v>
      </c>
      <c r="AL53" s="15" t="s">
        <v>336</v>
      </c>
      <c r="AM53" s="15" t="s">
        <v>336</v>
      </c>
      <c r="AN53" s="15" t="s">
        <v>336</v>
      </c>
      <c r="AO53" s="15" t="s">
        <v>336</v>
      </c>
      <c r="AP53" s="49" t="s">
        <v>336</v>
      </c>
    </row>
    <row r="54" spans="2:42" x14ac:dyDescent="0.25">
      <c r="B54" s="24" t="s">
        <v>11</v>
      </c>
      <c r="H54" s="15" t="s">
        <v>1720</v>
      </c>
      <c r="I54" s="25" t="b">
        <v>1</v>
      </c>
      <c r="J54" s="15" t="b">
        <v>1</v>
      </c>
      <c r="N54" s="15" t="s">
        <v>336</v>
      </c>
      <c r="O54" s="15" t="s">
        <v>336</v>
      </c>
      <c r="Y54" s="15" t="s">
        <v>336</v>
      </c>
      <c r="AI54" s="98" t="s">
        <v>1238</v>
      </c>
      <c r="AJ54" s="99">
        <v>1543</v>
      </c>
      <c r="AK54" s="15" t="s">
        <v>241</v>
      </c>
      <c r="AL54" s="15" t="s">
        <v>336</v>
      </c>
      <c r="AM54" s="15" t="s">
        <v>336</v>
      </c>
      <c r="AN54" s="15" t="s">
        <v>336</v>
      </c>
      <c r="AO54" s="15" t="s">
        <v>336</v>
      </c>
      <c r="AP54" s="49" t="s">
        <v>336</v>
      </c>
    </row>
    <row r="55" spans="2:42" x14ac:dyDescent="0.25">
      <c r="B55" s="24" t="s">
        <v>11</v>
      </c>
      <c r="H55" s="15" t="s">
        <v>1720</v>
      </c>
      <c r="I55" s="25" t="b">
        <v>1</v>
      </c>
      <c r="J55" s="15" t="b">
        <v>1</v>
      </c>
      <c r="N55" s="15" t="s">
        <v>336</v>
      </c>
      <c r="O55" s="15" t="s">
        <v>336</v>
      </c>
      <c r="Y55" s="15" t="s">
        <v>336</v>
      </c>
      <c r="AI55" s="98" t="s">
        <v>1239</v>
      </c>
      <c r="AJ55" s="99">
        <v>1553</v>
      </c>
      <c r="AK55" s="15" t="s">
        <v>242</v>
      </c>
      <c r="AL55" s="15" t="s">
        <v>336</v>
      </c>
      <c r="AM55" s="15" t="s">
        <v>336</v>
      </c>
      <c r="AN55" s="15" t="s">
        <v>336</v>
      </c>
      <c r="AO55" s="15" t="s">
        <v>336</v>
      </c>
      <c r="AP55" s="49" t="s">
        <v>336</v>
      </c>
    </row>
    <row r="56" spans="2:42" x14ac:dyDescent="0.25">
      <c r="B56" s="24" t="s">
        <v>11</v>
      </c>
      <c r="H56" s="15" t="s">
        <v>1720</v>
      </c>
      <c r="I56" s="25" t="b">
        <v>1</v>
      </c>
      <c r="J56" s="15" t="b">
        <v>1</v>
      </c>
      <c r="N56" s="15" t="s">
        <v>336</v>
      </c>
      <c r="O56" s="15" t="s">
        <v>336</v>
      </c>
      <c r="Y56" s="15" t="s">
        <v>336</v>
      </c>
      <c r="AI56" s="98" t="s">
        <v>1240</v>
      </c>
      <c r="AJ56" s="99">
        <v>1555</v>
      </c>
      <c r="AK56" s="15" t="s">
        <v>243</v>
      </c>
      <c r="AL56" s="15" t="s">
        <v>336</v>
      </c>
      <c r="AM56" s="15" t="s">
        <v>336</v>
      </c>
      <c r="AN56" s="15" t="s">
        <v>336</v>
      </c>
      <c r="AO56" s="15" t="s">
        <v>336</v>
      </c>
      <c r="AP56" s="49" t="s">
        <v>336</v>
      </c>
    </row>
    <row r="57" spans="2:42" x14ac:dyDescent="0.25">
      <c r="B57" s="24" t="s">
        <v>11</v>
      </c>
      <c r="H57" s="15" t="s">
        <v>1720</v>
      </c>
      <c r="I57" s="25" t="b">
        <v>1</v>
      </c>
      <c r="J57" s="15" t="b">
        <v>1</v>
      </c>
      <c r="N57" s="15" t="s">
        <v>336</v>
      </c>
      <c r="O57" s="15" t="s">
        <v>336</v>
      </c>
      <c r="Y57" s="15" t="s">
        <v>336</v>
      </c>
      <c r="AI57" s="98" t="s">
        <v>1241</v>
      </c>
      <c r="AJ57" s="99">
        <v>1556</v>
      </c>
      <c r="AK57" s="15" t="s">
        <v>244</v>
      </c>
      <c r="AL57" s="15" t="s">
        <v>336</v>
      </c>
      <c r="AM57" s="15" t="s">
        <v>336</v>
      </c>
      <c r="AN57" s="15" t="s">
        <v>336</v>
      </c>
      <c r="AO57" s="15" t="s">
        <v>336</v>
      </c>
      <c r="AP57" s="49" t="s">
        <v>336</v>
      </c>
    </row>
    <row r="58" spans="2:42" x14ac:dyDescent="0.25">
      <c r="B58" s="24" t="s">
        <v>11</v>
      </c>
      <c r="H58" s="15" t="s">
        <v>1720</v>
      </c>
      <c r="I58" s="25" t="b">
        <v>1</v>
      </c>
      <c r="J58" s="15" t="b">
        <v>1</v>
      </c>
      <c r="N58" s="15" t="s">
        <v>336</v>
      </c>
      <c r="O58" s="15" t="s">
        <v>336</v>
      </c>
      <c r="Y58" s="15" t="s">
        <v>336</v>
      </c>
      <c r="AI58" s="98" t="s">
        <v>1242</v>
      </c>
      <c r="AJ58" s="99">
        <v>1557</v>
      </c>
      <c r="AK58" s="15" t="s">
        <v>245</v>
      </c>
      <c r="AL58" s="15" t="s">
        <v>336</v>
      </c>
      <c r="AM58" s="15" t="s">
        <v>336</v>
      </c>
      <c r="AN58" s="15" t="s">
        <v>336</v>
      </c>
      <c r="AO58" s="15" t="s">
        <v>336</v>
      </c>
      <c r="AP58" s="49" t="s">
        <v>336</v>
      </c>
    </row>
    <row r="59" spans="2:42" x14ac:dyDescent="0.25">
      <c r="B59" s="24" t="s">
        <v>11</v>
      </c>
      <c r="H59" s="15" t="s">
        <v>1720</v>
      </c>
      <c r="I59" s="25" t="b">
        <v>1</v>
      </c>
      <c r="J59" s="15" t="b">
        <v>1</v>
      </c>
      <c r="N59" s="15" t="s">
        <v>336</v>
      </c>
      <c r="O59" s="15" t="s">
        <v>336</v>
      </c>
      <c r="Y59" s="15" t="s">
        <v>336</v>
      </c>
      <c r="AI59" s="98" t="s">
        <v>1243</v>
      </c>
      <c r="AJ59" s="99">
        <v>1558</v>
      </c>
      <c r="AK59" s="15" t="s">
        <v>246</v>
      </c>
      <c r="AL59" s="15" t="s">
        <v>336</v>
      </c>
      <c r="AM59" s="15" t="s">
        <v>336</v>
      </c>
      <c r="AN59" s="15" t="s">
        <v>336</v>
      </c>
      <c r="AO59" s="15" t="s">
        <v>336</v>
      </c>
      <c r="AP59" s="49" t="s">
        <v>336</v>
      </c>
    </row>
    <row r="60" spans="2:42" x14ac:dyDescent="0.25">
      <c r="B60" s="24" t="s">
        <v>11</v>
      </c>
      <c r="H60" s="15" t="s">
        <v>1720</v>
      </c>
      <c r="I60" s="25" t="b">
        <v>1</v>
      </c>
      <c r="J60" s="15" t="b">
        <v>1</v>
      </c>
      <c r="N60" s="15" t="s">
        <v>336</v>
      </c>
      <c r="O60" s="15" t="s">
        <v>336</v>
      </c>
      <c r="Y60" s="15" t="s">
        <v>336</v>
      </c>
      <c r="AI60" s="98" t="s">
        <v>1244</v>
      </c>
      <c r="AJ60" s="99">
        <v>1562</v>
      </c>
      <c r="AK60" s="15" t="s">
        <v>247</v>
      </c>
      <c r="AL60" s="15" t="s">
        <v>336</v>
      </c>
      <c r="AM60" s="15" t="s">
        <v>336</v>
      </c>
      <c r="AN60" s="15" t="s">
        <v>336</v>
      </c>
      <c r="AO60" s="15" t="s">
        <v>336</v>
      </c>
      <c r="AP60" s="49" t="s">
        <v>336</v>
      </c>
    </row>
    <row r="61" spans="2:42" x14ac:dyDescent="0.25">
      <c r="B61" s="24" t="s">
        <v>11</v>
      </c>
      <c r="H61" s="15" t="s">
        <v>1720</v>
      </c>
      <c r="I61" s="25" t="b">
        <v>1</v>
      </c>
      <c r="J61" s="15" t="b">
        <v>1</v>
      </c>
      <c r="N61" s="15" t="s">
        <v>336</v>
      </c>
      <c r="O61" s="15" t="s">
        <v>336</v>
      </c>
      <c r="Y61" s="15" t="s">
        <v>336</v>
      </c>
      <c r="AI61" s="98" t="s">
        <v>1246</v>
      </c>
      <c r="AJ61" s="99">
        <v>1576</v>
      </c>
      <c r="AK61" s="15" t="s">
        <v>249</v>
      </c>
      <c r="AL61" s="15" t="s">
        <v>336</v>
      </c>
      <c r="AM61" s="15" t="s">
        <v>336</v>
      </c>
      <c r="AN61" s="15" t="s">
        <v>336</v>
      </c>
      <c r="AO61" s="15" t="s">
        <v>336</v>
      </c>
      <c r="AP61" s="49" t="s">
        <v>336</v>
      </c>
    </row>
    <row r="62" spans="2:42" x14ac:dyDescent="0.25">
      <c r="B62" s="24" t="s">
        <v>11</v>
      </c>
      <c r="H62" s="15" t="s">
        <v>1720</v>
      </c>
      <c r="I62" s="25" t="b">
        <v>1</v>
      </c>
      <c r="J62" s="15" t="b">
        <v>1</v>
      </c>
      <c r="N62" s="15" t="s">
        <v>336</v>
      </c>
      <c r="O62" s="15" t="s">
        <v>336</v>
      </c>
      <c r="Y62" s="15" t="s">
        <v>336</v>
      </c>
      <c r="AI62" s="98" t="s">
        <v>1247</v>
      </c>
      <c r="AJ62" s="99">
        <v>1583</v>
      </c>
      <c r="AK62" s="15" t="s">
        <v>250</v>
      </c>
      <c r="AL62" s="15" t="s">
        <v>336</v>
      </c>
      <c r="AM62" s="15" t="s">
        <v>336</v>
      </c>
      <c r="AN62" s="15" t="s">
        <v>336</v>
      </c>
      <c r="AO62" s="15" t="s">
        <v>336</v>
      </c>
      <c r="AP62" s="49" t="s">
        <v>336</v>
      </c>
    </row>
    <row r="63" spans="2:42" x14ac:dyDescent="0.25">
      <c r="B63" s="24" t="s">
        <v>534</v>
      </c>
      <c r="H63" s="15" t="s">
        <v>1720</v>
      </c>
      <c r="I63" s="25" t="b">
        <v>1</v>
      </c>
      <c r="J63" s="15" t="b">
        <v>1</v>
      </c>
      <c r="N63" s="15" t="s">
        <v>336</v>
      </c>
      <c r="O63" s="15" t="s">
        <v>336</v>
      </c>
      <c r="Y63" s="15" t="s">
        <v>336</v>
      </c>
      <c r="AI63" s="98" t="s">
        <v>1248</v>
      </c>
      <c r="AJ63" s="99">
        <v>1586</v>
      </c>
      <c r="AK63" s="15" t="s">
        <v>251</v>
      </c>
      <c r="AL63" s="15" t="s">
        <v>336</v>
      </c>
      <c r="AM63" s="15" t="s">
        <v>336</v>
      </c>
      <c r="AN63" s="15" t="s">
        <v>336</v>
      </c>
      <c r="AO63" s="15" t="s">
        <v>336</v>
      </c>
      <c r="AP63" s="49" t="s">
        <v>336</v>
      </c>
    </row>
    <row r="64" spans="2:42" x14ac:dyDescent="0.25">
      <c r="B64" s="24" t="s">
        <v>548</v>
      </c>
      <c r="H64" s="15" t="s">
        <v>1720</v>
      </c>
      <c r="I64" s="25" t="b">
        <v>1</v>
      </c>
      <c r="J64" s="15" t="b">
        <v>1</v>
      </c>
      <c r="N64" s="15" t="s">
        <v>336</v>
      </c>
      <c r="O64" s="15" t="s">
        <v>336</v>
      </c>
      <c r="Y64" s="15" t="s">
        <v>336</v>
      </c>
      <c r="AI64" s="98" t="s">
        <v>1249</v>
      </c>
      <c r="AJ64" s="99">
        <v>1586</v>
      </c>
      <c r="AK64" s="15" t="s">
        <v>252</v>
      </c>
      <c r="AL64" s="15" t="s">
        <v>336</v>
      </c>
      <c r="AM64" s="15" t="s">
        <v>336</v>
      </c>
      <c r="AN64" s="15" t="s">
        <v>336</v>
      </c>
      <c r="AO64" s="15" t="s">
        <v>336</v>
      </c>
      <c r="AP64" s="49" t="s">
        <v>336</v>
      </c>
    </row>
    <row r="65" spans="2:42" x14ac:dyDescent="0.25">
      <c r="B65" s="24" t="s">
        <v>548</v>
      </c>
      <c r="H65" s="15" t="s">
        <v>1720</v>
      </c>
      <c r="I65" s="25" t="b">
        <v>1</v>
      </c>
      <c r="J65" s="15" t="b">
        <v>1</v>
      </c>
      <c r="N65" s="15" t="s">
        <v>336</v>
      </c>
      <c r="O65" s="15" t="s">
        <v>336</v>
      </c>
      <c r="Y65" s="15" t="s">
        <v>336</v>
      </c>
      <c r="AI65" s="98" t="s">
        <v>1250</v>
      </c>
      <c r="AJ65" s="99" t="s">
        <v>1122</v>
      </c>
      <c r="AK65" s="15" t="s">
        <v>253</v>
      </c>
      <c r="AL65" s="15" t="s">
        <v>336</v>
      </c>
      <c r="AM65" s="15" t="s">
        <v>336</v>
      </c>
      <c r="AN65" s="15" t="s">
        <v>336</v>
      </c>
      <c r="AO65" s="15" t="s">
        <v>336</v>
      </c>
      <c r="AP65" s="49" t="s">
        <v>336</v>
      </c>
    </row>
    <row r="66" spans="2:42" x14ac:dyDescent="0.25">
      <c r="B66" s="24" t="s">
        <v>11</v>
      </c>
      <c r="H66" s="15" t="s">
        <v>1720</v>
      </c>
      <c r="I66" s="25" t="b">
        <v>1</v>
      </c>
      <c r="J66" s="15" t="b">
        <v>1</v>
      </c>
      <c r="N66" s="15" t="s">
        <v>336</v>
      </c>
      <c r="O66" s="15" t="s">
        <v>336</v>
      </c>
      <c r="Y66" s="15" t="s">
        <v>336</v>
      </c>
      <c r="AI66" s="98" t="s">
        <v>1251</v>
      </c>
      <c r="AJ66" s="99">
        <v>1597</v>
      </c>
      <c r="AK66" s="15" t="s">
        <v>254</v>
      </c>
      <c r="AL66" s="15" t="s">
        <v>336</v>
      </c>
      <c r="AM66" s="15" t="s">
        <v>336</v>
      </c>
      <c r="AN66" s="15" t="s">
        <v>336</v>
      </c>
      <c r="AO66" s="15" t="s">
        <v>336</v>
      </c>
      <c r="AP66" s="49" t="s">
        <v>336</v>
      </c>
    </row>
    <row r="67" spans="2:42" x14ac:dyDescent="0.25">
      <c r="B67" s="24" t="s">
        <v>657</v>
      </c>
      <c r="H67" s="15" t="s">
        <v>1720</v>
      </c>
      <c r="I67" s="25" t="b">
        <v>1</v>
      </c>
      <c r="J67" s="15" t="b">
        <v>1</v>
      </c>
      <c r="N67" s="15" t="s">
        <v>336</v>
      </c>
      <c r="O67" s="15" t="s">
        <v>336</v>
      </c>
      <c r="Y67" s="15" t="s">
        <v>336</v>
      </c>
      <c r="AI67" s="98" t="s">
        <v>1254</v>
      </c>
      <c r="AJ67" s="99" t="s">
        <v>1125</v>
      </c>
      <c r="AK67" s="15" t="s">
        <v>257</v>
      </c>
      <c r="AL67" s="15" t="s">
        <v>336</v>
      </c>
      <c r="AM67" s="15" t="s">
        <v>336</v>
      </c>
      <c r="AN67" s="15" t="s">
        <v>336</v>
      </c>
      <c r="AO67" s="15" t="s">
        <v>336</v>
      </c>
      <c r="AP67" s="49" t="s">
        <v>336</v>
      </c>
    </row>
    <row r="68" spans="2:42" x14ac:dyDescent="0.25">
      <c r="B68" s="24" t="s">
        <v>557</v>
      </c>
      <c r="H68" s="15" t="s">
        <v>1720</v>
      </c>
      <c r="I68" s="25" t="b">
        <v>1</v>
      </c>
      <c r="J68" s="15" t="b">
        <v>1</v>
      </c>
      <c r="N68" s="15" t="s">
        <v>336</v>
      </c>
      <c r="O68" s="15" t="s">
        <v>336</v>
      </c>
      <c r="Y68" s="15" t="s">
        <v>336</v>
      </c>
      <c r="AI68" s="98" t="s">
        <v>1252</v>
      </c>
      <c r="AJ68" s="100" t="s">
        <v>1412</v>
      </c>
      <c r="AK68" s="15" t="s">
        <v>255</v>
      </c>
      <c r="AL68" s="15" t="s">
        <v>336</v>
      </c>
      <c r="AM68" s="15" t="s">
        <v>336</v>
      </c>
      <c r="AN68" s="15" t="s">
        <v>336</v>
      </c>
      <c r="AO68" s="15" t="s">
        <v>336</v>
      </c>
      <c r="AP68" s="49" t="s">
        <v>336</v>
      </c>
    </row>
    <row r="69" spans="2:42" x14ac:dyDescent="0.25">
      <c r="B69" s="24" t="s">
        <v>11</v>
      </c>
      <c r="H69" s="15" t="s">
        <v>1720</v>
      </c>
      <c r="I69" s="25" t="b">
        <v>1</v>
      </c>
      <c r="J69" s="15" t="b">
        <v>1</v>
      </c>
      <c r="N69" s="15" t="s">
        <v>336</v>
      </c>
      <c r="O69" s="15" t="s">
        <v>336</v>
      </c>
      <c r="Y69" s="15" t="s">
        <v>336</v>
      </c>
      <c r="AI69" s="98" t="s">
        <v>1257</v>
      </c>
      <c r="AJ69" s="99">
        <v>1607</v>
      </c>
      <c r="AK69" s="15" t="s">
        <v>260</v>
      </c>
      <c r="AL69" s="15" t="s">
        <v>336</v>
      </c>
      <c r="AM69" s="15" t="s">
        <v>336</v>
      </c>
      <c r="AN69" s="15" t="s">
        <v>336</v>
      </c>
      <c r="AO69" s="15" t="s">
        <v>336</v>
      </c>
      <c r="AP69" s="49" t="s">
        <v>336</v>
      </c>
    </row>
    <row r="70" spans="2:42" x14ac:dyDescent="0.25">
      <c r="B70" s="24" t="s">
        <v>11</v>
      </c>
      <c r="H70" s="15" t="s">
        <v>1720</v>
      </c>
      <c r="I70" s="25" t="b">
        <v>1</v>
      </c>
      <c r="J70" s="15" t="b">
        <v>1</v>
      </c>
      <c r="N70" s="15" t="s">
        <v>336</v>
      </c>
      <c r="O70" s="15" t="s">
        <v>336</v>
      </c>
      <c r="Y70" s="15" t="s">
        <v>336</v>
      </c>
      <c r="AI70" s="98" t="s">
        <v>1259</v>
      </c>
      <c r="AJ70" s="99">
        <v>1616</v>
      </c>
      <c r="AK70" s="15" t="s">
        <v>264</v>
      </c>
      <c r="AL70" s="15" t="s">
        <v>336</v>
      </c>
      <c r="AM70" s="15" t="s">
        <v>336</v>
      </c>
      <c r="AN70" s="15" t="s">
        <v>336</v>
      </c>
      <c r="AO70" s="15" t="s">
        <v>336</v>
      </c>
      <c r="AP70" s="49" t="s">
        <v>336</v>
      </c>
    </row>
    <row r="71" spans="2:42" x14ac:dyDescent="0.25">
      <c r="B71" s="24" t="s">
        <v>502</v>
      </c>
      <c r="H71" s="15" t="s">
        <v>1720</v>
      </c>
      <c r="I71" s="25" t="b">
        <v>1</v>
      </c>
      <c r="J71" s="15" t="b">
        <v>1</v>
      </c>
      <c r="N71" s="15" t="s">
        <v>336</v>
      </c>
      <c r="O71" s="15" t="s">
        <v>336</v>
      </c>
      <c r="Y71" s="15" t="s">
        <v>336</v>
      </c>
      <c r="AI71" s="98" t="s">
        <v>1260</v>
      </c>
      <c r="AJ71" s="99">
        <v>1633</v>
      </c>
      <c r="AK71" s="15" t="s">
        <v>265</v>
      </c>
      <c r="AL71" s="15" t="s">
        <v>336</v>
      </c>
      <c r="AM71" s="15" t="s">
        <v>336</v>
      </c>
      <c r="AN71" s="15" t="s">
        <v>336</v>
      </c>
      <c r="AO71" s="15" t="s">
        <v>336</v>
      </c>
      <c r="AP71" s="49" t="s">
        <v>336</v>
      </c>
    </row>
    <row r="72" spans="2:42" ht="25.5" x14ac:dyDescent="0.25">
      <c r="B72" s="24" t="s">
        <v>535</v>
      </c>
      <c r="H72" s="15" t="s">
        <v>1720</v>
      </c>
      <c r="I72" s="25" t="b">
        <v>1</v>
      </c>
      <c r="J72" s="15" t="b">
        <v>1</v>
      </c>
      <c r="N72" s="15" t="s">
        <v>336</v>
      </c>
      <c r="O72" s="15" t="s">
        <v>336</v>
      </c>
      <c r="Y72" s="15" t="s">
        <v>336</v>
      </c>
      <c r="AI72" s="98" t="s">
        <v>1261</v>
      </c>
      <c r="AJ72" s="99">
        <v>1635</v>
      </c>
      <c r="AK72" s="15" t="s">
        <v>266</v>
      </c>
      <c r="AL72" s="15" t="s">
        <v>336</v>
      </c>
      <c r="AM72" s="15" t="s">
        <v>336</v>
      </c>
      <c r="AN72" s="15" t="s">
        <v>336</v>
      </c>
      <c r="AO72" s="15" t="s">
        <v>336</v>
      </c>
      <c r="AP72" s="49" t="s">
        <v>336</v>
      </c>
    </row>
    <row r="73" spans="2:42" x14ac:dyDescent="0.25">
      <c r="B73" s="24" t="s">
        <v>542</v>
      </c>
      <c r="H73" s="15" t="s">
        <v>1720</v>
      </c>
      <c r="I73" s="25" t="b">
        <v>1</v>
      </c>
      <c r="J73" s="15" t="b">
        <v>1</v>
      </c>
      <c r="N73" s="15" t="s">
        <v>336</v>
      </c>
      <c r="O73" s="15" t="s">
        <v>336</v>
      </c>
      <c r="Y73" s="15" t="s">
        <v>336</v>
      </c>
      <c r="AI73" s="98" t="s">
        <v>1262</v>
      </c>
      <c r="AJ73" s="99">
        <v>1641</v>
      </c>
      <c r="AK73" s="15" t="s">
        <v>267</v>
      </c>
      <c r="AL73" s="15" t="s">
        <v>336</v>
      </c>
      <c r="AM73" s="15" t="s">
        <v>336</v>
      </c>
      <c r="AN73" s="15" t="s">
        <v>336</v>
      </c>
      <c r="AO73" s="15" t="s">
        <v>336</v>
      </c>
      <c r="AP73" s="49" t="s">
        <v>336</v>
      </c>
    </row>
    <row r="74" spans="2:42" x14ac:dyDescent="0.25">
      <c r="B74" s="24" t="s">
        <v>557</v>
      </c>
      <c r="H74" s="15" t="s">
        <v>1720</v>
      </c>
      <c r="I74" s="25" t="b">
        <v>1</v>
      </c>
      <c r="J74" s="15" t="b">
        <v>1</v>
      </c>
      <c r="N74" s="15" t="s">
        <v>336</v>
      </c>
      <c r="O74" s="15" t="s">
        <v>336</v>
      </c>
      <c r="Y74" s="15" t="s">
        <v>336</v>
      </c>
      <c r="AI74" s="98" t="s">
        <v>1263</v>
      </c>
      <c r="AJ74" s="99">
        <v>1649</v>
      </c>
      <c r="AK74" s="15" t="s">
        <v>268</v>
      </c>
      <c r="AL74" s="15" t="s">
        <v>336</v>
      </c>
      <c r="AM74" s="15" t="s">
        <v>336</v>
      </c>
      <c r="AN74" s="15" t="s">
        <v>336</v>
      </c>
      <c r="AO74" s="15" t="s">
        <v>336</v>
      </c>
      <c r="AP74" s="49" t="s">
        <v>336</v>
      </c>
    </row>
    <row r="75" spans="2:42" x14ac:dyDescent="0.25">
      <c r="B75" s="24" t="s">
        <v>717</v>
      </c>
      <c r="H75" s="15" t="s">
        <v>1720</v>
      </c>
      <c r="I75" s="25" t="b">
        <v>1</v>
      </c>
      <c r="J75" s="15" t="b">
        <v>1</v>
      </c>
      <c r="N75" s="15" t="s">
        <v>336</v>
      </c>
      <c r="O75" s="15" t="s">
        <v>336</v>
      </c>
      <c r="Y75" s="15" t="s">
        <v>336</v>
      </c>
      <c r="AI75" s="98" t="s">
        <v>1264</v>
      </c>
      <c r="AJ75" s="99">
        <v>1651</v>
      </c>
      <c r="AK75" s="15" t="s">
        <v>269</v>
      </c>
      <c r="AL75" s="15" t="s">
        <v>336</v>
      </c>
      <c r="AM75" s="15" t="s">
        <v>336</v>
      </c>
      <c r="AN75" s="15" t="s">
        <v>336</v>
      </c>
      <c r="AO75" s="15" t="s">
        <v>336</v>
      </c>
      <c r="AP75" s="49" t="s">
        <v>336</v>
      </c>
    </row>
    <row r="76" spans="2:42" x14ac:dyDescent="0.25">
      <c r="B76" s="24" t="s">
        <v>557</v>
      </c>
      <c r="H76" s="15" t="s">
        <v>1720</v>
      </c>
      <c r="I76" s="25" t="b">
        <v>1</v>
      </c>
      <c r="J76" s="15" t="b">
        <v>1</v>
      </c>
      <c r="N76" s="15" t="s">
        <v>336</v>
      </c>
      <c r="O76" s="15" t="s">
        <v>336</v>
      </c>
      <c r="Y76" s="15" t="s">
        <v>336</v>
      </c>
      <c r="AI76" s="98" t="s">
        <v>1265</v>
      </c>
      <c r="AJ76" s="99">
        <v>1652</v>
      </c>
      <c r="AK76" s="15" t="s">
        <v>270</v>
      </c>
      <c r="AL76" s="15" t="s">
        <v>336</v>
      </c>
      <c r="AM76" s="15" t="s">
        <v>336</v>
      </c>
      <c r="AN76" s="15" t="s">
        <v>336</v>
      </c>
      <c r="AO76" s="15" t="s">
        <v>336</v>
      </c>
      <c r="AP76" s="49" t="s">
        <v>336</v>
      </c>
    </row>
    <row r="77" spans="2:42" x14ac:dyDescent="0.25">
      <c r="B77" s="24" t="s">
        <v>11</v>
      </c>
      <c r="H77" s="15" t="s">
        <v>1720</v>
      </c>
      <c r="I77" s="25" t="b">
        <v>1</v>
      </c>
      <c r="J77" s="15" t="b">
        <v>1</v>
      </c>
      <c r="N77" s="15" t="s">
        <v>336</v>
      </c>
      <c r="O77" s="15" t="s">
        <v>336</v>
      </c>
      <c r="Y77" s="15" t="s">
        <v>336</v>
      </c>
      <c r="AI77" s="98" t="s">
        <v>1266</v>
      </c>
      <c r="AJ77" s="99">
        <v>1655</v>
      </c>
      <c r="AK77" s="15" t="s">
        <v>271</v>
      </c>
      <c r="AL77" s="15" t="s">
        <v>336</v>
      </c>
      <c r="AM77" s="15" t="s">
        <v>336</v>
      </c>
      <c r="AN77" s="15" t="s">
        <v>336</v>
      </c>
      <c r="AO77" s="15" t="s">
        <v>336</v>
      </c>
      <c r="AP77" s="49" t="s">
        <v>336</v>
      </c>
    </row>
    <row r="78" spans="2:42" x14ac:dyDescent="0.25">
      <c r="B78" s="24" t="s">
        <v>11</v>
      </c>
      <c r="H78" s="15" t="s">
        <v>1720</v>
      </c>
      <c r="I78" s="25" t="b">
        <v>1</v>
      </c>
      <c r="J78" s="15" t="b">
        <v>1</v>
      </c>
      <c r="N78" s="15" t="s">
        <v>336</v>
      </c>
      <c r="O78" s="15" t="s">
        <v>336</v>
      </c>
      <c r="Y78" s="15" t="s">
        <v>336</v>
      </c>
      <c r="AI78" s="98" t="s">
        <v>1267</v>
      </c>
      <c r="AJ78" s="99">
        <v>1671</v>
      </c>
      <c r="AK78" s="15" t="s">
        <v>273</v>
      </c>
      <c r="AL78" s="15" t="s">
        <v>336</v>
      </c>
      <c r="AM78" s="15" t="s">
        <v>336</v>
      </c>
      <c r="AN78" s="15" t="s">
        <v>336</v>
      </c>
      <c r="AO78" s="15" t="s">
        <v>336</v>
      </c>
      <c r="AP78" s="49" t="s">
        <v>336</v>
      </c>
    </row>
    <row r="79" spans="2:42" x14ac:dyDescent="0.25">
      <c r="B79" s="24" t="s">
        <v>581</v>
      </c>
      <c r="H79" s="15" t="s">
        <v>1720</v>
      </c>
      <c r="I79" s="25" t="b">
        <v>1</v>
      </c>
      <c r="J79" s="15" t="b">
        <v>1</v>
      </c>
      <c r="N79" s="15" t="s">
        <v>336</v>
      </c>
      <c r="O79" s="15" t="s">
        <v>336</v>
      </c>
      <c r="Y79" s="15" t="s">
        <v>336</v>
      </c>
      <c r="AI79" s="98" t="s">
        <v>1268</v>
      </c>
      <c r="AJ79" s="99" t="s">
        <v>1139</v>
      </c>
      <c r="AK79" s="15" t="s">
        <v>274</v>
      </c>
      <c r="AL79" s="15" t="s">
        <v>336</v>
      </c>
      <c r="AM79" s="15" t="s">
        <v>336</v>
      </c>
      <c r="AN79" s="15" t="s">
        <v>336</v>
      </c>
      <c r="AO79" s="15" t="s">
        <v>336</v>
      </c>
      <c r="AP79" s="49" t="s">
        <v>336</v>
      </c>
    </row>
    <row r="80" spans="2:42" x14ac:dyDescent="0.25">
      <c r="B80" s="24" t="s">
        <v>709</v>
      </c>
      <c r="H80" s="15" t="s">
        <v>1720</v>
      </c>
      <c r="I80" s="25" t="b">
        <v>1</v>
      </c>
      <c r="J80" s="15" t="b">
        <v>1</v>
      </c>
      <c r="N80" s="15" t="s">
        <v>336</v>
      </c>
      <c r="O80" s="15" t="s">
        <v>336</v>
      </c>
      <c r="Y80" s="15" t="s">
        <v>336</v>
      </c>
      <c r="AI80" s="98" t="s">
        <v>1269</v>
      </c>
      <c r="AJ80" s="99" t="s">
        <v>1140</v>
      </c>
      <c r="AK80" s="15" t="s">
        <v>275</v>
      </c>
      <c r="AL80" s="15" t="s">
        <v>336</v>
      </c>
      <c r="AM80" s="15" t="s">
        <v>336</v>
      </c>
      <c r="AN80" s="15" t="s">
        <v>336</v>
      </c>
      <c r="AO80" s="15" t="s">
        <v>336</v>
      </c>
      <c r="AP80" s="49" t="s">
        <v>336</v>
      </c>
    </row>
    <row r="81" spans="2:42" x14ac:dyDescent="0.25">
      <c r="B81" s="24" t="s">
        <v>709</v>
      </c>
      <c r="H81" s="15" t="s">
        <v>1720</v>
      </c>
      <c r="I81" s="25" t="b">
        <v>1</v>
      </c>
      <c r="J81" s="15" t="b">
        <v>1</v>
      </c>
      <c r="N81" s="15" t="s">
        <v>336</v>
      </c>
      <c r="O81" s="15" t="s">
        <v>336</v>
      </c>
      <c r="Y81" s="15" t="s">
        <v>336</v>
      </c>
      <c r="AI81" s="98" t="s">
        <v>1270</v>
      </c>
      <c r="AJ81" s="100" t="s">
        <v>1411</v>
      </c>
      <c r="AK81" s="15" t="s">
        <v>276</v>
      </c>
      <c r="AL81" s="15" t="s">
        <v>336</v>
      </c>
      <c r="AM81" s="15" t="s">
        <v>336</v>
      </c>
      <c r="AN81" s="15" t="s">
        <v>336</v>
      </c>
      <c r="AO81" s="15" t="s">
        <v>336</v>
      </c>
      <c r="AP81" s="49" t="s">
        <v>336</v>
      </c>
    </row>
    <row r="82" spans="2:42" x14ac:dyDescent="0.25">
      <c r="B82" s="24" t="s">
        <v>11</v>
      </c>
      <c r="H82" s="15" t="s">
        <v>1720</v>
      </c>
      <c r="I82" s="25" t="b">
        <v>1</v>
      </c>
      <c r="J82" s="15" t="b">
        <v>1</v>
      </c>
      <c r="N82" s="15" t="s">
        <v>336</v>
      </c>
      <c r="O82" s="15" t="s">
        <v>336</v>
      </c>
      <c r="Y82" s="15" t="s">
        <v>336</v>
      </c>
      <c r="AI82" s="98" t="s">
        <v>1271</v>
      </c>
      <c r="AJ82" s="99">
        <v>1716</v>
      </c>
      <c r="AK82" s="15" t="s">
        <v>277</v>
      </c>
      <c r="AL82" s="15" t="s">
        <v>336</v>
      </c>
      <c r="AM82" s="15" t="s">
        <v>336</v>
      </c>
      <c r="AN82" s="15" t="s">
        <v>336</v>
      </c>
      <c r="AO82" s="15" t="s">
        <v>336</v>
      </c>
      <c r="AP82" s="49" t="s">
        <v>336</v>
      </c>
    </row>
    <row r="83" spans="2:42" x14ac:dyDescent="0.25">
      <c r="B83" s="24" t="s">
        <v>518</v>
      </c>
      <c r="H83" s="15" t="s">
        <v>1720</v>
      </c>
      <c r="I83" s="25" t="b">
        <v>1</v>
      </c>
      <c r="J83" s="15" t="b">
        <v>1</v>
      </c>
      <c r="N83" s="15" t="s">
        <v>336</v>
      </c>
      <c r="O83" s="15" t="s">
        <v>336</v>
      </c>
      <c r="Y83" s="15" t="s">
        <v>336</v>
      </c>
      <c r="AI83" s="98" t="s">
        <v>1272</v>
      </c>
      <c r="AJ83" s="99">
        <v>1717</v>
      </c>
      <c r="AK83" s="15" t="s">
        <v>278</v>
      </c>
      <c r="AL83" s="15" t="s">
        <v>336</v>
      </c>
      <c r="AM83" s="15" t="s">
        <v>336</v>
      </c>
      <c r="AN83" s="15" t="s">
        <v>336</v>
      </c>
      <c r="AO83" s="15" t="s">
        <v>336</v>
      </c>
      <c r="AP83" s="49" t="s">
        <v>336</v>
      </c>
    </row>
    <row r="84" spans="2:42" x14ac:dyDescent="0.25">
      <c r="B84" s="24" t="s">
        <v>11</v>
      </c>
      <c r="H84" s="15" t="s">
        <v>1720</v>
      </c>
      <c r="I84" s="25" t="b">
        <v>1</v>
      </c>
      <c r="J84" s="15" t="b">
        <v>1</v>
      </c>
      <c r="N84" s="15" t="s">
        <v>336</v>
      </c>
      <c r="O84" s="15" t="s">
        <v>336</v>
      </c>
      <c r="Y84" s="15" t="s">
        <v>336</v>
      </c>
      <c r="AI84" s="98" t="s">
        <v>1273</v>
      </c>
      <c r="AJ84" s="99" t="s">
        <v>1144</v>
      </c>
      <c r="AK84" s="15" t="s">
        <v>279</v>
      </c>
      <c r="AL84" s="15" t="s">
        <v>336</v>
      </c>
      <c r="AM84" s="15" t="s">
        <v>336</v>
      </c>
      <c r="AN84" s="15" t="s">
        <v>336</v>
      </c>
      <c r="AO84" s="15" t="s">
        <v>336</v>
      </c>
      <c r="AP84" s="49" t="s">
        <v>336</v>
      </c>
    </row>
    <row r="85" spans="2:42" x14ac:dyDescent="0.25">
      <c r="B85" s="24" t="s">
        <v>11</v>
      </c>
      <c r="C85" s="35" t="s">
        <v>1004</v>
      </c>
      <c r="H85" s="15" t="s">
        <v>1720</v>
      </c>
      <c r="I85" s="25" t="b">
        <v>1</v>
      </c>
      <c r="J85" s="15" t="b">
        <v>1</v>
      </c>
      <c r="N85" s="15" t="s">
        <v>336</v>
      </c>
      <c r="O85" s="15" t="s">
        <v>336</v>
      </c>
      <c r="Y85" s="39"/>
      <c r="AI85" s="98" t="s">
        <v>1312</v>
      </c>
      <c r="AJ85" s="99">
        <v>1740</v>
      </c>
      <c r="AK85" s="15" t="s">
        <v>280</v>
      </c>
      <c r="AL85" s="15" t="s">
        <v>336</v>
      </c>
      <c r="AM85" s="15" t="s">
        <v>336</v>
      </c>
      <c r="AN85" s="15" t="s">
        <v>336</v>
      </c>
      <c r="AO85" s="15" t="s">
        <v>336</v>
      </c>
      <c r="AP85" s="49" t="s">
        <v>336</v>
      </c>
    </row>
    <row r="86" spans="2:42" x14ac:dyDescent="0.25">
      <c r="B86" s="24" t="s">
        <v>709</v>
      </c>
      <c r="H86" s="15" t="s">
        <v>1720</v>
      </c>
      <c r="I86" s="25" t="b">
        <v>1</v>
      </c>
      <c r="J86" s="15" t="b">
        <v>1</v>
      </c>
      <c r="N86" s="15" t="s">
        <v>336</v>
      </c>
      <c r="O86" s="15" t="s">
        <v>336</v>
      </c>
      <c r="Y86" s="15" t="s">
        <v>336</v>
      </c>
      <c r="AI86" s="98" t="s">
        <v>1274</v>
      </c>
      <c r="AJ86" s="99">
        <v>1750</v>
      </c>
      <c r="AK86" s="15" t="s">
        <v>281</v>
      </c>
      <c r="AL86" s="15" t="s">
        <v>336</v>
      </c>
      <c r="AM86" s="15" t="s">
        <v>336</v>
      </c>
      <c r="AN86" s="15" t="s">
        <v>336</v>
      </c>
      <c r="AO86" s="15" t="s">
        <v>336</v>
      </c>
      <c r="AP86" s="49" t="s">
        <v>336</v>
      </c>
    </row>
    <row r="87" spans="2:42" x14ac:dyDescent="0.25">
      <c r="B87" s="24" t="s">
        <v>502</v>
      </c>
      <c r="H87" s="15" t="s">
        <v>1720</v>
      </c>
      <c r="I87" s="25" t="b">
        <v>1</v>
      </c>
      <c r="J87" s="15" t="b">
        <v>1</v>
      </c>
      <c r="N87" s="15" t="s">
        <v>336</v>
      </c>
      <c r="O87" s="15" t="s">
        <v>336</v>
      </c>
      <c r="Y87" s="15" t="s">
        <v>336</v>
      </c>
      <c r="AI87" s="98" t="s">
        <v>1276</v>
      </c>
      <c r="AJ87" s="99">
        <v>1797</v>
      </c>
      <c r="AK87" s="15" t="s">
        <v>283</v>
      </c>
      <c r="AL87" s="15" t="s">
        <v>336</v>
      </c>
      <c r="AM87" s="15" t="s">
        <v>336</v>
      </c>
      <c r="AN87" s="15" t="s">
        <v>336</v>
      </c>
      <c r="AO87" s="15" t="s">
        <v>336</v>
      </c>
      <c r="AP87" s="49" t="s">
        <v>336</v>
      </c>
    </row>
    <row r="88" spans="2:42" x14ac:dyDescent="0.25">
      <c r="B88" s="24" t="s">
        <v>557</v>
      </c>
      <c r="H88" s="15" t="s">
        <v>1720</v>
      </c>
      <c r="I88" s="25" t="b">
        <v>1</v>
      </c>
      <c r="J88" s="15" t="b">
        <v>1</v>
      </c>
      <c r="N88" s="15" t="s">
        <v>336</v>
      </c>
      <c r="O88" s="15" t="s">
        <v>336</v>
      </c>
      <c r="Y88" s="15" t="s">
        <v>336</v>
      </c>
      <c r="AI88" s="98" t="s">
        <v>1278</v>
      </c>
      <c r="AJ88" s="99">
        <v>1803</v>
      </c>
      <c r="AK88" s="15" t="s">
        <v>285</v>
      </c>
      <c r="AL88" s="15" t="s">
        <v>336</v>
      </c>
      <c r="AM88" s="15" t="s">
        <v>336</v>
      </c>
      <c r="AN88" s="15" t="s">
        <v>336</v>
      </c>
      <c r="AO88" s="15" t="s">
        <v>336</v>
      </c>
      <c r="AP88" s="49" t="s">
        <v>336</v>
      </c>
    </row>
    <row r="89" spans="2:42" x14ac:dyDescent="0.25">
      <c r="B89" s="24" t="s">
        <v>11</v>
      </c>
      <c r="H89" s="15" t="s">
        <v>1720</v>
      </c>
      <c r="I89" s="25" t="b">
        <v>1</v>
      </c>
      <c r="J89" s="15" t="b">
        <v>1</v>
      </c>
      <c r="N89" s="15" t="s">
        <v>336</v>
      </c>
      <c r="O89" s="15" t="s">
        <v>336</v>
      </c>
      <c r="Y89" s="15" t="s">
        <v>336</v>
      </c>
      <c r="AI89" s="98" t="s">
        <v>1279</v>
      </c>
      <c r="AJ89" s="99">
        <v>1853</v>
      </c>
      <c r="AK89" s="15" t="s">
        <v>290</v>
      </c>
      <c r="AL89" s="15" t="s">
        <v>336</v>
      </c>
      <c r="AM89" s="15" t="s">
        <v>336</v>
      </c>
      <c r="AN89" s="15" t="s">
        <v>336</v>
      </c>
      <c r="AO89" s="15" t="s">
        <v>336</v>
      </c>
      <c r="AP89" s="49" t="s">
        <v>336</v>
      </c>
    </row>
    <row r="90" spans="2:42" x14ac:dyDescent="0.25">
      <c r="B90" s="24" t="s">
        <v>11</v>
      </c>
      <c r="H90" s="15" t="s">
        <v>1720</v>
      </c>
      <c r="I90" s="25" t="b">
        <v>1</v>
      </c>
      <c r="J90" s="15" t="b">
        <v>1</v>
      </c>
      <c r="N90" s="15" t="s">
        <v>336</v>
      </c>
      <c r="O90" s="15" t="s">
        <v>336</v>
      </c>
      <c r="Y90" s="15" t="s">
        <v>336</v>
      </c>
      <c r="AI90" s="98" t="s">
        <v>1280</v>
      </c>
      <c r="AJ90" s="99" t="s">
        <v>1152</v>
      </c>
      <c r="AK90" s="15" t="s">
        <v>291</v>
      </c>
      <c r="AL90" s="15" t="s">
        <v>336</v>
      </c>
      <c r="AM90" s="15" t="s">
        <v>336</v>
      </c>
      <c r="AN90" s="15" t="s">
        <v>336</v>
      </c>
      <c r="AO90" s="15" t="s">
        <v>336</v>
      </c>
      <c r="AP90" s="49" t="s">
        <v>336</v>
      </c>
    </row>
    <row r="91" spans="2:42" ht="38.25" x14ac:dyDescent="0.25">
      <c r="B91" s="24" t="s">
        <v>697</v>
      </c>
      <c r="H91" s="15" t="s">
        <v>1720</v>
      </c>
      <c r="I91" s="25" t="b">
        <v>1</v>
      </c>
      <c r="J91" s="15" t="b">
        <v>1</v>
      </c>
      <c r="N91" s="15" t="s">
        <v>336</v>
      </c>
      <c r="O91" s="15" t="s">
        <v>336</v>
      </c>
      <c r="Y91" s="15" t="s">
        <v>336</v>
      </c>
      <c r="AI91" s="98" t="s">
        <v>1281</v>
      </c>
      <c r="AJ91" s="99">
        <v>1859</v>
      </c>
      <c r="AK91" s="15" t="s">
        <v>293</v>
      </c>
      <c r="AL91" s="15" t="s">
        <v>336</v>
      </c>
      <c r="AM91" s="15" t="s">
        <v>336</v>
      </c>
      <c r="AN91" s="15" t="s">
        <v>336</v>
      </c>
      <c r="AO91" s="15" t="s">
        <v>336</v>
      </c>
      <c r="AP91" s="49" t="s">
        <v>336</v>
      </c>
    </row>
    <row r="92" spans="2:42" x14ac:dyDescent="0.25">
      <c r="B92" s="24" t="s">
        <v>11</v>
      </c>
      <c r="H92" s="15" t="s">
        <v>1720</v>
      </c>
      <c r="I92" s="25" t="b">
        <v>1</v>
      </c>
      <c r="J92" s="15" t="b">
        <v>1</v>
      </c>
      <c r="N92" s="15" t="s">
        <v>336</v>
      </c>
      <c r="O92" s="15" t="s">
        <v>336</v>
      </c>
      <c r="Y92" s="15" t="s">
        <v>336</v>
      </c>
      <c r="AI92" s="98" t="s">
        <v>1282</v>
      </c>
      <c r="AJ92" s="99">
        <v>1861</v>
      </c>
      <c r="AK92" s="15" t="s">
        <v>294</v>
      </c>
      <c r="AL92" s="15" t="s">
        <v>336</v>
      </c>
      <c r="AM92" s="15" t="s">
        <v>336</v>
      </c>
      <c r="AN92" s="15" t="s">
        <v>336</v>
      </c>
      <c r="AO92" s="15" t="s">
        <v>336</v>
      </c>
      <c r="AP92" s="49" t="s">
        <v>336</v>
      </c>
    </row>
    <row r="93" spans="2:42" x14ac:dyDescent="0.25">
      <c r="B93" s="24" t="s">
        <v>557</v>
      </c>
      <c r="H93" s="15" t="s">
        <v>1720</v>
      </c>
      <c r="I93" s="25" t="b">
        <v>1</v>
      </c>
      <c r="J93" s="15" t="b">
        <v>1</v>
      </c>
      <c r="N93" s="15" t="s">
        <v>336</v>
      </c>
      <c r="O93" s="15" t="s">
        <v>336</v>
      </c>
      <c r="Y93" s="15" t="s">
        <v>336</v>
      </c>
      <c r="AI93" s="98" t="s">
        <v>1283</v>
      </c>
      <c r="AJ93" s="99">
        <v>1873</v>
      </c>
      <c r="AK93" s="15" t="s">
        <v>297</v>
      </c>
      <c r="AL93" s="15" t="s">
        <v>336</v>
      </c>
      <c r="AM93" s="15" t="s">
        <v>336</v>
      </c>
      <c r="AN93" s="15" t="s">
        <v>336</v>
      </c>
      <c r="AO93" s="15" t="s">
        <v>336</v>
      </c>
      <c r="AP93" s="49" t="s">
        <v>336</v>
      </c>
    </row>
    <row r="94" spans="2:42" x14ac:dyDescent="0.25">
      <c r="B94" s="24" t="s">
        <v>11</v>
      </c>
      <c r="H94" s="15" t="s">
        <v>1720</v>
      </c>
      <c r="I94" s="25" t="b">
        <v>1</v>
      </c>
      <c r="J94" s="15" t="b">
        <v>1</v>
      </c>
      <c r="N94" s="15" t="s">
        <v>336</v>
      </c>
      <c r="O94" s="15" t="s">
        <v>336</v>
      </c>
      <c r="Y94" s="15" t="s">
        <v>336</v>
      </c>
      <c r="AI94" s="98" t="s">
        <v>1284</v>
      </c>
      <c r="AJ94" s="99">
        <v>1875</v>
      </c>
      <c r="AK94" s="15" t="s">
        <v>298</v>
      </c>
      <c r="AL94" s="15" t="s">
        <v>336</v>
      </c>
      <c r="AM94" s="15" t="s">
        <v>336</v>
      </c>
      <c r="AN94" s="15" t="s">
        <v>336</v>
      </c>
      <c r="AO94" s="15" t="s">
        <v>336</v>
      </c>
      <c r="AP94" s="49" t="s">
        <v>336</v>
      </c>
    </row>
    <row r="95" spans="2:42" x14ac:dyDescent="0.25">
      <c r="B95" s="24" t="s">
        <v>11</v>
      </c>
      <c r="H95" s="15" t="s">
        <v>1720</v>
      </c>
      <c r="I95" s="25" t="b">
        <v>1</v>
      </c>
      <c r="J95" s="15" t="b">
        <v>1</v>
      </c>
      <c r="N95" s="15" t="s">
        <v>336</v>
      </c>
      <c r="O95" s="15" t="s">
        <v>336</v>
      </c>
      <c r="Y95" s="15" t="s">
        <v>336</v>
      </c>
      <c r="AI95" s="98" t="s">
        <v>1286</v>
      </c>
      <c r="AJ95" s="99">
        <v>1888</v>
      </c>
      <c r="AK95" s="15" t="s">
        <v>302</v>
      </c>
      <c r="AL95" s="15" t="s">
        <v>336</v>
      </c>
      <c r="AM95" s="15" t="s">
        <v>336</v>
      </c>
      <c r="AN95" s="15" t="s">
        <v>336</v>
      </c>
      <c r="AO95" s="15" t="s">
        <v>336</v>
      </c>
      <c r="AP95" s="49" t="s">
        <v>336</v>
      </c>
    </row>
    <row r="96" spans="2:42" x14ac:dyDescent="0.25">
      <c r="B96" s="24" t="s">
        <v>651</v>
      </c>
      <c r="H96" s="15" t="s">
        <v>1720</v>
      </c>
      <c r="I96" s="25" t="b">
        <v>1</v>
      </c>
      <c r="J96" s="15" t="b">
        <v>1</v>
      </c>
      <c r="N96" s="15" t="s">
        <v>336</v>
      </c>
      <c r="O96" s="15" t="s">
        <v>336</v>
      </c>
      <c r="Y96" s="15" t="s">
        <v>336</v>
      </c>
      <c r="AI96" s="98" t="s">
        <v>1287</v>
      </c>
      <c r="AJ96" s="99">
        <v>1894</v>
      </c>
      <c r="AK96" s="15" t="s">
        <v>303</v>
      </c>
      <c r="AL96" s="15" t="s">
        <v>336</v>
      </c>
      <c r="AM96" s="15" t="s">
        <v>336</v>
      </c>
      <c r="AN96" s="15" t="s">
        <v>336</v>
      </c>
      <c r="AO96" s="15" t="s">
        <v>336</v>
      </c>
      <c r="AP96" s="49" t="s">
        <v>336</v>
      </c>
    </row>
    <row r="97" spans="2:42" x14ac:dyDescent="0.25">
      <c r="B97" s="24" t="s">
        <v>717</v>
      </c>
      <c r="H97" s="15" t="s">
        <v>1720</v>
      </c>
      <c r="I97" s="25" t="b">
        <v>1</v>
      </c>
      <c r="J97" s="15" t="b">
        <v>1</v>
      </c>
      <c r="N97" s="15" t="s">
        <v>336</v>
      </c>
      <c r="O97" s="15" t="s">
        <v>336</v>
      </c>
      <c r="Y97" s="15" t="s">
        <v>336</v>
      </c>
      <c r="AI97" s="98" t="s">
        <v>1288</v>
      </c>
      <c r="AJ97" s="100" t="s">
        <v>1413</v>
      </c>
      <c r="AK97" s="15" t="s">
        <v>304</v>
      </c>
      <c r="AL97" s="15" t="s">
        <v>336</v>
      </c>
      <c r="AM97" s="15" t="s">
        <v>336</v>
      </c>
      <c r="AN97" s="15" t="s">
        <v>336</v>
      </c>
      <c r="AO97" s="15" t="s">
        <v>336</v>
      </c>
      <c r="AP97" s="49" t="s">
        <v>336</v>
      </c>
    </row>
    <row r="98" spans="2:42" x14ac:dyDescent="0.25">
      <c r="B98" s="24" t="s">
        <v>533</v>
      </c>
      <c r="H98" s="15" t="s">
        <v>1720</v>
      </c>
      <c r="I98" s="25" t="b">
        <v>1</v>
      </c>
      <c r="J98" s="15" t="b">
        <v>1</v>
      </c>
      <c r="N98" s="15" t="s">
        <v>336</v>
      </c>
      <c r="O98" s="15" t="s">
        <v>336</v>
      </c>
      <c r="Y98" s="15" t="s">
        <v>336</v>
      </c>
      <c r="AI98" s="98" t="s">
        <v>1289</v>
      </c>
      <c r="AJ98" s="99" t="s">
        <v>1161</v>
      </c>
      <c r="AK98" s="15" t="s">
        <v>305</v>
      </c>
      <c r="AL98" s="15" t="s">
        <v>336</v>
      </c>
      <c r="AM98" s="15" t="s">
        <v>336</v>
      </c>
      <c r="AN98" s="15" t="s">
        <v>336</v>
      </c>
      <c r="AO98" s="15" t="s">
        <v>336</v>
      </c>
      <c r="AP98" s="49" t="s">
        <v>336</v>
      </c>
    </row>
    <row r="99" spans="2:42" x14ac:dyDescent="0.25">
      <c r="B99" s="24" t="s">
        <v>11</v>
      </c>
      <c r="H99" s="15" t="s">
        <v>1720</v>
      </c>
      <c r="I99" s="25" t="b">
        <v>1</v>
      </c>
      <c r="J99" s="15" t="b">
        <v>1</v>
      </c>
      <c r="N99" s="15" t="s">
        <v>336</v>
      </c>
      <c r="O99" s="15" t="s">
        <v>336</v>
      </c>
      <c r="Y99" s="15" t="s">
        <v>336</v>
      </c>
      <c r="AI99" s="98" t="s">
        <v>1290</v>
      </c>
      <c r="AJ99" s="99">
        <v>1918</v>
      </c>
      <c r="AK99" s="15" t="s">
        <v>307</v>
      </c>
      <c r="AL99" s="15" t="s">
        <v>336</v>
      </c>
      <c r="AM99" s="15" t="s">
        <v>336</v>
      </c>
      <c r="AN99" s="15" t="s">
        <v>336</v>
      </c>
      <c r="AO99" s="15" t="s">
        <v>336</v>
      </c>
      <c r="AP99" s="49" t="s">
        <v>336</v>
      </c>
    </row>
    <row r="100" spans="2:42" x14ac:dyDescent="0.25">
      <c r="B100" s="24" t="s">
        <v>11</v>
      </c>
      <c r="H100" s="15" t="s">
        <v>1720</v>
      </c>
      <c r="I100" s="25" t="b">
        <v>1</v>
      </c>
      <c r="J100" s="15" t="b">
        <v>1</v>
      </c>
      <c r="N100" s="15" t="s">
        <v>336</v>
      </c>
      <c r="O100" s="15" t="s">
        <v>336</v>
      </c>
      <c r="Y100" s="15" t="s">
        <v>336</v>
      </c>
      <c r="AI100" s="98" t="s">
        <v>1291</v>
      </c>
      <c r="AJ100" s="99">
        <v>1924</v>
      </c>
      <c r="AK100" s="15" t="s">
        <v>308</v>
      </c>
      <c r="AL100" s="15" t="s">
        <v>336</v>
      </c>
      <c r="AM100" s="15" t="s">
        <v>336</v>
      </c>
      <c r="AN100" s="15" t="s">
        <v>336</v>
      </c>
      <c r="AO100" s="15" t="s">
        <v>336</v>
      </c>
      <c r="AP100" s="49" t="s">
        <v>336</v>
      </c>
    </row>
    <row r="101" spans="2:42" x14ac:dyDescent="0.25">
      <c r="B101" s="24" t="s">
        <v>552</v>
      </c>
      <c r="H101" s="15" t="s">
        <v>1720</v>
      </c>
      <c r="I101" s="25" t="b">
        <v>1</v>
      </c>
      <c r="J101" s="15" t="b">
        <v>1</v>
      </c>
      <c r="N101" s="15" t="s">
        <v>336</v>
      </c>
      <c r="O101" s="15" t="s">
        <v>336</v>
      </c>
      <c r="Y101" s="15" t="s">
        <v>336</v>
      </c>
      <c r="AI101" s="98" t="s">
        <v>1292</v>
      </c>
      <c r="AJ101" s="100" t="s">
        <v>1164</v>
      </c>
      <c r="AK101" s="15" t="s">
        <v>309</v>
      </c>
      <c r="AL101" s="15" t="s">
        <v>336</v>
      </c>
      <c r="AM101" s="15" t="s">
        <v>336</v>
      </c>
      <c r="AN101" s="15" t="s">
        <v>336</v>
      </c>
      <c r="AO101" s="15" t="s">
        <v>336</v>
      </c>
      <c r="AP101" s="49" t="s">
        <v>336</v>
      </c>
    </row>
    <row r="102" spans="2:42" x14ac:dyDescent="0.25">
      <c r="B102" s="24" t="s">
        <v>518</v>
      </c>
      <c r="H102" s="15" t="s">
        <v>1720</v>
      </c>
      <c r="I102" s="25" t="b">
        <v>1</v>
      </c>
      <c r="J102" s="15" t="b">
        <v>1</v>
      </c>
      <c r="N102" s="15" t="s">
        <v>336</v>
      </c>
      <c r="O102" s="15" t="s">
        <v>336</v>
      </c>
      <c r="Y102" s="15" t="s">
        <v>336</v>
      </c>
      <c r="AI102" s="98" t="s">
        <v>1293</v>
      </c>
      <c r="AJ102" s="99">
        <v>1929</v>
      </c>
      <c r="AK102" s="15" t="s">
        <v>310</v>
      </c>
      <c r="AL102" s="15" t="s">
        <v>336</v>
      </c>
      <c r="AM102" s="15" t="s">
        <v>336</v>
      </c>
      <c r="AN102" s="15" t="s">
        <v>336</v>
      </c>
      <c r="AO102" s="15" t="s">
        <v>336</v>
      </c>
      <c r="AP102" s="49" t="s">
        <v>336</v>
      </c>
    </row>
    <row r="103" spans="2:42" x14ac:dyDescent="0.25">
      <c r="B103" s="24" t="s">
        <v>509</v>
      </c>
      <c r="D103" s="52">
        <v>50.108666599999999</v>
      </c>
      <c r="E103" s="49">
        <v>4.9609611999999998</v>
      </c>
      <c r="F103" s="43" t="s">
        <v>346</v>
      </c>
      <c r="G103" s="79"/>
      <c r="H103" s="44" t="s">
        <v>1720</v>
      </c>
      <c r="I103" s="25" t="b">
        <v>1</v>
      </c>
      <c r="J103" s="15" t="b">
        <v>1</v>
      </c>
      <c r="N103" s="15" t="s">
        <v>347</v>
      </c>
      <c r="O103" s="15" t="s">
        <v>336</v>
      </c>
      <c r="Y103" s="16" t="s">
        <v>336</v>
      </c>
      <c r="Z103" s="16"/>
      <c r="AA103" s="16"/>
      <c r="AB103" s="16"/>
      <c r="AC103" s="16"/>
      <c r="AD103" s="16"/>
      <c r="AE103" s="16"/>
      <c r="AF103" s="16"/>
      <c r="AG103" s="16"/>
      <c r="AH103" s="87"/>
      <c r="AI103" s="98" t="s">
        <v>994</v>
      </c>
      <c r="AJ103" s="99">
        <v>1932</v>
      </c>
      <c r="AK103" s="15" t="s">
        <v>311</v>
      </c>
      <c r="AL103" s="15" t="s">
        <v>336</v>
      </c>
      <c r="AM103" s="15" t="s">
        <v>336</v>
      </c>
      <c r="AN103" s="15" t="s">
        <v>336</v>
      </c>
      <c r="AO103" s="15" t="s">
        <v>336</v>
      </c>
      <c r="AP103" s="49" t="s">
        <v>336</v>
      </c>
    </row>
    <row r="104" spans="2:42" x14ac:dyDescent="0.25">
      <c r="B104" s="24" t="s">
        <v>509</v>
      </c>
      <c r="D104" s="52">
        <v>50.538244800000001</v>
      </c>
      <c r="E104" s="49">
        <v>5.7507225999999996</v>
      </c>
      <c r="F104" s="43" t="s">
        <v>343</v>
      </c>
      <c r="G104" s="79"/>
      <c r="H104" s="44" t="s">
        <v>1720</v>
      </c>
      <c r="I104" s="25" t="b">
        <v>1</v>
      </c>
      <c r="J104" s="15" t="b">
        <v>1</v>
      </c>
      <c r="N104" s="15" t="s">
        <v>344</v>
      </c>
      <c r="O104" s="15" t="s">
        <v>336</v>
      </c>
      <c r="Y104" s="16" t="s">
        <v>336</v>
      </c>
      <c r="Z104" s="16"/>
      <c r="AA104" s="16"/>
      <c r="AB104" s="16"/>
      <c r="AC104" s="16"/>
      <c r="AD104" s="16"/>
      <c r="AE104" s="16"/>
      <c r="AF104" s="16"/>
      <c r="AG104" s="16"/>
      <c r="AH104" s="87"/>
      <c r="AI104" s="98" t="s">
        <v>993</v>
      </c>
      <c r="AJ104" s="99">
        <v>1933</v>
      </c>
      <c r="AK104" s="15" t="s">
        <v>312</v>
      </c>
      <c r="AL104" s="15" t="s">
        <v>336</v>
      </c>
      <c r="AM104" s="15" t="s">
        <v>336</v>
      </c>
      <c r="AN104" s="15" t="s">
        <v>336</v>
      </c>
      <c r="AO104" s="15" t="s">
        <v>336</v>
      </c>
      <c r="AP104" s="49" t="s">
        <v>336</v>
      </c>
    </row>
    <row r="105" spans="2:42" x14ac:dyDescent="0.25">
      <c r="B105" s="24" t="s">
        <v>518</v>
      </c>
      <c r="H105" s="15" t="s">
        <v>1720</v>
      </c>
      <c r="I105" s="25" t="b">
        <v>1</v>
      </c>
      <c r="J105" s="15" t="b">
        <v>1</v>
      </c>
      <c r="N105" s="15" t="s">
        <v>336</v>
      </c>
      <c r="O105" s="15" t="s">
        <v>336</v>
      </c>
      <c r="Y105" s="15" t="s">
        <v>336</v>
      </c>
      <c r="AI105" s="98" t="s">
        <v>1294</v>
      </c>
      <c r="AJ105" s="99">
        <v>1936</v>
      </c>
      <c r="AK105" s="15" t="s">
        <v>313</v>
      </c>
      <c r="AL105" s="15" t="s">
        <v>336</v>
      </c>
      <c r="AM105" s="15" t="s">
        <v>336</v>
      </c>
      <c r="AN105" s="15" t="s">
        <v>336</v>
      </c>
      <c r="AO105" s="15" t="s">
        <v>336</v>
      </c>
      <c r="AP105" s="49" t="s">
        <v>336</v>
      </c>
    </row>
    <row r="106" spans="2:42" x14ac:dyDescent="0.25">
      <c r="B106" s="24" t="s">
        <v>542</v>
      </c>
      <c r="H106" s="15" t="s">
        <v>1720</v>
      </c>
      <c r="I106" s="25" t="b">
        <v>1</v>
      </c>
      <c r="J106" s="15" t="b">
        <v>1</v>
      </c>
      <c r="N106" s="15" t="s">
        <v>336</v>
      </c>
      <c r="O106" s="15" t="s">
        <v>336</v>
      </c>
      <c r="Y106" s="15" t="s">
        <v>336</v>
      </c>
      <c r="AI106" s="98" t="s">
        <v>1295</v>
      </c>
      <c r="AJ106" s="100" t="s">
        <v>1167</v>
      </c>
      <c r="AK106" s="15" t="s">
        <v>314</v>
      </c>
      <c r="AL106" s="15" t="s">
        <v>336</v>
      </c>
      <c r="AM106" s="15" t="s">
        <v>336</v>
      </c>
      <c r="AN106" s="15" t="s">
        <v>336</v>
      </c>
      <c r="AO106" s="15" t="s">
        <v>336</v>
      </c>
      <c r="AP106" s="49" t="s">
        <v>336</v>
      </c>
    </row>
    <row r="107" spans="2:42" x14ac:dyDescent="0.25">
      <c r="B107" s="24" t="s">
        <v>11</v>
      </c>
      <c r="H107" s="15" t="s">
        <v>1720</v>
      </c>
      <c r="I107" s="25" t="b">
        <v>1</v>
      </c>
      <c r="J107" s="15" t="b">
        <v>1</v>
      </c>
      <c r="N107" s="15" t="s">
        <v>336</v>
      </c>
      <c r="O107" s="15" t="s">
        <v>336</v>
      </c>
      <c r="Y107" s="15" t="s">
        <v>336</v>
      </c>
      <c r="AI107" s="98" t="s">
        <v>1296</v>
      </c>
      <c r="AJ107" s="100" t="s">
        <v>1168</v>
      </c>
      <c r="AK107" s="15" t="s">
        <v>315</v>
      </c>
      <c r="AL107" s="15" t="s">
        <v>336</v>
      </c>
      <c r="AM107" s="15" t="s">
        <v>336</v>
      </c>
      <c r="AN107" s="15" t="s">
        <v>336</v>
      </c>
      <c r="AO107" s="15" t="s">
        <v>336</v>
      </c>
      <c r="AP107" s="49" t="s">
        <v>336</v>
      </c>
    </row>
    <row r="108" spans="2:42" x14ac:dyDescent="0.25">
      <c r="B108" s="24" t="s">
        <v>542</v>
      </c>
      <c r="H108" s="15" t="s">
        <v>1720</v>
      </c>
      <c r="I108" s="25" t="b">
        <v>1</v>
      </c>
      <c r="J108" s="15" t="b">
        <v>1</v>
      </c>
      <c r="N108" s="15" t="s">
        <v>336</v>
      </c>
      <c r="O108" s="15" t="s">
        <v>336</v>
      </c>
      <c r="Y108" s="15" t="s">
        <v>336</v>
      </c>
      <c r="AI108" s="98" t="s">
        <v>1298</v>
      </c>
      <c r="AJ108" s="100" t="s">
        <v>1170</v>
      </c>
      <c r="AK108" s="15" t="s">
        <v>317</v>
      </c>
      <c r="AL108" s="15" t="s">
        <v>336</v>
      </c>
      <c r="AM108" s="15" t="s">
        <v>336</v>
      </c>
      <c r="AN108" s="15" t="s">
        <v>336</v>
      </c>
      <c r="AO108" s="15" t="s">
        <v>336</v>
      </c>
      <c r="AP108" s="49" t="s">
        <v>336</v>
      </c>
    </row>
    <row r="109" spans="2:42" x14ac:dyDescent="0.25">
      <c r="B109" s="24" t="s">
        <v>651</v>
      </c>
      <c r="H109" s="15" t="s">
        <v>1720</v>
      </c>
      <c r="I109" s="25" t="b">
        <v>1</v>
      </c>
      <c r="J109" s="15" t="b">
        <v>1</v>
      </c>
      <c r="N109" s="15" t="s">
        <v>336</v>
      </c>
      <c r="O109" s="15" t="s">
        <v>336</v>
      </c>
      <c r="Y109" s="15" t="s">
        <v>336</v>
      </c>
      <c r="AI109" s="98" t="s">
        <v>1299</v>
      </c>
      <c r="AJ109" s="99">
        <v>1943</v>
      </c>
      <c r="AK109" s="15" t="s">
        <v>318</v>
      </c>
      <c r="AL109" s="15" t="s">
        <v>336</v>
      </c>
      <c r="AM109" s="15" t="s">
        <v>336</v>
      </c>
      <c r="AN109" s="15" t="s">
        <v>336</v>
      </c>
      <c r="AO109" s="15" t="s">
        <v>336</v>
      </c>
      <c r="AP109" s="49" t="s">
        <v>336</v>
      </c>
    </row>
    <row r="110" spans="2:42" x14ac:dyDescent="0.25">
      <c r="B110" s="24" t="s">
        <v>552</v>
      </c>
      <c r="H110" s="15" t="s">
        <v>1720</v>
      </c>
      <c r="I110" s="25" t="b">
        <v>1</v>
      </c>
      <c r="J110" s="15" t="b">
        <v>1</v>
      </c>
      <c r="N110" s="15" t="s">
        <v>336</v>
      </c>
      <c r="O110" s="15" t="s">
        <v>336</v>
      </c>
      <c r="Y110" s="15" t="s">
        <v>336</v>
      </c>
      <c r="AI110" s="98" t="s">
        <v>1300</v>
      </c>
      <c r="AJ110" s="99">
        <v>1945</v>
      </c>
      <c r="AK110" s="15" t="s">
        <v>319</v>
      </c>
      <c r="AL110" s="15" t="s">
        <v>336</v>
      </c>
      <c r="AM110" s="15" t="s">
        <v>336</v>
      </c>
      <c r="AN110" s="15" t="s">
        <v>336</v>
      </c>
      <c r="AO110" s="15" t="s">
        <v>336</v>
      </c>
      <c r="AP110" s="49" t="s">
        <v>336</v>
      </c>
    </row>
    <row r="111" spans="2:42" x14ac:dyDescent="0.25">
      <c r="B111" s="24" t="s">
        <v>557</v>
      </c>
      <c r="H111" s="15" t="s">
        <v>1720</v>
      </c>
      <c r="I111" s="25" t="b">
        <v>1</v>
      </c>
      <c r="J111" s="15" t="b">
        <v>1</v>
      </c>
      <c r="N111" s="15" t="s">
        <v>336</v>
      </c>
      <c r="O111" s="15" t="s">
        <v>336</v>
      </c>
      <c r="Y111" s="15" t="s">
        <v>336</v>
      </c>
      <c r="AI111" s="98" t="s">
        <v>1301</v>
      </c>
      <c r="AJ111" s="99">
        <v>1947</v>
      </c>
      <c r="AK111" s="15" t="s">
        <v>320</v>
      </c>
      <c r="AL111" s="15" t="s">
        <v>336</v>
      </c>
      <c r="AM111" s="15" t="s">
        <v>336</v>
      </c>
      <c r="AN111" s="15" t="s">
        <v>336</v>
      </c>
      <c r="AO111" s="15" t="s">
        <v>336</v>
      </c>
      <c r="AP111" s="49" t="s">
        <v>336</v>
      </c>
    </row>
    <row r="112" spans="2:42" x14ac:dyDescent="0.25">
      <c r="B112" s="24" t="s">
        <v>542</v>
      </c>
      <c r="H112" s="15" t="s">
        <v>1720</v>
      </c>
      <c r="I112" s="25" t="b">
        <v>1</v>
      </c>
      <c r="J112" s="15" t="b">
        <v>1</v>
      </c>
      <c r="N112" s="15" t="s">
        <v>336</v>
      </c>
      <c r="O112" s="15" t="s">
        <v>336</v>
      </c>
      <c r="Y112" s="15" t="s">
        <v>336</v>
      </c>
      <c r="AI112" s="98" t="s">
        <v>1302</v>
      </c>
      <c r="AJ112" s="100" t="s">
        <v>1174</v>
      </c>
      <c r="AK112" s="15" t="s">
        <v>321</v>
      </c>
      <c r="AL112" s="15" t="s">
        <v>336</v>
      </c>
      <c r="AM112" s="15" t="s">
        <v>336</v>
      </c>
      <c r="AN112" s="15" t="s">
        <v>336</v>
      </c>
      <c r="AO112" s="15" t="s">
        <v>336</v>
      </c>
      <c r="AP112" s="49" t="s">
        <v>336</v>
      </c>
    </row>
    <row r="113" spans="1:42" x14ac:dyDescent="0.25">
      <c r="B113" s="24" t="s">
        <v>11</v>
      </c>
      <c r="H113" s="15" t="s">
        <v>1720</v>
      </c>
      <c r="I113" s="25" t="b">
        <v>1</v>
      </c>
      <c r="J113" s="15" t="b">
        <v>1</v>
      </c>
      <c r="N113" s="15" t="s">
        <v>336</v>
      </c>
      <c r="O113" s="15" t="s">
        <v>336</v>
      </c>
      <c r="Y113" s="15" t="s">
        <v>336</v>
      </c>
      <c r="AI113" s="98" t="s">
        <v>1303</v>
      </c>
      <c r="AJ113" s="99">
        <v>1951</v>
      </c>
      <c r="AK113" s="15" t="s">
        <v>322</v>
      </c>
      <c r="AL113" s="15" t="s">
        <v>336</v>
      </c>
      <c r="AM113" s="15" t="s">
        <v>336</v>
      </c>
      <c r="AN113" s="15" t="s">
        <v>336</v>
      </c>
      <c r="AO113" s="15" t="s">
        <v>336</v>
      </c>
      <c r="AP113" s="49" t="s">
        <v>336</v>
      </c>
    </row>
    <row r="114" spans="1:42" x14ac:dyDescent="0.25">
      <c r="B114" s="24" t="s">
        <v>11</v>
      </c>
      <c r="H114" s="15" t="s">
        <v>1720</v>
      </c>
      <c r="I114" s="25" t="b">
        <v>1</v>
      </c>
      <c r="J114" s="15" t="b">
        <v>1</v>
      </c>
      <c r="N114" s="15" t="s">
        <v>336</v>
      </c>
      <c r="O114" s="15" t="s">
        <v>336</v>
      </c>
      <c r="Y114" s="15" t="s">
        <v>336</v>
      </c>
      <c r="AI114" s="98" t="s">
        <v>1304</v>
      </c>
      <c r="AJ114" s="99">
        <v>1953</v>
      </c>
      <c r="AK114" s="15" t="s">
        <v>323</v>
      </c>
      <c r="AL114" s="15" t="s">
        <v>336</v>
      </c>
      <c r="AM114" s="15" t="s">
        <v>336</v>
      </c>
      <c r="AN114" s="15" t="s">
        <v>336</v>
      </c>
      <c r="AO114" s="15" t="s">
        <v>336</v>
      </c>
      <c r="AP114" s="49" t="s">
        <v>336</v>
      </c>
    </row>
    <row r="115" spans="1:42" ht="38.25" x14ac:dyDescent="0.25">
      <c r="B115" s="24" t="s">
        <v>697</v>
      </c>
      <c r="H115" s="15" t="s">
        <v>1720</v>
      </c>
      <c r="I115" s="25" t="b">
        <v>1</v>
      </c>
      <c r="J115" s="15" t="b">
        <v>1</v>
      </c>
      <c r="N115" s="15" t="s">
        <v>336</v>
      </c>
      <c r="O115" s="15" t="s">
        <v>336</v>
      </c>
      <c r="Y115" s="15" t="s">
        <v>336</v>
      </c>
      <c r="AI115" s="98" t="s">
        <v>1306</v>
      </c>
      <c r="AJ115" s="99" t="s">
        <v>1178</v>
      </c>
      <c r="AK115" s="15" t="s">
        <v>325</v>
      </c>
      <c r="AL115" s="15" t="s">
        <v>336</v>
      </c>
      <c r="AM115" s="15" t="s">
        <v>336</v>
      </c>
      <c r="AN115" s="15" t="s">
        <v>336</v>
      </c>
      <c r="AO115" s="15" t="s">
        <v>336</v>
      </c>
      <c r="AP115" s="49" t="s">
        <v>336</v>
      </c>
    </row>
    <row r="116" spans="1:42" ht="102" x14ac:dyDescent="0.25">
      <c r="A116" s="14" t="s">
        <v>1324</v>
      </c>
      <c r="B116" s="24" t="s">
        <v>720</v>
      </c>
      <c r="D116" s="52">
        <v>37.204861473063303</v>
      </c>
      <c r="E116" s="49">
        <v>126.81640992516</v>
      </c>
      <c r="F116" s="41" t="s">
        <v>1396</v>
      </c>
      <c r="G116" s="53" t="s">
        <v>1396</v>
      </c>
      <c r="H116" s="15" t="s">
        <v>1720</v>
      </c>
      <c r="I116" s="25" t="b">
        <v>1</v>
      </c>
      <c r="J116" s="15" t="b">
        <v>1</v>
      </c>
      <c r="L116" s="41" t="s">
        <v>1335</v>
      </c>
      <c r="M116" s="55" t="s">
        <v>1750</v>
      </c>
      <c r="N116" s="15" t="s">
        <v>336</v>
      </c>
      <c r="O116" s="15" t="s">
        <v>336</v>
      </c>
      <c r="Y116" s="15" t="s">
        <v>336</v>
      </c>
      <c r="AI116" s="98" t="s">
        <v>1309</v>
      </c>
      <c r="AJ116" s="99">
        <v>1984</v>
      </c>
      <c r="AK116" s="15" t="s">
        <v>330</v>
      </c>
      <c r="AL116" s="15" t="s">
        <v>336</v>
      </c>
      <c r="AM116" s="15" t="s">
        <v>336</v>
      </c>
      <c r="AN116" s="15" t="s">
        <v>336</v>
      </c>
      <c r="AO116" s="15" t="s">
        <v>336</v>
      </c>
      <c r="AP116" s="49" t="s">
        <v>336</v>
      </c>
    </row>
    <row r="117" spans="1:42" ht="51" x14ac:dyDescent="0.25">
      <c r="A117" s="14" t="s">
        <v>1324</v>
      </c>
      <c r="B117" s="24" t="s">
        <v>637</v>
      </c>
      <c r="D117" s="52">
        <v>7.2085798653578497</v>
      </c>
      <c r="E117" s="49">
        <v>7.8115900693840503</v>
      </c>
      <c r="F117" s="24" t="s">
        <v>1044</v>
      </c>
      <c r="G117" s="53" t="s">
        <v>1045</v>
      </c>
      <c r="H117" s="15" t="s">
        <v>1720</v>
      </c>
      <c r="I117" s="25" t="b">
        <v>1</v>
      </c>
      <c r="J117" s="15" t="b">
        <v>1</v>
      </c>
      <c r="L117" s="24" t="s">
        <v>1047</v>
      </c>
      <c r="N117" s="15" t="s">
        <v>1043</v>
      </c>
      <c r="O117" s="15" t="s">
        <v>336</v>
      </c>
      <c r="Y117" s="15" t="s">
        <v>336</v>
      </c>
      <c r="AI117" s="98" t="s">
        <v>1049</v>
      </c>
      <c r="AJ117" s="99" t="s">
        <v>1048</v>
      </c>
      <c r="AK117" s="15" t="s">
        <v>331</v>
      </c>
      <c r="AL117" s="15" t="s">
        <v>336</v>
      </c>
      <c r="AM117" s="15" t="s">
        <v>1046</v>
      </c>
      <c r="AN117" s="15" t="s">
        <v>336</v>
      </c>
      <c r="AO117" s="15" t="s">
        <v>336</v>
      </c>
      <c r="AP117" s="49" t="s">
        <v>336</v>
      </c>
    </row>
    <row r="118" spans="1:42" x14ac:dyDescent="0.25">
      <c r="A118" s="14" t="s">
        <v>1324</v>
      </c>
      <c r="B118" s="24" t="s">
        <v>483</v>
      </c>
      <c r="D118" s="52">
        <v>34.149450392589202</v>
      </c>
      <c r="E118" s="49">
        <v>36.1356779618907</v>
      </c>
      <c r="F118" s="24" t="s">
        <v>1042</v>
      </c>
      <c r="G118" s="53" t="s">
        <v>1042</v>
      </c>
      <c r="H118" s="15" t="s">
        <v>1720</v>
      </c>
      <c r="I118" s="25" t="b">
        <v>1</v>
      </c>
      <c r="J118" s="15" t="b">
        <v>1</v>
      </c>
      <c r="N118" s="15" t="s">
        <v>336</v>
      </c>
      <c r="O118" s="15" t="s">
        <v>336</v>
      </c>
      <c r="Y118" s="15" t="s">
        <v>336</v>
      </c>
      <c r="AI118" s="98" t="s">
        <v>1050</v>
      </c>
      <c r="AJ118" s="99">
        <v>2004</v>
      </c>
      <c r="AK118" s="15" t="s">
        <v>332</v>
      </c>
      <c r="AL118" s="15" t="s">
        <v>336</v>
      </c>
      <c r="AM118" s="15" t="s">
        <v>336</v>
      </c>
      <c r="AN118" s="15" t="s">
        <v>336</v>
      </c>
      <c r="AO118" s="15" t="s">
        <v>336</v>
      </c>
      <c r="AP118" s="49" t="s">
        <v>336</v>
      </c>
    </row>
    <row r="119" spans="1:42" x14ac:dyDescent="0.25">
      <c r="I119" s="25" t="b">
        <v>1</v>
      </c>
      <c r="J119" s="15" t="b">
        <v>1</v>
      </c>
      <c r="O119" s="15" t="s">
        <v>336</v>
      </c>
      <c r="AI119" s="102" t="s">
        <v>1039</v>
      </c>
      <c r="AK119" s="15" t="s">
        <v>336</v>
      </c>
      <c r="AL119" s="15" t="s">
        <v>336</v>
      </c>
      <c r="AM119" s="15" t="s">
        <v>336</v>
      </c>
      <c r="AN119" s="15" t="s">
        <v>336</v>
      </c>
      <c r="AO119" s="15" t="s">
        <v>336</v>
      </c>
      <c r="AP119" s="49" t="s">
        <v>336</v>
      </c>
    </row>
    <row r="120" spans="1:42" x14ac:dyDescent="0.25">
      <c r="I120" s="25" t="b">
        <v>1</v>
      </c>
      <c r="J120" s="15" t="b">
        <v>1</v>
      </c>
      <c r="O120" s="15" t="s">
        <v>336</v>
      </c>
      <c r="AI120" s="102" t="s">
        <v>1040</v>
      </c>
      <c r="AK120" s="15" t="s">
        <v>336</v>
      </c>
      <c r="AL120" s="15" t="s">
        <v>336</v>
      </c>
      <c r="AM120" s="15" t="s">
        <v>336</v>
      </c>
      <c r="AN120" s="15" t="s">
        <v>336</v>
      </c>
      <c r="AO120" s="15" t="s">
        <v>336</v>
      </c>
      <c r="AP120" s="49" t="s">
        <v>336</v>
      </c>
    </row>
    <row r="121" spans="1:42" x14ac:dyDescent="0.25">
      <c r="I121" s="25" t="b">
        <v>1</v>
      </c>
      <c r="J121" s="15" t="b">
        <v>1</v>
      </c>
      <c r="O121" s="15" t="s">
        <v>336</v>
      </c>
      <c r="AI121" s="102" t="s">
        <v>1041</v>
      </c>
      <c r="AK121" s="15" t="s">
        <v>336</v>
      </c>
      <c r="AL121" s="15" t="s">
        <v>336</v>
      </c>
      <c r="AM121" s="15" t="s">
        <v>336</v>
      </c>
      <c r="AN121" s="15" t="s">
        <v>336</v>
      </c>
      <c r="AO121" s="15" t="s">
        <v>336</v>
      </c>
      <c r="AP121" s="49" t="s">
        <v>336</v>
      </c>
    </row>
    <row r="122" spans="1:42" ht="25.5" x14ac:dyDescent="0.25">
      <c r="A122" s="14" t="s">
        <v>1324</v>
      </c>
      <c r="B122" s="24" t="s">
        <v>669</v>
      </c>
      <c r="D122" s="52">
        <v>46.329000000000001</v>
      </c>
      <c r="E122" s="49">
        <v>14.2324</v>
      </c>
      <c r="F122" s="24" t="s">
        <v>1394</v>
      </c>
      <c r="G122" s="53" t="s">
        <v>1390</v>
      </c>
      <c r="I122" s="25" t="b">
        <v>1</v>
      </c>
      <c r="J122" s="15" t="b">
        <v>1</v>
      </c>
      <c r="L122" s="24" t="s">
        <v>1395</v>
      </c>
      <c r="N122" s="15" t="s">
        <v>1393</v>
      </c>
      <c r="O122" s="15" t="s">
        <v>336</v>
      </c>
      <c r="AK122" s="15" t="s">
        <v>336</v>
      </c>
      <c r="AL122" s="15" t="s">
        <v>336</v>
      </c>
      <c r="AM122" s="15" t="s">
        <v>336</v>
      </c>
      <c r="AN122" s="15" t="s">
        <v>336</v>
      </c>
      <c r="AO122" s="15" t="s">
        <v>336</v>
      </c>
    </row>
    <row r="123" spans="1:42" x14ac:dyDescent="0.25">
      <c r="B123" s="24" t="s">
        <v>11</v>
      </c>
      <c r="C123" s="35" t="s">
        <v>1004</v>
      </c>
      <c r="F123" s="24" t="s">
        <v>1398</v>
      </c>
      <c r="I123" s="25" t="b">
        <v>1</v>
      </c>
      <c r="J123" s="15" t="b">
        <v>1</v>
      </c>
      <c r="L123" s="24" t="s">
        <v>1397</v>
      </c>
      <c r="O123" s="15" t="s">
        <v>336</v>
      </c>
      <c r="AK123" s="15" t="s">
        <v>336</v>
      </c>
      <c r="AL123" s="15" t="s">
        <v>336</v>
      </c>
      <c r="AM123" s="15" t="s">
        <v>336</v>
      </c>
      <c r="AN123" s="15" t="s">
        <v>336</v>
      </c>
      <c r="AO123" s="15" t="s">
        <v>336</v>
      </c>
    </row>
    <row r="124" spans="1:42" x14ac:dyDescent="0.25">
      <c r="A124" s="14" t="s">
        <v>1324</v>
      </c>
      <c r="I124" s="25" t="b">
        <v>1</v>
      </c>
      <c r="J124" s="15" t="b">
        <v>1</v>
      </c>
      <c r="O124" s="15" t="s">
        <v>1712</v>
      </c>
      <c r="AI124" s="102" t="s">
        <v>1710</v>
      </c>
      <c r="AK124" s="15" t="s">
        <v>336</v>
      </c>
      <c r="AL124" s="15" t="s">
        <v>336</v>
      </c>
      <c r="AM124" s="15" t="s">
        <v>336</v>
      </c>
      <c r="AN124" s="15" t="s">
        <v>336</v>
      </c>
      <c r="AO124" s="15" t="s">
        <v>336</v>
      </c>
    </row>
  </sheetData>
  <autoFilter ref="A1:AT124" xr:uid="{A598B8B3-DE60-41C5-96BA-7CC5FA9AD3BE}"/>
  <phoneticPr fontId="20" type="noConversion"/>
  <conditionalFormatting sqref="A1:AP1048576">
    <cfRule type="expression" dxfId="12" priority="9">
      <formula>IF($A1="Blocked",TRUE,FALSE)</formula>
    </cfRule>
    <cfRule type="expression" dxfId="11" priority="10">
      <formula>IF($A1="In Progress",TRUE,FALSE)</formula>
    </cfRule>
    <cfRule type="expression" dxfId="10" priority="31">
      <formula>IF($A1="Done",TRUE,FALSE)</formula>
    </cfRule>
  </conditionalFormatting>
  <conditionalFormatting sqref="AI1:AP1048576">
    <cfRule type="expression" dxfId="9" priority="1">
      <formula>IF(AND($A1&lt;&gt;0,$J1=0),TRUE,FALSE)</formula>
    </cfRule>
  </conditionalFormatting>
  <hyperlinks>
    <hyperlink ref="AI2" r:id="rId1" display="http://www.therealpresence.org/eucharst/misc/BVM/121_MONTSERRAT_60x96.pdf" xr:uid="{658E6E9B-A674-43A9-856E-0FD22B9E7C1C}"/>
    <hyperlink ref="AI3" r:id="rId2" display="http://www.therealpresence.org/eucharst/misc/BVM/80_MONTEFORTINO_60x96.pdf" xr:uid="{36A2CD01-016A-49DA-B178-47912F7C1C64}"/>
    <hyperlink ref="AI4" r:id="rId3" display="http://www.therealpresence.org/eucharst/misc/BVM/86_FOGGIA_60x96.pdf" xr:uid="{48179079-2376-47F5-8744-DD73EE09F2D5}"/>
    <hyperlink ref="AI5" r:id="rId4" display="http://www.therealpresence.org/eucharst/misc/BVM/37_ARRAS_60x96.pdf" xr:uid="{1E61FC3E-3B23-43A3-942D-53934E3112B3}"/>
    <hyperlink ref="AI6" r:id="rId5" display="http://www.therealpresence.org/eucharst/misc/BVM/123_NAZARE_96x96.pdf" xr:uid="{E15897B5-901D-47B8-AD5E-F2B13A66EDA7}"/>
    <hyperlink ref="AI7" r:id="rId6" display="http://www.therealpresence.org/eucharst/misc/BVM/38_ASSISI_60x96.pdf" xr:uid="{5726E936-FC46-4A5C-8C28-68CC84714782}"/>
    <hyperlink ref="AI8" r:id="rId7" display="http://www.therealpresence.org/eucharst/misc/BVM/136_ARCOS_60x96.pdf" xr:uid="{0E2BE527-EB5C-4435-9D95-B2DB27EF60F5}"/>
    <hyperlink ref="AI9" r:id="rId8" display="http://www.therealpresence.org/eucharst/misc/BVM/35_CORTES_60x96.pdf" xr:uid="{42A568B9-C0D2-4696-A02E-B496E9DE17D0}"/>
    <hyperlink ref="AI10" r:id="rId9" display="http://www.therealpresence.org/eucharst/misc/BVM/18_FIRENZE_60x96.pdf" xr:uid="{2DDBDFF6-77B2-4F97-9CD3-3648ED364359}"/>
    <hyperlink ref="AI11" r:id="rId10" display="http://www.therealpresence.org/eucharst/misc/BVM/05_AYLESFORD_60x96.pdf" xr:uid="{13B71A39-C730-4715-BA19-BA311AF077F1}"/>
    <hyperlink ref="AI12" r:id="rId11" display="http://www.therealpresence.org/eucharst/misc/BVM/133_ROMA_POZZO_60x96.pdf" xr:uid="{156758DA-2CDB-497B-81EA-E97CF7B3C093}"/>
    <hyperlink ref="AI13" r:id="rId12" display="http://www.therealpresence.org/eucharst/misc/BVM/148_LORETO_140x96.pdf" xr:uid="{FA202AAD-0270-4673-906F-29BFCEFDE41E}"/>
    <hyperlink ref="AI14" r:id="rId13" display="http://www.therealpresence.org/eucharst/misc/BVM/44_BRA_60x96.pdf" xr:uid="{EB93A5A8-7B4F-4ACE-8AF8-3700A0B7F0F0}"/>
    <hyperlink ref="AI15" r:id="rId14" display="http://www.therealpresence.org/eucharst/misc/BVM/74_ROVERANO_60x96.pdf" xr:uid="{E1F811F0-46F8-48B6-B383-BFEC77E0E209}"/>
    <hyperlink ref="AI16" r:id="rId15" display="http://www.therealpresence.org/eucharst/misc/BVM/43_CASTEL_GODEGO_60x96.pdf" xr:uid="{DD5E87B0-EADA-44FE-A963-E111A0241358}"/>
    <hyperlink ref="AI17" r:id="rId16" display="http://www.therealpresence.org/eucharst/misc/BVM/100_CORDOBA_60x96.pdf" xr:uid="{0A45FB25-0F12-4D96-A86E-93B9BE1616E8}"/>
    <hyperlink ref="AI18" r:id="rId17" display="http://www.therealpresence.org/eucharst/misc/BVM/58_MONTE_BERICO_60x96.pdf" xr:uid="{C7B0CA35-23A2-4D18-A448-456F2716259C}"/>
    <hyperlink ref="AI19" r:id="rId18" display="http://www.therealpresence.org/eucharst/misc/BVM/15_CARAVAGGIO_60x96.pdf" xr:uid="{2FD14D81-EEF7-45A1-9EA8-7F38714203B2}"/>
    <hyperlink ref="AI20" r:id="rId19" display="http://www.therealpresence.org/eucharst/misc/BVM/50_DESENZANO_DI_ALBINO_60x96.pd.pdf" xr:uid="{8DCE04EE-B3ED-4A82-945F-06B600F8F507}"/>
    <hyperlink ref="AI21" r:id="rId20" display="http://www.therealpresence.org/eucharst/misc/BVM/105_FUERTEVENTURA_60x96.pdf" xr:uid="{51DD2E9F-A9A5-4709-B162-AFBB59BF146D}"/>
    <hyperlink ref="AI22" r:id="rId21" display="http://www.therealpresence.org/eucharst/misc/BVM/115_S_ANASTASIA_96x96.pdf" xr:uid="{C48F931D-3F37-434F-8944-6820E24EB787}"/>
    <hyperlink ref="AI23" r:id="rId22" display="http://www.therealpresence.org/eucharst/misc/BVM/45_GHISALBA_60x96.pdf" xr:uid="{157E0100-A401-4662-A4A9-79002FC171BC}"/>
    <hyperlink ref="AI24" r:id="rId23" display="http://www.therealpresence.org/eucharst/misc/BVM/72_GARLASCO_60x96.pdf" xr:uid="{87B3628E-2EAC-438B-9A4A-5663B3F530DC}"/>
    <hyperlink ref="AI25" r:id="rId24" display="http://www.therealpresence.org/eucharst/misc/BVM/71_GENAZZANO_60x96.pdf" xr:uid="{07F0F5EC-4DC7-40B5-BCE0-4A78A4CC07B1}"/>
    <hyperlink ref="AI26" r:id="rId25" display="http://www.therealpresence.org/eucharst/misc/BVM/75_BADIA_DI_CAVA_60x96.pdf" xr:uid="{D18FCF9D-7AFF-4CBB-9317-CE8CE7D71798}"/>
    <hyperlink ref="AI27" r:id="rId26" display="http://www.therealpresence.org/eucharst/misc/BVM/42_BOCCADIRIO_60x96.pdf" xr:uid="{AD97BE69-C666-4F94-90EB-4EBEB216B37B}"/>
    <hyperlink ref="AI28" r:id="rId27" display="http://www.therealpresence.org/eucharst/misc/BVM/106_TEROR_60x96.pdf" xr:uid="{2F89AE55-31FC-4B7C-8610-26D7B1F5D284}"/>
    <hyperlink ref="AI29" r:id="rId28" display="http://www.therealpresence.org/eucharst/misc/BVM/49_IMOLA_60x96.pdf" xr:uid="{1B73B395-7BD4-4BFD-BCD1-E59A6204D253}"/>
    <hyperlink ref="AI30" r:id="rId29" display="http://www.therealpresence.org/eucharst/misc/BVM/67_AGRES_60x96.pdf" xr:uid="{6863FB2D-822D-4494-8A6E-2DE8EB2FB6DB}"/>
    <hyperlink ref="AI31" r:id="rId30" display="http://www.therealpresence.org/eucharst/misc/BVM/55_MADONNA_DEL_SASSO_60x96.pdf" xr:uid="{F4DE8BF9-7563-4FBF-9DBA-0A19527F73B4}"/>
    <hyperlink ref="AI32" r:id="rId31" display="http://www.therealpresence.org/eucharst/misc/BVM/64_GENOVA_60x96.pdf" xr:uid="{85836A41-D29E-4C50-B688-A501C7D24025}"/>
    <hyperlink ref="AI33" r:id="rId32" display="http://www.therealpresence.org/eucharst/misc/BVM/24_TROIS_EPIS_60x96.pdf" xr:uid="{33CFC5C9-F857-4635-B1B8-DAD3A9BBB42B}"/>
    <hyperlink ref="AI34" r:id="rId33" display="http://www.therealpresence.org/eucharst/misc/BVM/51_GALLIVAGGIO_60x96.pdf" xr:uid="{8D37C3E2-0C3E-4C44-AB01-0C79B4F29ECF}"/>
    <hyperlink ref="AI35" r:id="rId34" display="http://www.therealpresence.org/eucharst/misc/BVM/87_RE_60x96.pdf" xr:uid="{F770EBFE-550F-47A7-81F9-07ADB2609C57}"/>
    <hyperlink ref="AI36" r:id="rId35" display="http://www.therealpresence.org/eucharst/misc/BVM/47_BETTOLA_60x96.pdf" xr:uid="{81B329D8-37EC-40E1-9B48-9950C2EA7171}"/>
    <hyperlink ref="AI37" r:id="rId36" display="http://www.therealpresence.org/eucharst/misc/BVM/65_MOLARE_60x96.pdf" xr:uid="{0F617741-444E-4CA6-8D0E-29AE663EBB43}"/>
    <hyperlink ref="AI38" r:id="rId37" display="http://www.therealpresence.org/eucharst/misc/BVM/98_ANDACOLLO_CILE_60x96.pdf" xr:uid="{60DB5ACB-64B7-47DE-A160-8CC02E93F301}"/>
    <hyperlink ref="AI39" r:id="rId38" display="http://www.therealpresence.org/eucharst/misc/BVM/111_LUGGAU_60x96.pdf" xr:uid="{92BE830A-EA3F-49CC-94D3-4325C270BD4F}"/>
    <hyperlink ref="AI40" r:id="rId39" display="http://www.therealpresence.org/eucharst/misc/BVM/79_TIRANO_96x96.pdf" xr:uid="{B7685827-D50E-42E9-A817-13ABF385F280}"/>
    <hyperlink ref="AI41" r:id="rId40" display="http://www.therealpresence.org/eucharst/misc/BVM/122_MOTTA_DI_LIV_96x96.pdf" xr:uid="{6180EFD9-C993-4C32-9F30-F3E8FF5F7ED4}"/>
    <hyperlink ref="AI42" r:id="rId41" display="http://www.therealpresence.org/eucharst/misc/BVM/66_PESCHIERA_S-GARDA_60x96.pdf" xr:uid="{61000713-E5CF-4D85-83B0-1C1ACDB21E28}"/>
    <hyperlink ref="AI43" r:id="rId42" display="http://www.therealpresence.org/eucharst/misc/BVM/41_BERGAMO_60x96.pdf" xr:uid="{42BD3F37-12F2-4217-9717-512CA3DDF697}"/>
    <hyperlink ref="AI44" r:id="rId43" display="http://www.therealpresence.org/eucharst/misc/BVM/134_RZESZOW_96x96.pdf" xr:uid="{5C7CC109-5BCF-4547-9F64-E0CCFE3861C6}"/>
    <hyperlink ref="AI45" r:id="rId44" display="http://www.therealpresence.org/eucharst/misc/BVM/84_GARAISON_60x96.pdf" xr:uid="{CFA36045-F0E1-4EFF-83EF-78FC2166F51B}"/>
    <hyperlink ref="AI46" r:id="rId45" display="http://www.therealpresence.org/eucharst/misc/BVM/34_ADRO_60x96.pdf" xr:uid="{3E6ED1F2-8D29-4D07-A363-F70125EDC398}"/>
    <hyperlink ref="AI47" r:id="rId46" display="http://www.therealpresence.org/eucharst/misc/BVM/83_COTIGNAC_60x96.pdf" xr:uid="{9935782A-99CF-4468-B553-384E7871E642}"/>
    <hyperlink ref="AI48" r:id="rId47" display="http://www.therealpresence.org/eucharst/misc/BVM/114_CORI_60x96.pdf" xr:uid="{B1CA8A89-FD41-43D4-9FBA-9B10C767A55E}"/>
    <hyperlink ref="AI49" r:id="rId48" display="http://www.therealpresence.org/eucharst/misc/BVM/48_CUSSANIO_60x96.pdf" xr:uid="{AA54506B-CD7E-4830-9490-F08C6005F1BA}"/>
    <hyperlink ref="AI50" r:id="rId49" display="http://www.therealpresence.org/eucharst/misc/BVM/53_CRESCENTINO_60x96.pdf" xr:uid="{153A73E3-6180-43DE-82C2-255ACEB3AFD2}"/>
    <hyperlink ref="AI51" r:id="rId50" display="http://www.therealpresence.org/eucharst/misc/BVM/81_ORNAVASSO_60x96.pdf" xr:uid="{E1DAA1D0-2B11-4D8D-9CD3-5356C2F9D287}"/>
    <hyperlink ref="AI52" r:id="rId51" display="http://www.therealpresence.org/eucharst/misc/BVM/29_SAVONA_60x96.pdf" xr:uid="{FB635B0C-D72D-4B60-A8E4-D3DFCCAD8260}"/>
    <hyperlink ref="AI53" r:id="rId52" display="http://www.therealpresence.org/eucharst/misc/BVM/127_OCOTLAN_96x96.pdf" xr:uid="{325EE6B5-4467-4CF0-83EA-8FA3AD7CC536}"/>
    <hyperlink ref="AI54" r:id="rId53" display="http://www.therealpresence.org/eucharst/misc/BVM/116_VACCIAGO_60x96.pdf" xr:uid="{44FD30A3-C33D-47B3-9C34-AD34EBD00D27}"/>
    <hyperlink ref="AI55" r:id="rId54" display="http://www.therealpresence.org/eucharst/misc/BVM/60_PIETRALBA_96x96.pdf" xr:uid="{5503B245-E9C6-4988-9829-CA03AFEBA3C9}"/>
    <hyperlink ref="AI56" r:id="rId55" display="http://www.therealpresence.org/eucharst/misc/BVM/10_CORBETTA_60x96.pdf" xr:uid="{2FABD729-44EA-4566-B1C8-3062EA71A601}"/>
    <hyperlink ref="AI57" r:id="rId56" display="http://www.therealpresence.org/eucharst/misc/BVM/02_ARCOLA_60x96.pdf" xr:uid="{50C58042-92C7-41A9-B4C1-452A8ACABDF0}"/>
    <hyperlink ref="AI58" r:id="rId57" display="http://www.therealpresence.org/eucharst/misc/BVM/56_GIULIANOVA_96x96.pdf" xr:uid="{11F90242-10B7-4B74-93FB-111FD422B7FF}"/>
    <hyperlink ref="AI59" r:id="rId58" display="http://www.therealpresence.org/eucharst/misc/BVM/62_GEROSA_60x96.pdf" xr:uid="{7F1CA3BF-FF1A-4C18-89E2-B0DCE4FF6F8F}"/>
    <hyperlink ref="AI60" r:id="rId59" display="http://www.therealpresence.org/eucharst/misc/BVM/141_MONCRIVELLO_60x96.pdf" xr:uid="{423C4352-5EFA-4FFA-853E-2F3B6D864D68}"/>
    <hyperlink ref="AI61" r:id="rId60" display="http://www.therealpresence.org/eucharst/misc/BVM/52_CASALBORDINO_60x96.pdf" xr:uid="{EA754CC6-1573-4520-8B78-4272013C5F1B}"/>
    <hyperlink ref="AI62" r:id="rId61" display="http://www.therealpresence.org/eucharst/misc/BVM/129_LUMARZO_60x96.pdf" xr:uid="{4D2E8507-75F5-41AC-95C2-9CA5E6CF5D96}"/>
    <hyperlink ref="AI63" r:id="rId62" display="http://www.therealpresence.org/eucharst/misc/BVM/97_CHIQUINQUIRA_96x96.pdf" xr:uid="{6BDAC134-A626-4E8C-A47D-C8A4CA25D576}"/>
    <hyperlink ref="AI64" r:id="rId63" display="http://www.therealpresence.org/eucharst/misc/BVM/131_QUINCHE_60x96.pdf" xr:uid="{B0CB984F-EA72-4B4D-91CB-64C411D5122B}"/>
    <hyperlink ref="AI65" r:id="rId64" display="http://www.therealpresence.org/eucharst/misc/BVM/132_QUITO_96x96.pdf" xr:uid="{EA433108-048C-44E1-BF9E-FE443A50501F}"/>
    <hyperlink ref="AI66" r:id="rId65" display="http://www.therealpresence.org/eucharst/misc/BVM/120_RAPALLO_60x96.pdf" xr:uid="{2835A9F5-BBFF-4B51-8641-41722DBF8266}"/>
    <hyperlink ref="AI68" r:id="rId66" display="http://www.therealpresence.org/eucharst/misc/BVM/61_BETHARRAM_60x96.pdf" xr:uid="{ED0FF0A2-B5FB-416F-935C-8F1E3A56E919}"/>
    <hyperlink ref="AI67" r:id="rId67" display="http://www.therealpresence.org/eucharst/misc/BVM/92_CAACUPE_96x96.pdf" xr:uid="{2C6F0ED3-0F25-4A42-9AC3-8586122F624F}"/>
    <hyperlink ref="AI69" r:id="rId68" display="http://www.therealpresence.org/eucharst/misc/BVM/36_ARDESIO_60x96.pdf" xr:uid="{95AA4A67-B484-4AB0-9B24-FB3CFED15185}"/>
    <hyperlink ref="AI70" r:id="rId69" display="http://www.therealpresence.org/eucharst/misc/BVM/22_MONFERRATO_60x96.pdf" xr:uid="{77140C4C-B10E-4EED-BD16-EEB483169235}"/>
    <hyperlink ref="AI71" r:id="rId70" display="http://www.therealpresence.org/eucharst/misc/BVM/118_MARBACH_60x96.pdf" xr:uid="{49AEECFE-7026-4ADE-837D-2C045323EEE8}"/>
    <hyperlink ref="AI72" r:id="rId71" display="http://www.therealpresence.org/eucharst/misc/BVM/101_CARTAGO_60x96.pdf" xr:uid="{B32B2671-B1BC-4839-BEDF-829003AB9195}"/>
    <hyperlink ref="AI73" r:id="rId72" display="http://www.therealpresence.org/eucharst/misc/BVM/107_KEVELAER_96x96.pdf" xr:uid="{5E962AFC-DFF1-4526-8697-E5901E0EF29F}"/>
    <hyperlink ref="AI74" r:id="rId73" display="http://www.therealpresence.org/eucharst/misc/BVM/125_PLANTEES_60x96.pdf" xr:uid="{AC2E78FF-05DF-4C33-9B3B-FBE4366FE71E}"/>
    <hyperlink ref="AI75" r:id="rId74" display="http://www.therealpresence.org/eucharst/misc/BVM/14_GUANARE_60x96.pdf" xr:uid="{99D173D7-9767-4AE2-A309-0B187552C3C3}"/>
    <hyperlink ref="AI76" r:id="rId75" display="http://www.therealpresence.org/eucharst/misc/BVM/108_LA_PRENESSAYE_60x96.pdf" xr:uid="{AF3119AD-13D5-4162-930A-5FBA9FD56734}"/>
    <hyperlink ref="AI77" r:id="rId76" display="http://www.therealpresence.org/eucharst/misc/BVM/08_PIEVE_DI_TAGLIAM_60x96.pdf" xr:uid="{455D0193-CDE9-4EE1-BF45-711FAECC323E}"/>
    <hyperlink ref="AI78" r:id="rId77" display="http://www.therealpresence.org/eucharst/misc/BVM/54_SAN_BARTOLOMEO_60x96.pdf" xr:uid="{93CA0389-9EEA-4B54-81E0-06DD805D7DC2}"/>
    <hyperlink ref="AI79" r:id="rId78" display="http://www.therealpresence.org/eucharst/misc/BVM/145_GYOR_96x96.pdf" xr:uid="{CFAABB82-E9FE-438C-8EFB-6E6CCBC86B12}"/>
    <hyperlink ref="AI80" r:id="rId79" display="http://www.therealpresence.org/eucharst/misc/BVM/73_COTOCA_60x96.pdf" xr:uid="{AB18FD7E-93BC-44E5-B692-BD548A58EB64}"/>
    <hyperlink ref="AI81" r:id="rId80" display="http://www.therealpresence.org/eucharst/misc/BVM/142_QUILLACOLLO_60x96.pdf" xr:uid="{5B95BB6E-AB2F-4F91-84AB-2CEAF7A2AF2E}"/>
    <hyperlink ref="AI82" r:id="rId81" display="http://www.therealpresence.org/eucharst/misc/BVM/130_PELLESTRINA_96x96.pdf" xr:uid="{7C650E65-0C8F-4BBE-B7AC-E316951911B6}"/>
    <hyperlink ref="AI83" r:id="rId82" display="http://www.therealpresence.org/eucharst/misc/BVM/77_VALE_DO_PARAIBA_60x96.pdf" xr:uid="{36F54A94-A819-4E3A-BF73-8BB5F67D261B}"/>
    <hyperlink ref="AI84" r:id="rId83" display="http://www.therealpresence.org/eucharst/misc/BVM/59_MONTAGNAGA_96x96.pdf" xr:uid="{A57AC6E6-E3F3-450F-AC76-6C7ACFD807EA}"/>
    <hyperlink ref="AI85" r:id="rId84" display="http://www.therealpresence.org/eucharst/misc/BVM/17_DIVINO_AMORE_60x96.pdf" xr:uid="{E9488973-4DDA-43BC-8753-B947895F234D}"/>
    <hyperlink ref="AI86" r:id="rId85" display="http://www.therealpresence.org/eucharst/misc/BVM/95_CHAGUAYA_60x96.pdf" xr:uid="{F1436C3E-E077-4D5D-8DCD-487F99872005}"/>
    <hyperlink ref="AI87" r:id="rId86" display="http://www.therealpresence.org/eucharst/misc/BVM/33_ABSAM_60x96.pdf" xr:uid="{7A28C84E-1A47-4E6C-A875-FE5E481E37C2}"/>
    <hyperlink ref="AI88" r:id="rId87" display="http://www.therealpresence.org/eucharst/misc/BVM/126_ORNANS_60x96.pdf" xr:uid="{143C3561-04AA-4E6D-B492-1116C35BC8F6}"/>
    <hyperlink ref="AI89" r:id="rId88" display="http://www.therealpresence.org/eucharst/misc/BVM/03_BORGO_CERRETO_60x96.pdf" xr:uid="{4926A5BA-39D3-4AAB-AE40-84962745F74F}"/>
    <hyperlink ref="AI90" r:id="rId89" display="http://www.therealpresence.org/eucharst/misc/BVM/27_PORZUS_60x96.pdf" xr:uid="{AE448702-0AE6-4824-8292-FC690F65F292}"/>
    <hyperlink ref="AI91" r:id="rId90" display="http://www.therealpresence.org/eucharst/misc/BVM/96_CHAMPION_140x96.pdf" xr:uid="{44028370-F8B6-43A4-A825-962E70ACD4F7}"/>
    <hyperlink ref="AI92" r:id="rId91" display="http://www.therealpresence.org/eucharst/misc/BVM/12_MONTEFALCO_60x96.pdf" xr:uid="{B16C0D43-ED60-4623-A9F2-1E207A251936}"/>
    <hyperlink ref="AI93" r:id="rId92" display="http://www.therealpresence.org/eucharst/misc/BVM/135_S_BAUZILLE_96x96.pdf" xr:uid="{094B2CDB-AAC6-426B-B694-52394C5C7CDE}"/>
    <hyperlink ref="AI94" r:id="rId93" display="http://www.therealpresence.org/eucharst/misc/BVM/25_POMPEI_96x96.pdf" xr:uid="{7855DA74-4DC7-4DFC-A86D-C4634173906A}"/>
    <hyperlink ref="AI95" r:id="rId94" display="http://www.therealpresence.org/eucharst/misc/BVM/82_CASTELPETROSO_60x96.pdf" xr:uid="{FBE95745-1B76-4C80-883C-A6020A15B608}"/>
    <hyperlink ref="AI96" r:id="rId95" display="http://www.therealpresence.org/eucharst/misc/BVM/139_SZCZYRK_60x96.pdf" xr:uid="{121E7A4D-4303-4DAA-9897-1183BCA5910B}"/>
    <hyperlink ref="AI97" r:id="rId96" display="http://www.therealpresence.org/eucharst/misc/BVM/91_BETANIA_96x96.pdf" xr:uid="{3BCB6EBD-DCB8-4074-9D4D-1173E3A9EABD}"/>
    <hyperlink ref="AI98" r:id="rId97" display="http://www.therealpresence.org/eucharst/misc/BVM/103_DONG_LU_96x96.pdf" xr:uid="{D7F2F771-C91C-4D3D-A5FC-CA3544461DEE}"/>
    <hyperlink ref="AI99" r:id="rId98" display="http://www.therealpresence.org/eucharst/misc/BVM/46_TORINO_60x96.pdf" xr:uid="{A174A645-F78D-41C4-93D9-E221F4743567}"/>
    <hyperlink ref="AI100" r:id="rId99" display="http://www.therealpresence.org/eucharst/misc/BVM/04_CERNUSCO_60x96.pdf" xr:uid="{E75F4D6C-7F2D-42B7-AD95-AEA5CC77B8FA}"/>
    <hyperlink ref="AI101" r:id="rId100" display="http://www.therealpresence.org/eucharst/misc/BVM/31_PONTEVEDRA_96x96.pdf" xr:uid="{6C5F5E1F-8B5D-4F82-A5EC-268028A3EED6}"/>
    <hyperlink ref="AI102" r:id="rId101" display="http://www.therealpresence.org/eucharst/misc/BVM/93_CAMPINAS_140x96.pdf" xr:uid="{D6AB0E35-C295-429B-ACFF-748EF46301A1}"/>
    <hyperlink ref="AI103" r:id="rId102" display="http://www.therealpresence.org/eucharst/misc/BVM/11_BEAURAING_60x96.pdf" xr:uid="{37CEF409-57CF-4D13-913D-F64B7E896A99}"/>
    <hyperlink ref="AI104" r:id="rId103" display="http://www.therealpresence.org/eucharst/misc/BVM/39_BANNEAUX_96x96.pdf" xr:uid="{748AB8C2-22F4-4367-ADE3-D07A53A37B2A}"/>
    <hyperlink ref="AI105" r:id="rId104" display="http://www.therealpresence.org/eucharst/misc/BVM/151_PESQUEIRA_140x96.pdf" xr:uid="{DF2684F1-F924-422C-8B92-EEFB862919A3}"/>
    <hyperlink ref="AI106" r:id="rId105" display="http://www.therealpresence.org/eucharst/misc/BVM/146_HEEDE_140x96.pdf" xr:uid="{283ABDD9-4A18-41D3-9848-B942E3DA66C9}"/>
    <hyperlink ref="AI107" r:id="rId106" display="http://www.therealpresence.org/eucharst/misc/BVM/119_MILANO_96x96.pdf" xr:uid="{0B286280-543C-4FE4-8976-937CDA0EA8A3}"/>
    <hyperlink ref="AI108" r:id="rId107" display="http://www.therealpresence.org/eucharst/misc/BVM/149_MARIENFRIED_140x96.pdf" xr:uid="{A2098EFD-FA68-4C40-8A09-435034E8AE42}"/>
    <hyperlink ref="AI109" r:id="rId108" display="http://www.therealpresence.org/eucharst/misc/BVM/152_SIEKIERKI_96x96.pdf" xr:uid="{6D525FF3-4BEF-4DF2-8105-41DD53AF646E}"/>
    <hyperlink ref="AI110" r:id="rId109" display="http://www.therealpresence.org/eucharst/misc/BVM/99_CODOSERA_140x96.pdf" xr:uid="{D20B9B74-3D05-482F-89D3-7A01CF38BB0D}"/>
    <hyperlink ref="AI111" r:id="rId110" display="http://www.therealpresence.org/eucharst/misc/BVM/19_ILE_BOUCHARD_96x96.pdf" xr:uid="{2D46B144-73F0-442E-8D39-1C183D12A98E}"/>
    <hyperlink ref="AI112" r:id="rId111" display="http://www.therealpresence.org/eucharst/misc/BVM/147_HEROLDSBACH_140x96.pdf" xr:uid="{5D3A2EE4-7DFB-42DC-BB77-A5626BEFCF4C}"/>
    <hyperlink ref="AI113" r:id="rId112" display="http://www.therealpresence.org/eucharst/misc/BVM/113_ROGOROTTO_60x96.pdf" xr:uid="{537D0338-2304-4311-9079-AD8E4BA5FCEA}"/>
    <hyperlink ref="AI114" r:id="rId113" display="http://www.therealpresence.org/eucharst/misc/BVM/28_SIRACUSA_60x96.pdf" xr:uid="{BF63BB12-D370-451B-9471-DF48A49742CE}"/>
    <hyperlink ref="AI115" r:id="rId114" display="http://www.therealpresence.org/eucharst/misc/BVM/150_FOSTORIA_140x96.pdf" xr:uid="{2CFD9A99-1D1B-4BC0-8A3E-BB77A5CC9464}"/>
    <hyperlink ref="AI116" r:id="rId115" display="http://www.therealpresence.org/eucharst/misc/BVM/143_NAMYANG_96x96.pdf" xr:uid="{68B3F2D2-FBAF-4933-B5BA-1876F5425328}"/>
    <hyperlink ref="AI117" r:id="rId116" display="http://www.therealpresence.org/eucharst/misc/BVM/76_AOKPE_140x96.pdf" xr:uid="{7312975A-9717-402C-AD13-23C5A77984AB}"/>
  </hyperlinks>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expression" priority="93" id="{00000000-000E-0000-0100-000040000000}">
            <xm:f>IF(AND(LEN(Y1)&lt;&gt;0,ROW(Y1)&gt;1,ISNA(VLOOKUP(Y1,'Tag List'!$A:$B,2,))),TRUE,FALSE)</xm:f>
            <x14:dxf>
              <fill>
                <patternFill>
                  <bgColor rgb="FFFF0000"/>
                </patternFill>
              </fill>
            </x14:dxf>
          </x14:cfRule>
          <xm:sqref>Y1:AH1048576</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B26362-28F5-49C7-A8E7-A6E16D86518E}">
  <sheetPr codeName="Sheet6"/>
  <dimension ref="A1:E48"/>
  <sheetViews>
    <sheetView workbookViewId="0">
      <pane ySplit="1" topLeftCell="A2" activePane="bottomLeft" state="frozen"/>
      <selection pane="bottomLeft" activeCell="C49" sqref="C49"/>
    </sheetView>
  </sheetViews>
  <sheetFormatPr defaultRowHeight="12.75" x14ac:dyDescent="0.2"/>
  <cols>
    <col min="1" max="1" width="23.7109375" style="21" bestFit="1" customWidth="1"/>
    <col min="2" max="2" width="46.28515625" style="21" bestFit="1" customWidth="1"/>
    <col min="3" max="3" width="12.140625" style="21" bestFit="1" customWidth="1"/>
    <col min="4" max="16384" width="9.140625" style="21"/>
  </cols>
  <sheetData>
    <row r="1" spans="1:3" s="20" customFormat="1" x14ac:dyDescent="0.2">
      <c r="A1" s="20" t="s">
        <v>1429</v>
      </c>
      <c r="B1" s="20" t="s">
        <v>1430</v>
      </c>
      <c r="C1" s="20" t="s">
        <v>2141</v>
      </c>
    </row>
    <row r="2" spans="1:3" x14ac:dyDescent="0.2">
      <c r="A2" s="21" t="s">
        <v>1037</v>
      </c>
      <c r="B2" s="21" t="s">
        <v>1431</v>
      </c>
      <c r="C2" s="105" t="s">
        <v>1762</v>
      </c>
    </row>
    <row r="3" spans="1:3" x14ac:dyDescent="0.2">
      <c r="A3" s="105" t="s">
        <v>2142</v>
      </c>
      <c r="B3" s="21" t="s">
        <v>1432</v>
      </c>
    </row>
    <row r="4" spans="1:3" x14ac:dyDescent="0.2">
      <c r="A4" s="21" t="s">
        <v>1405</v>
      </c>
      <c r="B4" s="21" t="s">
        <v>1433</v>
      </c>
      <c r="C4" s="21" t="s">
        <v>2147</v>
      </c>
    </row>
    <row r="5" spans="1:3" x14ac:dyDescent="0.2">
      <c r="A5" s="21" t="s">
        <v>1000</v>
      </c>
      <c r="B5" s="21" t="s">
        <v>1434</v>
      </c>
      <c r="C5" s="21" t="s">
        <v>2143</v>
      </c>
    </row>
    <row r="6" spans="1:3" x14ac:dyDescent="0.2">
      <c r="A6" s="21" t="s">
        <v>1419</v>
      </c>
      <c r="B6" s="21" t="s">
        <v>1436</v>
      </c>
      <c r="C6" s="105" t="s">
        <v>1762</v>
      </c>
    </row>
    <row r="7" spans="1:3" x14ac:dyDescent="0.2">
      <c r="A7" s="21" t="s">
        <v>486</v>
      </c>
      <c r="B7" s="21" t="s">
        <v>1437</v>
      </c>
      <c r="C7" s="105" t="s">
        <v>1762</v>
      </c>
    </row>
    <row r="8" spans="1:3" x14ac:dyDescent="0.2">
      <c r="A8" s="21" t="s">
        <v>1426</v>
      </c>
      <c r="B8" s="21" t="s">
        <v>1439</v>
      </c>
      <c r="C8" s="105" t="s">
        <v>2143</v>
      </c>
    </row>
    <row r="9" spans="1:3" x14ac:dyDescent="0.2">
      <c r="A9" s="21" t="s">
        <v>487</v>
      </c>
      <c r="B9" s="105" t="s">
        <v>2144</v>
      </c>
      <c r="C9" s="105" t="s">
        <v>1762</v>
      </c>
    </row>
    <row r="10" spans="1:3" x14ac:dyDescent="0.2">
      <c r="A10" s="21" t="s">
        <v>488</v>
      </c>
      <c r="B10" s="21" t="s">
        <v>1438</v>
      </c>
      <c r="C10" s="105" t="s">
        <v>1762</v>
      </c>
    </row>
    <row r="11" spans="1:3" x14ac:dyDescent="0.2">
      <c r="A11" s="21" t="s">
        <v>489</v>
      </c>
      <c r="B11" s="21" t="s">
        <v>1440</v>
      </c>
      <c r="C11" s="105" t="s">
        <v>1762</v>
      </c>
    </row>
    <row r="12" spans="1:3" x14ac:dyDescent="0.2">
      <c r="A12" s="21" t="s">
        <v>490</v>
      </c>
      <c r="B12" s="21" t="s">
        <v>1441</v>
      </c>
      <c r="C12" s="105" t="s">
        <v>1762</v>
      </c>
    </row>
    <row r="13" spans="1:3" x14ac:dyDescent="0.2">
      <c r="A13" s="21" t="s">
        <v>1427</v>
      </c>
      <c r="B13" s="21" t="s">
        <v>1442</v>
      </c>
      <c r="C13" s="105" t="s">
        <v>1762</v>
      </c>
    </row>
    <row r="14" spans="1:3" x14ac:dyDescent="0.2">
      <c r="A14" s="21" t="s">
        <v>1321</v>
      </c>
      <c r="B14" s="105" t="s">
        <v>2145</v>
      </c>
      <c r="C14" s="105" t="s">
        <v>1762</v>
      </c>
    </row>
    <row r="15" spans="1:3" x14ac:dyDescent="0.2">
      <c r="A15" s="21" t="s">
        <v>1020</v>
      </c>
      <c r="B15" s="21" t="s">
        <v>1444</v>
      </c>
      <c r="C15" s="105" t="s">
        <v>2147</v>
      </c>
    </row>
    <row r="16" spans="1:3" x14ac:dyDescent="0.2">
      <c r="A16" s="21" t="s">
        <v>1428</v>
      </c>
      <c r="B16" s="21" t="s">
        <v>1443</v>
      </c>
      <c r="C16" s="105" t="s">
        <v>1762</v>
      </c>
    </row>
    <row r="17" spans="1:3" x14ac:dyDescent="0.2">
      <c r="A17" s="21" t="s">
        <v>1707</v>
      </c>
      <c r="B17" s="21" t="s">
        <v>1708</v>
      </c>
      <c r="C17" s="21" t="s">
        <v>1762</v>
      </c>
    </row>
    <row r="18" spans="1:3" x14ac:dyDescent="0.2">
      <c r="A18" s="21" t="s">
        <v>1725</v>
      </c>
      <c r="B18" s="22" t="s">
        <v>1726</v>
      </c>
      <c r="C18" s="21" t="s">
        <v>1762</v>
      </c>
    </row>
    <row r="19" spans="1:3" x14ac:dyDescent="0.2">
      <c r="A19" s="21" t="s">
        <v>1728</v>
      </c>
      <c r="B19" s="22" t="s">
        <v>1727</v>
      </c>
      <c r="C19" s="21" t="s">
        <v>1762</v>
      </c>
    </row>
    <row r="20" spans="1:3" x14ac:dyDescent="0.2">
      <c r="A20" s="21" t="s">
        <v>1760</v>
      </c>
      <c r="B20" s="22" t="s">
        <v>1761</v>
      </c>
      <c r="C20" s="21" t="s">
        <v>1762</v>
      </c>
    </row>
    <row r="21" spans="1:3" x14ac:dyDescent="0.2">
      <c r="A21" s="21" t="s">
        <v>1764</v>
      </c>
      <c r="B21" s="22" t="s">
        <v>1765</v>
      </c>
    </row>
    <row r="22" spans="1:3" x14ac:dyDescent="0.2">
      <c r="A22" s="22" t="s">
        <v>1763</v>
      </c>
      <c r="B22" s="22" t="s">
        <v>1766</v>
      </c>
    </row>
    <row r="23" spans="1:3" x14ac:dyDescent="0.2">
      <c r="A23" s="21" t="s">
        <v>1772</v>
      </c>
      <c r="B23" s="22" t="s">
        <v>1773</v>
      </c>
      <c r="C23" s="21" t="s">
        <v>1762</v>
      </c>
    </row>
    <row r="24" spans="1:3" x14ac:dyDescent="0.2">
      <c r="A24" s="105" t="s">
        <v>1843</v>
      </c>
      <c r="B24" s="105" t="s">
        <v>1845</v>
      </c>
      <c r="C24" s="21" t="s">
        <v>1762</v>
      </c>
    </row>
    <row r="25" spans="1:3" x14ac:dyDescent="0.2">
      <c r="A25" s="105" t="s">
        <v>1844</v>
      </c>
      <c r="B25" s="105" t="s">
        <v>1846</v>
      </c>
      <c r="C25" s="21" t="s">
        <v>1762</v>
      </c>
    </row>
    <row r="26" spans="1:3" x14ac:dyDescent="0.2">
      <c r="A26" s="105" t="s">
        <v>1847</v>
      </c>
      <c r="B26" s="105" t="s">
        <v>1848</v>
      </c>
      <c r="C26" s="21" t="s">
        <v>1762</v>
      </c>
    </row>
    <row r="27" spans="1:3" x14ac:dyDescent="0.2">
      <c r="A27" s="21" t="s">
        <v>1853</v>
      </c>
      <c r="B27" s="105" t="s">
        <v>1854</v>
      </c>
      <c r="C27" s="21" t="s">
        <v>1762</v>
      </c>
    </row>
    <row r="28" spans="1:3" x14ac:dyDescent="0.2">
      <c r="A28" s="105" t="s">
        <v>1865</v>
      </c>
      <c r="B28" s="105" t="s">
        <v>1866</v>
      </c>
      <c r="C28" s="105" t="s">
        <v>2143</v>
      </c>
    </row>
    <row r="29" spans="1:3" x14ac:dyDescent="0.2">
      <c r="A29" s="21" t="s">
        <v>1874</v>
      </c>
      <c r="B29" s="105" t="s">
        <v>1875</v>
      </c>
      <c r="C29" s="21" t="s">
        <v>1762</v>
      </c>
    </row>
    <row r="30" spans="1:3" x14ac:dyDescent="0.2">
      <c r="A30" s="105" t="s">
        <v>1903</v>
      </c>
      <c r="B30" s="105" t="s">
        <v>1904</v>
      </c>
      <c r="C30" s="21" t="s">
        <v>1762</v>
      </c>
    </row>
    <row r="31" spans="1:3" x14ac:dyDescent="0.2">
      <c r="A31" s="105" t="s">
        <v>2024</v>
      </c>
      <c r="B31" s="105" t="s">
        <v>2025</v>
      </c>
      <c r="C31" s="21" t="s">
        <v>1762</v>
      </c>
    </row>
    <row r="32" spans="1:3" x14ac:dyDescent="0.2">
      <c r="A32" s="105" t="s">
        <v>2042</v>
      </c>
      <c r="B32" s="105" t="s">
        <v>2043</v>
      </c>
      <c r="C32" s="21" t="s">
        <v>1762</v>
      </c>
    </row>
    <row r="33" spans="1:5" x14ac:dyDescent="0.2">
      <c r="A33" s="21" t="s">
        <v>2051</v>
      </c>
      <c r="B33" s="105" t="s">
        <v>2054</v>
      </c>
      <c r="C33" s="21" t="s">
        <v>1762</v>
      </c>
    </row>
    <row r="34" spans="1:5" x14ac:dyDescent="0.2">
      <c r="A34" s="21" t="s">
        <v>2052</v>
      </c>
      <c r="B34" s="105" t="s">
        <v>2055</v>
      </c>
      <c r="C34" s="21" t="s">
        <v>1762</v>
      </c>
    </row>
    <row r="35" spans="1:5" x14ac:dyDescent="0.2">
      <c r="A35" s="21" t="s">
        <v>2053</v>
      </c>
      <c r="B35" s="105" t="s">
        <v>2058</v>
      </c>
      <c r="C35" s="21" t="s">
        <v>1762</v>
      </c>
    </row>
    <row r="36" spans="1:5" x14ac:dyDescent="0.2">
      <c r="A36" s="105" t="s">
        <v>2061</v>
      </c>
      <c r="B36" s="105" t="s">
        <v>2059</v>
      </c>
      <c r="C36" s="21" t="s">
        <v>1762</v>
      </c>
    </row>
    <row r="37" spans="1:5" x14ac:dyDescent="0.2">
      <c r="A37" s="105" t="s">
        <v>2056</v>
      </c>
      <c r="B37" s="105" t="s">
        <v>2057</v>
      </c>
    </row>
    <row r="38" spans="1:5" x14ac:dyDescent="0.2">
      <c r="A38" s="105" t="s">
        <v>2080</v>
      </c>
      <c r="B38" s="105" t="s">
        <v>2081</v>
      </c>
      <c r="C38" s="105" t="s">
        <v>2146</v>
      </c>
    </row>
    <row r="39" spans="1:5" x14ac:dyDescent="0.2">
      <c r="A39" s="105" t="s">
        <v>2082</v>
      </c>
      <c r="B39" s="105" t="s">
        <v>2083</v>
      </c>
      <c r="C39" s="105" t="s">
        <v>2146</v>
      </c>
    </row>
    <row r="40" spans="1:5" x14ac:dyDescent="0.2">
      <c r="A40" s="105" t="s">
        <v>2139</v>
      </c>
      <c r="B40" s="105" t="s">
        <v>2140</v>
      </c>
      <c r="C40" s="105" t="s">
        <v>2143</v>
      </c>
    </row>
    <row r="41" spans="1:5" x14ac:dyDescent="0.2">
      <c r="A41" s="118" t="s">
        <v>2153</v>
      </c>
      <c r="B41" s="118" t="s">
        <v>2154</v>
      </c>
      <c r="C41" s="118" t="s">
        <v>2146</v>
      </c>
    </row>
    <row r="42" spans="1:5" x14ac:dyDescent="0.2">
      <c r="A42" s="118" t="s">
        <v>2152</v>
      </c>
      <c r="B42" s="118" t="s">
        <v>2155</v>
      </c>
      <c r="C42" s="118" t="s">
        <v>2146</v>
      </c>
    </row>
    <row r="43" spans="1:5" x14ac:dyDescent="0.2">
      <c r="A43" s="118" t="s">
        <v>2157</v>
      </c>
      <c r="B43" s="118" t="s">
        <v>2158</v>
      </c>
      <c r="C43" s="118" t="s">
        <v>1762</v>
      </c>
      <c r="E43" s="21" t="s">
        <v>2219</v>
      </c>
    </row>
    <row r="44" spans="1:5" x14ac:dyDescent="0.2">
      <c r="A44" s="118" t="s">
        <v>2156</v>
      </c>
      <c r="B44" s="118" t="s">
        <v>2159</v>
      </c>
      <c r="C44" s="21" t="s">
        <v>1762</v>
      </c>
    </row>
    <row r="45" spans="1:5" x14ac:dyDescent="0.2">
      <c r="A45" s="118" t="s">
        <v>2191</v>
      </c>
      <c r="B45" s="118" t="s">
        <v>2192</v>
      </c>
      <c r="C45" s="118" t="s">
        <v>2146</v>
      </c>
    </row>
    <row r="46" spans="1:5" x14ac:dyDescent="0.2">
      <c r="A46" s="118" t="s">
        <v>2264</v>
      </c>
      <c r="B46" s="118" t="s">
        <v>2265</v>
      </c>
      <c r="C46" s="118" t="s">
        <v>1762</v>
      </c>
    </row>
    <row r="47" spans="1:5" x14ac:dyDescent="0.2">
      <c r="A47" s="118" t="s">
        <v>2266</v>
      </c>
      <c r="B47" s="118" t="s">
        <v>2267</v>
      </c>
      <c r="C47" s="118" t="s">
        <v>1762</v>
      </c>
    </row>
    <row r="48" spans="1:5" x14ac:dyDescent="0.2">
      <c r="A48" s="118" t="s">
        <v>2268</v>
      </c>
      <c r="B48" s="118" t="s">
        <v>2269</v>
      </c>
      <c r="C48" s="118" t="s">
        <v>1762</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B53212-52F5-4A7D-9FB7-1079DAE6F64C}">
  <sheetPr codeName="Sheet5"/>
  <dimension ref="A1:C301"/>
  <sheetViews>
    <sheetView workbookViewId="0">
      <pane ySplit="1" topLeftCell="A2" activePane="bottomLeft" state="frozen"/>
      <selection pane="bottomLeft" activeCell="B2" sqref="B2"/>
    </sheetView>
  </sheetViews>
  <sheetFormatPr defaultRowHeight="12.75" x14ac:dyDescent="0.25"/>
  <cols>
    <col min="1" max="1" width="45.42578125" style="15" bestFit="1" customWidth="1"/>
    <col min="2" max="2" width="16.28515625" style="15" bestFit="1" customWidth="1"/>
    <col min="3" max="3" width="40.85546875" style="15" bestFit="1" customWidth="1"/>
    <col min="4" max="16384" width="9.140625" style="15"/>
  </cols>
  <sheetData>
    <row r="1" spans="1:3" s="14" customFormat="1" x14ac:dyDescent="0.25">
      <c r="A1" s="14" t="s">
        <v>485</v>
      </c>
      <c r="B1" s="14" t="s">
        <v>2148</v>
      </c>
      <c r="C1" s="14" t="s">
        <v>339</v>
      </c>
    </row>
    <row r="2" spans="1:3" x14ac:dyDescent="0.25">
      <c r="A2" s="15" t="s">
        <v>491</v>
      </c>
      <c r="B2" s="15" t="s">
        <v>743</v>
      </c>
      <c r="C2" s="15" t="s">
        <v>1460</v>
      </c>
    </row>
    <row r="3" spans="1:3" x14ac:dyDescent="0.25">
      <c r="A3" s="15" t="s">
        <v>492</v>
      </c>
      <c r="B3" s="15" t="s">
        <v>744</v>
      </c>
      <c r="C3" s="16" t="s">
        <v>1461</v>
      </c>
    </row>
    <row r="4" spans="1:3" x14ac:dyDescent="0.25">
      <c r="A4" s="15" t="s">
        <v>493</v>
      </c>
      <c r="B4" s="15" t="s">
        <v>745</v>
      </c>
      <c r="C4" s="15" t="s">
        <v>1462</v>
      </c>
    </row>
    <row r="5" spans="1:3" x14ac:dyDescent="0.25">
      <c r="A5" s="15" t="s">
        <v>494</v>
      </c>
      <c r="B5" s="15" t="s">
        <v>746</v>
      </c>
      <c r="C5" s="16" t="s">
        <v>1463</v>
      </c>
    </row>
    <row r="6" spans="1:3" x14ac:dyDescent="0.25">
      <c r="A6" s="15" t="s">
        <v>495</v>
      </c>
      <c r="B6" s="15" t="s">
        <v>747</v>
      </c>
      <c r="C6" s="15" t="s">
        <v>1464</v>
      </c>
    </row>
    <row r="7" spans="1:3" x14ac:dyDescent="0.25">
      <c r="A7" s="15" t="s">
        <v>496</v>
      </c>
      <c r="B7" s="15" t="s">
        <v>748</v>
      </c>
      <c r="C7" s="15" t="s">
        <v>1465</v>
      </c>
    </row>
    <row r="8" spans="1:3" x14ac:dyDescent="0.25">
      <c r="A8" s="15" t="s">
        <v>497</v>
      </c>
      <c r="B8" s="15" t="s">
        <v>749</v>
      </c>
      <c r="C8" s="15" t="s">
        <v>1466</v>
      </c>
    </row>
    <row r="9" spans="1:3" x14ac:dyDescent="0.25">
      <c r="A9" s="15" t="s">
        <v>498</v>
      </c>
      <c r="B9" s="15" t="s">
        <v>750</v>
      </c>
      <c r="C9" s="15" t="s">
        <v>1467</v>
      </c>
    </row>
    <row r="10" spans="1:3" x14ac:dyDescent="0.25">
      <c r="A10" s="15" t="s">
        <v>499</v>
      </c>
      <c r="B10" s="15" t="s">
        <v>751</v>
      </c>
      <c r="C10" s="15" t="s">
        <v>1468</v>
      </c>
    </row>
    <row r="11" spans="1:3" x14ac:dyDescent="0.25">
      <c r="A11" s="15" t="s">
        <v>500</v>
      </c>
      <c r="B11" s="15" t="s">
        <v>752</v>
      </c>
      <c r="C11" s="15" t="s">
        <v>1469</v>
      </c>
    </row>
    <row r="12" spans="1:3" x14ac:dyDescent="0.25">
      <c r="A12" s="15" t="s">
        <v>501</v>
      </c>
      <c r="B12" s="15" t="s">
        <v>753</v>
      </c>
      <c r="C12" s="16" t="s">
        <v>1470</v>
      </c>
    </row>
    <row r="13" spans="1:3" x14ac:dyDescent="0.25">
      <c r="A13" s="15" t="s">
        <v>502</v>
      </c>
      <c r="B13" s="15" t="s">
        <v>754</v>
      </c>
      <c r="C13" s="15" t="s">
        <v>1471</v>
      </c>
    </row>
    <row r="14" spans="1:3" x14ac:dyDescent="0.25">
      <c r="A14" s="15" t="s">
        <v>503</v>
      </c>
      <c r="B14" s="15" t="s">
        <v>755</v>
      </c>
      <c r="C14" s="15" t="s">
        <v>1472</v>
      </c>
    </row>
    <row r="15" spans="1:3" x14ac:dyDescent="0.25">
      <c r="A15" s="15" t="s">
        <v>504</v>
      </c>
      <c r="B15" s="15" t="s">
        <v>756</v>
      </c>
      <c r="C15" s="15" t="s">
        <v>1473</v>
      </c>
    </row>
    <row r="16" spans="1:3" x14ac:dyDescent="0.25">
      <c r="A16" s="15" t="s">
        <v>735</v>
      </c>
      <c r="B16" s="15" t="s">
        <v>757</v>
      </c>
      <c r="C16" s="16" t="s">
        <v>1474</v>
      </c>
    </row>
    <row r="17" spans="1:3" x14ac:dyDescent="0.25">
      <c r="A17" s="15" t="s">
        <v>505</v>
      </c>
      <c r="B17" s="15" t="s">
        <v>758</v>
      </c>
      <c r="C17" s="15" t="s">
        <v>1475</v>
      </c>
    </row>
    <row r="18" spans="1:3" x14ac:dyDescent="0.25">
      <c r="A18" s="15" t="s">
        <v>506</v>
      </c>
      <c r="B18" s="15" t="s">
        <v>759</v>
      </c>
      <c r="C18" s="16" t="s">
        <v>1476</v>
      </c>
    </row>
    <row r="19" spans="1:3" x14ac:dyDescent="0.25">
      <c r="A19" s="15" t="s">
        <v>507</v>
      </c>
      <c r="B19" s="15" t="s">
        <v>760</v>
      </c>
      <c r="C19" s="15" t="s">
        <v>1477</v>
      </c>
    </row>
    <row r="20" spans="1:3" x14ac:dyDescent="0.25">
      <c r="A20" s="15" t="s">
        <v>508</v>
      </c>
      <c r="B20" s="15" t="s">
        <v>761</v>
      </c>
      <c r="C20" s="15" t="s">
        <v>1478</v>
      </c>
    </row>
    <row r="21" spans="1:3" x14ac:dyDescent="0.25">
      <c r="A21" s="15" t="s">
        <v>509</v>
      </c>
      <c r="B21" s="15" t="s">
        <v>762</v>
      </c>
      <c r="C21" s="15" t="s">
        <v>1479</v>
      </c>
    </row>
    <row r="22" spans="1:3" x14ac:dyDescent="0.25">
      <c r="A22" s="15" t="s">
        <v>510</v>
      </c>
      <c r="B22" s="15" t="s">
        <v>763</v>
      </c>
      <c r="C22" s="16" t="s">
        <v>1480</v>
      </c>
    </row>
    <row r="23" spans="1:3" x14ac:dyDescent="0.25">
      <c r="A23" s="15" t="s">
        <v>511</v>
      </c>
      <c r="B23" s="15" t="s">
        <v>764</v>
      </c>
      <c r="C23" s="15" t="s">
        <v>1481</v>
      </c>
    </row>
    <row r="24" spans="1:3" x14ac:dyDescent="0.25">
      <c r="A24" s="15" t="s">
        <v>512</v>
      </c>
      <c r="B24" s="15" t="s">
        <v>765</v>
      </c>
      <c r="C24" s="15" t="s">
        <v>1482</v>
      </c>
    </row>
    <row r="25" spans="1:3" x14ac:dyDescent="0.25">
      <c r="A25" s="15" t="s">
        <v>513</v>
      </c>
      <c r="B25" s="15" t="s">
        <v>766</v>
      </c>
      <c r="C25" s="15" t="s">
        <v>1483</v>
      </c>
    </row>
    <row r="26" spans="1:3" x14ac:dyDescent="0.25">
      <c r="A26" s="15" t="s">
        <v>514</v>
      </c>
      <c r="B26" s="15" t="s">
        <v>767</v>
      </c>
      <c r="C26" s="15" t="s">
        <v>1484</v>
      </c>
    </row>
    <row r="27" spans="1:3" x14ac:dyDescent="0.25">
      <c r="A27" s="15" t="s">
        <v>734</v>
      </c>
      <c r="B27" s="15" t="s">
        <v>768</v>
      </c>
      <c r="C27" s="16" t="s">
        <v>1485</v>
      </c>
    </row>
    <row r="28" spans="1:3" x14ac:dyDescent="0.25">
      <c r="A28" s="15" t="s">
        <v>515</v>
      </c>
      <c r="B28" s="15" t="s">
        <v>769</v>
      </c>
      <c r="C28" s="15" t="s">
        <v>1486</v>
      </c>
    </row>
    <row r="29" spans="1:3" x14ac:dyDescent="0.25">
      <c r="A29" s="15" t="s">
        <v>516</v>
      </c>
      <c r="B29" s="15" t="s">
        <v>770</v>
      </c>
      <c r="C29" s="16" t="s">
        <v>1487</v>
      </c>
    </row>
    <row r="30" spans="1:3" x14ac:dyDescent="0.25">
      <c r="A30" s="15" t="s">
        <v>709</v>
      </c>
      <c r="B30" s="15" t="s">
        <v>771</v>
      </c>
      <c r="C30" s="15" t="s">
        <v>1488</v>
      </c>
    </row>
    <row r="31" spans="1:3" x14ac:dyDescent="0.25">
      <c r="A31" s="15" t="s">
        <v>517</v>
      </c>
      <c r="B31" s="15" t="s">
        <v>772</v>
      </c>
      <c r="C31" s="16" t="s">
        <v>1489</v>
      </c>
    </row>
    <row r="32" spans="1:3" x14ac:dyDescent="0.25">
      <c r="A32" s="15" t="s">
        <v>518</v>
      </c>
      <c r="B32" s="15" t="s">
        <v>773</v>
      </c>
      <c r="C32" s="15" t="s">
        <v>1490</v>
      </c>
    </row>
    <row r="33" spans="1:3" x14ac:dyDescent="0.25">
      <c r="A33" s="15" t="s">
        <v>519</v>
      </c>
      <c r="B33" s="15" t="s">
        <v>774</v>
      </c>
      <c r="C33" s="15" t="s">
        <v>1491</v>
      </c>
    </row>
    <row r="34" spans="1:3" x14ac:dyDescent="0.25">
      <c r="A34" s="15" t="s">
        <v>520</v>
      </c>
      <c r="B34" s="15" t="s">
        <v>775</v>
      </c>
      <c r="C34" s="15" t="s">
        <v>1492</v>
      </c>
    </row>
    <row r="35" spans="1:3" x14ac:dyDescent="0.25">
      <c r="A35" s="15" t="s">
        <v>521</v>
      </c>
      <c r="B35" s="15" t="s">
        <v>776</v>
      </c>
      <c r="C35" s="16" t="s">
        <v>1493</v>
      </c>
    </row>
    <row r="36" spans="1:3" x14ac:dyDescent="0.25">
      <c r="A36" s="15" t="s">
        <v>522</v>
      </c>
      <c r="B36" s="15" t="s">
        <v>777</v>
      </c>
      <c r="C36" s="15" t="s">
        <v>1494</v>
      </c>
    </row>
    <row r="37" spans="1:3" x14ac:dyDescent="0.25">
      <c r="A37" s="15" t="s">
        <v>523</v>
      </c>
      <c r="B37" s="15" t="s">
        <v>778</v>
      </c>
      <c r="C37" s="15" t="s">
        <v>1495</v>
      </c>
    </row>
    <row r="38" spans="1:3" x14ac:dyDescent="0.25">
      <c r="A38" s="15" t="s">
        <v>524</v>
      </c>
      <c r="B38" s="15" t="s">
        <v>779</v>
      </c>
      <c r="C38" s="15" t="s">
        <v>1496</v>
      </c>
    </row>
    <row r="39" spans="1:3" x14ac:dyDescent="0.25">
      <c r="A39" s="15" t="s">
        <v>525</v>
      </c>
      <c r="B39" s="15" t="s">
        <v>780</v>
      </c>
      <c r="C39" s="15" t="s">
        <v>1497</v>
      </c>
    </row>
    <row r="40" spans="1:3" x14ac:dyDescent="0.25">
      <c r="A40" s="15" t="s">
        <v>526</v>
      </c>
      <c r="B40" s="15" t="s">
        <v>781</v>
      </c>
      <c r="C40" s="16" t="s">
        <v>1498</v>
      </c>
    </row>
    <row r="41" spans="1:3" x14ac:dyDescent="0.25">
      <c r="A41" s="15" t="s">
        <v>710</v>
      </c>
      <c r="B41" s="15" t="s">
        <v>782</v>
      </c>
      <c r="C41" s="16" t="s">
        <v>1499</v>
      </c>
    </row>
    <row r="42" spans="1:3" x14ac:dyDescent="0.25">
      <c r="A42" s="15" t="s">
        <v>527</v>
      </c>
      <c r="B42" s="15" t="s">
        <v>783</v>
      </c>
      <c r="C42" s="16" t="s">
        <v>1500</v>
      </c>
    </row>
    <row r="43" spans="1:3" x14ac:dyDescent="0.25">
      <c r="A43" s="15" t="s">
        <v>528</v>
      </c>
      <c r="B43" s="15" t="s">
        <v>784</v>
      </c>
      <c r="C43" s="15" t="s">
        <v>1501</v>
      </c>
    </row>
    <row r="44" spans="1:3" x14ac:dyDescent="0.25">
      <c r="A44" s="15" t="s">
        <v>529</v>
      </c>
      <c r="B44" s="15" t="s">
        <v>785</v>
      </c>
      <c r="C44" s="15" t="s">
        <v>1502</v>
      </c>
    </row>
    <row r="45" spans="1:3" x14ac:dyDescent="0.25">
      <c r="A45" s="15" t="s">
        <v>733</v>
      </c>
      <c r="B45" s="15" t="s">
        <v>786</v>
      </c>
      <c r="C45" s="16" t="s">
        <v>1503</v>
      </c>
    </row>
    <row r="46" spans="1:3" x14ac:dyDescent="0.25">
      <c r="A46" s="15" t="s">
        <v>530</v>
      </c>
      <c r="B46" s="15" t="s">
        <v>787</v>
      </c>
      <c r="C46" s="16" t="s">
        <v>1504</v>
      </c>
    </row>
    <row r="47" spans="1:3" x14ac:dyDescent="0.25">
      <c r="A47" s="15" t="s">
        <v>531</v>
      </c>
      <c r="B47" s="15" t="s">
        <v>788</v>
      </c>
      <c r="C47" s="15" t="s">
        <v>1505</v>
      </c>
    </row>
    <row r="48" spans="1:3" x14ac:dyDescent="0.25">
      <c r="A48" s="15" t="s">
        <v>532</v>
      </c>
      <c r="B48" s="15" t="s">
        <v>789</v>
      </c>
      <c r="C48" s="15" t="s">
        <v>1506</v>
      </c>
    </row>
    <row r="49" spans="1:3" x14ac:dyDescent="0.25">
      <c r="A49" s="15" t="s">
        <v>533</v>
      </c>
      <c r="B49" s="15" t="s">
        <v>790</v>
      </c>
      <c r="C49" s="15" t="s">
        <v>1507</v>
      </c>
    </row>
    <row r="50" spans="1:3" x14ac:dyDescent="0.25">
      <c r="A50" s="15" t="s">
        <v>534</v>
      </c>
      <c r="B50" s="15" t="s">
        <v>791</v>
      </c>
      <c r="C50" s="15" t="s">
        <v>1508</v>
      </c>
    </row>
    <row r="51" spans="1:3" x14ac:dyDescent="0.25">
      <c r="A51" s="15" t="s">
        <v>535</v>
      </c>
      <c r="B51" s="15" t="s">
        <v>792</v>
      </c>
      <c r="C51" s="16" t="s">
        <v>1509</v>
      </c>
    </row>
    <row r="52" spans="1:3" x14ac:dyDescent="0.25">
      <c r="A52" s="15" t="s">
        <v>536</v>
      </c>
      <c r="B52" s="15" t="s">
        <v>793</v>
      </c>
      <c r="C52" s="15" t="s">
        <v>1510</v>
      </c>
    </row>
    <row r="53" spans="1:3" x14ac:dyDescent="0.25">
      <c r="A53" s="15" t="s">
        <v>537</v>
      </c>
      <c r="B53" s="15" t="s">
        <v>794</v>
      </c>
      <c r="C53" s="16" t="s">
        <v>1511</v>
      </c>
    </row>
    <row r="54" spans="1:3" x14ac:dyDescent="0.25">
      <c r="A54" s="15" t="s">
        <v>538</v>
      </c>
      <c r="B54" s="15" t="s">
        <v>795</v>
      </c>
      <c r="C54" s="15" t="s">
        <v>1512</v>
      </c>
    </row>
    <row r="55" spans="1:3" x14ac:dyDescent="0.25">
      <c r="A55" s="15" t="s">
        <v>539</v>
      </c>
      <c r="B55" s="15" t="s">
        <v>796</v>
      </c>
      <c r="C55" s="16" t="s">
        <v>1513</v>
      </c>
    </row>
    <row r="56" spans="1:3" x14ac:dyDescent="0.25">
      <c r="A56" s="15" t="s">
        <v>540</v>
      </c>
      <c r="B56" s="15" t="s">
        <v>797</v>
      </c>
      <c r="C56" s="15" t="s">
        <v>1514</v>
      </c>
    </row>
    <row r="57" spans="1:3" x14ac:dyDescent="0.25">
      <c r="A57" s="15" t="s">
        <v>541</v>
      </c>
      <c r="B57" s="15" t="s">
        <v>798</v>
      </c>
      <c r="C57" s="15" t="s">
        <v>1515</v>
      </c>
    </row>
    <row r="58" spans="1:3" x14ac:dyDescent="0.25">
      <c r="A58" s="15" t="s">
        <v>542</v>
      </c>
      <c r="B58" s="15" t="s">
        <v>799</v>
      </c>
      <c r="C58" s="15" t="s">
        <v>1516</v>
      </c>
    </row>
    <row r="59" spans="1:3" x14ac:dyDescent="0.25">
      <c r="A59" s="15" t="s">
        <v>543</v>
      </c>
      <c r="B59" s="15" t="s">
        <v>800</v>
      </c>
      <c r="C59" s="15" t="s">
        <v>1517</v>
      </c>
    </row>
    <row r="60" spans="1:3" x14ac:dyDescent="0.25">
      <c r="A60" s="15" t="s">
        <v>544</v>
      </c>
      <c r="B60" s="15" t="s">
        <v>801</v>
      </c>
      <c r="C60" s="15" t="s">
        <v>1518</v>
      </c>
    </row>
    <row r="61" spans="1:3" x14ac:dyDescent="0.25">
      <c r="A61" s="15" t="s">
        <v>545</v>
      </c>
      <c r="B61" s="15" t="s">
        <v>802</v>
      </c>
      <c r="C61" s="15" t="s">
        <v>1519</v>
      </c>
    </row>
    <row r="62" spans="1:3" x14ac:dyDescent="0.25">
      <c r="A62" s="15" t="s">
        <v>546</v>
      </c>
      <c r="B62" s="15" t="s">
        <v>803</v>
      </c>
      <c r="C62" s="16" t="s">
        <v>1520</v>
      </c>
    </row>
    <row r="63" spans="1:3" x14ac:dyDescent="0.25">
      <c r="A63" s="15" t="s">
        <v>547</v>
      </c>
      <c r="B63" s="15" t="s">
        <v>804</v>
      </c>
      <c r="C63" s="15" t="s">
        <v>1521</v>
      </c>
    </row>
    <row r="64" spans="1:3" x14ac:dyDescent="0.25">
      <c r="A64" s="15" t="s">
        <v>548</v>
      </c>
      <c r="B64" s="15" t="s">
        <v>805</v>
      </c>
      <c r="C64" s="15" t="s">
        <v>1522</v>
      </c>
    </row>
    <row r="65" spans="1:3" x14ac:dyDescent="0.25">
      <c r="A65" s="15" t="s">
        <v>549</v>
      </c>
      <c r="B65" s="15" t="s">
        <v>806</v>
      </c>
      <c r="C65" s="15" t="s">
        <v>1523</v>
      </c>
    </row>
    <row r="66" spans="1:3" x14ac:dyDescent="0.25">
      <c r="A66" s="15" t="s">
        <v>21</v>
      </c>
      <c r="B66" s="15" t="s">
        <v>807</v>
      </c>
      <c r="C66" s="15" t="s">
        <v>1524</v>
      </c>
    </row>
    <row r="67" spans="1:3" x14ac:dyDescent="0.25">
      <c r="A67" s="15" t="s">
        <v>550</v>
      </c>
      <c r="B67" s="15" t="s">
        <v>808</v>
      </c>
      <c r="C67" s="16" t="s">
        <v>1525</v>
      </c>
    </row>
    <row r="68" spans="1:3" x14ac:dyDescent="0.25">
      <c r="A68" s="15" t="s">
        <v>551</v>
      </c>
      <c r="B68" s="15" t="s">
        <v>809</v>
      </c>
      <c r="C68" s="15" t="s">
        <v>1526</v>
      </c>
    </row>
    <row r="69" spans="1:3" x14ac:dyDescent="0.25">
      <c r="A69" s="15" t="s">
        <v>552</v>
      </c>
      <c r="B69" s="15" t="s">
        <v>810</v>
      </c>
      <c r="C69" s="15" t="s">
        <v>1527</v>
      </c>
    </row>
    <row r="70" spans="1:3" x14ac:dyDescent="0.25">
      <c r="A70" s="15" t="s">
        <v>553</v>
      </c>
      <c r="B70" s="15" t="s">
        <v>811</v>
      </c>
      <c r="C70" s="15" t="s">
        <v>1528</v>
      </c>
    </row>
    <row r="71" spans="1:3" x14ac:dyDescent="0.25">
      <c r="A71" s="15" t="s">
        <v>554</v>
      </c>
      <c r="B71" s="15" t="s">
        <v>812</v>
      </c>
      <c r="C71" s="15" t="s">
        <v>1529</v>
      </c>
    </row>
    <row r="72" spans="1:3" x14ac:dyDescent="0.25">
      <c r="A72" s="15" t="s">
        <v>555</v>
      </c>
      <c r="B72" s="15" t="s">
        <v>813</v>
      </c>
      <c r="C72" s="15" t="s">
        <v>1530</v>
      </c>
    </row>
    <row r="73" spans="1:3" x14ac:dyDescent="0.25">
      <c r="A73" s="15" t="s">
        <v>711</v>
      </c>
      <c r="B73" s="15" t="s">
        <v>814</v>
      </c>
      <c r="C73" s="16" t="s">
        <v>1531</v>
      </c>
    </row>
    <row r="74" spans="1:3" x14ac:dyDescent="0.25">
      <c r="A74" s="15" t="s">
        <v>712</v>
      </c>
      <c r="B74" s="15" t="s">
        <v>815</v>
      </c>
      <c r="C74" s="15" t="s">
        <v>1532</v>
      </c>
    </row>
    <row r="75" spans="1:3" x14ac:dyDescent="0.25">
      <c r="A75" s="15" t="s">
        <v>556</v>
      </c>
      <c r="B75" s="15" t="s">
        <v>816</v>
      </c>
      <c r="C75" s="16" t="s">
        <v>1533</v>
      </c>
    </row>
    <row r="76" spans="1:3" x14ac:dyDescent="0.25">
      <c r="A76" s="15" t="s">
        <v>557</v>
      </c>
      <c r="B76" s="15" t="s">
        <v>817</v>
      </c>
      <c r="C76" s="15" t="s">
        <v>1447</v>
      </c>
    </row>
    <row r="77" spans="1:3" x14ac:dyDescent="0.25">
      <c r="A77" s="15" t="s">
        <v>558</v>
      </c>
      <c r="B77" s="15" t="s">
        <v>818</v>
      </c>
      <c r="C77" s="15" t="s">
        <v>1534</v>
      </c>
    </row>
    <row r="78" spans="1:3" x14ac:dyDescent="0.25">
      <c r="A78" s="15" t="s">
        <v>736</v>
      </c>
      <c r="B78" s="15" t="s">
        <v>819</v>
      </c>
      <c r="C78" s="16" t="s">
        <v>1445</v>
      </c>
    </row>
    <row r="79" spans="1:3" x14ac:dyDescent="0.25">
      <c r="A79" s="15" t="s">
        <v>559</v>
      </c>
      <c r="B79" s="15" t="s">
        <v>820</v>
      </c>
      <c r="C79" s="15" t="s">
        <v>1535</v>
      </c>
    </row>
    <row r="80" spans="1:3" x14ac:dyDescent="0.25">
      <c r="A80" s="15" t="s">
        <v>560</v>
      </c>
      <c r="B80" s="15" t="s">
        <v>821</v>
      </c>
      <c r="C80" s="15" t="s">
        <v>1536</v>
      </c>
    </row>
    <row r="81" spans="1:3" x14ac:dyDescent="0.25">
      <c r="A81" s="15" t="s">
        <v>561</v>
      </c>
      <c r="B81" s="15" t="s">
        <v>822</v>
      </c>
      <c r="C81" s="16" t="s">
        <v>1537</v>
      </c>
    </row>
    <row r="82" spans="1:3" x14ac:dyDescent="0.25">
      <c r="A82" s="15" t="s">
        <v>562</v>
      </c>
      <c r="B82" s="15" t="s">
        <v>823</v>
      </c>
      <c r="C82" s="15" t="s">
        <v>1538</v>
      </c>
    </row>
    <row r="83" spans="1:3" x14ac:dyDescent="0.25">
      <c r="A83" s="15" t="s">
        <v>563</v>
      </c>
      <c r="B83" s="15" t="s">
        <v>824</v>
      </c>
      <c r="C83" s="15" t="s">
        <v>1539</v>
      </c>
    </row>
    <row r="84" spans="1:3" x14ac:dyDescent="0.25">
      <c r="A84" s="15" t="s">
        <v>564</v>
      </c>
      <c r="B84" s="15" t="s">
        <v>825</v>
      </c>
      <c r="C84" s="15" t="s">
        <v>1540</v>
      </c>
    </row>
    <row r="85" spans="1:3" x14ac:dyDescent="0.25">
      <c r="A85" s="15" t="s">
        <v>565</v>
      </c>
      <c r="B85" s="15" t="s">
        <v>826</v>
      </c>
      <c r="C85" s="15" t="s">
        <v>1541</v>
      </c>
    </row>
    <row r="86" spans="1:3" x14ac:dyDescent="0.25">
      <c r="A86" s="15" t="s">
        <v>566</v>
      </c>
      <c r="B86" s="15" t="s">
        <v>827</v>
      </c>
      <c r="C86" s="15" t="s">
        <v>1542</v>
      </c>
    </row>
    <row r="87" spans="1:3" x14ac:dyDescent="0.25">
      <c r="A87" s="15" t="s">
        <v>567</v>
      </c>
      <c r="B87" s="15" t="s">
        <v>828</v>
      </c>
      <c r="C87" s="15" t="s">
        <v>1543</v>
      </c>
    </row>
    <row r="88" spans="1:3" x14ac:dyDescent="0.25">
      <c r="A88" s="15" t="s">
        <v>568</v>
      </c>
      <c r="B88" s="15" t="s">
        <v>829</v>
      </c>
      <c r="C88" s="15" t="s">
        <v>1544</v>
      </c>
    </row>
    <row r="89" spans="1:3" x14ac:dyDescent="0.25">
      <c r="A89" s="15" t="s">
        <v>569</v>
      </c>
      <c r="B89" s="15" t="s">
        <v>830</v>
      </c>
      <c r="C89" s="16" t="s">
        <v>1545</v>
      </c>
    </row>
    <row r="90" spans="1:3" x14ac:dyDescent="0.25">
      <c r="A90" s="15" t="s">
        <v>570</v>
      </c>
      <c r="B90" s="15" t="s">
        <v>831</v>
      </c>
      <c r="C90" s="15" t="s">
        <v>1546</v>
      </c>
    </row>
    <row r="91" spans="1:3" x14ac:dyDescent="0.25">
      <c r="A91" s="15" t="s">
        <v>571</v>
      </c>
      <c r="B91" s="15" t="s">
        <v>832</v>
      </c>
      <c r="C91" s="16" t="s">
        <v>1547</v>
      </c>
    </row>
    <row r="92" spans="1:3" x14ac:dyDescent="0.25">
      <c r="A92" s="15" t="s">
        <v>572</v>
      </c>
      <c r="B92" s="15" t="s">
        <v>833</v>
      </c>
      <c r="C92" s="15" t="s">
        <v>1548</v>
      </c>
    </row>
    <row r="93" spans="1:3" x14ac:dyDescent="0.25">
      <c r="A93" s="15" t="s">
        <v>573</v>
      </c>
      <c r="B93" s="15" t="s">
        <v>834</v>
      </c>
      <c r="C93" s="15" t="s">
        <v>1549</v>
      </c>
    </row>
    <row r="94" spans="1:3" x14ac:dyDescent="0.25">
      <c r="A94" s="15" t="s">
        <v>574</v>
      </c>
      <c r="B94" s="15" t="s">
        <v>835</v>
      </c>
      <c r="C94" s="15" t="s">
        <v>1550</v>
      </c>
    </row>
    <row r="95" spans="1:3" x14ac:dyDescent="0.25">
      <c r="A95" s="15" t="s">
        <v>575</v>
      </c>
      <c r="B95" s="15" t="s">
        <v>836</v>
      </c>
      <c r="C95" s="15" t="s">
        <v>1551</v>
      </c>
    </row>
    <row r="96" spans="1:3" x14ac:dyDescent="0.25">
      <c r="A96" s="15" t="s">
        <v>576</v>
      </c>
      <c r="B96" s="15" t="s">
        <v>837</v>
      </c>
      <c r="C96" s="16" t="s">
        <v>1552</v>
      </c>
    </row>
    <row r="97" spans="1:3" x14ac:dyDescent="0.25">
      <c r="A97" s="15" t="s">
        <v>577</v>
      </c>
      <c r="B97" s="15" t="s">
        <v>838</v>
      </c>
      <c r="C97" s="16" t="s">
        <v>1553</v>
      </c>
    </row>
    <row r="98" spans="1:3" x14ac:dyDescent="0.25">
      <c r="A98" s="15" t="s">
        <v>578</v>
      </c>
      <c r="B98" s="15" t="s">
        <v>839</v>
      </c>
      <c r="C98" s="15" t="s">
        <v>1554</v>
      </c>
    </row>
    <row r="99" spans="1:3" x14ac:dyDescent="0.25">
      <c r="A99" s="15" t="s">
        <v>579</v>
      </c>
      <c r="B99" s="15" t="s">
        <v>840</v>
      </c>
      <c r="C99" s="15" t="s">
        <v>1555</v>
      </c>
    </row>
    <row r="100" spans="1:3" x14ac:dyDescent="0.25">
      <c r="A100" s="15" t="s">
        <v>580</v>
      </c>
      <c r="B100" s="15" t="s">
        <v>841</v>
      </c>
      <c r="C100" s="15" t="s">
        <v>1556</v>
      </c>
    </row>
    <row r="101" spans="1:3" x14ac:dyDescent="0.25">
      <c r="A101" s="15" t="s">
        <v>581</v>
      </c>
      <c r="B101" s="15" t="s">
        <v>842</v>
      </c>
      <c r="C101" s="15" t="s">
        <v>1557</v>
      </c>
    </row>
    <row r="102" spans="1:3" x14ac:dyDescent="0.25">
      <c r="A102" s="15" t="s">
        <v>582</v>
      </c>
      <c r="B102" s="15" t="s">
        <v>452</v>
      </c>
      <c r="C102" s="15" t="s">
        <v>1558</v>
      </c>
    </row>
    <row r="103" spans="1:3" x14ac:dyDescent="0.25">
      <c r="A103" s="15" t="s">
        <v>583</v>
      </c>
      <c r="B103" s="15" t="s">
        <v>843</v>
      </c>
      <c r="C103" s="15" t="s">
        <v>1559</v>
      </c>
    </row>
    <row r="104" spans="1:3" x14ac:dyDescent="0.25">
      <c r="A104" s="15" t="s">
        <v>584</v>
      </c>
      <c r="B104" s="15" t="s">
        <v>844</v>
      </c>
      <c r="C104" s="15" t="s">
        <v>1560</v>
      </c>
    </row>
    <row r="105" spans="1:3" x14ac:dyDescent="0.25">
      <c r="A105" s="15" t="s">
        <v>585</v>
      </c>
      <c r="B105" s="15" t="s">
        <v>845</v>
      </c>
      <c r="C105" s="16" t="s">
        <v>1561</v>
      </c>
    </row>
    <row r="106" spans="1:3" x14ac:dyDescent="0.25">
      <c r="A106" s="15" t="s">
        <v>2</v>
      </c>
      <c r="B106" s="15" t="s">
        <v>846</v>
      </c>
      <c r="C106" s="15" t="s">
        <v>1562</v>
      </c>
    </row>
    <row r="107" spans="1:3" x14ac:dyDescent="0.25">
      <c r="A107" s="15" t="s">
        <v>586</v>
      </c>
      <c r="B107" s="15" t="s">
        <v>847</v>
      </c>
      <c r="C107" s="16" t="s">
        <v>1563</v>
      </c>
    </row>
    <row r="108" spans="1:3" x14ac:dyDescent="0.25">
      <c r="A108" s="15" t="s">
        <v>587</v>
      </c>
      <c r="B108" s="15" t="s">
        <v>848</v>
      </c>
      <c r="C108" s="15" t="s">
        <v>1564</v>
      </c>
    </row>
    <row r="109" spans="1:3" x14ac:dyDescent="0.25">
      <c r="A109" s="15" t="s">
        <v>713</v>
      </c>
      <c r="B109" s="15" t="s">
        <v>849</v>
      </c>
      <c r="C109" s="15" t="s">
        <v>1565</v>
      </c>
    </row>
    <row r="110" spans="1:3" x14ac:dyDescent="0.25">
      <c r="A110" s="15" t="s">
        <v>588</v>
      </c>
      <c r="B110" s="15" t="s">
        <v>850</v>
      </c>
      <c r="C110" s="15" t="s">
        <v>1566</v>
      </c>
    </row>
    <row r="111" spans="1:3" x14ac:dyDescent="0.25">
      <c r="A111" s="15" t="s">
        <v>11</v>
      </c>
      <c r="B111" s="15" t="s">
        <v>851</v>
      </c>
      <c r="C111" s="15" t="s">
        <v>1446</v>
      </c>
    </row>
    <row r="112" spans="1:3" x14ac:dyDescent="0.25">
      <c r="A112" s="15" t="s">
        <v>589</v>
      </c>
      <c r="B112" s="15" t="s">
        <v>852</v>
      </c>
      <c r="C112" s="15" t="s">
        <v>1567</v>
      </c>
    </row>
    <row r="113" spans="1:3" x14ac:dyDescent="0.25">
      <c r="A113" s="15" t="s">
        <v>590</v>
      </c>
      <c r="B113" s="15" t="s">
        <v>853</v>
      </c>
      <c r="C113" s="15" t="s">
        <v>1568</v>
      </c>
    </row>
    <row r="114" spans="1:3" x14ac:dyDescent="0.25">
      <c r="A114" s="15" t="s">
        <v>591</v>
      </c>
      <c r="B114" s="15" t="s">
        <v>854</v>
      </c>
      <c r="C114" s="15" t="s">
        <v>1569</v>
      </c>
    </row>
    <row r="115" spans="1:3" x14ac:dyDescent="0.25">
      <c r="A115" s="15" t="s">
        <v>592</v>
      </c>
      <c r="B115" s="15" t="s">
        <v>855</v>
      </c>
      <c r="C115" s="15" t="s">
        <v>1570</v>
      </c>
    </row>
    <row r="116" spans="1:3" x14ac:dyDescent="0.25">
      <c r="A116" s="15" t="s">
        <v>593</v>
      </c>
      <c r="B116" s="15" t="s">
        <v>856</v>
      </c>
      <c r="C116" s="15" t="s">
        <v>1571</v>
      </c>
    </row>
    <row r="117" spans="1:3" x14ac:dyDescent="0.25">
      <c r="A117" s="15" t="s">
        <v>594</v>
      </c>
      <c r="B117" s="15" t="s">
        <v>857</v>
      </c>
      <c r="C117" s="15" t="s">
        <v>1572</v>
      </c>
    </row>
    <row r="118" spans="1:3" x14ac:dyDescent="0.25">
      <c r="A118" s="15" t="s">
        <v>595</v>
      </c>
      <c r="B118" s="15" t="s">
        <v>858</v>
      </c>
      <c r="C118" s="15" t="s">
        <v>1573</v>
      </c>
    </row>
    <row r="119" spans="1:3" x14ac:dyDescent="0.25">
      <c r="A119" s="15" t="s">
        <v>596</v>
      </c>
      <c r="B119" s="15" t="s">
        <v>859</v>
      </c>
      <c r="C119" s="15" t="s">
        <v>1574</v>
      </c>
    </row>
    <row r="120" spans="1:3" x14ac:dyDescent="0.25">
      <c r="A120" s="15" t="s">
        <v>597</v>
      </c>
      <c r="B120" s="15" t="s">
        <v>860</v>
      </c>
      <c r="C120" s="15" t="s">
        <v>1575</v>
      </c>
    </row>
    <row r="121" spans="1:3" x14ac:dyDescent="0.25">
      <c r="A121" s="15" t="s">
        <v>598</v>
      </c>
      <c r="B121" s="15" t="s">
        <v>861</v>
      </c>
      <c r="C121" s="16" t="s">
        <v>1576</v>
      </c>
    </row>
    <row r="122" spans="1:3" x14ac:dyDescent="0.25">
      <c r="A122" s="15" t="s">
        <v>714</v>
      </c>
      <c r="B122" s="15" t="s">
        <v>862</v>
      </c>
      <c r="C122" s="16" t="s">
        <v>1577</v>
      </c>
    </row>
    <row r="123" spans="1:3" x14ac:dyDescent="0.25">
      <c r="A123" s="15" t="s">
        <v>720</v>
      </c>
      <c r="B123" s="15" t="s">
        <v>863</v>
      </c>
      <c r="C123" s="16" t="s">
        <v>1578</v>
      </c>
    </row>
    <row r="124" spans="1:3" x14ac:dyDescent="0.25">
      <c r="A124" s="15" t="s">
        <v>599</v>
      </c>
      <c r="B124" s="15" t="s">
        <v>864</v>
      </c>
      <c r="C124" s="15" t="s">
        <v>1579</v>
      </c>
    </row>
    <row r="125" spans="1:3" x14ac:dyDescent="0.25">
      <c r="A125" s="15" t="s">
        <v>600</v>
      </c>
      <c r="B125" s="15" t="s">
        <v>865</v>
      </c>
      <c r="C125" s="16" t="s">
        <v>1580</v>
      </c>
    </row>
    <row r="126" spans="1:3" x14ac:dyDescent="0.25">
      <c r="A126" s="15" t="s">
        <v>601</v>
      </c>
      <c r="B126" s="15" t="s">
        <v>866</v>
      </c>
      <c r="C126" s="15" t="s">
        <v>1581</v>
      </c>
    </row>
    <row r="127" spans="1:3" x14ac:dyDescent="0.25">
      <c r="A127" s="15" t="s">
        <v>737</v>
      </c>
      <c r="B127" s="15" t="s">
        <v>867</v>
      </c>
      <c r="C127" s="15" t="s">
        <v>1582</v>
      </c>
    </row>
    <row r="128" spans="1:3" x14ac:dyDescent="0.25">
      <c r="A128" s="15" t="s">
        <v>483</v>
      </c>
      <c r="B128" s="15" t="s">
        <v>868</v>
      </c>
      <c r="C128" s="15" t="s">
        <v>1583</v>
      </c>
    </row>
    <row r="129" spans="1:3" x14ac:dyDescent="0.25">
      <c r="A129" s="15" t="s">
        <v>602</v>
      </c>
      <c r="B129" s="15" t="s">
        <v>869</v>
      </c>
      <c r="C129" s="16" t="s">
        <v>1584</v>
      </c>
    </row>
    <row r="130" spans="1:3" x14ac:dyDescent="0.25">
      <c r="A130" s="15" t="s">
        <v>603</v>
      </c>
      <c r="B130" s="15" t="s">
        <v>870</v>
      </c>
      <c r="C130" s="15" t="s">
        <v>1585</v>
      </c>
    </row>
    <row r="131" spans="1:3" x14ac:dyDescent="0.25">
      <c r="A131" s="15" t="s">
        <v>604</v>
      </c>
      <c r="B131" s="15" t="s">
        <v>871</v>
      </c>
      <c r="C131" s="16" t="s">
        <v>1586</v>
      </c>
    </row>
    <row r="132" spans="1:3" x14ac:dyDescent="0.25">
      <c r="A132" s="15" t="s">
        <v>605</v>
      </c>
      <c r="B132" s="15" t="s">
        <v>872</v>
      </c>
      <c r="C132" s="15" t="s">
        <v>1587</v>
      </c>
    </row>
    <row r="133" spans="1:3" x14ac:dyDescent="0.25">
      <c r="A133" s="15" t="s">
        <v>606</v>
      </c>
      <c r="B133" s="15" t="s">
        <v>873</v>
      </c>
      <c r="C133" s="15" t="s">
        <v>1588</v>
      </c>
    </row>
    <row r="134" spans="1:3" x14ac:dyDescent="0.25">
      <c r="A134" s="15" t="s">
        <v>607</v>
      </c>
      <c r="B134" s="15" t="s">
        <v>874</v>
      </c>
      <c r="C134" s="15" t="s">
        <v>1589</v>
      </c>
    </row>
    <row r="135" spans="1:3" x14ac:dyDescent="0.25">
      <c r="A135" s="15" t="s">
        <v>608</v>
      </c>
      <c r="B135" s="15" t="s">
        <v>875</v>
      </c>
      <c r="C135" s="15" t="s">
        <v>1590</v>
      </c>
    </row>
    <row r="136" spans="1:3" x14ac:dyDescent="0.25">
      <c r="A136" s="15" t="s">
        <v>609</v>
      </c>
      <c r="B136" s="15" t="s">
        <v>876</v>
      </c>
      <c r="C136" s="15" t="s">
        <v>1591</v>
      </c>
    </row>
    <row r="137" spans="1:3" x14ac:dyDescent="0.25">
      <c r="A137" s="15" t="s">
        <v>610</v>
      </c>
      <c r="B137" s="15" t="s">
        <v>877</v>
      </c>
      <c r="C137" s="15" t="s">
        <v>1592</v>
      </c>
    </row>
    <row r="138" spans="1:3" x14ac:dyDescent="0.25">
      <c r="A138" s="15" t="s">
        <v>611</v>
      </c>
      <c r="B138" s="15" t="s">
        <v>878</v>
      </c>
      <c r="C138" s="15" t="s">
        <v>1593</v>
      </c>
    </row>
    <row r="139" spans="1:3" x14ac:dyDescent="0.25">
      <c r="A139" s="15" t="s">
        <v>612</v>
      </c>
      <c r="B139" s="15" t="s">
        <v>879</v>
      </c>
      <c r="C139" s="15" t="s">
        <v>1594</v>
      </c>
    </row>
    <row r="140" spans="1:3" x14ac:dyDescent="0.25">
      <c r="A140" s="15" t="s">
        <v>721</v>
      </c>
      <c r="B140" s="15" t="s">
        <v>880</v>
      </c>
      <c r="C140" s="15" t="s">
        <v>1595</v>
      </c>
    </row>
    <row r="141" spans="1:3" x14ac:dyDescent="0.25">
      <c r="A141" s="15" t="s">
        <v>613</v>
      </c>
      <c r="B141" s="15" t="s">
        <v>881</v>
      </c>
      <c r="C141" s="15" t="s">
        <v>1596</v>
      </c>
    </row>
    <row r="142" spans="1:3" x14ac:dyDescent="0.25">
      <c r="A142" s="15" t="s">
        <v>715</v>
      </c>
      <c r="B142" s="15" t="s">
        <v>882</v>
      </c>
      <c r="C142" s="16" t="s">
        <v>1597</v>
      </c>
    </row>
    <row r="143" spans="1:3" x14ac:dyDescent="0.25">
      <c r="A143" s="15" t="s">
        <v>614</v>
      </c>
      <c r="B143" s="15" t="s">
        <v>883</v>
      </c>
      <c r="C143" s="15" t="s">
        <v>1598</v>
      </c>
    </row>
    <row r="144" spans="1:3" x14ac:dyDescent="0.25">
      <c r="A144" s="15" t="s">
        <v>615</v>
      </c>
      <c r="B144" s="15" t="s">
        <v>884</v>
      </c>
      <c r="C144" s="16" t="s">
        <v>1599</v>
      </c>
    </row>
    <row r="145" spans="1:3" x14ac:dyDescent="0.25">
      <c r="A145" s="15" t="s">
        <v>616</v>
      </c>
      <c r="B145" s="15" t="s">
        <v>885</v>
      </c>
      <c r="C145" s="16" t="s">
        <v>1600</v>
      </c>
    </row>
    <row r="146" spans="1:3" x14ac:dyDescent="0.25">
      <c r="A146" s="15" t="s">
        <v>617</v>
      </c>
      <c r="B146" s="15" t="s">
        <v>886</v>
      </c>
      <c r="C146" s="15" t="s">
        <v>1601</v>
      </c>
    </row>
    <row r="147" spans="1:3" x14ac:dyDescent="0.25">
      <c r="A147" s="15" t="s">
        <v>618</v>
      </c>
      <c r="B147" s="15" t="s">
        <v>887</v>
      </c>
      <c r="C147" s="15" t="s">
        <v>1602</v>
      </c>
    </row>
    <row r="148" spans="1:3" x14ac:dyDescent="0.25">
      <c r="A148" s="15" t="s">
        <v>619</v>
      </c>
      <c r="B148" s="15" t="s">
        <v>888</v>
      </c>
      <c r="C148" s="15" t="s">
        <v>1603</v>
      </c>
    </row>
    <row r="149" spans="1:3" x14ac:dyDescent="0.25">
      <c r="A149" s="15" t="s">
        <v>620</v>
      </c>
      <c r="B149" s="15" t="s">
        <v>889</v>
      </c>
      <c r="C149" s="15" t="s">
        <v>1604</v>
      </c>
    </row>
    <row r="150" spans="1:3" x14ac:dyDescent="0.25">
      <c r="A150" s="15" t="s">
        <v>622</v>
      </c>
      <c r="B150" s="15" t="s">
        <v>890</v>
      </c>
      <c r="C150" s="16" t="s">
        <v>1605</v>
      </c>
    </row>
    <row r="151" spans="1:3" x14ac:dyDescent="0.25">
      <c r="A151" s="15" t="s">
        <v>623</v>
      </c>
      <c r="B151" s="15" t="s">
        <v>891</v>
      </c>
      <c r="C151" s="15" t="s">
        <v>1606</v>
      </c>
    </row>
    <row r="152" spans="1:3" x14ac:dyDescent="0.25">
      <c r="A152" s="15" t="s">
        <v>624</v>
      </c>
      <c r="B152" s="15" t="s">
        <v>892</v>
      </c>
      <c r="C152" s="15" t="s">
        <v>1607</v>
      </c>
    </row>
    <row r="153" spans="1:3" x14ac:dyDescent="0.25">
      <c r="A153" s="15" t="s">
        <v>625</v>
      </c>
      <c r="B153" s="15" t="s">
        <v>893</v>
      </c>
      <c r="C153" s="15" t="s">
        <v>1608</v>
      </c>
    </row>
    <row r="154" spans="1:3" x14ac:dyDescent="0.25">
      <c r="A154" s="15" t="s">
        <v>626</v>
      </c>
      <c r="B154" s="15" t="s">
        <v>894</v>
      </c>
      <c r="C154" s="15" t="s">
        <v>1609</v>
      </c>
    </row>
    <row r="155" spans="1:3" x14ac:dyDescent="0.25">
      <c r="A155" s="15" t="s">
        <v>627</v>
      </c>
      <c r="B155" s="15" t="s">
        <v>895</v>
      </c>
      <c r="C155" s="15" t="s">
        <v>1610</v>
      </c>
    </row>
    <row r="156" spans="1:3" x14ac:dyDescent="0.25">
      <c r="A156" s="15" t="s">
        <v>628</v>
      </c>
      <c r="B156" s="15" t="s">
        <v>896</v>
      </c>
      <c r="C156" s="15" t="s">
        <v>1611</v>
      </c>
    </row>
    <row r="157" spans="1:3" x14ac:dyDescent="0.25">
      <c r="A157" s="15" t="s">
        <v>629</v>
      </c>
      <c r="B157" s="15" t="s">
        <v>897</v>
      </c>
      <c r="C157" s="15" t="s">
        <v>1612</v>
      </c>
    </row>
    <row r="158" spans="1:3" x14ac:dyDescent="0.25">
      <c r="A158" s="15" t="s">
        <v>630</v>
      </c>
      <c r="B158" s="15" t="s">
        <v>898</v>
      </c>
      <c r="C158" s="15" t="s">
        <v>1613</v>
      </c>
    </row>
    <row r="159" spans="1:3" x14ac:dyDescent="0.25">
      <c r="A159" s="15" t="s">
        <v>631</v>
      </c>
      <c r="B159" s="15" t="s">
        <v>899</v>
      </c>
      <c r="C159" s="15" t="s">
        <v>1614</v>
      </c>
    </row>
    <row r="160" spans="1:3" x14ac:dyDescent="0.25">
      <c r="A160" s="15" t="s">
        <v>632</v>
      </c>
      <c r="B160" s="15" t="s">
        <v>900</v>
      </c>
      <c r="C160" s="15" t="s">
        <v>1615</v>
      </c>
    </row>
    <row r="161" spans="1:3" x14ac:dyDescent="0.25">
      <c r="A161" s="15" t="s">
        <v>633</v>
      </c>
      <c r="B161" s="15" t="s">
        <v>901</v>
      </c>
      <c r="C161" s="15" t="s">
        <v>1616</v>
      </c>
    </row>
    <row r="162" spans="1:3" x14ac:dyDescent="0.25">
      <c r="A162" s="15" t="s">
        <v>634</v>
      </c>
      <c r="B162" s="15" t="s">
        <v>902</v>
      </c>
      <c r="C162" s="16" t="s">
        <v>1617</v>
      </c>
    </row>
    <row r="163" spans="1:3" x14ac:dyDescent="0.25">
      <c r="A163" s="15" t="s">
        <v>635</v>
      </c>
      <c r="B163" s="15" t="s">
        <v>903</v>
      </c>
      <c r="C163" s="15" t="s">
        <v>1618</v>
      </c>
    </row>
    <row r="164" spans="1:3" x14ac:dyDescent="0.25">
      <c r="A164" s="15" t="s">
        <v>636</v>
      </c>
      <c r="B164" s="15" t="s">
        <v>904</v>
      </c>
      <c r="C164" s="16" t="s">
        <v>1619</v>
      </c>
    </row>
    <row r="165" spans="1:3" x14ac:dyDescent="0.25">
      <c r="A165" s="15" t="s">
        <v>637</v>
      </c>
      <c r="B165" s="15" t="s">
        <v>905</v>
      </c>
      <c r="C165" s="15" t="s">
        <v>1620</v>
      </c>
    </row>
    <row r="166" spans="1:3" x14ac:dyDescent="0.25">
      <c r="A166" s="15" t="s">
        <v>638</v>
      </c>
      <c r="B166" s="15" t="s">
        <v>906</v>
      </c>
      <c r="C166" s="15" t="s">
        <v>1621</v>
      </c>
    </row>
    <row r="167" spans="1:3" x14ac:dyDescent="0.25">
      <c r="A167" s="15" t="s">
        <v>722</v>
      </c>
      <c r="B167" s="15" t="s">
        <v>907</v>
      </c>
      <c r="C167" s="15" t="s">
        <v>1622</v>
      </c>
    </row>
    <row r="168" spans="1:3" x14ac:dyDescent="0.25">
      <c r="A168" s="15" t="s">
        <v>639</v>
      </c>
      <c r="B168" s="15" t="s">
        <v>908</v>
      </c>
      <c r="C168" s="15" t="s">
        <v>1623</v>
      </c>
    </row>
    <row r="169" spans="1:3" x14ac:dyDescent="0.25">
      <c r="A169" s="15" t="s">
        <v>640</v>
      </c>
      <c r="B169" s="15" t="s">
        <v>909</v>
      </c>
      <c r="C169" s="15" t="s">
        <v>1624</v>
      </c>
    </row>
    <row r="170" spans="1:3" x14ac:dyDescent="0.25">
      <c r="A170" s="15" t="s">
        <v>641</v>
      </c>
      <c r="B170" s="15" t="s">
        <v>910</v>
      </c>
      <c r="C170" s="15" t="s">
        <v>1625</v>
      </c>
    </row>
    <row r="171" spans="1:3" x14ac:dyDescent="0.25">
      <c r="A171" s="15" t="s">
        <v>642</v>
      </c>
      <c r="B171" s="15" t="s">
        <v>911</v>
      </c>
      <c r="C171" s="15" t="s">
        <v>1626</v>
      </c>
    </row>
    <row r="172" spans="1:3" x14ac:dyDescent="0.25">
      <c r="A172" s="15" t="s">
        <v>643</v>
      </c>
      <c r="B172" s="15" t="s">
        <v>912</v>
      </c>
      <c r="C172" s="16" t="s">
        <v>1627</v>
      </c>
    </row>
    <row r="173" spans="1:3" x14ac:dyDescent="0.25">
      <c r="A173" s="15" t="s">
        <v>644</v>
      </c>
      <c r="B173" s="15" t="s">
        <v>913</v>
      </c>
      <c r="C173" s="15" t="s">
        <v>1628</v>
      </c>
    </row>
    <row r="174" spans="1:3" x14ac:dyDescent="0.25">
      <c r="A174" s="15" t="s">
        <v>645</v>
      </c>
      <c r="B174" s="15" t="s">
        <v>914</v>
      </c>
      <c r="C174" s="15" t="s">
        <v>1629</v>
      </c>
    </row>
    <row r="175" spans="1:3" x14ac:dyDescent="0.25">
      <c r="A175" s="15" t="s">
        <v>646</v>
      </c>
      <c r="B175" s="15" t="s">
        <v>915</v>
      </c>
      <c r="C175" s="15" t="s">
        <v>1630</v>
      </c>
    </row>
    <row r="176" spans="1:3" x14ac:dyDescent="0.25">
      <c r="A176" s="15" t="s">
        <v>647</v>
      </c>
      <c r="B176" s="15" t="s">
        <v>916</v>
      </c>
      <c r="C176" s="16" t="s">
        <v>1631</v>
      </c>
    </row>
    <row r="177" spans="1:3" x14ac:dyDescent="0.25">
      <c r="A177" s="15" t="s">
        <v>648</v>
      </c>
      <c r="B177" s="15" t="s">
        <v>917</v>
      </c>
      <c r="C177" s="16" t="s">
        <v>1632</v>
      </c>
    </row>
    <row r="178" spans="1:3" x14ac:dyDescent="0.25">
      <c r="A178" s="15" t="s">
        <v>649</v>
      </c>
      <c r="B178" s="15" t="s">
        <v>918</v>
      </c>
      <c r="C178" s="15" t="s">
        <v>1633</v>
      </c>
    </row>
    <row r="179" spans="1:3" x14ac:dyDescent="0.25">
      <c r="A179" s="15" t="s">
        <v>650</v>
      </c>
      <c r="B179" s="15" t="s">
        <v>919</v>
      </c>
      <c r="C179" s="15" t="s">
        <v>1634</v>
      </c>
    </row>
    <row r="180" spans="1:3" x14ac:dyDescent="0.25">
      <c r="A180" s="15" t="s">
        <v>651</v>
      </c>
      <c r="B180" s="15" t="s">
        <v>920</v>
      </c>
      <c r="C180" s="15" t="s">
        <v>1449</v>
      </c>
    </row>
    <row r="181" spans="1:3" x14ac:dyDescent="0.25">
      <c r="A181" s="15" t="s">
        <v>652</v>
      </c>
      <c r="B181" s="15" t="s">
        <v>921</v>
      </c>
      <c r="C181" s="16" t="s">
        <v>1635</v>
      </c>
    </row>
    <row r="182" spans="1:3" x14ac:dyDescent="0.25">
      <c r="A182" s="15" t="s">
        <v>653</v>
      </c>
      <c r="B182" s="15" t="s">
        <v>922</v>
      </c>
      <c r="C182" s="15" t="s">
        <v>1636</v>
      </c>
    </row>
    <row r="183" spans="1:3" x14ac:dyDescent="0.25">
      <c r="A183" s="15" t="s">
        <v>654</v>
      </c>
      <c r="B183" s="15" t="s">
        <v>923</v>
      </c>
      <c r="C183" s="16" t="s">
        <v>1637</v>
      </c>
    </row>
    <row r="184" spans="1:3" x14ac:dyDescent="0.25">
      <c r="A184" s="15" t="s">
        <v>723</v>
      </c>
      <c r="B184" s="15" t="s">
        <v>924</v>
      </c>
      <c r="C184" s="15" t="s">
        <v>1638</v>
      </c>
    </row>
    <row r="185" spans="1:3" x14ac:dyDescent="0.25">
      <c r="A185" s="15" t="s">
        <v>655</v>
      </c>
      <c r="B185" s="15" t="s">
        <v>925</v>
      </c>
      <c r="C185" s="15" t="s">
        <v>1448</v>
      </c>
    </row>
    <row r="186" spans="1:3" x14ac:dyDescent="0.25">
      <c r="A186" s="15" t="s">
        <v>656</v>
      </c>
      <c r="B186" s="15" t="s">
        <v>926</v>
      </c>
      <c r="C186" s="15" t="s">
        <v>1639</v>
      </c>
    </row>
    <row r="187" spans="1:3" x14ac:dyDescent="0.25">
      <c r="A187" s="15" t="s">
        <v>657</v>
      </c>
      <c r="B187" s="15" t="s">
        <v>927</v>
      </c>
      <c r="C187" s="15" t="s">
        <v>1640</v>
      </c>
    </row>
    <row r="188" spans="1:3" x14ac:dyDescent="0.25">
      <c r="A188" s="15" t="s">
        <v>658</v>
      </c>
      <c r="B188" s="15" t="s">
        <v>928</v>
      </c>
      <c r="C188" s="15" t="s">
        <v>1641</v>
      </c>
    </row>
    <row r="189" spans="1:3" x14ac:dyDescent="0.25">
      <c r="A189" s="15" t="s">
        <v>659</v>
      </c>
      <c r="B189" s="15" t="s">
        <v>929</v>
      </c>
      <c r="C189" s="15" t="s">
        <v>1642</v>
      </c>
    </row>
    <row r="190" spans="1:3" x14ac:dyDescent="0.25">
      <c r="A190" s="15" t="s">
        <v>660</v>
      </c>
      <c r="B190" s="15" t="s">
        <v>930</v>
      </c>
      <c r="C190" s="15" t="s">
        <v>1643</v>
      </c>
    </row>
    <row r="191" spans="1:3" x14ac:dyDescent="0.25">
      <c r="A191" s="15" t="s">
        <v>661</v>
      </c>
      <c r="B191" s="15" t="s">
        <v>931</v>
      </c>
      <c r="C191" s="15" t="s">
        <v>1644</v>
      </c>
    </row>
    <row r="192" spans="1:3" x14ac:dyDescent="0.25">
      <c r="A192" s="15" t="s">
        <v>738</v>
      </c>
      <c r="B192" s="15" t="s">
        <v>932</v>
      </c>
      <c r="C192" s="15" t="s">
        <v>1645</v>
      </c>
    </row>
    <row r="193" spans="1:3" x14ac:dyDescent="0.25">
      <c r="A193" s="15" t="s">
        <v>482</v>
      </c>
      <c r="B193" s="15" t="s">
        <v>933</v>
      </c>
      <c r="C193" s="15" t="s">
        <v>1646</v>
      </c>
    </row>
    <row r="194" spans="1:3" x14ac:dyDescent="0.25">
      <c r="A194" s="15" t="s">
        <v>662</v>
      </c>
      <c r="B194" s="15" t="s">
        <v>934</v>
      </c>
      <c r="C194" s="16" t="s">
        <v>1647</v>
      </c>
    </row>
    <row r="195" spans="1:3" x14ac:dyDescent="0.25">
      <c r="A195" s="15" t="s">
        <v>663</v>
      </c>
      <c r="B195" s="15" t="s">
        <v>935</v>
      </c>
      <c r="C195" s="16" t="s">
        <v>1648</v>
      </c>
    </row>
    <row r="196" spans="1:3" x14ac:dyDescent="0.25">
      <c r="A196" s="15" t="s">
        <v>664</v>
      </c>
      <c r="B196" s="15" t="s">
        <v>936</v>
      </c>
      <c r="C196" s="15" t="s">
        <v>1649</v>
      </c>
    </row>
    <row r="197" spans="1:3" x14ac:dyDescent="0.25">
      <c r="A197" s="15" t="s">
        <v>665</v>
      </c>
      <c r="B197" s="15" t="s">
        <v>937</v>
      </c>
      <c r="C197" s="15" t="s">
        <v>1650</v>
      </c>
    </row>
    <row r="198" spans="1:3" x14ac:dyDescent="0.25">
      <c r="A198" s="15" t="s">
        <v>666</v>
      </c>
      <c r="B198" s="15" t="s">
        <v>938</v>
      </c>
      <c r="C198" s="15" t="s">
        <v>1651</v>
      </c>
    </row>
    <row r="199" spans="1:3" x14ac:dyDescent="0.25">
      <c r="A199" s="15" t="s">
        <v>667</v>
      </c>
      <c r="B199" s="15" t="s">
        <v>939</v>
      </c>
      <c r="C199" s="15" t="s">
        <v>1652</v>
      </c>
    </row>
    <row r="200" spans="1:3" x14ac:dyDescent="0.25">
      <c r="A200" s="15" t="s">
        <v>668</v>
      </c>
      <c r="B200" s="15" t="s">
        <v>940</v>
      </c>
      <c r="C200" s="16" t="s">
        <v>1653</v>
      </c>
    </row>
    <row r="201" spans="1:3" x14ac:dyDescent="0.25">
      <c r="A201" s="15" t="s">
        <v>669</v>
      </c>
      <c r="B201" s="15" t="s">
        <v>941</v>
      </c>
      <c r="C201" s="15" t="s">
        <v>1654</v>
      </c>
    </row>
    <row r="202" spans="1:3" x14ac:dyDescent="0.25">
      <c r="A202" s="15" t="s">
        <v>670</v>
      </c>
      <c r="B202" s="15" t="s">
        <v>942</v>
      </c>
      <c r="C202" s="16" t="s">
        <v>1655</v>
      </c>
    </row>
    <row r="203" spans="1:3" x14ac:dyDescent="0.25">
      <c r="A203" s="15" t="s">
        <v>671</v>
      </c>
      <c r="B203" s="15" t="s">
        <v>943</v>
      </c>
      <c r="C203" s="15" t="s">
        <v>1656</v>
      </c>
    </row>
    <row r="204" spans="1:3" x14ac:dyDescent="0.25">
      <c r="A204" s="15" t="s">
        <v>672</v>
      </c>
      <c r="B204" s="15" t="s">
        <v>944</v>
      </c>
      <c r="C204" s="16" t="s">
        <v>1657</v>
      </c>
    </row>
    <row r="205" spans="1:3" x14ac:dyDescent="0.25">
      <c r="A205" s="15" t="s">
        <v>673</v>
      </c>
      <c r="B205" s="15" t="s">
        <v>945</v>
      </c>
      <c r="C205" s="16" t="s">
        <v>1658</v>
      </c>
    </row>
    <row r="206" spans="1:3" x14ac:dyDescent="0.25">
      <c r="A206" s="15" t="s">
        <v>674</v>
      </c>
      <c r="B206" s="15" t="s">
        <v>946</v>
      </c>
      <c r="C206" s="15" t="s">
        <v>1659</v>
      </c>
    </row>
    <row r="207" spans="1:3" x14ac:dyDescent="0.25">
      <c r="A207" s="15" t="s">
        <v>675</v>
      </c>
      <c r="B207" s="15" t="s">
        <v>947</v>
      </c>
      <c r="C207" s="15" t="s">
        <v>1660</v>
      </c>
    </row>
    <row r="208" spans="1:3" x14ac:dyDescent="0.25">
      <c r="A208" s="15" t="s">
        <v>676</v>
      </c>
      <c r="B208" s="15" t="s">
        <v>948</v>
      </c>
      <c r="C208" s="15" t="s">
        <v>1661</v>
      </c>
    </row>
    <row r="209" spans="1:3" x14ac:dyDescent="0.25">
      <c r="A209" s="15" t="s">
        <v>677</v>
      </c>
      <c r="B209" s="15" t="s">
        <v>949</v>
      </c>
      <c r="C209" s="16" t="s">
        <v>1662</v>
      </c>
    </row>
    <row r="210" spans="1:3" x14ac:dyDescent="0.25">
      <c r="A210" s="15" t="s">
        <v>678</v>
      </c>
      <c r="B210" s="15" t="s">
        <v>950</v>
      </c>
      <c r="C210" s="16" t="s">
        <v>1663</v>
      </c>
    </row>
    <row r="211" spans="1:3" x14ac:dyDescent="0.25">
      <c r="A211" s="15" t="s">
        <v>679</v>
      </c>
      <c r="B211" s="15" t="s">
        <v>951</v>
      </c>
      <c r="C211" s="16" t="s">
        <v>1664</v>
      </c>
    </row>
    <row r="212" spans="1:3" x14ac:dyDescent="0.25">
      <c r="A212" s="15" t="s">
        <v>716</v>
      </c>
      <c r="B212" s="15" t="s">
        <v>952</v>
      </c>
      <c r="C212" s="16" t="s">
        <v>1665</v>
      </c>
    </row>
    <row r="213" spans="1:3" x14ac:dyDescent="0.25">
      <c r="A213" s="15" t="s">
        <v>739</v>
      </c>
      <c r="B213" s="15" t="s">
        <v>953</v>
      </c>
      <c r="C213" s="15" t="s">
        <v>1666</v>
      </c>
    </row>
    <row r="214" spans="1:3" x14ac:dyDescent="0.25">
      <c r="A214" s="15" t="s">
        <v>680</v>
      </c>
      <c r="B214" s="15" t="s">
        <v>954</v>
      </c>
      <c r="C214" s="15" t="s">
        <v>1667</v>
      </c>
    </row>
    <row r="215" spans="1:3" x14ac:dyDescent="0.25">
      <c r="A215" s="15" t="s">
        <v>740</v>
      </c>
      <c r="B215" s="15" t="s">
        <v>955</v>
      </c>
      <c r="C215" s="16" t="s">
        <v>1668</v>
      </c>
    </row>
    <row r="216" spans="1:3" x14ac:dyDescent="0.25">
      <c r="A216" s="15" t="s">
        <v>681</v>
      </c>
      <c r="B216" s="15" t="s">
        <v>956</v>
      </c>
      <c r="C216" s="15" t="s">
        <v>1669</v>
      </c>
    </row>
    <row r="217" spans="1:3" x14ac:dyDescent="0.25">
      <c r="A217" s="15" t="s">
        <v>682</v>
      </c>
      <c r="B217" s="15" t="s">
        <v>957</v>
      </c>
      <c r="C217" s="16" t="s">
        <v>1670</v>
      </c>
    </row>
    <row r="218" spans="1:3" x14ac:dyDescent="0.25">
      <c r="A218" s="15" t="s">
        <v>683</v>
      </c>
      <c r="B218" s="15" t="s">
        <v>958</v>
      </c>
      <c r="C218" s="15" t="s">
        <v>1671</v>
      </c>
    </row>
    <row r="219" spans="1:3" x14ac:dyDescent="0.25">
      <c r="A219" s="15" t="s">
        <v>684</v>
      </c>
      <c r="B219" s="15" t="s">
        <v>959</v>
      </c>
      <c r="C219" s="15" t="s">
        <v>1672</v>
      </c>
    </row>
    <row r="220" spans="1:3" x14ac:dyDescent="0.25">
      <c r="A220" s="15" t="s">
        <v>685</v>
      </c>
      <c r="B220" s="15" t="s">
        <v>960</v>
      </c>
      <c r="C220" s="15" t="s">
        <v>1673</v>
      </c>
    </row>
    <row r="221" spans="1:3" x14ac:dyDescent="0.25">
      <c r="A221" s="15" t="s">
        <v>686</v>
      </c>
      <c r="B221" s="15" t="s">
        <v>961</v>
      </c>
      <c r="C221" s="15" t="s">
        <v>1674</v>
      </c>
    </row>
    <row r="222" spans="1:3" x14ac:dyDescent="0.25">
      <c r="A222" s="15" t="s">
        <v>687</v>
      </c>
      <c r="B222" s="15" t="s">
        <v>962</v>
      </c>
      <c r="C222" s="15" t="s">
        <v>1675</v>
      </c>
    </row>
    <row r="223" spans="1:3" x14ac:dyDescent="0.25">
      <c r="A223" s="15" t="s">
        <v>688</v>
      </c>
      <c r="B223" s="15" t="s">
        <v>963</v>
      </c>
      <c r="C223" s="15" t="s">
        <v>1676</v>
      </c>
    </row>
    <row r="224" spans="1:3" x14ac:dyDescent="0.25">
      <c r="A224" s="15" t="s">
        <v>689</v>
      </c>
      <c r="B224" s="15" t="s">
        <v>964</v>
      </c>
      <c r="C224" s="15" t="s">
        <v>1677</v>
      </c>
    </row>
    <row r="225" spans="1:3" x14ac:dyDescent="0.25">
      <c r="A225" s="15" t="s">
        <v>690</v>
      </c>
      <c r="B225" s="15" t="s">
        <v>965</v>
      </c>
      <c r="C225" s="15" t="s">
        <v>1678</v>
      </c>
    </row>
    <row r="226" spans="1:3" x14ac:dyDescent="0.25">
      <c r="A226" s="15" t="s">
        <v>691</v>
      </c>
      <c r="B226" s="15" t="s">
        <v>966</v>
      </c>
      <c r="C226" s="15" t="s">
        <v>1679</v>
      </c>
    </row>
    <row r="227" spans="1:3" x14ac:dyDescent="0.25">
      <c r="A227" s="15" t="s">
        <v>692</v>
      </c>
      <c r="B227" s="15" t="s">
        <v>967</v>
      </c>
      <c r="C227" s="16" t="s">
        <v>1680</v>
      </c>
    </row>
    <row r="228" spans="1:3" x14ac:dyDescent="0.25">
      <c r="A228" s="15" t="s">
        <v>693</v>
      </c>
      <c r="B228" s="15" t="s">
        <v>968</v>
      </c>
      <c r="C228" s="15" t="s">
        <v>1681</v>
      </c>
    </row>
    <row r="229" spans="1:3" x14ac:dyDescent="0.25">
      <c r="A229" s="15" t="s">
        <v>724</v>
      </c>
      <c r="B229" s="15" t="s">
        <v>969</v>
      </c>
      <c r="C229" s="15" t="s">
        <v>1682</v>
      </c>
    </row>
    <row r="230" spans="1:3" x14ac:dyDescent="0.25">
      <c r="A230" s="15" t="s">
        <v>725</v>
      </c>
      <c r="B230" s="15" t="s">
        <v>970</v>
      </c>
      <c r="C230" s="15" t="s">
        <v>1683</v>
      </c>
    </row>
    <row r="231" spans="1:3" x14ac:dyDescent="0.25">
      <c r="A231" s="15" t="s">
        <v>694</v>
      </c>
      <c r="B231" s="15" t="s">
        <v>971</v>
      </c>
      <c r="C231" s="15" t="s">
        <v>1684</v>
      </c>
    </row>
    <row r="232" spans="1:3" x14ac:dyDescent="0.25">
      <c r="A232" s="15" t="s">
        <v>695</v>
      </c>
      <c r="B232" s="15" t="s">
        <v>972</v>
      </c>
      <c r="C232" s="15" t="s">
        <v>1685</v>
      </c>
    </row>
    <row r="233" spans="1:3" x14ac:dyDescent="0.25">
      <c r="A233" s="15" t="s">
        <v>696</v>
      </c>
      <c r="B233" s="15" t="s">
        <v>973</v>
      </c>
      <c r="C233" s="16" t="s">
        <v>1686</v>
      </c>
    </row>
    <row r="234" spans="1:3" x14ac:dyDescent="0.25">
      <c r="A234" s="15" t="s">
        <v>698</v>
      </c>
      <c r="B234" s="15" t="s">
        <v>975</v>
      </c>
      <c r="C234" s="15" t="s">
        <v>1688</v>
      </c>
    </row>
    <row r="235" spans="1:3" x14ac:dyDescent="0.25">
      <c r="A235" s="15" t="s">
        <v>699</v>
      </c>
      <c r="B235" s="15" t="s">
        <v>976</v>
      </c>
      <c r="C235" s="15" t="s">
        <v>1689</v>
      </c>
    </row>
    <row r="236" spans="1:3" x14ac:dyDescent="0.25">
      <c r="A236" s="15" t="s">
        <v>741</v>
      </c>
      <c r="B236" s="15" t="s">
        <v>977</v>
      </c>
      <c r="C236" s="107" t="s">
        <v>1917</v>
      </c>
    </row>
    <row r="237" spans="1:3" x14ac:dyDescent="0.25">
      <c r="A237" s="15" t="s">
        <v>700</v>
      </c>
      <c r="B237" s="15" t="s">
        <v>978</v>
      </c>
      <c r="C237" s="16" t="s">
        <v>1690</v>
      </c>
    </row>
    <row r="238" spans="1:3" x14ac:dyDescent="0.25">
      <c r="A238" s="15" t="s">
        <v>717</v>
      </c>
      <c r="B238" s="15" t="s">
        <v>979</v>
      </c>
      <c r="C238" s="15" t="s">
        <v>1691</v>
      </c>
    </row>
    <row r="239" spans="1:3" x14ac:dyDescent="0.25">
      <c r="A239" s="15" t="s">
        <v>718</v>
      </c>
      <c r="B239" s="15" t="s">
        <v>980</v>
      </c>
      <c r="C239" s="16" t="s">
        <v>1692</v>
      </c>
    </row>
    <row r="240" spans="1:3" x14ac:dyDescent="0.25">
      <c r="A240" s="15" t="s">
        <v>719</v>
      </c>
      <c r="B240" s="15" t="s">
        <v>981</v>
      </c>
      <c r="C240" s="16" t="s">
        <v>1693</v>
      </c>
    </row>
    <row r="241" spans="1:3" x14ac:dyDescent="0.25">
      <c r="A241" s="15" t="s">
        <v>742</v>
      </c>
      <c r="B241" s="15" t="s">
        <v>982</v>
      </c>
      <c r="C241" s="15" t="s">
        <v>1694</v>
      </c>
    </row>
    <row r="242" spans="1:3" x14ac:dyDescent="0.25">
      <c r="A242" s="15" t="s">
        <v>701</v>
      </c>
      <c r="B242" s="15" t="s">
        <v>983</v>
      </c>
      <c r="C242" s="15" t="s">
        <v>1695</v>
      </c>
    </row>
    <row r="243" spans="1:3" x14ac:dyDescent="0.25">
      <c r="A243" s="15" t="s">
        <v>702</v>
      </c>
      <c r="B243" s="15" t="s">
        <v>984</v>
      </c>
      <c r="C243" s="16" t="s">
        <v>1696</v>
      </c>
    </row>
    <row r="244" spans="1:3" x14ac:dyDescent="0.25">
      <c r="A244" s="15" t="s">
        <v>703</v>
      </c>
      <c r="B244" s="15" t="s">
        <v>985</v>
      </c>
      <c r="C244" s="15" t="s">
        <v>1697</v>
      </c>
    </row>
    <row r="245" spans="1:3" x14ac:dyDescent="0.25">
      <c r="A245" s="15" t="s">
        <v>704</v>
      </c>
      <c r="B245" s="15" t="s">
        <v>986</v>
      </c>
      <c r="C245" s="15" t="s">
        <v>1698</v>
      </c>
    </row>
    <row r="246" spans="1:3" x14ac:dyDescent="0.25">
      <c r="A246" s="15" t="s">
        <v>705</v>
      </c>
      <c r="B246" s="15" t="s">
        <v>987</v>
      </c>
      <c r="C246" s="15" t="s">
        <v>1699</v>
      </c>
    </row>
    <row r="247" spans="1:3" x14ac:dyDescent="0.25">
      <c r="A247" s="15" t="s">
        <v>706</v>
      </c>
      <c r="B247" s="15" t="s">
        <v>988</v>
      </c>
      <c r="C247" s="16" t="s">
        <v>1700</v>
      </c>
    </row>
    <row r="248" spans="1:3" x14ac:dyDescent="0.25">
      <c r="A248" s="15" t="s">
        <v>707</v>
      </c>
      <c r="B248" s="15" t="s">
        <v>989</v>
      </c>
      <c r="C248" s="15" t="s">
        <v>1701</v>
      </c>
    </row>
    <row r="249" spans="1:3" x14ac:dyDescent="0.25">
      <c r="A249" s="15" t="s">
        <v>708</v>
      </c>
      <c r="B249" s="15" t="s">
        <v>990</v>
      </c>
      <c r="C249" s="15" t="s">
        <v>1702</v>
      </c>
    </row>
    <row r="250" spans="1:3" x14ac:dyDescent="0.25">
      <c r="A250" s="15" t="s">
        <v>697</v>
      </c>
      <c r="B250" s="15" t="s">
        <v>974</v>
      </c>
      <c r="C250" s="16" t="s">
        <v>1687</v>
      </c>
    </row>
    <row r="251" spans="1:3" x14ac:dyDescent="0.25">
      <c r="A251" s="15" t="s">
        <v>1918</v>
      </c>
      <c r="B251" s="15" t="s">
        <v>1968</v>
      </c>
      <c r="C251" s="23" t="str">
        <f>"usa"&amp;CHAR(10)&amp;"- "&amp;SUBSTITUTE(LOWER(MID(A251,4,LEN(A251)))," ","-")</f>
        <v>usa
- alabama</v>
      </c>
    </row>
    <row r="252" spans="1:3" x14ac:dyDescent="0.25">
      <c r="A252" s="15" t="s">
        <v>1919</v>
      </c>
      <c r="B252" s="15" t="s">
        <v>1969</v>
      </c>
      <c r="C252" s="23" t="str">
        <f t="shared" ref="C252:C301" si="0">"usa"&amp;CHAR(10)&amp;"- "&amp;SUBSTITUTE(LOWER(MID(A252,4,LEN(A252)))," ","-")</f>
        <v>usa
- alaska</v>
      </c>
    </row>
    <row r="253" spans="1:3" x14ac:dyDescent="0.25">
      <c r="A253" s="15" t="s">
        <v>1920</v>
      </c>
      <c r="B253" s="15" t="s">
        <v>1970</v>
      </c>
      <c r="C253" s="23" t="str">
        <f t="shared" si="0"/>
        <v>usa
- arizona</v>
      </c>
    </row>
    <row r="254" spans="1:3" x14ac:dyDescent="0.25">
      <c r="A254" s="15" t="s">
        <v>1916</v>
      </c>
      <c r="B254" s="15" t="s">
        <v>1971</v>
      </c>
      <c r="C254" s="23" t="str">
        <f t="shared" si="0"/>
        <v>usa
- arkansas</v>
      </c>
    </row>
    <row r="255" spans="1:3" x14ac:dyDescent="0.25">
      <c r="A255" s="15" t="s">
        <v>1921</v>
      </c>
      <c r="B255" s="15" t="s">
        <v>1972</v>
      </c>
      <c r="C255" s="23" t="str">
        <f t="shared" si="0"/>
        <v>usa
- california</v>
      </c>
    </row>
    <row r="256" spans="1:3" x14ac:dyDescent="0.25">
      <c r="A256" s="15" t="s">
        <v>1922</v>
      </c>
      <c r="B256" s="15" t="s">
        <v>1973</v>
      </c>
      <c r="C256" s="23" t="str">
        <f t="shared" si="0"/>
        <v>usa
- colorado</v>
      </c>
    </row>
    <row r="257" spans="1:3" x14ac:dyDescent="0.25">
      <c r="A257" s="15" t="s">
        <v>1923</v>
      </c>
      <c r="B257" s="15" t="s">
        <v>1974</v>
      </c>
      <c r="C257" s="23" t="str">
        <f t="shared" si="0"/>
        <v>usa
- connecticut</v>
      </c>
    </row>
    <row r="258" spans="1:3" x14ac:dyDescent="0.25">
      <c r="A258" s="15" t="s">
        <v>1924</v>
      </c>
      <c r="B258" s="15" t="s">
        <v>1975</v>
      </c>
      <c r="C258" s="23" t="str">
        <f t="shared" si="0"/>
        <v>usa
- delaware</v>
      </c>
    </row>
    <row r="259" spans="1:3" x14ac:dyDescent="0.25">
      <c r="A259" s="15" t="s">
        <v>1925</v>
      </c>
      <c r="B259" s="15" t="s">
        <v>1976</v>
      </c>
      <c r="C259" s="23" t="str">
        <f t="shared" si="0"/>
        <v>usa
- dc</v>
      </c>
    </row>
    <row r="260" spans="1:3" x14ac:dyDescent="0.25">
      <c r="A260" s="15" t="s">
        <v>1926</v>
      </c>
      <c r="B260" s="15" t="s">
        <v>1977</v>
      </c>
      <c r="C260" s="23" t="str">
        <f t="shared" si="0"/>
        <v>usa
- florida</v>
      </c>
    </row>
    <row r="261" spans="1:3" x14ac:dyDescent="0.25">
      <c r="A261" s="15" t="s">
        <v>1927</v>
      </c>
      <c r="B261" s="15" t="s">
        <v>1978</v>
      </c>
      <c r="C261" s="23" t="str">
        <f t="shared" si="0"/>
        <v>usa
- georgia</v>
      </c>
    </row>
    <row r="262" spans="1:3" x14ac:dyDescent="0.25">
      <c r="A262" s="15" t="s">
        <v>1928</v>
      </c>
      <c r="B262" s="15" t="s">
        <v>1979</v>
      </c>
      <c r="C262" s="23" t="str">
        <f t="shared" si="0"/>
        <v>usa
- hawaii</v>
      </c>
    </row>
    <row r="263" spans="1:3" x14ac:dyDescent="0.25">
      <c r="A263" s="15" t="s">
        <v>1929</v>
      </c>
      <c r="B263" s="15" t="s">
        <v>1980</v>
      </c>
      <c r="C263" s="23" t="str">
        <f t="shared" si="0"/>
        <v>usa
- idaho</v>
      </c>
    </row>
    <row r="264" spans="1:3" x14ac:dyDescent="0.25">
      <c r="A264" s="15" t="s">
        <v>1930</v>
      </c>
      <c r="B264" s="15" t="s">
        <v>1981</v>
      </c>
      <c r="C264" s="23" t="str">
        <f t="shared" si="0"/>
        <v>usa
- illinois</v>
      </c>
    </row>
    <row r="265" spans="1:3" x14ac:dyDescent="0.25">
      <c r="A265" s="15" t="s">
        <v>1931</v>
      </c>
      <c r="B265" s="15" t="s">
        <v>1982</v>
      </c>
      <c r="C265" s="23" t="str">
        <f t="shared" si="0"/>
        <v>usa
- indiana</v>
      </c>
    </row>
    <row r="266" spans="1:3" x14ac:dyDescent="0.25">
      <c r="A266" s="15" t="s">
        <v>1932</v>
      </c>
      <c r="B266" s="15" t="s">
        <v>1983</v>
      </c>
      <c r="C266" s="23" t="str">
        <f t="shared" si="0"/>
        <v>usa
- iowa</v>
      </c>
    </row>
    <row r="267" spans="1:3" x14ac:dyDescent="0.25">
      <c r="A267" s="15" t="s">
        <v>1933</v>
      </c>
      <c r="B267" s="15" t="s">
        <v>1984</v>
      </c>
      <c r="C267" s="23" t="str">
        <f t="shared" si="0"/>
        <v>usa
- kansas</v>
      </c>
    </row>
    <row r="268" spans="1:3" x14ac:dyDescent="0.25">
      <c r="A268" s="15" t="s">
        <v>1934</v>
      </c>
      <c r="B268" s="15" t="s">
        <v>1985</v>
      </c>
      <c r="C268" s="23" t="str">
        <f t="shared" si="0"/>
        <v>usa
- kentucky</v>
      </c>
    </row>
    <row r="269" spans="1:3" x14ac:dyDescent="0.25">
      <c r="A269" s="15" t="s">
        <v>1935</v>
      </c>
      <c r="B269" s="15" t="s">
        <v>1986</v>
      </c>
      <c r="C269" s="23" t="str">
        <f t="shared" si="0"/>
        <v>usa
- louisiana</v>
      </c>
    </row>
    <row r="270" spans="1:3" x14ac:dyDescent="0.25">
      <c r="A270" s="15" t="s">
        <v>1936</v>
      </c>
      <c r="B270" s="15" t="s">
        <v>1987</v>
      </c>
      <c r="C270" s="23" t="str">
        <f t="shared" si="0"/>
        <v>usa
- maine</v>
      </c>
    </row>
    <row r="271" spans="1:3" x14ac:dyDescent="0.25">
      <c r="A271" s="15" t="s">
        <v>1937</v>
      </c>
      <c r="B271" s="15" t="s">
        <v>1988</v>
      </c>
      <c r="C271" s="23" t="str">
        <f t="shared" si="0"/>
        <v>usa
- maryland</v>
      </c>
    </row>
    <row r="272" spans="1:3" x14ac:dyDescent="0.25">
      <c r="A272" s="15" t="s">
        <v>1938</v>
      </c>
      <c r="B272" s="15" t="s">
        <v>1989</v>
      </c>
      <c r="C272" s="23" t="str">
        <f t="shared" si="0"/>
        <v>usa
- massachusetts</v>
      </c>
    </row>
    <row r="273" spans="1:3" x14ac:dyDescent="0.25">
      <c r="A273" s="15" t="s">
        <v>1939</v>
      </c>
      <c r="B273" s="15" t="s">
        <v>1990</v>
      </c>
      <c r="C273" s="23" t="str">
        <f t="shared" si="0"/>
        <v>usa
- michigan</v>
      </c>
    </row>
    <row r="274" spans="1:3" x14ac:dyDescent="0.25">
      <c r="A274" s="15" t="s">
        <v>1940</v>
      </c>
      <c r="B274" s="15" t="s">
        <v>1991</v>
      </c>
      <c r="C274" s="23" t="str">
        <f t="shared" si="0"/>
        <v>usa
- minnesota</v>
      </c>
    </row>
    <row r="275" spans="1:3" x14ac:dyDescent="0.25">
      <c r="A275" s="15" t="s">
        <v>1941</v>
      </c>
      <c r="B275" s="15" t="s">
        <v>1992</v>
      </c>
      <c r="C275" s="23" t="str">
        <f t="shared" si="0"/>
        <v>usa
- mississippi</v>
      </c>
    </row>
    <row r="276" spans="1:3" x14ac:dyDescent="0.25">
      <c r="A276" s="15" t="s">
        <v>1942</v>
      </c>
      <c r="B276" s="15" t="s">
        <v>1993</v>
      </c>
      <c r="C276" s="23" t="str">
        <f t="shared" si="0"/>
        <v>usa
- missouri</v>
      </c>
    </row>
    <row r="277" spans="1:3" x14ac:dyDescent="0.25">
      <c r="A277" s="15" t="s">
        <v>1943</v>
      </c>
      <c r="B277" s="15" t="s">
        <v>1994</v>
      </c>
      <c r="C277" s="23" t="str">
        <f t="shared" si="0"/>
        <v>usa
- montana</v>
      </c>
    </row>
    <row r="278" spans="1:3" x14ac:dyDescent="0.25">
      <c r="A278" s="15" t="s">
        <v>1944</v>
      </c>
      <c r="B278" s="15" t="s">
        <v>1995</v>
      </c>
      <c r="C278" s="23" t="str">
        <f t="shared" si="0"/>
        <v>usa
- nebraska</v>
      </c>
    </row>
    <row r="279" spans="1:3" x14ac:dyDescent="0.25">
      <c r="A279" s="15" t="s">
        <v>1945</v>
      </c>
      <c r="B279" s="15" t="s">
        <v>1996</v>
      </c>
      <c r="C279" s="23" t="str">
        <f t="shared" si="0"/>
        <v>usa
- nevada</v>
      </c>
    </row>
    <row r="280" spans="1:3" x14ac:dyDescent="0.25">
      <c r="A280" s="15" t="s">
        <v>1946</v>
      </c>
      <c r="B280" s="15" t="s">
        <v>1997</v>
      </c>
      <c r="C280" s="23" t="str">
        <f t="shared" si="0"/>
        <v>usa
- new-hampshire</v>
      </c>
    </row>
    <row r="281" spans="1:3" x14ac:dyDescent="0.25">
      <c r="A281" s="15" t="s">
        <v>1947</v>
      </c>
      <c r="B281" s="15" t="s">
        <v>1998</v>
      </c>
      <c r="C281" s="23" t="str">
        <f t="shared" si="0"/>
        <v>usa
- new-jersey</v>
      </c>
    </row>
    <row r="282" spans="1:3" x14ac:dyDescent="0.25">
      <c r="A282" s="15" t="s">
        <v>1948</v>
      </c>
      <c r="B282" s="15" t="s">
        <v>1999</v>
      </c>
      <c r="C282" s="23" t="str">
        <f t="shared" si="0"/>
        <v>usa
- new-mexico</v>
      </c>
    </row>
    <row r="283" spans="1:3" x14ac:dyDescent="0.25">
      <c r="A283" s="15" t="s">
        <v>1949</v>
      </c>
      <c r="B283" s="15" t="s">
        <v>2000</v>
      </c>
      <c r="C283" s="23" t="str">
        <f t="shared" si="0"/>
        <v>usa
- new-york</v>
      </c>
    </row>
    <row r="284" spans="1:3" x14ac:dyDescent="0.25">
      <c r="A284" s="15" t="s">
        <v>1950</v>
      </c>
      <c r="B284" s="15" t="s">
        <v>2001</v>
      </c>
      <c r="C284" s="23" t="str">
        <f t="shared" si="0"/>
        <v>usa
- north-carolina</v>
      </c>
    </row>
    <row r="285" spans="1:3" x14ac:dyDescent="0.25">
      <c r="A285" s="15" t="s">
        <v>1951</v>
      </c>
      <c r="B285" s="15" t="s">
        <v>2002</v>
      </c>
      <c r="C285" s="23" t="str">
        <f t="shared" si="0"/>
        <v>usa
- north-dakota</v>
      </c>
    </row>
    <row r="286" spans="1:3" x14ac:dyDescent="0.25">
      <c r="A286" s="15" t="s">
        <v>1952</v>
      </c>
      <c r="B286" s="15" t="s">
        <v>2003</v>
      </c>
      <c r="C286" s="23" t="str">
        <f t="shared" si="0"/>
        <v>usa
- ohio</v>
      </c>
    </row>
    <row r="287" spans="1:3" x14ac:dyDescent="0.25">
      <c r="A287" s="15" t="s">
        <v>1953</v>
      </c>
      <c r="B287" s="15" t="s">
        <v>2004</v>
      </c>
      <c r="C287" s="23" t="str">
        <f t="shared" si="0"/>
        <v>usa
- oklahoma</v>
      </c>
    </row>
    <row r="288" spans="1:3" x14ac:dyDescent="0.25">
      <c r="A288" s="15" t="s">
        <v>1954</v>
      </c>
      <c r="B288" s="15" t="s">
        <v>2005</v>
      </c>
      <c r="C288" s="23" t="str">
        <f t="shared" si="0"/>
        <v>usa
- oregon</v>
      </c>
    </row>
    <row r="289" spans="1:3" x14ac:dyDescent="0.25">
      <c r="A289" s="15" t="s">
        <v>1955</v>
      </c>
      <c r="B289" s="15" t="s">
        <v>2006</v>
      </c>
      <c r="C289" s="23" t="str">
        <f t="shared" si="0"/>
        <v>usa
- pennsylvania</v>
      </c>
    </row>
    <row r="290" spans="1:3" x14ac:dyDescent="0.25">
      <c r="A290" s="15" t="s">
        <v>1956</v>
      </c>
      <c r="B290" s="15" t="s">
        <v>2007</v>
      </c>
      <c r="C290" s="23" t="str">
        <f t="shared" si="0"/>
        <v>usa
- rhode-island</v>
      </c>
    </row>
    <row r="291" spans="1:3" x14ac:dyDescent="0.25">
      <c r="A291" s="15" t="s">
        <v>1957</v>
      </c>
      <c r="B291" s="15" t="s">
        <v>2008</v>
      </c>
      <c r="C291" s="23" t="str">
        <f t="shared" si="0"/>
        <v>usa
- south-carolina</v>
      </c>
    </row>
    <row r="292" spans="1:3" x14ac:dyDescent="0.25">
      <c r="A292" s="15" t="s">
        <v>1958</v>
      </c>
      <c r="B292" s="15" t="s">
        <v>2009</v>
      </c>
      <c r="C292" s="23" t="str">
        <f t="shared" si="0"/>
        <v>usa
- south-dakota</v>
      </c>
    </row>
    <row r="293" spans="1:3" x14ac:dyDescent="0.25">
      <c r="A293" s="15" t="s">
        <v>1959</v>
      </c>
      <c r="B293" s="15" t="s">
        <v>2010</v>
      </c>
      <c r="C293" s="23" t="str">
        <f t="shared" si="0"/>
        <v>usa
- tennessee</v>
      </c>
    </row>
    <row r="294" spans="1:3" x14ac:dyDescent="0.25">
      <c r="A294" s="15" t="s">
        <v>1960</v>
      </c>
      <c r="B294" s="15" t="s">
        <v>2011</v>
      </c>
      <c r="C294" s="23" t="str">
        <f t="shared" si="0"/>
        <v>usa
- texas</v>
      </c>
    </row>
    <row r="295" spans="1:3" x14ac:dyDescent="0.25">
      <c r="A295" s="15" t="s">
        <v>1961</v>
      </c>
      <c r="B295" s="15" t="s">
        <v>2012</v>
      </c>
      <c r="C295" s="23" t="str">
        <f t="shared" si="0"/>
        <v>usa
- utah</v>
      </c>
    </row>
    <row r="296" spans="1:3" x14ac:dyDescent="0.25">
      <c r="A296" s="15" t="s">
        <v>1962</v>
      </c>
      <c r="B296" s="15" t="s">
        <v>2013</v>
      </c>
      <c r="C296" s="23" t="str">
        <f t="shared" si="0"/>
        <v>usa
- vermont</v>
      </c>
    </row>
    <row r="297" spans="1:3" x14ac:dyDescent="0.25">
      <c r="A297" s="15" t="s">
        <v>1963</v>
      </c>
      <c r="B297" s="15" t="s">
        <v>2014</v>
      </c>
      <c r="C297" s="23" t="str">
        <f t="shared" si="0"/>
        <v>usa
- virginia</v>
      </c>
    </row>
    <row r="298" spans="1:3" x14ac:dyDescent="0.25">
      <c r="A298" s="15" t="s">
        <v>1964</v>
      </c>
      <c r="B298" s="15" t="s">
        <v>2015</v>
      </c>
      <c r="C298" s="23" t="str">
        <f t="shared" si="0"/>
        <v>usa
- washington</v>
      </c>
    </row>
    <row r="299" spans="1:3" x14ac:dyDescent="0.25">
      <c r="A299" s="15" t="s">
        <v>1965</v>
      </c>
      <c r="B299" s="15" t="s">
        <v>2016</v>
      </c>
      <c r="C299" s="23" t="str">
        <f t="shared" si="0"/>
        <v>usa
- west-virginia</v>
      </c>
    </row>
    <row r="300" spans="1:3" x14ac:dyDescent="0.25">
      <c r="A300" s="15" t="s">
        <v>1966</v>
      </c>
      <c r="B300" s="15" t="s">
        <v>2017</v>
      </c>
      <c r="C300" s="23" t="str">
        <f t="shared" si="0"/>
        <v>usa
- wisconsin</v>
      </c>
    </row>
    <row r="301" spans="1:3" x14ac:dyDescent="0.25">
      <c r="A301" s="15" t="s">
        <v>1967</v>
      </c>
      <c r="B301" s="15" t="s">
        <v>2018</v>
      </c>
      <c r="C301" s="23" t="str">
        <f t="shared" si="0"/>
        <v>usa
- wyoming</v>
      </c>
    </row>
  </sheetData>
  <autoFilter ref="A1:C249" xr:uid="{64B53212-52F5-4A7D-9FB7-1079DAE6F64C}"/>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8D5823-F486-49BF-A605-B1946548406F}">
  <sheetPr codeName="Sheet1"/>
  <dimension ref="A1:I66"/>
  <sheetViews>
    <sheetView topLeftCell="A5" zoomScaleNormal="100" workbookViewId="0">
      <selection activeCell="A11" sqref="A11"/>
    </sheetView>
  </sheetViews>
  <sheetFormatPr defaultRowHeight="12.75" x14ac:dyDescent="0.25"/>
  <cols>
    <col min="1" max="1" width="7" style="5" bestFit="1" customWidth="1"/>
    <col min="2" max="2" width="16.42578125" style="12" bestFit="1" customWidth="1"/>
    <col min="3" max="3" width="40.28515625" style="5" bestFit="1" customWidth="1"/>
    <col min="4" max="4" width="77.140625" style="13" customWidth="1"/>
    <col min="5" max="5" width="19.85546875" style="13" bestFit="1" customWidth="1"/>
    <col min="6" max="6" width="19.85546875" style="13" customWidth="1"/>
    <col min="7" max="8" width="11" style="5" customWidth="1"/>
    <col min="9" max="16384" width="9.140625" style="5"/>
  </cols>
  <sheetData>
    <row r="1" spans="1:9" s="2" customFormat="1" x14ac:dyDescent="0.25">
      <c r="A1" s="2" t="s">
        <v>174</v>
      </c>
      <c r="B1" s="3" t="s">
        <v>163</v>
      </c>
      <c r="C1" s="2" t="s">
        <v>164</v>
      </c>
      <c r="D1" s="4" t="s">
        <v>166</v>
      </c>
      <c r="E1" s="4" t="s">
        <v>173</v>
      </c>
      <c r="F1" s="4"/>
      <c r="G1" s="2" t="s">
        <v>158</v>
      </c>
      <c r="I1" s="2" t="s">
        <v>159</v>
      </c>
    </row>
    <row r="2" spans="1:9" ht="63.75" x14ac:dyDescent="0.25">
      <c r="A2" s="5" t="s">
        <v>167</v>
      </c>
      <c r="B2" s="6" t="s">
        <v>0</v>
      </c>
      <c r="C2" s="9" t="s">
        <v>1</v>
      </c>
      <c r="D2" s="8" t="s">
        <v>90</v>
      </c>
      <c r="E2" s="8"/>
      <c r="F2" s="8"/>
    </row>
    <row r="3" spans="1:9" ht="38.25" x14ac:dyDescent="0.25">
      <c r="A3" s="5" t="s">
        <v>168</v>
      </c>
      <c r="B3" s="10"/>
      <c r="C3" s="9" t="s">
        <v>2</v>
      </c>
      <c r="D3" s="8" t="s">
        <v>92</v>
      </c>
      <c r="E3" s="8"/>
      <c r="F3" s="8"/>
    </row>
    <row r="4" spans="1:9" ht="51" x14ac:dyDescent="0.25">
      <c r="B4" s="6">
        <v>81</v>
      </c>
      <c r="C4" s="9" t="s">
        <v>3</v>
      </c>
      <c r="D4" s="8" t="s">
        <v>93</v>
      </c>
      <c r="E4" s="8"/>
      <c r="F4" s="8"/>
    </row>
    <row r="5" spans="1:9" ht="63.75" x14ac:dyDescent="0.25">
      <c r="B5" s="6">
        <v>231</v>
      </c>
      <c r="C5" s="7" t="s">
        <v>5</v>
      </c>
      <c r="D5" s="8" t="s">
        <v>169</v>
      </c>
      <c r="E5" s="8"/>
      <c r="F5" s="8"/>
      <c r="G5" s="5" t="s">
        <v>94</v>
      </c>
    </row>
    <row r="6" spans="1:9" ht="63.75" x14ac:dyDescent="0.25">
      <c r="B6" s="6" t="s">
        <v>6</v>
      </c>
      <c r="C6" s="7" t="s">
        <v>7</v>
      </c>
      <c r="D6" s="8" t="s">
        <v>96</v>
      </c>
      <c r="E6" s="8"/>
      <c r="F6" s="8"/>
      <c r="G6" s="5" t="s">
        <v>97</v>
      </c>
    </row>
    <row r="7" spans="1:9" ht="76.5" x14ac:dyDescent="0.25">
      <c r="B7" s="6" t="s">
        <v>9</v>
      </c>
      <c r="C7" s="9" t="s">
        <v>10</v>
      </c>
      <c r="D7" s="8" t="s">
        <v>170</v>
      </c>
      <c r="E7" s="8"/>
      <c r="F7" s="8"/>
    </row>
    <row r="8" spans="1:9" ht="102" x14ac:dyDescent="0.25">
      <c r="A8" s="5" t="s">
        <v>167</v>
      </c>
      <c r="B8" s="6" t="s">
        <v>9</v>
      </c>
      <c r="C8" s="9" t="s">
        <v>11</v>
      </c>
      <c r="D8" s="8" t="s">
        <v>171</v>
      </c>
      <c r="E8" s="8"/>
      <c r="F8" s="8"/>
    </row>
    <row r="9" spans="1:9" ht="89.25" x14ac:dyDescent="0.25">
      <c r="B9" s="6">
        <v>305</v>
      </c>
      <c r="C9" s="9" t="s">
        <v>12</v>
      </c>
      <c r="D9" s="8" t="s">
        <v>172</v>
      </c>
      <c r="E9" s="8"/>
      <c r="F9" s="8"/>
      <c r="G9" s="5" t="s">
        <v>98</v>
      </c>
    </row>
    <row r="10" spans="1:9" ht="89.25" x14ac:dyDescent="0.25">
      <c r="B10" s="6">
        <v>325</v>
      </c>
      <c r="C10" s="7" t="s">
        <v>13</v>
      </c>
      <c r="D10" s="8" t="s">
        <v>99</v>
      </c>
      <c r="E10" s="8"/>
      <c r="F10" s="8"/>
      <c r="G10" s="5" t="s">
        <v>100</v>
      </c>
    </row>
    <row r="11" spans="1:9" ht="51" x14ac:dyDescent="0.25">
      <c r="B11" s="6">
        <v>335</v>
      </c>
      <c r="C11" s="9" t="s">
        <v>4</v>
      </c>
      <c r="D11" s="8" t="s">
        <v>1399</v>
      </c>
      <c r="E11" s="8"/>
      <c r="F11" s="8"/>
      <c r="G11" s="5" t="s">
        <v>101</v>
      </c>
    </row>
    <row r="12" spans="1:9" ht="114.75" x14ac:dyDescent="0.25">
      <c r="B12" s="6" t="s">
        <v>14</v>
      </c>
      <c r="C12" s="11" t="s">
        <v>15</v>
      </c>
      <c r="D12" s="8" t="s">
        <v>102</v>
      </c>
      <c r="E12" s="8"/>
      <c r="F12" s="8"/>
    </row>
    <row r="13" spans="1:9" ht="102" x14ac:dyDescent="0.25">
      <c r="B13" s="6">
        <v>363</v>
      </c>
      <c r="C13" s="7" t="s">
        <v>16</v>
      </c>
      <c r="D13" s="8" t="s">
        <v>104</v>
      </c>
      <c r="E13" s="8"/>
      <c r="F13" s="8"/>
      <c r="G13" s="5" t="s">
        <v>105</v>
      </c>
    </row>
    <row r="14" spans="1:9" ht="76.5" x14ac:dyDescent="0.25">
      <c r="B14" s="6">
        <v>371</v>
      </c>
      <c r="C14" s="7" t="s">
        <v>17</v>
      </c>
      <c r="D14" s="8" t="s">
        <v>106</v>
      </c>
      <c r="E14" s="8"/>
      <c r="F14" s="8"/>
      <c r="G14" s="5" t="s">
        <v>107</v>
      </c>
    </row>
    <row r="15" spans="1:9" ht="38.25" x14ac:dyDescent="0.25">
      <c r="B15" s="6">
        <v>380</v>
      </c>
      <c r="C15" s="7" t="s">
        <v>18</v>
      </c>
      <c r="D15" s="8" t="s">
        <v>108</v>
      </c>
      <c r="E15" s="8"/>
      <c r="F15" s="8"/>
      <c r="G15" s="5" t="s">
        <v>109</v>
      </c>
    </row>
    <row r="16" spans="1:9" ht="114.75" x14ac:dyDescent="0.25">
      <c r="B16" s="6" t="s">
        <v>19</v>
      </c>
      <c r="C16" s="11" t="s">
        <v>20</v>
      </c>
      <c r="D16" s="8" t="s">
        <v>110</v>
      </c>
      <c r="E16" s="8"/>
      <c r="F16" s="8"/>
    </row>
    <row r="17" spans="2:7" ht="178.5" x14ac:dyDescent="0.25">
      <c r="B17" s="6">
        <v>420</v>
      </c>
      <c r="C17" s="9" t="s">
        <v>21</v>
      </c>
      <c r="D17" s="8" t="s">
        <v>111</v>
      </c>
      <c r="E17" s="8"/>
      <c r="F17" s="8"/>
    </row>
    <row r="18" spans="2:7" ht="89.25" x14ac:dyDescent="0.25">
      <c r="B18" s="6">
        <v>431</v>
      </c>
      <c r="C18" s="9" t="s">
        <v>22</v>
      </c>
      <c r="D18" s="8" t="s">
        <v>112</v>
      </c>
      <c r="E18" s="8"/>
      <c r="F18" s="8"/>
      <c r="G18" s="5" t="s">
        <v>113</v>
      </c>
    </row>
    <row r="19" spans="2:7" ht="102" x14ac:dyDescent="0.25">
      <c r="B19" s="6" t="s">
        <v>23</v>
      </c>
      <c r="C19" s="11" t="s">
        <v>24</v>
      </c>
      <c r="D19" s="8" t="s">
        <v>114</v>
      </c>
      <c r="E19" s="8"/>
      <c r="F19" s="8"/>
      <c r="G19" s="5" t="s">
        <v>115</v>
      </c>
    </row>
    <row r="20" spans="2:7" ht="191.25" x14ac:dyDescent="0.25">
      <c r="B20" s="6">
        <v>455</v>
      </c>
      <c r="C20" s="9" t="s">
        <v>20</v>
      </c>
      <c r="D20" s="8" t="s">
        <v>116</v>
      </c>
      <c r="E20" s="8"/>
      <c r="F20" s="8"/>
      <c r="G20" s="5" t="s">
        <v>86</v>
      </c>
    </row>
    <row r="21" spans="2:7" x14ac:dyDescent="0.25">
      <c r="B21" s="6" t="s">
        <v>25</v>
      </c>
      <c r="C21" s="8" t="s">
        <v>74</v>
      </c>
      <c r="D21" s="8" t="s">
        <v>74</v>
      </c>
      <c r="E21" s="8"/>
      <c r="F21" s="8"/>
    </row>
    <row r="22" spans="2:7" x14ac:dyDescent="0.25">
      <c r="B22" s="6">
        <v>492</v>
      </c>
      <c r="C22" s="9" t="s">
        <v>26</v>
      </c>
      <c r="D22" s="8" t="s">
        <v>75</v>
      </c>
      <c r="E22" s="8"/>
      <c r="F22" s="8"/>
    </row>
    <row r="23" spans="2:7" ht="76.5" x14ac:dyDescent="0.25">
      <c r="B23" s="6" t="s">
        <v>27</v>
      </c>
      <c r="C23" s="9" t="s">
        <v>28</v>
      </c>
      <c r="D23" s="8" t="s">
        <v>117</v>
      </c>
      <c r="E23" s="8"/>
      <c r="F23" s="8"/>
    </row>
    <row r="24" spans="2:7" x14ac:dyDescent="0.25">
      <c r="B24" s="6">
        <v>526</v>
      </c>
      <c r="C24" s="9" t="s">
        <v>8</v>
      </c>
      <c r="D24" s="8" t="s">
        <v>76</v>
      </c>
      <c r="E24" s="8"/>
      <c r="F24" s="8"/>
    </row>
    <row r="25" spans="2:7" x14ac:dyDescent="0.25">
      <c r="B25" s="6">
        <v>530</v>
      </c>
      <c r="C25" s="8" t="s">
        <v>77</v>
      </c>
      <c r="D25" s="8" t="s">
        <v>77</v>
      </c>
      <c r="E25" s="8"/>
      <c r="F25" s="8"/>
    </row>
    <row r="26" spans="2:7" x14ac:dyDescent="0.25">
      <c r="B26" s="6">
        <v>535</v>
      </c>
      <c r="C26" s="8" t="s">
        <v>78</v>
      </c>
      <c r="D26" s="8" t="s">
        <v>78</v>
      </c>
      <c r="E26" s="8"/>
      <c r="F26" s="8"/>
    </row>
    <row r="27" spans="2:7" ht="165.75" x14ac:dyDescent="0.25">
      <c r="B27" s="6">
        <v>538</v>
      </c>
      <c r="C27" s="9" t="s">
        <v>29</v>
      </c>
      <c r="D27" s="8" t="s">
        <v>118</v>
      </c>
      <c r="E27" s="8"/>
      <c r="F27" s="8"/>
    </row>
    <row r="28" spans="2:7" x14ac:dyDescent="0.25">
      <c r="B28" s="6" t="s">
        <v>30</v>
      </c>
      <c r="C28" s="8" t="s">
        <v>79</v>
      </c>
      <c r="D28" s="8" t="s">
        <v>79</v>
      </c>
      <c r="E28" s="8"/>
      <c r="F28" s="8"/>
    </row>
    <row r="29" spans="2:7" ht="25.5" x14ac:dyDescent="0.25">
      <c r="B29" s="6" t="s">
        <v>30</v>
      </c>
      <c r="C29" s="8" t="s">
        <v>80</v>
      </c>
      <c r="D29" s="8" t="s">
        <v>80</v>
      </c>
      <c r="E29" s="8"/>
      <c r="F29" s="8"/>
    </row>
    <row r="30" spans="2:7" ht="216" customHeight="1" x14ac:dyDescent="0.25">
      <c r="B30" s="6" t="s">
        <v>30</v>
      </c>
      <c r="C30" s="9" t="s">
        <v>31</v>
      </c>
      <c r="D30" s="8" t="s">
        <v>119</v>
      </c>
      <c r="E30" s="8"/>
      <c r="F30" s="8"/>
      <c r="G30" s="5" t="s">
        <v>120</v>
      </c>
    </row>
    <row r="31" spans="2:7" ht="38.25" x14ac:dyDescent="0.25">
      <c r="B31" s="6">
        <v>552</v>
      </c>
      <c r="C31" s="9" t="s">
        <v>20</v>
      </c>
      <c r="D31" s="8" t="s">
        <v>32</v>
      </c>
      <c r="E31" s="8"/>
      <c r="F31" s="8"/>
      <c r="G31" s="5" t="s">
        <v>86</v>
      </c>
    </row>
    <row r="32" spans="2:7" x14ac:dyDescent="0.25">
      <c r="B32" s="6">
        <v>552</v>
      </c>
      <c r="C32" s="9" t="s">
        <v>33</v>
      </c>
      <c r="D32" s="8" t="s">
        <v>81</v>
      </c>
      <c r="E32" s="8"/>
      <c r="F32" s="8"/>
    </row>
    <row r="33" spans="2:7" ht="76.5" x14ac:dyDescent="0.25">
      <c r="B33" s="6">
        <v>560</v>
      </c>
      <c r="C33" s="7" t="s">
        <v>34</v>
      </c>
      <c r="D33" s="8" t="s">
        <v>121</v>
      </c>
      <c r="E33" s="8"/>
      <c r="F33" s="8"/>
      <c r="G33" s="5" t="s">
        <v>122</v>
      </c>
    </row>
    <row r="34" spans="2:7" ht="89.25" x14ac:dyDescent="0.25">
      <c r="B34" s="6" t="s">
        <v>35</v>
      </c>
      <c r="C34" s="9" t="s">
        <v>36</v>
      </c>
      <c r="D34" s="8" t="s">
        <v>37</v>
      </c>
      <c r="E34" s="8"/>
      <c r="F34" s="8"/>
      <c r="G34" s="5" t="s">
        <v>87</v>
      </c>
    </row>
    <row r="35" spans="2:7" ht="76.5" x14ac:dyDescent="0.25">
      <c r="B35" s="6" t="s">
        <v>38</v>
      </c>
      <c r="C35" s="9" t="s">
        <v>39</v>
      </c>
      <c r="D35" s="8" t="s">
        <v>40</v>
      </c>
      <c r="E35" s="8"/>
      <c r="F35" s="8"/>
      <c r="G35" s="5" t="s">
        <v>123</v>
      </c>
    </row>
    <row r="36" spans="2:7" ht="409.5" x14ac:dyDescent="0.25">
      <c r="B36" s="6" t="s">
        <v>38</v>
      </c>
      <c r="C36" s="9" t="s">
        <v>20</v>
      </c>
      <c r="D36" s="8" t="s">
        <v>124</v>
      </c>
      <c r="E36" s="8"/>
      <c r="F36" s="8"/>
    </row>
    <row r="37" spans="2:7" x14ac:dyDescent="0.25">
      <c r="B37" s="6">
        <v>626</v>
      </c>
      <c r="C37" s="9" t="s">
        <v>41</v>
      </c>
      <c r="D37" s="8" t="s">
        <v>82</v>
      </c>
      <c r="E37" s="8"/>
      <c r="F37" s="8"/>
    </row>
    <row r="38" spans="2:7" ht="153" x14ac:dyDescent="0.25">
      <c r="B38" s="6">
        <v>636</v>
      </c>
      <c r="C38" s="9" t="s">
        <v>42</v>
      </c>
      <c r="D38" s="8" t="s">
        <v>126</v>
      </c>
      <c r="E38" s="8"/>
      <c r="F38" s="8"/>
      <c r="G38" s="5" t="s">
        <v>125</v>
      </c>
    </row>
    <row r="39" spans="2:7" x14ac:dyDescent="0.25">
      <c r="B39" s="6">
        <v>658</v>
      </c>
      <c r="C39" s="8" t="s">
        <v>83</v>
      </c>
      <c r="D39" s="8" t="s">
        <v>83</v>
      </c>
      <c r="E39" s="8"/>
      <c r="F39" s="8"/>
    </row>
    <row r="40" spans="2:7" ht="102" x14ac:dyDescent="0.25">
      <c r="B40" s="6">
        <v>660</v>
      </c>
      <c r="C40" s="11" t="s">
        <v>43</v>
      </c>
      <c r="D40" s="8" t="s">
        <v>127</v>
      </c>
      <c r="E40" s="8"/>
      <c r="F40" s="8"/>
    </row>
    <row r="41" spans="2:7" ht="102" x14ac:dyDescent="0.25">
      <c r="B41" s="6" t="s">
        <v>44</v>
      </c>
      <c r="C41" s="7" t="s">
        <v>45</v>
      </c>
      <c r="D41" s="8" t="s">
        <v>129</v>
      </c>
      <c r="E41" s="8"/>
      <c r="F41" s="8"/>
      <c r="G41" s="5" t="s">
        <v>128</v>
      </c>
    </row>
    <row r="42" spans="2:7" ht="51" x14ac:dyDescent="0.25">
      <c r="B42" s="6">
        <v>663</v>
      </c>
      <c r="C42" s="7" t="s">
        <v>46</v>
      </c>
      <c r="D42" s="8" t="s">
        <v>130</v>
      </c>
      <c r="E42" s="8"/>
      <c r="F42" s="8"/>
      <c r="G42" s="5" t="s">
        <v>131</v>
      </c>
    </row>
    <row r="43" spans="2:7" ht="357" x14ac:dyDescent="0.25">
      <c r="B43" s="6" t="s">
        <v>160</v>
      </c>
      <c r="C43" s="9" t="s">
        <v>47</v>
      </c>
      <c r="D43" s="8" t="s">
        <v>132</v>
      </c>
      <c r="E43" s="8"/>
      <c r="F43" s="8"/>
    </row>
    <row r="44" spans="2:7" ht="89.25" x14ac:dyDescent="0.25">
      <c r="B44" s="6" t="s">
        <v>48</v>
      </c>
      <c r="C44" s="9" t="s">
        <v>49</v>
      </c>
      <c r="D44" s="8" t="s">
        <v>134</v>
      </c>
      <c r="E44" s="8"/>
      <c r="F44" s="8"/>
      <c r="G44" s="5" t="s">
        <v>133</v>
      </c>
    </row>
    <row r="45" spans="2:7" ht="140.25" x14ac:dyDescent="0.25">
      <c r="B45" s="6" t="s">
        <v>161</v>
      </c>
      <c r="C45" s="9" t="s">
        <v>50</v>
      </c>
      <c r="D45" s="8" t="s">
        <v>135</v>
      </c>
      <c r="E45" s="8"/>
      <c r="F45" s="8"/>
    </row>
    <row r="46" spans="2:7" ht="127.5" x14ac:dyDescent="0.25">
      <c r="B46" s="6">
        <v>714</v>
      </c>
      <c r="C46" s="9" t="s">
        <v>20</v>
      </c>
      <c r="D46" s="8" t="s">
        <v>136</v>
      </c>
      <c r="E46" s="8"/>
      <c r="F46" s="8"/>
      <c r="G46" s="5" t="s">
        <v>86</v>
      </c>
    </row>
    <row r="47" spans="2:7" ht="114.75" x14ac:dyDescent="0.25">
      <c r="B47" s="6">
        <v>715</v>
      </c>
      <c r="C47" s="9" t="s">
        <v>51</v>
      </c>
      <c r="D47" s="8" t="s">
        <v>137</v>
      </c>
      <c r="E47" s="8"/>
      <c r="F47" s="8"/>
      <c r="G47" s="5" t="s">
        <v>88</v>
      </c>
    </row>
    <row r="48" spans="2:7" ht="63.75" x14ac:dyDescent="0.25">
      <c r="B48" s="6">
        <v>720</v>
      </c>
      <c r="C48" s="9" t="s">
        <v>52</v>
      </c>
      <c r="D48" s="8" t="s">
        <v>138</v>
      </c>
      <c r="E48" s="8"/>
      <c r="F48" s="8"/>
    </row>
    <row r="49" spans="2:8" ht="127.5" x14ac:dyDescent="0.25">
      <c r="B49" s="6">
        <v>727</v>
      </c>
      <c r="C49" s="11" t="s">
        <v>53</v>
      </c>
      <c r="D49" s="8" t="s">
        <v>139</v>
      </c>
      <c r="E49" s="8"/>
      <c r="F49" s="8"/>
    </row>
    <row r="50" spans="2:8" ht="63.75" x14ac:dyDescent="0.25">
      <c r="B50" s="6">
        <v>731</v>
      </c>
      <c r="C50" s="9" t="s">
        <v>54</v>
      </c>
      <c r="D50" s="8" t="s">
        <v>140</v>
      </c>
      <c r="E50" s="8"/>
      <c r="F50" s="8"/>
    </row>
    <row r="51" spans="2:8" ht="102" x14ac:dyDescent="0.25">
      <c r="B51" s="6">
        <v>754</v>
      </c>
      <c r="C51" s="9" t="s">
        <v>55</v>
      </c>
      <c r="D51" s="8" t="s">
        <v>141</v>
      </c>
      <c r="E51" s="8"/>
      <c r="F51" s="8"/>
    </row>
    <row r="52" spans="2:8" ht="191.25" x14ac:dyDescent="0.25">
      <c r="B52" s="6">
        <v>766</v>
      </c>
      <c r="C52" s="9" t="s">
        <v>56</v>
      </c>
      <c r="D52" s="8" t="s">
        <v>142</v>
      </c>
      <c r="E52" s="8"/>
      <c r="F52" s="8"/>
    </row>
    <row r="53" spans="2:8" ht="165.75" x14ac:dyDescent="0.25">
      <c r="B53" s="6" t="s">
        <v>57</v>
      </c>
      <c r="C53" s="9" t="s">
        <v>58</v>
      </c>
      <c r="D53" s="8" t="s">
        <v>143</v>
      </c>
      <c r="E53" s="8"/>
      <c r="F53" s="8"/>
    </row>
    <row r="54" spans="2:8" ht="153" x14ac:dyDescent="0.25">
      <c r="B54" s="6" t="s">
        <v>59</v>
      </c>
      <c r="C54" s="9" t="s">
        <v>60</v>
      </c>
      <c r="D54" s="8" t="s">
        <v>144</v>
      </c>
      <c r="E54" s="8"/>
      <c r="F54" s="8"/>
    </row>
    <row r="55" spans="2:8" ht="76.5" x14ac:dyDescent="0.25">
      <c r="B55" s="6">
        <v>836</v>
      </c>
      <c r="C55" s="9" t="s">
        <v>61</v>
      </c>
      <c r="D55" s="8" t="s">
        <v>145</v>
      </c>
      <c r="E55" s="8"/>
      <c r="F55" s="8"/>
    </row>
    <row r="56" spans="2:8" x14ac:dyDescent="0.25">
      <c r="B56" s="6">
        <v>840</v>
      </c>
      <c r="C56" s="9" t="s">
        <v>17</v>
      </c>
      <c r="D56" s="8" t="s">
        <v>84</v>
      </c>
      <c r="E56" s="8"/>
      <c r="F56" s="8"/>
    </row>
    <row r="57" spans="2:8" ht="114.75" x14ac:dyDescent="0.25">
      <c r="B57" s="6" t="s">
        <v>62</v>
      </c>
      <c r="C57" s="9" t="s">
        <v>63</v>
      </c>
      <c r="D57" s="8" t="s">
        <v>147</v>
      </c>
      <c r="E57" s="8"/>
      <c r="F57" s="8"/>
      <c r="G57" s="5" t="s">
        <v>146</v>
      </c>
    </row>
    <row r="58" spans="2:8" x14ac:dyDescent="0.25">
      <c r="B58" s="6">
        <v>930</v>
      </c>
      <c r="C58" s="9" t="s">
        <v>64</v>
      </c>
      <c r="D58" s="8" t="s">
        <v>85</v>
      </c>
      <c r="E58" s="8"/>
      <c r="F58" s="8"/>
    </row>
    <row r="59" spans="2:8" ht="409.5" x14ac:dyDescent="0.25">
      <c r="B59" s="6" t="s">
        <v>65</v>
      </c>
      <c r="C59" s="9" t="s">
        <v>66</v>
      </c>
      <c r="D59" s="8" t="s">
        <v>148</v>
      </c>
      <c r="E59" s="8"/>
      <c r="F59" s="8"/>
      <c r="G59" s="7" t="s">
        <v>89</v>
      </c>
      <c r="H59" s="7"/>
    </row>
    <row r="60" spans="2:8" ht="242.25" x14ac:dyDescent="0.25">
      <c r="B60" s="6" t="s">
        <v>67</v>
      </c>
      <c r="C60" s="9" t="s">
        <v>162</v>
      </c>
      <c r="D60" s="8" t="s">
        <v>149</v>
      </c>
      <c r="E60" s="8"/>
      <c r="F60" s="8"/>
    </row>
    <row r="61" spans="2:8" ht="140.25" x14ac:dyDescent="0.25">
      <c r="B61" s="6">
        <v>959</v>
      </c>
      <c r="C61" s="9" t="s">
        <v>68</v>
      </c>
      <c r="D61" s="8" t="s">
        <v>151</v>
      </c>
      <c r="E61" s="8"/>
      <c r="F61" s="8"/>
      <c r="G61" s="5" t="s">
        <v>150</v>
      </c>
    </row>
    <row r="62" spans="2:8" ht="229.5" x14ac:dyDescent="0.25">
      <c r="B62" s="6">
        <v>963</v>
      </c>
      <c r="C62" s="9" t="s">
        <v>69</v>
      </c>
      <c r="D62" s="8" t="s">
        <v>152</v>
      </c>
      <c r="E62" s="8"/>
      <c r="F62" s="8"/>
    </row>
    <row r="63" spans="2:8" ht="51" x14ac:dyDescent="0.25">
      <c r="B63" s="6">
        <v>965</v>
      </c>
      <c r="C63" s="9" t="s">
        <v>70</v>
      </c>
      <c r="D63" s="8" t="s">
        <v>153</v>
      </c>
      <c r="E63" s="8"/>
      <c r="F63" s="8"/>
    </row>
    <row r="64" spans="2:8" ht="63.75" x14ac:dyDescent="0.25">
      <c r="B64" s="6">
        <v>970</v>
      </c>
      <c r="C64" s="9" t="s">
        <v>71</v>
      </c>
      <c r="D64" s="8" t="s">
        <v>155</v>
      </c>
      <c r="E64" s="8"/>
      <c r="F64" s="8"/>
      <c r="G64" s="5" t="s">
        <v>154</v>
      </c>
    </row>
    <row r="65" spans="2:6" ht="76.5" x14ac:dyDescent="0.25">
      <c r="B65" s="6">
        <v>980</v>
      </c>
      <c r="C65" s="9" t="s">
        <v>72</v>
      </c>
      <c r="D65" s="8" t="s">
        <v>156</v>
      </c>
      <c r="E65" s="8"/>
      <c r="F65" s="8"/>
    </row>
    <row r="66" spans="2:6" ht="76.5" x14ac:dyDescent="0.25">
      <c r="B66" s="10"/>
      <c r="C66" s="9" t="s">
        <v>73</v>
      </c>
      <c r="D66" s="8" t="s">
        <v>157</v>
      </c>
      <c r="E66" s="8"/>
      <c r="F66" s="8"/>
    </row>
  </sheetData>
  <autoFilter ref="B1:G66" xr:uid="{BF8D5823-F486-49BF-A605-B1946548406F}"/>
  <hyperlinks>
    <hyperlink ref="C5" r:id="rId1" display="https://www.miraclehunter.com/marian_apparitions/approved_apparitions/neocaesarea/index.html" xr:uid="{E631A424-6B0B-41C0-A70C-AF182AF9166E}"/>
    <hyperlink ref="C6" r:id="rId2" display="https://www.miraclehunter.com/marian_apparitions/approved_apparitions/lenola/index.html" xr:uid="{8FFAE014-978A-4C4D-892C-1C26A56844A0}"/>
    <hyperlink ref="C10" r:id="rId3" display="https://www.miraclehunter.com/marian_apparitions/approved_apparitions/myra/index.html" xr:uid="{DBCC7C48-5C61-4C02-95A6-B8E751D8668F}"/>
    <hyperlink ref="C13" r:id="rId4" display="https://www.miraclehunter.com/marian_apparitions/approved_apparitions/caesarea/index.html" xr:uid="{4900009C-F6E8-4619-8026-47AE07F8A54E}"/>
    <hyperlink ref="C14" r:id="rId5" display="https://www.miraclehunter.com/marian_apparitions/approved_apparitions/tours/index.html" xr:uid="{D9697B1B-3D3F-4BB2-B8AB-505C5804AD1F}"/>
    <hyperlink ref="C15" r:id="rId6" display="https://www.miraclehunter.com/marian_apparitions/approved_apparitions/tagaste/index.html" xr:uid="{F751076E-614E-4EB1-84FF-7BDD0E163487}"/>
    <hyperlink ref="C33" r:id="rId7" display="https://www.miraclehunter.com/marian_apparitions/approved_apparitions/genoa/index.html" xr:uid="{A5B46782-A0AE-4FCC-B9A6-1C55A75AEFDF}"/>
    <hyperlink ref="C41" r:id="rId8" display="https://www.miraclehunter.com/marian_apparitions/approved_apparitions/toledo/index.html" xr:uid="{15971DC5-D02E-4346-8F04-B829B3CF9CC7}"/>
    <hyperlink ref="C42" r:id="rId9" display="https://www.miraclehunter.com/marian_apparitions/approved_apparitions/benevento/index.html" xr:uid="{8E814CAE-2F33-4C03-B053-0339AEAB74F0}"/>
    <hyperlink ref="G59" r:id="rId10" xr:uid="{95547131-84D7-4392-A921-5C8142C00772}"/>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38A5E8-E436-4289-AF0B-1BD0BA68A638}">
  <sheetPr codeName="Sheet7"/>
  <dimension ref="A1:F154"/>
  <sheetViews>
    <sheetView workbookViewId="0">
      <selection activeCell="B18" sqref="B18"/>
    </sheetView>
  </sheetViews>
  <sheetFormatPr defaultRowHeight="12.75" x14ac:dyDescent="0.2"/>
  <cols>
    <col min="1" max="1" width="62.85546875" style="1" bestFit="1" customWidth="1"/>
    <col min="2" max="2" width="11.85546875" style="1" bestFit="1" customWidth="1"/>
    <col min="3" max="3" width="9.7109375" style="1" bestFit="1" customWidth="1"/>
    <col min="4" max="4" width="46.42578125" style="1" bestFit="1" customWidth="1"/>
    <col min="5" max="5" width="33.28515625" style="1" bestFit="1" customWidth="1"/>
    <col min="6" max="16384" width="9.140625" style="1"/>
  </cols>
  <sheetData>
    <row r="1" spans="1:6" s="20" customFormat="1" x14ac:dyDescent="0.2">
      <c r="A1" s="20" t="s">
        <v>178</v>
      </c>
      <c r="B1" s="20" t="s">
        <v>485</v>
      </c>
      <c r="C1" s="20" t="s">
        <v>163</v>
      </c>
    </row>
    <row r="2" spans="1:6" x14ac:dyDescent="0.2">
      <c r="A2" s="1" t="s">
        <v>1038</v>
      </c>
      <c r="B2" s="1" t="s">
        <v>552</v>
      </c>
      <c r="C2" s="1">
        <v>40</v>
      </c>
      <c r="D2" s="1" t="e">
        <f>MID(A2,FIND(". ",A2)+2,LEN(A2))</f>
        <v>#VALUE!</v>
      </c>
      <c r="E2" s="1" t="e">
        <v>#VALUE!</v>
      </c>
    </row>
    <row r="3" spans="1:6" x14ac:dyDescent="0.2">
      <c r="A3" s="1" t="str">
        <f>E3</f>
        <v>Le Puy En Velay</v>
      </c>
      <c r="B3" s="1" t="str">
        <f>F3</f>
        <v>France</v>
      </c>
      <c r="C3" s="1">
        <v>47</v>
      </c>
      <c r="D3" s="1" t="e">
        <f t="shared" ref="D3:D66" si="0">MID(A3,FIND(". ",A3)+2,LEN(A3))</f>
        <v>#VALUE!</v>
      </c>
      <c r="E3" s="1" t="s">
        <v>1182</v>
      </c>
      <c r="F3" s="1" t="s">
        <v>557</v>
      </c>
    </row>
    <row r="4" spans="1:6" x14ac:dyDescent="0.2">
      <c r="A4" s="1" t="s">
        <v>1311</v>
      </c>
      <c r="B4" s="1" t="s">
        <v>731</v>
      </c>
      <c r="C4" s="1">
        <v>352</v>
      </c>
      <c r="D4" s="1" t="e">
        <f t="shared" si="0"/>
        <v>#VALUE!</v>
      </c>
      <c r="E4" s="1" t="e">
        <v>#VALUE!</v>
      </c>
    </row>
    <row r="5" spans="1:6" x14ac:dyDescent="0.2">
      <c r="A5" s="1" t="str">
        <f t="shared" ref="A5:A59" si="1">E5</f>
        <v>Tindari</v>
      </c>
      <c r="B5" s="1" t="str">
        <f t="shared" ref="B5:B17" si="2">F5</f>
        <v>Italy</v>
      </c>
      <c r="C5" s="1" t="s">
        <v>1063</v>
      </c>
      <c r="D5" s="1" t="e">
        <f t="shared" si="0"/>
        <v>#VALUE!</v>
      </c>
      <c r="E5" s="1" t="s">
        <v>1183</v>
      </c>
      <c r="F5" s="1" t="s">
        <v>11</v>
      </c>
    </row>
    <row r="6" spans="1:6" x14ac:dyDescent="0.2">
      <c r="A6" s="1" t="str">
        <f t="shared" si="1"/>
        <v>Montserrat</v>
      </c>
      <c r="B6" s="1" t="str">
        <f t="shared" si="2"/>
        <v>Spain</v>
      </c>
      <c r="C6" s="1" t="s">
        <v>1064</v>
      </c>
      <c r="D6" s="1" t="e">
        <f t="shared" si="0"/>
        <v>#VALUE!</v>
      </c>
      <c r="E6" s="1" t="s">
        <v>625</v>
      </c>
      <c r="F6" s="1" t="s">
        <v>552</v>
      </c>
    </row>
    <row r="7" spans="1:6" x14ac:dyDescent="0.2">
      <c r="A7" s="1" t="str">
        <f t="shared" si="1"/>
        <v>Walsingham</v>
      </c>
      <c r="B7" s="1" t="str">
        <f t="shared" si="2"/>
        <v>United Kingdom</v>
      </c>
      <c r="C7" s="1" t="s">
        <v>1065</v>
      </c>
      <c r="D7" s="1" t="e">
        <f t="shared" si="0"/>
        <v>#VALUE!</v>
      </c>
      <c r="E7" s="1" t="s">
        <v>1184</v>
      </c>
      <c r="F7" s="1" t="s">
        <v>736</v>
      </c>
    </row>
    <row r="8" spans="1:6" x14ac:dyDescent="0.2">
      <c r="A8" s="1" t="str">
        <f t="shared" si="1"/>
        <v>Montefortino</v>
      </c>
      <c r="B8" s="1" t="str">
        <f t="shared" si="2"/>
        <v>Italy</v>
      </c>
      <c r="C8" s="1" t="s">
        <v>1066</v>
      </c>
      <c r="D8" s="1" t="e">
        <f t="shared" si="0"/>
        <v>#VALUE!</v>
      </c>
      <c r="E8" s="1" t="s">
        <v>1185</v>
      </c>
      <c r="F8" s="1" t="s">
        <v>11</v>
      </c>
    </row>
    <row r="9" spans="1:6" x14ac:dyDescent="0.2">
      <c r="A9" s="1" t="str">
        <f t="shared" si="1"/>
        <v>Foggia</v>
      </c>
      <c r="B9" s="1" t="str">
        <f t="shared" si="2"/>
        <v>Italy</v>
      </c>
      <c r="C9" s="1" t="s">
        <v>1067</v>
      </c>
      <c r="D9" s="1" t="e">
        <f t="shared" si="0"/>
        <v>#VALUE!</v>
      </c>
      <c r="E9" s="1" t="s">
        <v>1186</v>
      </c>
      <c r="F9" s="1" t="s">
        <v>11</v>
      </c>
    </row>
    <row r="10" spans="1:6" x14ac:dyDescent="0.2">
      <c r="A10" s="1" t="str">
        <f t="shared" si="1"/>
        <v>Arras</v>
      </c>
      <c r="B10" s="1" t="str">
        <f t="shared" si="2"/>
        <v>France</v>
      </c>
      <c r="C10" s="1" t="s">
        <v>1068</v>
      </c>
      <c r="D10" s="1" t="e">
        <f t="shared" si="0"/>
        <v>#VALUE!</v>
      </c>
      <c r="E10" s="1" t="s">
        <v>1187</v>
      </c>
      <c r="F10" s="1" t="s">
        <v>557</v>
      </c>
    </row>
    <row r="11" spans="1:6" x14ac:dyDescent="0.2">
      <c r="A11" s="1" t="str">
        <f t="shared" si="1"/>
        <v>Nazaré</v>
      </c>
      <c r="B11" s="1" t="str">
        <f t="shared" si="2"/>
        <v>Portugal</v>
      </c>
      <c r="C11" s="1" t="s">
        <v>1069</v>
      </c>
      <c r="D11" s="1" t="e">
        <f t="shared" si="0"/>
        <v>#VALUE!</v>
      </c>
      <c r="E11" s="1" t="s">
        <v>1188</v>
      </c>
      <c r="F11" s="1" t="s">
        <v>655</v>
      </c>
    </row>
    <row r="12" spans="1:6" x14ac:dyDescent="0.2">
      <c r="A12" s="1" t="str">
        <f t="shared" si="1"/>
        <v>Swieta Lipka</v>
      </c>
      <c r="B12" s="1" t="str">
        <f t="shared" si="2"/>
        <v>Poland</v>
      </c>
      <c r="C12" s="1" t="s">
        <v>1070</v>
      </c>
      <c r="D12" s="1" t="e">
        <f t="shared" si="0"/>
        <v>#VALUE!</v>
      </c>
      <c r="E12" s="1" t="s">
        <v>1189</v>
      </c>
      <c r="F12" s="1" t="s">
        <v>651</v>
      </c>
    </row>
    <row r="13" spans="1:6" x14ac:dyDescent="0.2">
      <c r="A13" s="1" t="str">
        <f t="shared" si="1"/>
        <v>Assisi</v>
      </c>
      <c r="B13" s="1" t="str">
        <f t="shared" si="2"/>
        <v>Italy</v>
      </c>
      <c r="C13" s="1" t="s">
        <v>1071</v>
      </c>
      <c r="D13" s="1" t="e">
        <f t="shared" si="0"/>
        <v>#VALUE!</v>
      </c>
      <c r="E13" s="1" t="s">
        <v>1190</v>
      </c>
      <c r="F13" s="1" t="s">
        <v>11</v>
      </c>
    </row>
    <row r="14" spans="1:6" x14ac:dyDescent="0.2">
      <c r="A14" s="1" t="str">
        <f t="shared" si="1"/>
        <v>Arcos de Valdevez</v>
      </c>
      <c r="B14" s="1" t="str">
        <f t="shared" si="2"/>
        <v>Portugal</v>
      </c>
      <c r="C14" s="1" t="s">
        <v>1072</v>
      </c>
      <c r="D14" s="1" t="e">
        <f t="shared" si="0"/>
        <v>#VALUE!</v>
      </c>
      <c r="E14" s="1" t="s">
        <v>1191</v>
      </c>
      <c r="F14" s="1" t="s">
        <v>655</v>
      </c>
    </row>
    <row r="15" spans="1:6" x14ac:dyDescent="0.2">
      <c r="A15" s="1" t="str">
        <f t="shared" si="1"/>
        <v>Cortes</v>
      </c>
      <c r="B15" s="1" t="str">
        <f t="shared" si="2"/>
        <v>Spain</v>
      </c>
      <c r="C15" s="1" t="s">
        <v>1073</v>
      </c>
      <c r="D15" s="1" t="e">
        <f t="shared" si="0"/>
        <v>#VALUE!</v>
      </c>
      <c r="E15" s="1" t="s">
        <v>1192</v>
      </c>
      <c r="F15" s="1" t="s">
        <v>552</v>
      </c>
    </row>
    <row r="16" spans="1:6" x14ac:dyDescent="0.2">
      <c r="A16" s="1" t="str">
        <f t="shared" si="1"/>
        <v>Florence</v>
      </c>
      <c r="B16" s="1" t="str">
        <f t="shared" si="2"/>
        <v>Italy</v>
      </c>
      <c r="C16" s="1" t="s">
        <v>1074</v>
      </c>
      <c r="D16" s="1" t="e">
        <f t="shared" si="0"/>
        <v>#VALUE!</v>
      </c>
      <c r="E16" s="1" t="s">
        <v>1193</v>
      </c>
      <c r="F16" s="1" t="s">
        <v>11</v>
      </c>
    </row>
    <row r="17" spans="1:6" x14ac:dyDescent="0.2">
      <c r="A17" s="1" t="str">
        <f t="shared" si="1"/>
        <v>Aylesford</v>
      </c>
      <c r="B17" s="1" t="str">
        <f t="shared" si="2"/>
        <v>United Kingdom</v>
      </c>
      <c r="C17" s="1" t="s">
        <v>1075</v>
      </c>
      <c r="D17" s="1" t="e">
        <f t="shared" si="0"/>
        <v>#VALUE!</v>
      </c>
      <c r="E17" s="1" t="s">
        <v>1194</v>
      </c>
      <c r="F17" s="1" t="s">
        <v>736</v>
      </c>
    </row>
    <row r="18" spans="1:6" x14ac:dyDescent="0.2">
      <c r="A18" s="1" t="str">
        <f t="shared" si="1"/>
        <v>Rome (Santa Maria in Via)</v>
      </c>
      <c r="B18" s="1" t="s">
        <v>731</v>
      </c>
      <c r="C18" s="1" t="s">
        <v>1076</v>
      </c>
      <c r="D18" s="1" t="e">
        <f t="shared" si="0"/>
        <v>#VALUE!</v>
      </c>
      <c r="E18" s="1" t="s">
        <v>1310</v>
      </c>
      <c r="F18" s="1" t="s">
        <v>11</v>
      </c>
    </row>
    <row r="19" spans="1:6" x14ac:dyDescent="0.2">
      <c r="A19" s="1" t="str">
        <f t="shared" si="1"/>
        <v>The Holy House of Nazareth at Loreto </v>
      </c>
      <c r="B19" s="1" t="str">
        <f t="shared" ref="B19:B59" si="3">F19</f>
        <v>Italy</v>
      </c>
      <c r="C19" s="1" t="s">
        <v>1077</v>
      </c>
      <c r="D19" s="1" t="e">
        <f t="shared" si="0"/>
        <v>#VALUE!</v>
      </c>
      <c r="E19" s="1" t="s">
        <v>1195</v>
      </c>
      <c r="F19" s="1" t="s">
        <v>11</v>
      </c>
    </row>
    <row r="20" spans="1:6" x14ac:dyDescent="0.2">
      <c r="A20" s="1" t="str">
        <f t="shared" si="1"/>
        <v>Bra</v>
      </c>
      <c r="B20" s="1" t="str">
        <f t="shared" si="3"/>
        <v>Italy</v>
      </c>
      <c r="C20" s="1" t="s">
        <v>1078</v>
      </c>
      <c r="D20" s="1" t="e">
        <f t="shared" si="0"/>
        <v>#VALUE!</v>
      </c>
      <c r="E20" s="1" t="s">
        <v>1196</v>
      </c>
      <c r="F20" s="1" t="s">
        <v>11</v>
      </c>
    </row>
    <row r="21" spans="1:6" x14ac:dyDescent="0.2">
      <c r="A21" s="1" t="str">
        <f t="shared" si="1"/>
        <v>Roverano</v>
      </c>
      <c r="B21" s="1" t="str">
        <f t="shared" si="3"/>
        <v>Italy</v>
      </c>
      <c r="C21" s="1" t="s">
        <v>1079</v>
      </c>
      <c r="D21" s="1" t="e">
        <f t="shared" si="0"/>
        <v>#VALUE!</v>
      </c>
      <c r="E21" s="1" t="s">
        <v>1197</v>
      </c>
      <c r="F21" s="1" t="s">
        <v>11</v>
      </c>
    </row>
    <row r="22" spans="1:6" x14ac:dyDescent="0.2">
      <c r="A22" s="1" t="str">
        <f t="shared" si="1"/>
        <v>Valverdo Di Rezzato</v>
      </c>
      <c r="B22" s="1" t="str">
        <f t="shared" si="3"/>
        <v>Italy</v>
      </c>
      <c r="C22" s="1" t="s">
        <v>1313</v>
      </c>
      <c r="D22" s="1" t="e">
        <f t="shared" si="0"/>
        <v>#VALUE!</v>
      </c>
      <c r="E22" s="1" t="s">
        <v>1198</v>
      </c>
      <c r="F22" s="1" t="s">
        <v>11</v>
      </c>
    </row>
    <row r="23" spans="1:6" x14ac:dyDescent="0.2">
      <c r="A23" s="1" t="str">
        <f t="shared" si="1"/>
        <v>Castel Godego</v>
      </c>
      <c r="B23" s="1" t="str">
        <f t="shared" si="3"/>
        <v>Italy</v>
      </c>
      <c r="C23" s="1" t="s">
        <v>1080</v>
      </c>
      <c r="D23" s="1" t="e">
        <f t="shared" si="0"/>
        <v>#VALUE!</v>
      </c>
      <c r="E23" s="1" t="s">
        <v>1199</v>
      </c>
      <c r="F23" s="1" t="s">
        <v>11</v>
      </c>
    </row>
    <row r="24" spans="1:6" x14ac:dyDescent="0.2">
      <c r="A24" s="1" t="str">
        <f t="shared" si="1"/>
        <v>Cordoba</v>
      </c>
      <c r="B24" s="1" t="str">
        <f t="shared" si="3"/>
        <v>Spain</v>
      </c>
      <c r="C24" s="1" t="s">
        <v>1080</v>
      </c>
      <c r="D24" s="1" t="e">
        <f t="shared" si="0"/>
        <v>#VALUE!</v>
      </c>
      <c r="E24" s="1" t="s">
        <v>1200</v>
      </c>
      <c r="F24" s="1" t="s">
        <v>552</v>
      </c>
    </row>
    <row r="25" spans="1:6" x14ac:dyDescent="0.2">
      <c r="A25" s="1" t="str">
        <f t="shared" si="1"/>
        <v>Monte Berico</v>
      </c>
      <c r="B25" s="1" t="str">
        <f t="shared" si="3"/>
        <v>Italy</v>
      </c>
      <c r="C25" s="1" t="s">
        <v>1081</v>
      </c>
      <c r="D25" s="1" t="e">
        <f t="shared" si="0"/>
        <v>#VALUE!</v>
      </c>
      <c r="E25" s="1" t="s">
        <v>1201</v>
      </c>
      <c r="F25" s="1" t="s">
        <v>11</v>
      </c>
    </row>
    <row r="26" spans="1:6" x14ac:dyDescent="0.2">
      <c r="A26" s="1" t="str">
        <f t="shared" si="1"/>
        <v>Caravaggio</v>
      </c>
      <c r="B26" s="1" t="str">
        <f t="shared" si="3"/>
        <v>Italy</v>
      </c>
      <c r="C26" s="1" t="s">
        <v>1082</v>
      </c>
      <c r="D26" s="1" t="e">
        <f t="shared" si="0"/>
        <v>#VALUE!</v>
      </c>
      <c r="E26" s="1" t="s">
        <v>1202</v>
      </c>
      <c r="F26" s="1" t="s">
        <v>11</v>
      </c>
    </row>
    <row r="27" spans="1:6" x14ac:dyDescent="0.2">
      <c r="A27" s="1" t="str">
        <f t="shared" si="1"/>
        <v>Desenzano Di Albino</v>
      </c>
      <c r="B27" s="1" t="str">
        <f t="shared" si="3"/>
        <v>Italy</v>
      </c>
      <c r="C27" s="1" t="s">
        <v>1083</v>
      </c>
      <c r="D27" s="1" t="e">
        <f t="shared" si="0"/>
        <v>#VALUE!</v>
      </c>
      <c r="E27" s="1" t="s">
        <v>1203</v>
      </c>
      <c r="F27" s="1" t="s">
        <v>11</v>
      </c>
    </row>
    <row r="28" spans="1:6" x14ac:dyDescent="0.2">
      <c r="A28" s="1" t="str">
        <f t="shared" si="1"/>
        <v>Fuerteventura</v>
      </c>
      <c r="B28" s="1" t="str">
        <f t="shared" si="3"/>
        <v>Spain</v>
      </c>
      <c r="C28" s="1" t="s">
        <v>1084</v>
      </c>
      <c r="D28" s="1" t="e">
        <f t="shared" si="0"/>
        <v>#VALUE!</v>
      </c>
      <c r="E28" s="1" t="s">
        <v>1204</v>
      </c>
      <c r="F28" s="1" t="s">
        <v>552</v>
      </c>
    </row>
    <row r="29" spans="1:6" x14ac:dyDescent="0.2">
      <c r="A29" s="1" t="str">
        <f t="shared" si="1"/>
        <v>Sant'Anastasia</v>
      </c>
      <c r="B29" s="1" t="str">
        <f t="shared" si="3"/>
        <v>Italy</v>
      </c>
      <c r="C29" s="1" t="s">
        <v>1314</v>
      </c>
      <c r="D29" s="1" t="e">
        <f t="shared" si="0"/>
        <v>#VALUE!</v>
      </c>
      <c r="E29" s="1" t="s">
        <v>1315</v>
      </c>
      <c r="F29" s="1" t="s">
        <v>11</v>
      </c>
    </row>
    <row r="30" spans="1:6" x14ac:dyDescent="0.2">
      <c r="A30" s="1" t="str">
        <f t="shared" si="1"/>
        <v>Ghisalba</v>
      </c>
      <c r="B30" s="1" t="str">
        <f t="shared" si="3"/>
        <v>Italy</v>
      </c>
      <c r="C30" s="1" t="s">
        <v>1085</v>
      </c>
      <c r="D30" s="1" t="e">
        <f t="shared" si="0"/>
        <v>#VALUE!</v>
      </c>
      <c r="E30" s="1" t="s">
        <v>1205</v>
      </c>
      <c r="F30" s="1" t="s">
        <v>11</v>
      </c>
    </row>
    <row r="31" spans="1:6" x14ac:dyDescent="0.2">
      <c r="A31" s="1" t="str">
        <f t="shared" si="1"/>
        <v>Garlasco</v>
      </c>
      <c r="B31" s="1" t="str">
        <f t="shared" si="3"/>
        <v>Italy</v>
      </c>
      <c r="C31" s="1" t="s">
        <v>1086</v>
      </c>
      <c r="D31" s="1" t="e">
        <f t="shared" si="0"/>
        <v>#VALUE!</v>
      </c>
      <c r="E31" s="1" t="s">
        <v>1206</v>
      </c>
      <c r="F31" s="1" t="s">
        <v>11</v>
      </c>
    </row>
    <row r="32" spans="1:6" x14ac:dyDescent="0.2">
      <c r="A32" s="1" t="str">
        <f t="shared" si="1"/>
        <v>Genazzano</v>
      </c>
      <c r="B32" s="1" t="str">
        <f t="shared" si="3"/>
        <v>Italy</v>
      </c>
      <c r="C32" s="1" t="s">
        <v>1087</v>
      </c>
      <c r="D32" s="1" t="e">
        <f t="shared" si="0"/>
        <v>#VALUE!</v>
      </c>
      <c r="E32" s="1" t="s">
        <v>1207</v>
      </c>
      <c r="F32" s="1" t="s">
        <v>11</v>
      </c>
    </row>
    <row r="33" spans="1:6" x14ac:dyDescent="0.2">
      <c r="A33" s="1" t="str">
        <f t="shared" si="1"/>
        <v>Badia Di Cava</v>
      </c>
      <c r="B33" s="1" t="str">
        <f t="shared" si="3"/>
        <v>Italy</v>
      </c>
      <c r="C33" s="1" t="s">
        <v>1088</v>
      </c>
      <c r="D33" s="1" t="e">
        <f t="shared" si="0"/>
        <v>#VALUE!</v>
      </c>
      <c r="E33" s="1" t="s">
        <v>1208</v>
      </c>
      <c r="F33" s="1" t="s">
        <v>11</v>
      </c>
    </row>
    <row r="34" spans="1:6" x14ac:dyDescent="0.2">
      <c r="A34" s="1" t="str">
        <f t="shared" si="1"/>
        <v>Boccadirio</v>
      </c>
      <c r="B34" s="1" t="str">
        <f t="shared" si="3"/>
        <v>Italy</v>
      </c>
      <c r="C34" s="1" t="s">
        <v>1089</v>
      </c>
      <c r="D34" s="1" t="e">
        <f t="shared" si="0"/>
        <v>#VALUE!</v>
      </c>
      <c r="E34" s="1" t="s">
        <v>1209</v>
      </c>
      <c r="F34" s="1" t="s">
        <v>11</v>
      </c>
    </row>
    <row r="35" spans="1:6" x14ac:dyDescent="0.2">
      <c r="A35" s="1" t="str">
        <f t="shared" si="1"/>
        <v>Teror</v>
      </c>
      <c r="B35" s="1" t="str">
        <f t="shared" si="3"/>
        <v>Spain</v>
      </c>
      <c r="C35" s="1" t="s">
        <v>1090</v>
      </c>
      <c r="D35" s="1" t="e">
        <f t="shared" si="0"/>
        <v>#VALUE!</v>
      </c>
      <c r="E35" s="1" t="s">
        <v>1210</v>
      </c>
      <c r="F35" s="1" t="s">
        <v>552</v>
      </c>
    </row>
    <row r="36" spans="1:6" x14ac:dyDescent="0.2">
      <c r="A36" s="1" t="str">
        <f t="shared" si="1"/>
        <v>Imola</v>
      </c>
      <c r="B36" s="1" t="str">
        <f t="shared" si="3"/>
        <v>Italy</v>
      </c>
      <c r="C36" s="1" t="s">
        <v>1091</v>
      </c>
      <c r="D36" s="1" t="e">
        <f t="shared" si="0"/>
        <v>#VALUE!</v>
      </c>
      <c r="E36" s="1" t="s">
        <v>1211</v>
      </c>
      <c r="F36" s="1" t="s">
        <v>11</v>
      </c>
    </row>
    <row r="37" spans="1:6" x14ac:dyDescent="0.2">
      <c r="A37" s="1" t="str">
        <f t="shared" si="1"/>
        <v>Agres</v>
      </c>
      <c r="B37" s="1" t="str">
        <f t="shared" si="3"/>
        <v>Spain</v>
      </c>
      <c r="C37" s="1" t="s">
        <v>1092</v>
      </c>
      <c r="D37" s="1" t="e">
        <f t="shared" si="0"/>
        <v>#VALUE!</v>
      </c>
      <c r="E37" s="1" t="s">
        <v>1212</v>
      </c>
      <c r="F37" s="1" t="s">
        <v>552</v>
      </c>
    </row>
    <row r="38" spans="1:6" x14ac:dyDescent="0.2">
      <c r="A38" s="1" t="str">
        <f t="shared" si="1"/>
        <v>Pontassieve</v>
      </c>
      <c r="B38" s="1" t="str">
        <f t="shared" si="3"/>
        <v>Italy</v>
      </c>
      <c r="C38" s="1" t="s">
        <v>1092</v>
      </c>
      <c r="D38" s="1" t="e">
        <f t="shared" si="0"/>
        <v>#VALUE!</v>
      </c>
      <c r="E38" s="1" t="s">
        <v>1213</v>
      </c>
      <c r="F38" s="1" t="s">
        <v>11</v>
      </c>
    </row>
    <row r="39" spans="1:6" x14ac:dyDescent="0.2">
      <c r="A39" s="1" t="str">
        <f t="shared" si="1"/>
        <v>Genoa</v>
      </c>
      <c r="B39" s="1" t="str">
        <f t="shared" si="3"/>
        <v>Italy</v>
      </c>
      <c r="C39" s="1" t="s">
        <v>1093</v>
      </c>
      <c r="D39" s="1" t="e">
        <f t="shared" si="0"/>
        <v>#VALUE!</v>
      </c>
      <c r="E39" s="1" t="s">
        <v>1214</v>
      </c>
      <c r="F39" s="1" t="s">
        <v>11</v>
      </c>
    </row>
    <row r="40" spans="1:6" x14ac:dyDescent="0.2">
      <c r="A40" s="1" t="str">
        <f t="shared" si="1"/>
        <v>Trois-Epis</v>
      </c>
      <c r="B40" s="1" t="str">
        <f t="shared" si="3"/>
        <v>France</v>
      </c>
      <c r="C40" s="1" t="s">
        <v>1094</v>
      </c>
      <c r="D40" s="1" t="e">
        <f t="shared" si="0"/>
        <v>#VALUE!</v>
      </c>
      <c r="E40" s="1" t="s">
        <v>1215</v>
      </c>
      <c r="F40" s="1" t="s">
        <v>557</v>
      </c>
    </row>
    <row r="41" spans="1:6" x14ac:dyDescent="0.2">
      <c r="A41" s="1" t="str">
        <f t="shared" si="1"/>
        <v>Gallivaggio</v>
      </c>
      <c r="B41" s="1" t="str">
        <f t="shared" si="3"/>
        <v>Italy</v>
      </c>
      <c r="C41" s="1" t="s">
        <v>1095</v>
      </c>
      <c r="D41" s="1" t="e">
        <f t="shared" si="0"/>
        <v>#VALUE!</v>
      </c>
      <c r="E41" s="1" t="s">
        <v>1216</v>
      </c>
      <c r="F41" s="1" t="s">
        <v>11</v>
      </c>
    </row>
    <row r="42" spans="1:6" x14ac:dyDescent="0.2">
      <c r="A42" s="1" t="str">
        <f t="shared" si="1"/>
        <v>Re</v>
      </c>
      <c r="B42" s="1" t="str">
        <f t="shared" si="3"/>
        <v>Italy</v>
      </c>
      <c r="C42" s="1" t="s">
        <v>1096</v>
      </c>
      <c r="D42" s="1" t="e">
        <f t="shared" si="0"/>
        <v>#VALUE!</v>
      </c>
      <c r="E42" s="1" t="s">
        <v>1217</v>
      </c>
      <c r="F42" s="1" t="s">
        <v>11</v>
      </c>
    </row>
    <row r="43" spans="1:6" x14ac:dyDescent="0.2">
      <c r="A43" s="1" t="str">
        <f t="shared" si="1"/>
        <v>Bettola</v>
      </c>
      <c r="B43" s="1" t="str">
        <f t="shared" si="3"/>
        <v>Italy</v>
      </c>
      <c r="C43" s="1" t="s">
        <v>1097</v>
      </c>
      <c r="D43" s="1" t="e">
        <f t="shared" si="0"/>
        <v>#VALUE!</v>
      </c>
      <c r="E43" s="1" t="s">
        <v>1218</v>
      </c>
      <c r="F43" s="1" t="s">
        <v>11</v>
      </c>
    </row>
    <row r="44" spans="1:6" x14ac:dyDescent="0.2">
      <c r="A44" s="1" t="str">
        <f t="shared" si="1"/>
        <v>Molare</v>
      </c>
      <c r="B44" s="1" t="str">
        <f t="shared" si="3"/>
        <v>Italy</v>
      </c>
      <c r="C44" s="1" t="s">
        <v>1098</v>
      </c>
      <c r="D44" s="1" t="e">
        <f t="shared" si="0"/>
        <v>#VALUE!</v>
      </c>
      <c r="E44" s="1" t="s">
        <v>1219</v>
      </c>
      <c r="F44" s="1" t="s">
        <v>11</v>
      </c>
    </row>
    <row r="45" spans="1:6" x14ac:dyDescent="0.2">
      <c r="A45" s="1" t="str">
        <f t="shared" si="1"/>
        <v>Vailankanni</v>
      </c>
      <c r="B45" s="1" t="str">
        <f t="shared" si="3"/>
        <v>India</v>
      </c>
      <c r="C45" s="1" t="s">
        <v>1098</v>
      </c>
      <c r="D45" s="1" t="e">
        <f t="shared" si="0"/>
        <v>#VALUE!</v>
      </c>
      <c r="E45" s="1" t="s">
        <v>1220</v>
      </c>
      <c r="F45" s="1" t="s">
        <v>2</v>
      </c>
    </row>
    <row r="46" spans="1:6" x14ac:dyDescent="0.2">
      <c r="A46" s="1" t="str">
        <f t="shared" si="1"/>
        <v>Andacollo</v>
      </c>
      <c r="B46" s="1" t="str">
        <f t="shared" si="3"/>
        <v>Chile</v>
      </c>
      <c r="C46" s="1" t="s">
        <v>1098</v>
      </c>
      <c r="D46" s="1" t="e">
        <f t="shared" si="0"/>
        <v>#VALUE!</v>
      </c>
      <c r="E46" s="1" t="s">
        <v>1221</v>
      </c>
      <c r="F46" s="1" t="s">
        <v>531</v>
      </c>
    </row>
    <row r="47" spans="1:6" x14ac:dyDescent="0.2">
      <c r="A47" s="1" t="str">
        <f t="shared" si="1"/>
        <v>Luggau</v>
      </c>
      <c r="B47" s="1" t="str">
        <f t="shared" si="3"/>
        <v>Austria</v>
      </c>
      <c r="C47" s="1" t="s">
        <v>1098</v>
      </c>
      <c r="D47" s="1" t="e">
        <f t="shared" si="0"/>
        <v>#VALUE!</v>
      </c>
      <c r="E47" s="1" t="s">
        <v>1222</v>
      </c>
      <c r="F47" s="1" t="s">
        <v>502</v>
      </c>
    </row>
    <row r="48" spans="1:6" x14ac:dyDescent="0.2">
      <c r="A48" s="1" t="str">
        <f t="shared" si="1"/>
        <v>Tirano</v>
      </c>
      <c r="B48" s="1" t="str">
        <f t="shared" si="3"/>
        <v>Italy</v>
      </c>
      <c r="C48" s="1" t="s">
        <v>1099</v>
      </c>
      <c r="D48" s="1" t="e">
        <f t="shared" si="0"/>
        <v>#VALUE!</v>
      </c>
      <c r="E48" s="1" t="s">
        <v>1223</v>
      </c>
      <c r="F48" s="1" t="s">
        <v>11</v>
      </c>
    </row>
    <row r="49" spans="1:6" x14ac:dyDescent="0.2">
      <c r="A49" s="1" t="str">
        <f t="shared" si="1"/>
        <v>Motta Di Livenza</v>
      </c>
      <c r="B49" s="1" t="str">
        <f t="shared" si="3"/>
        <v>Italy</v>
      </c>
      <c r="C49" s="1" t="s">
        <v>1100</v>
      </c>
      <c r="D49" s="1" t="e">
        <f t="shared" si="0"/>
        <v>#VALUE!</v>
      </c>
      <c r="E49" s="1" t="s">
        <v>1224</v>
      </c>
      <c r="F49" s="1" t="s">
        <v>11</v>
      </c>
    </row>
    <row r="50" spans="1:6" x14ac:dyDescent="0.2">
      <c r="A50" s="1" t="str">
        <f t="shared" si="1"/>
        <v>Peschiera Sul Garda</v>
      </c>
      <c r="B50" s="1" t="str">
        <f t="shared" si="3"/>
        <v>Italy</v>
      </c>
      <c r="C50" s="1" t="s">
        <v>1100</v>
      </c>
      <c r="D50" s="1" t="e">
        <f t="shared" si="0"/>
        <v>#VALUE!</v>
      </c>
      <c r="E50" s="1" t="s">
        <v>1225</v>
      </c>
      <c r="F50" s="1" t="s">
        <v>11</v>
      </c>
    </row>
    <row r="51" spans="1:6" x14ac:dyDescent="0.2">
      <c r="A51" s="1" t="str">
        <f t="shared" si="1"/>
        <v>Bergamo</v>
      </c>
      <c r="B51" s="1" t="str">
        <f t="shared" si="3"/>
        <v>Italy</v>
      </c>
      <c r="C51" s="1" t="s">
        <v>1100</v>
      </c>
      <c r="D51" s="1" t="e">
        <f t="shared" si="0"/>
        <v>#VALUE!</v>
      </c>
      <c r="E51" s="1" t="s">
        <v>1226</v>
      </c>
      <c r="F51" s="1" t="s">
        <v>11</v>
      </c>
    </row>
    <row r="52" spans="1:6" x14ac:dyDescent="0.2">
      <c r="A52" s="1" t="str">
        <f t="shared" si="1"/>
        <v>Rzeszów</v>
      </c>
      <c r="B52" s="1" t="str">
        <f t="shared" si="3"/>
        <v>Poland</v>
      </c>
      <c r="C52" s="1" t="s">
        <v>1101</v>
      </c>
      <c r="D52" s="1" t="e">
        <f t="shared" si="0"/>
        <v>#VALUE!</v>
      </c>
      <c r="E52" s="1" t="s">
        <v>1227</v>
      </c>
      <c r="F52" s="1" t="s">
        <v>651</v>
      </c>
    </row>
    <row r="53" spans="1:6" x14ac:dyDescent="0.2">
      <c r="A53" s="1" t="str">
        <f t="shared" si="1"/>
        <v>Garaison</v>
      </c>
      <c r="B53" s="1" t="str">
        <f t="shared" si="3"/>
        <v>France</v>
      </c>
      <c r="C53" s="1" t="s">
        <v>1102</v>
      </c>
      <c r="D53" s="1" t="e">
        <f t="shared" si="0"/>
        <v>#VALUE!</v>
      </c>
      <c r="E53" s="1" t="s">
        <v>1228</v>
      </c>
      <c r="F53" s="1" t="s">
        <v>557</v>
      </c>
    </row>
    <row r="54" spans="1:6" x14ac:dyDescent="0.2">
      <c r="A54" s="1" t="str">
        <f t="shared" si="1"/>
        <v>Adro</v>
      </c>
      <c r="B54" s="1" t="str">
        <f t="shared" si="3"/>
        <v>Italy</v>
      </c>
      <c r="C54" s="1" t="s">
        <v>1103</v>
      </c>
      <c r="D54" s="1" t="e">
        <f t="shared" si="0"/>
        <v>#VALUE!</v>
      </c>
      <c r="E54" s="1" t="s">
        <v>1229</v>
      </c>
      <c r="F54" s="1" t="s">
        <v>11</v>
      </c>
    </row>
    <row r="55" spans="1:6" x14ac:dyDescent="0.2">
      <c r="A55" s="1" t="str">
        <f t="shared" si="1"/>
        <v>Cotignac</v>
      </c>
      <c r="B55" s="1" t="str">
        <f t="shared" si="3"/>
        <v>France</v>
      </c>
      <c r="C55" s="1" t="s">
        <v>1104</v>
      </c>
      <c r="D55" s="1" t="e">
        <f t="shared" si="0"/>
        <v>#VALUE!</v>
      </c>
      <c r="E55" s="1" t="s">
        <v>1230</v>
      </c>
      <c r="F55" s="1" t="s">
        <v>557</v>
      </c>
    </row>
    <row r="56" spans="1:6" x14ac:dyDescent="0.2">
      <c r="A56" s="1" t="str">
        <f t="shared" si="1"/>
        <v>Cori</v>
      </c>
      <c r="B56" s="1" t="str">
        <f t="shared" si="3"/>
        <v>Italy</v>
      </c>
      <c r="C56" s="1" t="s">
        <v>1105</v>
      </c>
      <c r="D56" s="1" t="e">
        <f t="shared" si="0"/>
        <v>#VALUE!</v>
      </c>
      <c r="E56" s="1" t="s">
        <v>1231</v>
      </c>
      <c r="F56" s="1" t="s">
        <v>11</v>
      </c>
    </row>
    <row r="57" spans="1:6" x14ac:dyDescent="0.2">
      <c r="A57" s="1" t="str">
        <f t="shared" si="1"/>
        <v>Cussanio</v>
      </c>
      <c r="B57" s="1" t="str">
        <f t="shared" si="3"/>
        <v>Italy</v>
      </c>
      <c r="C57" s="1" t="s">
        <v>1105</v>
      </c>
      <c r="D57" s="1" t="e">
        <f t="shared" si="0"/>
        <v>#VALUE!</v>
      </c>
      <c r="E57" s="1" t="s">
        <v>1232</v>
      </c>
      <c r="F57" s="1" t="s">
        <v>11</v>
      </c>
    </row>
    <row r="58" spans="1:6" x14ac:dyDescent="0.2">
      <c r="A58" s="1" t="str">
        <f t="shared" si="1"/>
        <v>Crescentino</v>
      </c>
      <c r="B58" s="1" t="str">
        <f t="shared" si="3"/>
        <v>Italy</v>
      </c>
      <c r="C58" s="1" t="s">
        <v>1106</v>
      </c>
      <c r="D58" s="1" t="e">
        <f t="shared" si="0"/>
        <v>#VALUE!</v>
      </c>
      <c r="E58" s="1" t="s">
        <v>1233</v>
      </c>
      <c r="F58" s="1" t="s">
        <v>11</v>
      </c>
    </row>
    <row r="59" spans="1:6" x14ac:dyDescent="0.2">
      <c r="A59" s="1" t="str">
        <f t="shared" si="1"/>
        <v>Ornavasso</v>
      </c>
      <c r="B59" s="1" t="str">
        <f t="shared" si="3"/>
        <v>Italy</v>
      </c>
      <c r="C59" s="1" t="s">
        <v>1107</v>
      </c>
      <c r="D59" s="1" t="e">
        <f t="shared" si="0"/>
        <v>#VALUE!</v>
      </c>
      <c r="E59" s="1" t="s">
        <v>1234</v>
      </c>
      <c r="F59" s="1" t="s">
        <v>11</v>
      </c>
    </row>
    <row r="60" spans="1:6" x14ac:dyDescent="0.2">
      <c r="A60" s="1" t="s">
        <v>1005</v>
      </c>
      <c r="B60" s="1" t="s">
        <v>630</v>
      </c>
      <c r="C60" s="1">
        <v>1531</v>
      </c>
      <c r="D60" s="1" t="e">
        <f t="shared" si="0"/>
        <v>#VALUE!</v>
      </c>
      <c r="E60" s="1" t="e">
        <v>#VALUE!</v>
      </c>
    </row>
    <row r="61" spans="1:6" x14ac:dyDescent="0.2">
      <c r="A61" s="1" t="str">
        <f t="shared" ref="A61:A72" si="4">E61</f>
        <v>Savona</v>
      </c>
      <c r="B61" s="1" t="str">
        <f t="shared" ref="B61:B72" si="5">F61</f>
        <v>Italy</v>
      </c>
      <c r="C61" s="1" t="s">
        <v>1108</v>
      </c>
      <c r="D61" s="1" t="e">
        <f t="shared" si="0"/>
        <v>#VALUE!</v>
      </c>
      <c r="E61" s="1" t="s">
        <v>1235</v>
      </c>
      <c r="F61" s="1" t="s">
        <v>11</v>
      </c>
    </row>
    <row r="62" spans="1:6" x14ac:dyDescent="0.2">
      <c r="A62" s="1" t="str">
        <f t="shared" si="4"/>
        <v>Sveta Gora</v>
      </c>
      <c r="B62" s="1" t="str">
        <f t="shared" si="5"/>
        <v>Slovenia</v>
      </c>
      <c r="C62" s="1" t="s">
        <v>1109</v>
      </c>
      <c r="D62" s="1" t="e">
        <f t="shared" si="0"/>
        <v>#VALUE!</v>
      </c>
      <c r="E62" s="1" t="s">
        <v>1236</v>
      </c>
      <c r="F62" s="1" t="s">
        <v>669</v>
      </c>
    </row>
    <row r="63" spans="1:6" x14ac:dyDescent="0.2">
      <c r="A63" s="1" t="str">
        <f t="shared" si="4"/>
        <v>Ocotlán</v>
      </c>
      <c r="B63" s="1" t="str">
        <f t="shared" si="5"/>
        <v>Mexico</v>
      </c>
      <c r="C63" s="1" t="s">
        <v>1110</v>
      </c>
      <c r="D63" s="1" t="e">
        <f t="shared" si="0"/>
        <v>#VALUE!</v>
      </c>
      <c r="E63" s="1" t="s">
        <v>1237</v>
      </c>
      <c r="F63" s="1" t="s">
        <v>630</v>
      </c>
    </row>
    <row r="64" spans="1:6" x14ac:dyDescent="0.2">
      <c r="A64" s="1" t="str">
        <f t="shared" si="4"/>
        <v>Vacciago</v>
      </c>
      <c r="B64" s="1" t="str">
        <f t="shared" si="5"/>
        <v>Italy</v>
      </c>
      <c r="C64" s="1" t="s">
        <v>1111</v>
      </c>
      <c r="D64" s="1" t="e">
        <f t="shared" si="0"/>
        <v>#VALUE!</v>
      </c>
      <c r="E64" s="1" t="s">
        <v>1238</v>
      </c>
      <c r="F64" s="1" t="s">
        <v>11</v>
      </c>
    </row>
    <row r="65" spans="1:6" x14ac:dyDescent="0.2">
      <c r="A65" s="1" t="str">
        <f t="shared" si="4"/>
        <v>Pietralba</v>
      </c>
      <c r="B65" s="1" t="str">
        <f t="shared" si="5"/>
        <v>Italy</v>
      </c>
      <c r="C65" s="1" t="s">
        <v>1112</v>
      </c>
      <c r="D65" s="1" t="e">
        <f t="shared" si="0"/>
        <v>#VALUE!</v>
      </c>
      <c r="E65" s="1" t="s">
        <v>1239</v>
      </c>
      <c r="F65" s="1" t="s">
        <v>11</v>
      </c>
    </row>
    <row r="66" spans="1:6" x14ac:dyDescent="0.2">
      <c r="A66" s="1" t="str">
        <f t="shared" si="4"/>
        <v>Corbetta</v>
      </c>
      <c r="B66" s="1" t="str">
        <f t="shared" si="5"/>
        <v>Italy</v>
      </c>
      <c r="C66" s="1" t="s">
        <v>1113</v>
      </c>
      <c r="D66" s="1" t="e">
        <f t="shared" si="0"/>
        <v>#VALUE!</v>
      </c>
      <c r="E66" s="1" t="s">
        <v>1240</v>
      </c>
      <c r="F66" s="1" t="s">
        <v>11</v>
      </c>
    </row>
    <row r="67" spans="1:6" x14ac:dyDescent="0.2">
      <c r="A67" s="1" t="str">
        <f t="shared" si="4"/>
        <v>Arcola</v>
      </c>
      <c r="B67" s="1" t="str">
        <f t="shared" si="5"/>
        <v>Italy</v>
      </c>
      <c r="C67" s="1" t="s">
        <v>1114</v>
      </c>
      <c r="D67" s="1" t="e">
        <f t="shared" ref="D67:D130" si="6">MID(A67,FIND(". ",A67)+2,LEN(A67))</f>
        <v>#VALUE!</v>
      </c>
      <c r="E67" s="1" t="s">
        <v>1241</v>
      </c>
      <c r="F67" s="1" t="s">
        <v>11</v>
      </c>
    </row>
    <row r="68" spans="1:6" x14ac:dyDescent="0.2">
      <c r="A68" s="1" t="str">
        <f t="shared" si="4"/>
        <v>Giulianova</v>
      </c>
      <c r="B68" s="1" t="str">
        <f t="shared" si="5"/>
        <v>Italy</v>
      </c>
      <c r="C68" s="1" t="s">
        <v>1115</v>
      </c>
      <c r="D68" s="1" t="e">
        <f t="shared" si="6"/>
        <v>#VALUE!</v>
      </c>
      <c r="E68" s="1" t="s">
        <v>1242</v>
      </c>
      <c r="F68" s="1" t="s">
        <v>11</v>
      </c>
    </row>
    <row r="69" spans="1:6" x14ac:dyDescent="0.2">
      <c r="A69" s="1" t="str">
        <f t="shared" si="4"/>
        <v>Gerosa</v>
      </c>
      <c r="B69" s="1" t="str">
        <f t="shared" si="5"/>
        <v>Italy</v>
      </c>
      <c r="C69" s="1" t="s">
        <v>1116</v>
      </c>
      <c r="D69" s="1" t="e">
        <f t="shared" si="6"/>
        <v>#VALUE!</v>
      </c>
      <c r="E69" s="1" t="s">
        <v>1243</v>
      </c>
      <c r="F69" s="1" t="s">
        <v>11</v>
      </c>
    </row>
    <row r="70" spans="1:6" x14ac:dyDescent="0.2">
      <c r="A70" s="1" t="str">
        <f t="shared" si="4"/>
        <v>Moncrivello</v>
      </c>
      <c r="B70" s="1" t="str">
        <f t="shared" si="5"/>
        <v>Italy</v>
      </c>
      <c r="C70" s="1" t="s">
        <v>1117</v>
      </c>
      <c r="D70" s="1" t="e">
        <f t="shared" si="6"/>
        <v>#VALUE!</v>
      </c>
      <c r="E70" s="1" t="s">
        <v>1244</v>
      </c>
      <c r="F70" s="1" t="s">
        <v>11</v>
      </c>
    </row>
    <row r="71" spans="1:6" x14ac:dyDescent="0.2">
      <c r="A71" s="1" t="str">
        <f t="shared" si="4"/>
        <v>Gozo</v>
      </c>
      <c r="B71" s="1" t="str">
        <f t="shared" si="5"/>
        <v>Malta</v>
      </c>
      <c r="C71" s="1" t="s">
        <v>1118</v>
      </c>
      <c r="D71" s="1" t="e">
        <f t="shared" si="6"/>
        <v>#VALUE!</v>
      </c>
      <c r="E71" s="1" t="s">
        <v>1245</v>
      </c>
      <c r="F71" s="1" t="s">
        <v>626</v>
      </c>
    </row>
    <row r="72" spans="1:6" x14ac:dyDescent="0.2">
      <c r="A72" s="1" t="str">
        <f t="shared" si="4"/>
        <v>Casalbordino</v>
      </c>
      <c r="B72" s="1" t="str">
        <f t="shared" si="5"/>
        <v>Italy</v>
      </c>
      <c r="C72" s="1" t="s">
        <v>1119</v>
      </c>
      <c r="D72" s="1" t="e">
        <f t="shared" si="6"/>
        <v>#VALUE!</v>
      </c>
      <c r="E72" s="1" t="s">
        <v>1246</v>
      </c>
      <c r="F72" s="1" t="s">
        <v>11</v>
      </c>
    </row>
    <row r="73" spans="1:6" x14ac:dyDescent="0.2">
      <c r="A73" s="1" t="s">
        <v>1052</v>
      </c>
      <c r="B73" s="1" t="s">
        <v>651</v>
      </c>
      <c r="C73" s="1">
        <v>1578</v>
      </c>
      <c r="D73" s="1" t="e">
        <f t="shared" si="6"/>
        <v>#VALUE!</v>
      </c>
      <c r="E73" s="1" t="e">
        <v>#VALUE!</v>
      </c>
    </row>
    <row r="74" spans="1:6" x14ac:dyDescent="0.2">
      <c r="A74" s="1" t="str">
        <f t="shared" ref="A74:A84" si="7">E74</f>
        <v>Lumarzo</v>
      </c>
      <c r="B74" s="1" t="str">
        <f t="shared" ref="B74:B84" si="8">F74</f>
        <v>Italy</v>
      </c>
      <c r="C74" s="1" t="s">
        <v>1120</v>
      </c>
      <c r="D74" s="1" t="e">
        <f t="shared" si="6"/>
        <v>#VALUE!</v>
      </c>
      <c r="E74" s="1" t="s">
        <v>1247</v>
      </c>
      <c r="F74" s="1" t="s">
        <v>11</v>
      </c>
    </row>
    <row r="75" spans="1:6" x14ac:dyDescent="0.2">
      <c r="A75" s="1" t="str">
        <f t="shared" si="7"/>
        <v>Chiquinquirá</v>
      </c>
      <c r="B75" s="1" t="str">
        <f t="shared" si="8"/>
        <v>Colombia</v>
      </c>
      <c r="C75" s="1" t="s">
        <v>1121</v>
      </c>
      <c r="D75" s="1" t="e">
        <f t="shared" si="6"/>
        <v>#VALUE!</v>
      </c>
      <c r="E75" s="1" t="s">
        <v>1248</v>
      </c>
      <c r="F75" s="1" t="s">
        <v>534</v>
      </c>
    </row>
    <row r="76" spans="1:6" x14ac:dyDescent="0.2">
      <c r="A76" s="1" t="str">
        <f t="shared" si="7"/>
        <v>Quinche</v>
      </c>
      <c r="B76" s="1" t="str">
        <f t="shared" si="8"/>
        <v>Ecuador</v>
      </c>
      <c r="C76" s="1" t="s">
        <v>1121</v>
      </c>
      <c r="D76" s="1" t="e">
        <f t="shared" si="6"/>
        <v>#VALUE!</v>
      </c>
      <c r="E76" s="1" t="s">
        <v>1249</v>
      </c>
      <c r="F76" s="1" t="s">
        <v>548</v>
      </c>
    </row>
    <row r="77" spans="1:6" x14ac:dyDescent="0.2">
      <c r="A77" s="1" t="str">
        <f t="shared" si="7"/>
        <v>Quito</v>
      </c>
      <c r="B77" s="1" t="str">
        <f t="shared" si="8"/>
        <v>Ecuador</v>
      </c>
      <c r="C77" s="1" t="s">
        <v>1122</v>
      </c>
      <c r="D77" s="1" t="e">
        <f t="shared" si="6"/>
        <v>#VALUE!</v>
      </c>
      <c r="E77" s="1" t="s">
        <v>1250</v>
      </c>
      <c r="F77" s="1" t="s">
        <v>548</v>
      </c>
    </row>
    <row r="78" spans="1:6" x14ac:dyDescent="0.2">
      <c r="A78" s="1" t="str">
        <f t="shared" si="7"/>
        <v>Rapallo</v>
      </c>
      <c r="B78" s="1" t="str">
        <f t="shared" si="8"/>
        <v>Italy</v>
      </c>
      <c r="C78" s="1" t="s">
        <v>1123</v>
      </c>
      <c r="D78" s="1" t="e">
        <f t="shared" si="6"/>
        <v>#VALUE!</v>
      </c>
      <c r="E78" s="1" t="s">
        <v>1251</v>
      </c>
      <c r="F78" s="1" t="s">
        <v>11</v>
      </c>
    </row>
    <row r="79" spans="1:6" x14ac:dyDescent="0.2">
      <c r="A79" s="1" t="str">
        <f t="shared" si="7"/>
        <v>Bétharram</v>
      </c>
      <c r="B79" s="1" t="str">
        <f t="shared" si="8"/>
        <v>France</v>
      </c>
      <c r="C79" s="1" t="s">
        <v>1124</v>
      </c>
      <c r="D79" s="1" t="e">
        <f t="shared" si="6"/>
        <v>#VALUE!</v>
      </c>
      <c r="E79" s="1" t="s">
        <v>1252</v>
      </c>
      <c r="F79" s="1" t="s">
        <v>557</v>
      </c>
    </row>
    <row r="80" spans="1:6" x14ac:dyDescent="0.2">
      <c r="A80" s="1" t="str">
        <f t="shared" si="7"/>
        <v>Luján</v>
      </c>
      <c r="B80" s="1" t="str">
        <f t="shared" si="8"/>
        <v>Argentina</v>
      </c>
      <c r="C80" s="1" t="s">
        <v>1125</v>
      </c>
      <c r="D80" s="1" t="e">
        <f t="shared" si="6"/>
        <v>#VALUE!</v>
      </c>
      <c r="E80" s="1" t="s">
        <v>1253</v>
      </c>
      <c r="F80" s="1" t="s">
        <v>500</v>
      </c>
    </row>
    <row r="81" spans="1:6" x14ac:dyDescent="0.2">
      <c r="A81" s="1" t="str">
        <f t="shared" si="7"/>
        <v>Caacupé</v>
      </c>
      <c r="B81" s="1" t="str">
        <f t="shared" si="8"/>
        <v>Paraguay</v>
      </c>
      <c r="C81" s="1" t="s">
        <v>1125</v>
      </c>
      <c r="D81" s="1" t="e">
        <f t="shared" si="6"/>
        <v>#VALUE!</v>
      </c>
      <c r="E81" s="1" t="s">
        <v>1254</v>
      </c>
      <c r="F81" s="1" t="s">
        <v>657</v>
      </c>
    </row>
    <row r="82" spans="1:6" x14ac:dyDescent="0.2">
      <c r="A82" s="1" t="str">
        <f t="shared" si="7"/>
        <v>Caysasay</v>
      </c>
      <c r="B82" s="1" t="str">
        <f t="shared" si="8"/>
        <v>Philippines</v>
      </c>
      <c r="C82" s="1" t="s">
        <v>1126</v>
      </c>
      <c r="D82" s="1" t="e">
        <f t="shared" si="6"/>
        <v>#VALUE!</v>
      </c>
      <c r="E82" s="1" t="s">
        <v>1255</v>
      </c>
      <c r="F82" s="1" t="s">
        <v>649</v>
      </c>
    </row>
    <row r="83" spans="1:6" x14ac:dyDescent="0.2">
      <c r="A83" s="1" t="str">
        <f t="shared" si="7"/>
        <v>Doroszló</v>
      </c>
      <c r="B83" s="1" t="str">
        <f t="shared" si="8"/>
        <v>Serbia</v>
      </c>
      <c r="C83" s="1" t="s">
        <v>1126</v>
      </c>
      <c r="D83" s="1" t="e">
        <f t="shared" si="6"/>
        <v>#VALUE!</v>
      </c>
      <c r="E83" s="1" t="s">
        <v>1256</v>
      </c>
      <c r="F83" s="1" t="s">
        <v>661</v>
      </c>
    </row>
    <row r="84" spans="1:6" x14ac:dyDescent="0.2">
      <c r="A84" s="1" t="str">
        <f t="shared" si="7"/>
        <v>Ardesio</v>
      </c>
      <c r="B84" s="1" t="str">
        <f t="shared" si="8"/>
        <v>Italy</v>
      </c>
      <c r="C84" s="1" t="s">
        <v>1127</v>
      </c>
      <c r="D84" s="1" t="e">
        <f t="shared" si="6"/>
        <v>#VALUE!</v>
      </c>
      <c r="E84" s="1" t="s">
        <v>1257</v>
      </c>
      <c r="F84" s="1" t="s">
        <v>11</v>
      </c>
    </row>
    <row r="85" spans="1:6" x14ac:dyDescent="0.2">
      <c r="A85" s="1" t="s">
        <v>1006</v>
      </c>
      <c r="B85" s="1" t="s">
        <v>607</v>
      </c>
      <c r="C85" s="1">
        <v>1608</v>
      </c>
      <c r="D85" s="1" t="e">
        <f t="shared" si="6"/>
        <v>#VALUE!</v>
      </c>
      <c r="E85" s="1" t="e">
        <v>#VALUE!</v>
      </c>
    </row>
    <row r="86" spans="1:6" x14ac:dyDescent="0.2">
      <c r="A86" s="1" t="str">
        <f t="shared" ref="A86:A95" si="9">E86</f>
        <v>Manaoag</v>
      </c>
      <c r="B86" s="1" t="str">
        <f t="shared" ref="B86:B95" si="10">F86</f>
        <v>Philippines</v>
      </c>
      <c r="C86" s="1" t="s">
        <v>1128</v>
      </c>
      <c r="D86" s="1" t="e">
        <f t="shared" si="6"/>
        <v>#VALUE!</v>
      </c>
      <c r="E86" s="1" t="s">
        <v>1258</v>
      </c>
      <c r="F86" s="1" t="s">
        <v>649</v>
      </c>
    </row>
    <row r="87" spans="1:6" x14ac:dyDescent="0.2">
      <c r="A87" s="1" t="str">
        <f t="shared" si="9"/>
        <v>El Cobre</v>
      </c>
      <c r="B87" s="1" t="str">
        <f t="shared" si="10"/>
        <v>Cuba</v>
      </c>
      <c r="C87" s="1" t="s">
        <v>1129</v>
      </c>
      <c r="D87" s="1" t="e">
        <f t="shared" si="6"/>
        <v>#VALUE!</v>
      </c>
      <c r="E87" s="1" t="s">
        <v>1316</v>
      </c>
      <c r="F87" s="1" t="s">
        <v>536</v>
      </c>
    </row>
    <row r="88" spans="1:6" x14ac:dyDescent="0.2">
      <c r="A88" s="1" t="str">
        <f t="shared" si="9"/>
        <v>San Salvatore Monferrato</v>
      </c>
      <c r="B88" s="1" t="str">
        <f t="shared" si="10"/>
        <v>Italy</v>
      </c>
      <c r="C88" s="1" t="s">
        <v>1130</v>
      </c>
      <c r="D88" s="1" t="e">
        <f t="shared" si="6"/>
        <v>#VALUE!</v>
      </c>
      <c r="E88" s="1" t="s">
        <v>1259</v>
      </c>
      <c r="F88" s="1" t="s">
        <v>11</v>
      </c>
    </row>
    <row r="89" spans="1:6" x14ac:dyDescent="0.2">
      <c r="A89" s="1" t="str">
        <f t="shared" si="9"/>
        <v>Marbach</v>
      </c>
      <c r="B89" s="1" t="str">
        <f t="shared" si="10"/>
        <v>Austria</v>
      </c>
      <c r="C89" s="1" t="s">
        <v>1131</v>
      </c>
      <c r="D89" s="1" t="e">
        <f t="shared" si="6"/>
        <v>#VALUE!</v>
      </c>
      <c r="E89" s="1" t="s">
        <v>1260</v>
      </c>
      <c r="F89" s="1" t="s">
        <v>502</v>
      </c>
    </row>
    <row r="90" spans="1:6" x14ac:dyDescent="0.2">
      <c r="A90" s="1" t="str">
        <f t="shared" si="9"/>
        <v>Cartago</v>
      </c>
      <c r="B90" s="1" t="str">
        <f t="shared" si="10"/>
        <v>Costa Rica</v>
      </c>
      <c r="C90" s="1" t="s">
        <v>1132</v>
      </c>
      <c r="D90" s="1" t="e">
        <f t="shared" si="6"/>
        <v>#VALUE!</v>
      </c>
      <c r="E90" s="1" t="s">
        <v>1261</v>
      </c>
      <c r="F90" s="1" t="s">
        <v>535</v>
      </c>
    </row>
    <row r="91" spans="1:6" x14ac:dyDescent="0.2">
      <c r="A91" s="1" t="str">
        <f t="shared" si="9"/>
        <v>Kevelaer</v>
      </c>
      <c r="B91" s="1" t="str">
        <f t="shared" si="10"/>
        <v>Germany</v>
      </c>
      <c r="C91" s="1" t="s">
        <v>1133</v>
      </c>
      <c r="D91" s="1" t="e">
        <f t="shared" si="6"/>
        <v>#VALUE!</v>
      </c>
      <c r="E91" s="1" t="s">
        <v>1262</v>
      </c>
      <c r="F91" s="1" t="s">
        <v>542</v>
      </c>
    </row>
    <row r="92" spans="1:6" x14ac:dyDescent="0.2">
      <c r="A92" s="1" t="str">
        <f t="shared" si="9"/>
        <v>Plantées</v>
      </c>
      <c r="B92" s="1" t="str">
        <f t="shared" si="10"/>
        <v>France</v>
      </c>
      <c r="C92" s="1" t="s">
        <v>1134</v>
      </c>
      <c r="D92" s="1" t="e">
        <f t="shared" si="6"/>
        <v>#VALUE!</v>
      </c>
      <c r="E92" s="1" t="s">
        <v>1263</v>
      </c>
      <c r="F92" s="1" t="s">
        <v>557</v>
      </c>
    </row>
    <row r="93" spans="1:6" x14ac:dyDescent="0.2">
      <c r="A93" s="1" t="str">
        <f t="shared" si="9"/>
        <v>Guanare</v>
      </c>
      <c r="B93" s="1" t="str">
        <f t="shared" si="10"/>
        <v>Venezuela</v>
      </c>
      <c r="C93" s="1" t="s">
        <v>1135</v>
      </c>
      <c r="D93" s="1" t="e">
        <f t="shared" si="6"/>
        <v>#VALUE!</v>
      </c>
      <c r="E93" s="1" t="s">
        <v>1264</v>
      </c>
      <c r="F93" s="1" t="s">
        <v>717</v>
      </c>
    </row>
    <row r="94" spans="1:6" x14ac:dyDescent="0.2">
      <c r="A94" s="1" t="str">
        <f t="shared" si="9"/>
        <v>La Prenessaye</v>
      </c>
      <c r="B94" s="1" t="str">
        <f t="shared" si="10"/>
        <v>France</v>
      </c>
      <c r="C94" s="1" t="s">
        <v>1136</v>
      </c>
      <c r="D94" s="1" t="e">
        <f t="shared" si="6"/>
        <v>#VALUE!</v>
      </c>
      <c r="E94" s="1" t="s">
        <v>1265</v>
      </c>
      <c r="F94" s="1" t="s">
        <v>557</v>
      </c>
    </row>
    <row r="95" spans="1:6" x14ac:dyDescent="0.2">
      <c r="A95" s="1" t="str">
        <f t="shared" si="9"/>
        <v>Pieve Di Tagliamento</v>
      </c>
      <c r="B95" s="1" t="str">
        <f t="shared" si="10"/>
        <v>Italy</v>
      </c>
      <c r="C95" s="1" t="s">
        <v>1137</v>
      </c>
      <c r="D95" s="1" t="e">
        <f t="shared" si="6"/>
        <v>#VALUE!</v>
      </c>
      <c r="E95" s="1" t="s">
        <v>1266</v>
      </c>
      <c r="F95" s="1" t="s">
        <v>11</v>
      </c>
    </row>
    <row r="96" spans="1:6" x14ac:dyDescent="0.2">
      <c r="A96" s="1" t="s">
        <v>1009</v>
      </c>
      <c r="B96" s="1" t="s">
        <v>557</v>
      </c>
      <c r="C96" s="1" t="s">
        <v>1012</v>
      </c>
      <c r="D96" s="1" t="e">
        <f t="shared" si="6"/>
        <v>#VALUE!</v>
      </c>
      <c r="E96" s="1" t="e">
        <v>#VALUE!</v>
      </c>
    </row>
    <row r="97" spans="1:6" x14ac:dyDescent="0.2">
      <c r="A97" s="1" t="str">
        <f t="shared" ref="A97:A109" si="11">E97</f>
        <v>San Bartolomeo Al Mare</v>
      </c>
      <c r="B97" s="1" t="str">
        <f t="shared" ref="B97:B103" si="12">F97</f>
        <v>Italy</v>
      </c>
      <c r="C97" s="1" t="s">
        <v>1138</v>
      </c>
      <c r="D97" s="1" t="e">
        <f t="shared" si="6"/>
        <v>#VALUE!</v>
      </c>
      <c r="E97" s="1" t="s">
        <v>1267</v>
      </c>
      <c r="F97" s="1" t="s">
        <v>11</v>
      </c>
    </row>
    <row r="98" spans="1:6" x14ac:dyDescent="0.2">
      <c r="A98" s="1" t="str">
        <f t="shared" si="11"/>
        <v>Máriapócs and Gyõr</v>
      </c>
      <c r="B98" s="1" t="str">
        <f t="shared" si="12"/>
        <v>Hungary</v>
      </c>
      <c r="C98" s="1" t="s">
        <v>1139</v>
      </c>
      <c r="D98" s="1" t="e">
        <f t="shared" si="6"/>
        <v>#VALUE!</v>
      </c>
      <c r="E98" s="1" t="s">
        <v>1268</v>
      </c>
      <c r="F98" s="1" t="s">
        <v>581</v>
      </c>
    </row>
    <row r="99" spans="1:6" x14ac:dyDescent="0.2">
      <c r="A99" s="1" t="str">
        <f t="shared" si="11"/>
        <v>Cotoca</v>
      </c>
      <c r="B99" s="1" t="str">
        <f t="shared" si="12"/>
        <v>Bolivia</v>
      </c>
      <c r="C99" s="1" t="s">
        <v>1140</v>
      </c>
      <c r="D99" s="1" t="e">
        <f t="shared" si="6"/>
        <v>#VALUE!</v>
      </c>
      <c r="E99" s="1" t="s">
        <v>1269</v>
      </c>
      <c r="F99" s="1" t="s">
        <v>709</v>
      </c>
    </row>
    <row r="100" spans="1:6" x14ac:dyDescent="0.2">
      <c r="A100" s="1" t="str">
        <f t="shared" si="11"/>
        <v>Quillacollo</v>
      </c>
      <c r="B100" s="1" t="str">
        <f t="shared" si="12"/>
        <v>Bolivia</v>
      </c>
      <c r="C100" s="1" t="s">
        <v>1141</v>
      </c>
      <c r="D100" s="1" t="e">
        <f t="shared" si="6"/>
        <v>#VALUE!</v>
      </c>
      <c r="E100" s="1" t="s">
        <v>1270</v>
      </c>
      <c r="F100" s="1" t="s">
        <v>709</v>
      </c>
    </row>
    <row r="101" spans="1:6" x14ac:dyDescent="0.2">
      <c r="A101" s="1" t="str">
        <f t="shared" si="11"/>
        <v>Pellestrina</v>
      </c>
      <c r="B101" s="1" t="str">
        <f t="shared" si="12"/>
        <v>Italy</v>
      </c>
      <c r="C101" s="1" t="s">
        <v>1142</v>
      </c>
      <c r="D101" s="1" t="e">
        <f t="shared" si="6"/>
        <v>#VALUE!</v>
      </c>
      <c r="E101" s="1" t="s">
        <v>1271</v>
      </c>
      <c r="F101" s="1" t="s">
        <v>11</v>
      </c>
    </row>
    <row r="102" spans="1:6" x14ac:dyDescent="0.2">
      <c r="A102" s="1" t="str">
        <f t="shared" si="11"/>
        <v>Vale Do Paraíba</v>
      </c>
      <c r="B102" s="1" t="str">
        <f t="shared" si="12"/>
        <v>Brazil</v>
      </c>
      <c r="C102" s="1" t="s">
        <v>1143</v>
      </c>
      <c r="D102" s="1" t="e">
        <f t="shared" si="6"/>
        <v>#VALUE!</v>
      </c>
      <c r="E102" s="1" t="s">
        <v>1272</v>
      </c>
      <c r="F102" s="1" t="s">
        <v>518</v>
      </c>
    </row>
    <row r="103" spans="1:6" x14ac:dyDescent="0.2">
      <c r="A103" s="1" t="str">
        <f t="shared" si="11"/>
        <v>Montagnaga Di Pine’</v>
      </c>
      <c r="B103" s="1" t="str">
        <f t="shared" si="12"/>
        <v>Italy</v>
      </c>
      <c r="C103" s="1" t="s">
        <v>1144</v>
      </c>
      <c r="D103" s="1" t="e">
        <f t="shared" si="6"/>
        <v>#VALUE!</v>
      </c>
      <c r="E103" s="1" t="s">
        <v>1273</v>
      </c>
      <c r="F103" s="1" t="s">
        <v>11</v>
      </c>
    </row>
    <row r="104" spans="1:6" x14ac:dyDescent="0.2">
      <c r="A104" s="1" t="str">
        <f t="shared" si="11"/>
        <v>Rome (Our Lady of Divine Love)</v>
      </c>
      <c r="B104" s="1" t="s">
        <v>731</v>
      </c>
      <c r="C104" s="1" t="s">
        <v>1145</v>
      </c>
      <c r="D104" s="1" t="e">
        <f t="shared" si="6"/>
        <v>#VALUE!</v>
      </c>
      <c r="E104" s="1" t="s">
        <v>1312</v>
      </c>
      <c r="F104" s="1" t="s">
        <v>11</v>
      </c>
    </row>
    <row r="105" spans="1:6" x14ac:dyDescent="0.2">
      <c r="A105" s="1" t="str">
        <f t="shared" si="11"/>
        <v>Chaguaya</v>
      </c>
      <c r="B105" s="1" t="str">
        <f>F105</f>
        <v>Bolivia</v>
      </c>
      <c r="C105" s="1" t="s">
        <v>1146</v>
      </c>
      <c r="D105" s="1" t="e">
        <f t="shared" si="6"/>
        <v>#VALUE!</v>
      </c>
      <c r="E105" s="1" t="s">
        <v>1274</v>
      </c>
      <c r="F105" s="1" t="s">
        <v>709</v>
      </c>
    </row>
    <row r="106" spans="1:6" x14ac:dyDescent="0.2">
      <c r="A106" s="1" t="str">
        <f t="shared" si="11"/>
        <v>Las Lajas</v>
      </c>
      <c r="B106" s="1" t="str">
        <f>F106</f>
        <v>Colombia</v>
      </c>
      <c r="C106" s="1" t="s">
        <v>1147</v>
      </c>
      <c r="D106" s="1" t="e">
        <f t="shared" si="6"/>
        <v>#VALUE!</v>
      </c>
      <c r="E106" s="1" t="s">
        <v>1275</v>
      </c>
      <c r="F106" s="1" t="s">
        <v>534</v>
      </c>
    </row>
    <row r="107" spans="1:6" x14ac:dyDescent="0.2">
      <c r="A107" s="1" t="str">
        <f t="shared" si="11"/>
        <v>Absam</v>
      </c>
      <c r="B107" s="1" t="str">
        <f>F107</f>
        <v>Austria</v>
      </c>
      <c r="C107" s="1" t="s">
        <v>1148</v>
      </c>
      <c r="D107" s="1" t="e">
        <f t="shared" si="6"/>
        <v>#VALUE!</v>
      </c>
      <c r="E107" s="1" t="s">
        <v>1276</v>
      </c>
      <c r="F107" s="1" t="s">
        <v>502</v>
      </c>
    </row>
    <row r="108" spans="1:6" x14ac:dyDescent="0.2">
      <c r="A108" s="1" t="str">
        <f t="shared" si="11"/>
        <v>La Vang</v>
      </c>
      <c r="B108" s="1" t="str">
        <f>F108</f>
        <v>Vietnam</v>
      </c>
      <c r="C108" s="1" t="s">
        <v>1149</v>
      </c>
      <c r="D108" s="1" t="e">
        <f t="shared" si="6"/>
        <v>#VALUE!</v>
      </c>
      <c r="E108" s="1" t="s">
        <v>1277</v>
      </c>
      <c r="F108" s="1" t="s">
        <v>742</v>
      </c>
    </row>
    <row r="109" spans="1:6" x14ac:dyDescent="0.2">
      <c r="A109" s="1" t="str">
        <f t="shared" si="11"/>
        <v>Ornans</v>
      </c>
      <c r="B109" s="1" t="str">
        <f>F109</f>
        <v>France</v>
      </c>
      <c r="C109" s="1" t="s">
        <v>1150</v>
      </c>
      <c r="D109" s="1" t="e">
        <f t="shared" si="6"/>
        <v>#VALUE!</v>
      </c>
      <c r="E109" s="1" t="s">
        <v>1278</v>
      </c>
      <c r="F109" s="1" t="s">
        <v>557</v>
      </c>
    </row>
    <row r="110" spans="1:6" x14ac:dyDescent="0.2">
      <c r="A110" s="1" t="s">
        <v>1021</v>
      </c>
      <c r="B110" s="1" t="s">
        <v>651</v>
      </c>
      <c r="C110" s="1" t="s">
        <v>1022</v>
      </c>
      <c r="D110" s="1" t="e">
        <f t="shared" si="6"/>
        <v>#VALUE!</v>
      </c>
      <c r="E110" s="1" t="e">
        <v>#VALUE!</v>
      </c>
    </row>
    <row r="111" spans="1:6" x14ac:dyDescent="0.2">
      <c r="A111" s="1" t="s">
        <v>1025</v>
      </c>
      <c r="B111" s="1" t="s">
        <v>732</v>
      </c>
      <c r="C111" s="1">
        <v>1830</v>
      </c>
      <c r="D111" s="1" t="e">
        <f t="shared" si="6"/>
        <v>#VALUE!</v>
      </c>
      <c r="E111" s="1" t="e">
        <v>#VALUE!</v>
      </c>
    </row>
    <row r="112" spans="1:6" x14ac:dyDescent="0.2">
      <c r="A112" s="1" t="s">
        <v>1004</v>
      </c>
      <c r="B112" s="1" t="s">
        <v>731</v>
      </c>
      <c r="C112" s="1">
        <v>1842</v>
      </c>
      <c r="D112" s="1" t="e">
        <f t="shared" si="6"/>
        <v>#VALUE!</v>
      </c>
      <c r="E112" s="1" t="e">
        <v>#VALUE!</v>
      </c>
    </row>
    <row r="113" spans="1:6" x14ac:dyDescent="0.2">
      <c r="A113" s="1" t="s">
        <v>1026</v>
      </c>
      <c r="B113" s="1" t="s">
        <v>557</v>
      </c>
      <c r="C113" s="1">
        <v>1846</v>
      </c>
      <c r="D113" s="1" t="e">
        <f t="shared" si="6"/>
        <v>#VALUE!</v>
      </c>
      <c r="E113" s="1" t="e">
        <v>#VALUE!</v>
      </c>
    </row>
    <row r="114" spans="1:6" x14ac:dyDescent="0.2">
      <c r="A114" s="1" t="str">
        <f>E114</f>
        <v>Cerreto Di Sorano</v>
      </c>
      <c r="B114" s="1" t="str">
        <f>F114</f>
        <v>Italy</v>
      </c>
      <c r="C114" s="1" t="s">
        <v>1151</v>
      </c>
      <c r="D114" s="1" t="e">
        <f t="shared" si="6"/>
        <v>#VALUE!</v>
      </c>
      <c r="E114" s="1" t="s">
        <v>1279</v>
      </c>
      <c r="F114" s="1" t="s">
        <v>11</v>
      </c>
    </row>
    <row r="115" spans="1:6" x14ac:dyDescent="0.2">
      <c r="A115" s="1" t="str">
        <f>E115</f>
        <v>Porzus Degli Slavi</v>
      </c>
      <c r="B115" s="1" t="str">
        <f>F115</f>
        <v>Italy</v>
      </c>
      <c r="C115" s="1" t="s">
        <v>1152</v>
      </c>
      <c r="D115" s="1" t="e">
        <f t="shared" si="6"/>
        <v>#VALUE!</v>
      </c>
      <c r="E115" s="1" t="s">
        <v>1280</v>
      </c>
      <c r="F115" s="1" t="s">
        <v>11</v>
      </c>
    </row>
    <row r="116" spans="1:6" x14ac:dyDescent="0.2">
      <c r="A116" s="1" t="s">
        <v>999</v>
      </c>
      <c r="B116" s="1" t="s">
        <v>557</v>
      </c>
      <c r="C116" s="1">
        <v>1858</v>
      </c>
      <c r="D116" s="1" t="e">
        <f t="shared" si="6"/>
        <v>#VALUE!</v>
      </c>
      <c r="E116" s="1" t="e">
        <v>#VALUE!</v>
      </c>
    </row>
    <row r="117" spans="1:6" x14ac:dyDescent="0.2">
      <c r="A117" s="1" t="str">
        <f>E117</f>
        <v>Champion</v>
      </c>
      <c r="B117" s="1" t="str">
        <f>F117</f>
        <v>United States of America</v>
      </c>
      <c r="C117" s="1" t="s">
        <v>1153</v>
      </c>
      <c r="D117" s="1" t="e">
        <f t="shared" si="6"/>
        <v>#VALUE!</v>
      </c>
      <c r="E117" s="1" t="s">
        <v>1281</v>
      </c>
      <c r="F117" s="1" t="s">
        <v>697</v>
      </c>
    </row>
    <row r="118" spans="1:6" x14ac:dyDescent="0.2">
      <c r="A118" s="1" t="str">
        <f>E118</f>
        <v>Montefalco</v>
      </c>
      <c r="B118" s="1" t="str">
        <f>F118</f>
        <v>Italy</v>
      </c>
      <c r="C118" s="1" t="s">
        <v>1154</v>
      </c>
      <c r="D118" s="1" t="e">
        <f t="shared" si="6"/>
        <v>#VALUE!</v>
      </c>
      <c r="E118" s="1" t="s">
        <v>1282</v>
      </c>
      <c r="F118" s="1" t="s">
        <v>11</v>
      </c>
    </row>
    <row r="119" spans="1:6" x14ac:dyDescent="0.2">
      <c r="A119" s="1" t="s">
        <v>997</v>
      </c>
      <c r="B119" s="1" t="s">
        <v>541</v>
      </c>
      <c r="C119" s="1">
        <v>1866</v>
      </c>
      <c r="D119" s="1" t="e">
        <f t="shared" si="6"/>
        <v>#VALUE!</v>
      </c>
      <c r="E119" s="1" t="e">
        <v>#VALUE!</v>
      </c>
    </row>
    <row r="120" spans="1:6" x14ac:dyDescent="0.2">
      <c r="A120" s="1" t="s">
        <v>998</v>
      </c>
      <c r="B120" s="1" t="s">
        <v>557</v>
      </c>
      <c r="C120" s="1">
        <v>1871</v>
      </c>
      <c r="D120" s="1" t="e">
        <f t="shared" si="6"/>
        <v>#VALUE!</v>
      </c>
      <c r="E120" s="1" t="e">
        <v>#VALUE!</v>
      </c>
    </row>
    <row r="121" spans="1:6" x14ac:dyDescent="0.2">
      <c r="A121" s="1" t="str">
        <f t="shared" ref="A121:B123" si="13">E121</f>
        <v>Saint Bauzille de la Sylve</v>
      </c>
      <c r="B121" s="1" t="str">
        <f t="shared" si="13"/>
        <v>France</v>
      </c>
      <c r="C121" s="1" t="s">
        <v>1155</v>
      </c>
      <c r="D121" s="1" t="e">
        <f t="shared" si="6"/>
        <v>#VALUE!</v>
      </c>
      <c r="E121" s="1" t="s">
        <v>1283</v>
      </c>
      <c r="F121" s="1" t="s">
        <v>557</v>
      </c>
    </row>
    <row r="122" spans="1:6" x14ac:dyDescent="0.2">
      <c r="A122" s="1" t="str">
        <f t="shared" si="13"/>
        <v>Pompei</v>
      </c>
      <c r="B122" s="1" t="str">
        <f t="shared" si="13"/>
        <v>Italy</v>
      </c>
      <c r="C122" s="1" t="s">
        <v>1156</v>
      </c>
      <c r="D122" s="1" t="e">
        <f t="shared" si="6"/>
        <v>#VALUE!</v>
      </c>
      <c r="E122" s="1" t="s">
        <v>1284</v>
      </c>
      <c r="F122" s="1" t="s">
        <v>11</v>
      </c>
    </row>
    <row r="123" spans="1:6" x14ac:dyDescent="0.2">
      <c r="A123" s="1" t="str">
        <f t="shared" si="13"/>
        <v>Pellovoisin</v>
      </c>
      <c r="B123" s="1" t="str">
        <f t="shared" si="13"/>
        <v>France</v>
      </c>
      <c r="C123" s="1" t="s">
        <v>1157</v>
      </c>
      <c r="D123" s="1" t="e">
        <f t="shared" si="6"/>
        <v>#VALUE!</v>
      </c>
      <c r="E123" s="1" t="s">
        <v>1285</v>
      </c>
      <c r="F123" s="1" t="s">
        <v>557</v>
      </c>
    </row>
    <row r="124" spans="1:6" x14ac:dyDescent="0.2">
      <c r="A124" s="1" t="s">
        <v>996</v>
      </c>
      <c r="B124" s="1" t="s">
        <v>651</v>
      </c>
      <c r="C124" s="1">
        <v>1877</v>
      </c>
      <c r="D124" s="1" t="e">
        <f t="shared" si="6"/>
        <v>#VALUE!</v>
      </c>
      <c r="E124" s="1" t="e">
        <v>#VALUE!</v>
      </c>
    </row>
    <row r="125" spans="1:6" x14ac:dyDescent="0.2">
      <c r="A125" s="1" t="s">
        <v>995</v>
      </c>
      <c r="B125" s="1" t="s">
        <v>583</v>
      </c>
      <c r="C125" s="1">
        <v>1879</v>
      </c>
      <c r="D125" s="1" t="e">
        <f t="shared" si="6"/>
        <v>#VALUE!</v>
      </c>
      <c r="E125" s="1" t="e">
        <v>#VALUE!</v>
      </c>
    </row>
    <row r="126" spans="1:6" x14ac:dyDescent="0.2">
      <c r="A126" s="1" t="str">
        <f t="shared" ref="A126:B129" si="14">E126</f>
        <v>Castelpetroso</v>
      </c>
      <c r="B126" s="1" t="str">
        <f t="shared" si="14"/>
        <v>Italy</v>
      </c>
      <c r="C126" s="1" t="s">
        <v>1158</v>
      </c>
      <c r="D126" s="1" t="e">
        <f t="shared" si="6"/>
        <v>#VALUE!</v>
      </c>
      <c r="E126" s="1" t="s">
        <v>1286</v>
      </c>
      <c r="F126" s="1" t="s">
        <v>11</v>
      </c>
    </row>
    <row r="127" spans="1:6" x14ac:dyDescent="0.2">
      <c r="A127" s="1" t="str">
        <f t="shared" si="14"/>
        <v>Szczyrk</v>
      </c>
      <c r="B127" s="1" t="str">
        <f t="shared" si="14"/>
        <v>Poland</v>
      </c>
      <c r="C127" s="1" t="s">
        <v>1159</v>
      </c>
      <c r="D127" s="1" t="e">
        <f t="shared" si="6"/>
        <v>#VALUE!</v>
      </c>
      <c r="E127" s="1" t="s">
        <v>1287</v>
      </c>
      <c r="F127" s="1" t="s">
        <v>651</v>
      </c>
    </row>
    <row r="128" spans="1:6" x14ac:dyDescent="0.2">
      <c r="A128" s="1" t="str">
        <f t="shared" si="14"/>
        <v>Betania</v>
      </c>
      <c r="B128" s="1" t="str">
        <f t="shared" si="14"/>
        <v>Venezuela</v>
      </c>
      <c r="C128" s="1" t="s">
        <v>1160</v>
      </c>
      <c r="D128" s="1" t="e">
        <f t="shared" si="6"/>
        <v>#VALUE!</v>
      </c>
      <c r="E128" s="1" t="s">
        <v>1288</v>
      </c>
      <c r="F128" s="1" t="s">
        <v>717</v>
      </c>
    </row>
    <row r="129" spans="1:6" x14ac:dyDescent="0.2">
      <c r="A129" s="1" t="str">
        <f t="shared" si="14"/>
        <v>Dong Lu</v>
      </c>
      <c r="B129" s="1" t="str">
        <f t="shared" si="14"/>
        <v>China</v>
      </c>
      <c r="C129" s="1" t="s">
        <v>1161</v>
      </c>
      <c r="D129" s="1" t="e">
        <f t="shared" si="6"/>
        <v>#VALUE!</v>
      </c>
      <c r="E129" s="1" t="s">
        <v>1289</v>
      </c>
      <c r="F129" s="1" t="s">
        <v>533</v>
      </c>
    </row>
    <row r="130" spans="1:6" x14ac:dyDescent="0.2">
      <c r="A130" s="1" t="s">
        <v>726</v>
      </c>
      <c r="B130" s="1" t="s">
        <v>655</v>
      </c>
      <c r="C130" s="1">
        <v>1916</v>
      </c>
      <c r="D130" s="1" t="e">
        <f t="shared" si="6"/>
        <v>#VALUE!</v>
      </c>
      <c r="E130" s="1" t="e">
        <v>#VALUE!</v>
      </c>
    </row>
    <row r="131" spans="1:6" x14ac:dyDescent="0.2">
      <c r="A131" s="1" t="str">
        <f t="shared" ref="A131:B134" si="15">E131</f>
        <v>Turin</v>
      </c>
      <c r="B131" s="1" t="str">
        <f t="shared" si="15"/>
        <v>Italy</v>
      </c>
      <c r="C131" s="1" t="s">
        <v>1162</v>
      </c>
      <c r="D131" s="1" t="e">
        <f t="shared" ref="D131:D154" si="16">MID(A131,FIND(". ",A131)+2,LEN(A131))</f>
        <v>#VALUE!</v>
      </c>
      <c r="E131" s="1" t="s">
        <v>1290</v>
      </c>
      <c r="F131" s="1" t="s">
        <v>11</v>
      </c>
    </row>
    <row r="132" spans="1:6" x14ac:dyDescent="0.2">
      <c r="A132" s="1" t="str">
        <f t="shared" si="15"/>
        <v>Cernusco Sul Naviglio</v>
      </c>
      <c r="B132" s="1" t="str">
        <f t="shared" si="15"/>
        <v>Italy</v>
      </c>
      <c r="C132" s="1" t="s">
        <v>1163</v>
      </c>
      <c r="D132" s="1" t="e">
        <f t="shared" si="16"/>
        <v>#VALUE!</v>
      </c>
      <c r="E132" s="1" t="s">
        <v>1291</v>
      </c>
      <c r="F132" s="1" t="s">
        <v>11</v>
      </c>
    </row>
    <row r="133" spans="1:6" x14ac:dyDescent="0.2">
      <c r="A133" s="1" t="str">
        <f t="shared" si="15"/>
        <v>Pontevedra and Tuy</v>
      </c>
      <c r="B133" s="1" t="str">
        <f t="shared" si="15"/>
        <v>Spain</v>
      </c>
      <c r="C133" s="1" t="s">
        <v>1164</v>
      </c>
      <c r="D133" s="1" t="e">
        <f t="shared" si="16"/>
        <v>#VALUE!</v>
      </c>
      <c r="E133" s="1" t="s">
        <v>1292</v>
      </c>
      <c r="F133" s="1" t="s">
        <v>552</v>
      </c>
    </row>
    <row r="134" spans="1:6" x14ac:dyDescent="0.2">
      <c r="A134" s="1" t="str">
        <f t="shared" si="15"/>
        <v>Campiñas</v>
      </c>
      <c r="B134" s="1" t="str">
        <f t="shared" si="15"/>
        <v>Brazil</v>
      </c>
      <c r="C134" s="1" t="s">
        <v>1165</v>
      </c>
      <c r="D134" s="1" t="e">
        <f t="shared" si="16"/>
        <v>#VALUE!</v>
      </c>
      <c r="E134" s="1" t="s">
        <v>1293</v>
      </c>
      <c r="F134" s="1" t="s">
        <v>518</v>
      </c>
    </row>
    <row r="135" spans="1:6" x14ac:dyDescent="0.2">
      <c r="A135" s="1" t="s">
        <v>994</v>
      </c>
      <c r="B135" s="1" t="s">
        <v>509</v>
      </c>
      <c r="C135" s="1">
        <v>1932</v>
      </c>
      <c r="D135" s="1" t="e">
        <f t="shared" si="16"/>
        <v>#VALUE!</v>
      </c>
      <c r="E135" s="1" t="e">
        <v>#VALUE!</v>
      </c>
    </row>
    <row r="136" spans="1:6" x14ac:dyDescent="0.2">
      <c r="A136" s="1" t="s">
        <v>993</v>
      </c>
      <c r="B136" s="1" t="s">
        <v>509</v>
      </c>
      <c r="C136" s="1">
        <v>1933</v>
      </c>
      <c r="D136" s="1" t="e">
        <f t="shared" si="16"/>
        <v>#VALUE!</v>
      </c>
      <c r="E136" s="1" t="e">
        <v>#VALUE!</v>
      </c>
    </row>
    <row r="137" spans="1:6" x14ac:dyDescent="0.2">
      <c r="A137" s="1" t="str">
        <f t="shared" ref="A137:A149" si="17">E137</f>
        <v>Pesqueira</v>
      </c>
      <c r="B137" s="1" t="str">
        <f t="shared" ref="B137:B149" si="18">F137</f>
        <v>Brazil</v>
      </c>
      <c r="C137" s="1" t="s">
        <v>1166</v>
      </c>
      <c r="D137" s="1" t="e">
        <f t="shared" si="16"/>
        <v>#VALUE!</v>
      </c>
      <c r="E137" s="1" t="s">
        <v>1294</v>
      </c>
      <c r="F137" s="1" t="s">
        <v>518</v>
      </c>
    </row>
    <row r="138" spans="1:6" x14ac:dyDescent="0.2">
      <c r="A138" s="1" t="str">
        <f t="shared" si="17"/>
        <v>Heede</v>
      </c>
      <c r="B138" s="1" t="str">
        <f t="shared" si="18"/>
        <v>Germany</v>
      </c>
      <c r="C138" s="1" t="s">
        <v>1167</v>
      </c>
      <c r="D138" s="1" t="e">
        <f t="shared" si="16"/>
        <v>#VALUE!</v>
      </c>
      <c r="E138" s="1" t="s">
        <v>1295</v>
      </c>
      <c r="F138" s="1" t="s">
        <v>542</v>
      </c>
    </row>
    <row r="139" spans="1:6" x14ac:dyDescent="0.2">
      <c r="A139" s="1" t="str">
        <f t="shared" si="17"/>
        <v>Milan</v>
      </c>
      <c r="B139" s="1" t="str">
        <f t="shared" si="18"/>
        <v>Italy</v>
      </c>
      <c r="C139" s="1" t="s">
        <v>1168</v>
      </c>
      <c r="D139" s="1" t="e">
        <f t="shared" si="16"/>
        <v>#VALUE!</v>
      </c>
      <c r="E139" s="1" t="s">
        <v>1296</v>
      </c>
      <c r="F139" s="1" t="s">
        <v>11</v>
      </c>
    </row>
    <row r="140" spans="1:6" x14ac:dyDescent="0.2">
      <c r="A140" s="1" t="str">
        <f t="shared" si="17"/>
        <v>Kallikulam</v>
      </c>
      <c r="B140" s="1" t="str">
        <f t="shared" si="18"/>
        <v>India</v>
      </c>
      <c r="C140" s="1" t="s">
        <v>1169</v>
      </c>
      <c r="D140" s="1" t="e">
        <f t="shared" si="16"/>
        <v>#VALUE!</v>
      </c>
      <c r="E140" s="1" t="s">
        <v>1297</v>
      </c>
      <c r="F140" s="1" t="s">
        <v>2</v>
      </c>
    </row>
    <row r="141" spans="1:6" x14ac:dyDescent="0.2">
      <c r="A141" s="1" t="str">
        <f t="shared" si="17"/>
        <v>Pfaffenhofen Marienfried</v>
      </c>
      <c r="B141" s="1" t="str">
        <f t="shared" si="18"/>
        <v>Germany</v>
      </c>
      <c r="C141" s="1" t="s">
        <v>1170</v>
      </c>
      <c r="D141" s="1" t="e">
        <f t="shared" si="16"/>
        <v>#VALUE!</v>
      </c>
      <c r="E141" s="1" t="s">
        <v>1298</v>
      </c>
      <c r="F141" s="1" t="s">
        <v>542</v>
      </c>
    </row>
    <row r="142" spans="1:6" x14ac:dyDescent="0.2">
      <c r="A142" s="1" t="str">
        <f t="shared" si="17"/>
        <v>Siekierki</v>
      </c>
      <c r="B142" s="1" t="str">
        <f t="shared" si="18"/>
        <v>Poland</v>
      </c>
      <c r="C142" s="1" t="s">
        <v>1171</v>
      </c>
      <c r="D142" s="1" t="e">
        <f t="shared" si="16"/>
        <v>#VALUE!</v>
      </c>
      <c r="E142" s="1" t="s">
        <v>1299</v>
      </c>
      <c r="F142" s="1" t="s">
        <v>651</v>
      </c>
    </row>
    <row r="143" spans="1:6" x14ac:dyDescent="0.2">
      <c r="A143" s="1" t="str">
        <f t="shared" si="17"/>
        <v>La Codosera</v>
      </c>
      <c r="B143" s="1" t="str">
        <f t="shared" si="18"/>
        <v>Spain</v>
      </c>
      <c r="C143" s="1" t="s">
        <v>1172</v>
      </c>
      <c r="D143" s="1" t="e">
        <f t="shared" si="16"/>
        <v>#VALUE!</v>
      </c>
      <c r="E143" s="1" t="s">
        <v>1300</v>
      </c>
      <c r="F143" s="1" t="s">
        <v>552</v>
      </c>
    </row>
    <row r="144" spans="1:6" x14ac:dyDescent="0.2">
      <c r="A144" s="1" t="str">
        <f t="shared" si="17"/>
        <v>Île-Bouchard</v>
      </c>
      <c r="B144" s="1" t="str">
        <f t="shared" si="18"/>
        <v>France</v>
      </c>
      <c r="C144" s="1" t="s">
        <v>1173</v>
      </c>
      <c r="D144" s="1" t="e">
        <f t="shared" si="16"/>
        <v>#VALUE!</v>
      </c>
      <c r="E144" s="1" t="s">
        <v>1301</v>
      </c>
      <c r="F144" s="1" t="s">
        <v>557</v>
      </c>
    </row>
    <row r="145" spans="1:6" x14ac:dyDescent="0.2">
      <c r="A145" s="1" t="str">
        <f t="shared" si="17"/>
        <v>Heroldsbach</v>
      </c>
      <c r="B145" s="1" t="str">
        <f t="shared" si="18"/>
        <v>Germany</v>
      </c>
      <c r="C145" s="1" t="s">
        <v>1174</v>
      </c>
      <c r="D145" s="1" t="e">
        <f t="shared" si="16"/>
        <v>#VALUE!</v>
      </c>
      <c r="E145" s="1" t="s">
        <v>1302</v>
      </c>
      <c r="F145" s="1" t="s">
        <v>542</v>
      </c>
    </row>
    <row r="146" spans="1:6" x14ac:dyDescent="0.2">
      <c r="A146" s="1" t="str">
        <f t="shared" si="17"/>
        <v>Rogorotto</v>
      </c>
      <c r="B146" s="1" t="str">
        <f t="shared" si="18"/>
        <v>Italy</v>
      </c>
      <c r="C146" s="1" t="s">
        <v>1175</v>
      </c>
      <c r="D146" s="1" t="e">
        <f t="shared" si="16"/>
        <v>#VALUE!</v>
      </c>
      <c r="E146" s="1" t="s">
        <v>1303</v>
      </c>
      <c r="F146" s="1" t="s">
        <v>11</v>
      </c>
    </row>
    <row r="147" spans="1:6" x14ac:dyDescent="0.2">
      <c r="A147" s="1" t="str">
        <f t="shared" si="17"/>
        <v>Syracuse</v>
      </c>
      <c r="B147" s="1" t="str">
        <f t="shared" si="18"/>
        <v>Italy</v>
      </c>
      <c r="C147" s="1" t="s">
        <v>1176</v>
      </c>
      <c r="D147" s="1" t="e">
        <f t="shared" si="16"/>
        <v>#VALUE!</v>
      </c>
      <c r="E147" s="1" t="s">
        <v>1304</v>
      </c>
      <c r="F147" s="1" t="s">
        <v>11</v>
      </c>
    </row>
    <row r="148" spans="1:6" x14ac:dyDescent="0.2">
      <c r="A148" s="1" t="str">
        <f t="shared" si="17"/>
        <v>Ngome</v>
      </c>
      <c r="B148" s="1" t="str">
        <f t="shared" si="18"/>
        <v>South Africa</v>
      </c>
      <c r="C148" s="1" t="s">
        <v>1177</v>
      </c>
      <c r="D148" s="1" t="e">
        <f t="shared" si="16"/>
        <v>#VALUE!</v>
      </c>
      <c r="E148" s="1" t="s">
        <v>1305</v>
      </c>
      <c r="F148" s="1" t="s">
        <v>706</v>
      </c>
    </row>
    <row r="149" spans="1:6" x14ac:dyDescent="0.2">
      <c r="A149" s="1" t="str">
        <f t="shared" si="17"/>
        <v>Fostoria</v>
      </c>
      <c r="B149" s="1" t="str">
        <f t="shared" si="18"/>
        <v>United States of America</v>
      </c>
      <c r="C149" s="1" t="s">
        <v>1178</v>
      </c>
      <c r="D149" s="1" t="e">
        <f t="shared" si="16"/>
        <v>#VALUE!</v>
      </c>
      <c r="E149" s="1" t="s">
        <v>1306</v>
      </c>
      <c r="F149" s="1" t="s">
        <v>697</v>
      </c>
    </row>
    <row r="150" spans="1:6" x14ac:dyDescent="0.2">
      <c r="A150" s="1" t="s">
        <v>1030</v>
      </c>
      <c r="B150" s="1" t="s">
        <v>21</v>
      </c>
      <c r="C150" s="1" t="s">
        <v>1013</v>
      </c>
      <c r="D150" s="1" t="e">
        <f t="shared" si="16"/>
        <v>#VALUE!</v>
      </c>
      <c r="E150" s="1" t="e">
        <v>#VALUE!</v>
      </c>
    </row>
    <row r="151" spans="1:6" x14ac:dyDescent="0.2">
      <c r="A151" s="1" t="str">
        <f>E151</f>
        <v>Akita</v>
      </c>
      <c r="B151" s="1" t="str">
        <f>F151</f>
        <v>Japan</v>
      </c>
      <c r="C151" s="1" t="s">
        <v>1179</v>
      </c>
      <c r="D151" s="1" t="e">
        <f t="shared" si="16"/>
        <v>#VALUE!</v>
      </c>
      <c r="E151" s="1" t="s">
        <v>1307</v>
      </c>
      <c r="F151" s="1" t="s">
        <v>592</v>
      </c>
    </row>
    <row r="152" spans="1:6" x14ac:dyDescent="0.2">
      <c r="A152" s="1" t="str">
        <f>E152</f>
        <v>Cuapa</v>
      </c>
      <c r="B152" s="1" t="str">
        <f>F152</f>
        <v>Nicaragua</v>
      </c>
      <c r="C152" s="1" t="s">
        <v>1180</v>
      </c>
      <c r="D152" s="1" t="e">
        <f t="shared" si="16"/>
        <v>#VALUE!</v>
      </c>
      <c r="E152" s="1" t="s">
        <v>1308</v>
      </c>
      <c r="F152" s="1" t="s">
        <v>638</v>
      </c>
    </row>
    <row r="153" spans="1:6" x14ac:dyDescent="0.2">
      <c r="A153" s="1" t="s">
        <v>484</v>
      </c>
      <c r="B153" s="1" t="s">
        <v>482</v>
      </c>
      <c r="C153" s="1">
        <v>1981</v>
      </c>
      <c r="D153" s="1" t="e">
        <f t="shared" si="16"/>
        <v>#VALUE!</v>
      </c>
      <c r="E153" s="1" t="e">
        <v>#VALUE!</v>
      </c>
    </row>
    <row r="154" spans="1:6" x14ac:dyDescent="0.2">
      <c r="A154" s="1" t="str">
        <f>E154</f>
        <v>Namyang</v>
      </c>
      <c r="B154" s="1" t="str">
        <f>F154</f>
        <v>South Korea</v>
      </c>
      <c r="C154" s="1" t="s">
        <v>1181</v>
      </c>
      <c r="D154" s="1" t="e">
        <f t="shared" si="16"/>
        <v>#VALUE!</v>
      </c>
      <c r="E154" s="1" t="s">
        <v>1309</v>
      </c>
      <c r="F154" s="1" t="s">
        <v>720</v>
      </c>
    </row>
  </sheetData>
  <autoFilter ref="A1:F154" xr:uid="{CF38A5E8-E436-4289-AF0B-1BD0BA68A638}"/>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49</vt:i4>
      </vt:variant>
    </vt:vector>
  </HeadingPairs>
  <TitlesOfParts>
    <vt:vector size="56" baseType="lpstr">
      <vt:lpstr>WP Site</vt:lpstr>
      <vt:lpstr>Live Sites</vt:lpstr>
      <vt:lpstr>Draft Sites</vt:lpstr>
      <vt:lpstr>Tag List</vt:lpstr>
      <vt:lpstr>(Ref) Countries</vt:lpstr>
      <vt:lpstr>Sheet1</vt:lpstr>
      <vt:lpstr>Sheet7</vt:lpstr>
      <vt:lpstr>Sheet1!adana</vt:lpstr>
      <vt:lpstr>Sheet1!alexandria</vt:lpstr>
      <vt:lpstr>Sheet1!athos</vt:lpstr>
      <vt:lpstr>Sheet1!behuard</vt:lpstr>
      <vt:lpstr>Sheet1!benevento</vt:lpstr>
      <vt:lpstr>Sheet1!bolougne</vt:lpstr>
      <vt:lpstr>Sheet1!caesarea</vt:lpstr>
      <vt:lpstr>Sheet1!canterbury980</vt:lpstr>
      <vt:lpstr>Sheet1!castelnuovo</vt:lpstr>
      <vt:lpstr>Sheet1!clermont</vt:lpstr>
      <vt:lpstr>Sheet1!cologne</vt:lpstr>
      <vt:lpstr>Sheet1!constantinople</vt:lpstr>
      <vt:lpstr>Sheet1!constantinople714</vt:lpstr>
      <vt:lpstr>Sheet1!corbie</vt:lpstr>
      <vt:lpstr>Sheet1!corentin</vt:lpstr>
      <vt:lpstr>Sheet1!egypt</vt:lpstr>
      <vt:lpstr>Sheet1!ensiedeln</vt:lpstr>
      <vt:lpstr>Sheet1!ephesus</vt:lpstr>
      <vt:lpstr>Sheet1!evesham</vt:lpstr>
      <vt:lpstr>Sheet1!farfa</vt:lpstr>
      <vt:lpstr>Sheet1!galla</vt:lpstr>
      <vt:lpstr>Sheet1!gargano</vt:lpstr>
      <vt:lpstr>Sheet1!genoa</vt:lpstr>
      <vt:lpstr>Sheet1!giudicaele</vt:lpstr>
      <vt:lpstr>Sheet1!gregoryoftours</vt:lpstr>
      <vt:lpstr>Sheet1!gualdotadino</vt:lpstr>
      <vt:lpstr>Sheet1!hainault</vt:lpstr>
      <vt:lpstr>Sheet1!herford</vt:lpstr>
      <vt:lpstr>Sheet1!india</vt:lpstr>
      <vt:lpstr>Sheet1!italy300</vt:lpstr>
      <vt:lpstr>Sheet1!kuravilangad</vt:lpstr>
      <vt:lpstr>Sheet1!maastricht</vt:lpstr>
      <vt:lpstr>Sheet1!mainz</vt:lpstr>
      <vt:lpstr>Sheet1!montreuil</vt:lpstr>
      <vt:lpstr>Sheet1!myra</vt:lpstr>
      <vt:lpstr>Sheet1!neocaesarea</vt:lpstr>
      <vt:lpstr>Sheet1!Patmos</vt:lpstr>
      <vt:lpstr>Sheet1!picciano</vt:lpstr>
      <vt:lpstr>Sheet1!propezzano</vt:lpstr>
      <vt:lpstr>Sheet1!reims</vt:lpstr>
      <vt:lpstr>Sheet1!rome526</vt:lpstr>
      <vt:lpstr>Sheet1!rosenthal</vt:lpstr>
      <vt:lpstr>Sheet1!savoy</vt:lpstr>
      <vt:lpstr>Sheet1!sicea</vt:lpstr>
      <vt:lpstr>Sheet1!spoleto</vt:lpstr>
      <vt:lpstr>Sheet1!tagaste</vt:lpstr>
      <vt:lpstr>Sheet1!toledo</vt:lpstr>
      <vt:lpstr>Sheet1!tolouse</vt:lpstr>
      <vt:lpstr>Sheet1!tours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John Mueller</dc:creator>
  <cp:lastModifiedBy>John Mueller</cp:lastModifiedBy>
  <dcterms:created xsi:type="dcterms:W3CDTF">2023-08-22T22:13:24Z</dcterms:created>
  <dcterms:modified xsi:type="dcterms:W3CDTF">2024-02-26T23:23:42Z</dcterms:modified>
</cp:coreProperties>
</file>