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AE89929A-88EF-4DD0-BE0F-756D214F0EC5}" xr6:coauthVersionLast="47" xr6:coauthVersionMax="47" xr10:uidLastSave="{00000000-0000-0000-0000-000000000000}"/>
  <bookViews>
    <workbookView xWindow="-98" yWindow="503" windowWidth="20715" windowHeight="13274"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M145" i="11" l="1"/>
  <c r="CI145" i="11"/>
  <c r="CH145" i="11"/>
  <c r="CF145" i="11"/>
  <c r="CE145" i="11"/>
  <c r="CD145" i="11"/>
  <c r="BV145" i="11"/>
  <c r="BT145" i="11"/>
  <c r="BS145" i="11"/>
  <c r="BR145" i="11"/>
  <c r="BP145" i="11"/>
  <c r="BO145" i="11"/>
  <c r="BN145" i="11"/>
  <c r="BQ145" i="11" s="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Q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T70" i="13"/>
  <c r="S70" i="13"/>
  <c r="CB70" i="13" s="1"/>
  <c r="CB69" i="13"/>
  <c r="W69" i="13"/>
  <c r="V69" i="13"/>
  <c r="U69" i="13"/>
  <c r="X69" i="13" s="1"/>
  <c r="T69" i="13"/>
  <c r="S69" i="13"/>
  <c r="CA69" i="13" s="1"/>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BW145" i="11"/>
  <c r="CG145" i="11"/>
  <c r="BU145" i="11"/>
  <c r="BL145" i="11"/>
  <c r="BX145" i="11"/>
  <c r="BU144" i="11"/>
  <c r="BL144" i="11"/>
  <c r="BX144" i="11"/>
  <c r="CG144" i="11"/>
  <c r="CL143" i="11"/>
  <c r="BX143" i="11"/>
  <c r="CG143" i="11"/>
  <c r="BU143" i="11"/>
  <c r="BL143" i="11"/>
  <c r="CL142" i="11"/>
  <c r="AA70" i="13"/>
  <c r="Z70" i="13"/>
  <c r="Y70" i="13"/>
  <c r="CI142" i="11"/>
  <c r="CH141" i="11"/>
  <c r="AA69" i="13"/>
  <c r="Z69" i="13"/>
  <c r="Y69" i="13"/>
  <c r="CH142" i="11"/>
  <c r="CG142" i="11"/>
  <c r="BU142" i="11"/>
  <c r="BL142" i="11"/>
  <c r="BX142" i="11"/>
  <c r="CG141" i="11"/>
  <c r="BL141" i="11"/>
  <c r="BX141" i="11"/>
  <c r="BU141" i="11"/>
  <c r="CL140" i="11"/>
  <c r="CG140" i="11"/>
  <c r="BX140" i="11"/>
  <c r="BU140" i="11"/>
  <c r="BL140" i="11"/>
  <c r="CA41" i="16"/>
  <c r="CA77" i="16"/>
  <c r="CA114" i="16"/>
  <c r="CA158" i="16"/>
  <c r="CA190" i="16"/>
  <c r="CA222" i="16"/>
  <c r="CA122" i="16"/>
  <c r="CA168" i="16"/>
  <c r="CA297" i="16"/>
  <c r="CA293" i="16"/>
  <c r="CG1" i="11"/>
  <c r="Z1" i="14"/>
  <c r="CA196" i="16"/>
  <c r="CA206" i="16"/>
  <c r="CA200" i="16"/>
  <c r="CA294" i="16"/>
  <c r="CA270" i="16"/>
  <c r="CA85" i="16"/>
  <c r="CA81" i="16"/>
  <c r="CA252" i="16"/>
  <c r="CA118" i="16"/>
  <c r="CA178" i="16"/>
  <c r="CA130" i="16"/>
  <c r="CA301" i="16"/>
  <c r="CA305" i="16"/>
  <c r="CA49" i="16"/>
  <c r="CA164" i="16"/>
  <c r="CA286" i="16"/>
  <c r="E255" i="16"/>
  <c r="CA89" i="16"/>
  <c r="CA268" i="16"/>
  <c r="CA302" i="16"/>
  <c r="CA29" i="16"/>
  <c r="CA21" i="16"/>
  <c r="CA30" i="16"/>
  <c r="CA99" i="16"/>
  <c r="CA227" i="16"/>
  <c r="CA134" i="16"/>
  <c r="CA266" i="16"/>
  <c r="CA194" i="16"/>
  <c r="CA245" i="16"/>
  <c r="CA290" i="16"/>
  <c r="CA298" i="16"/>
  <c r="AA37" i="13"/>
  <c r="CA88" i="16"/>
  <c r="CA174" i="16"/>
  <c r="Y68" i="13"/>
  <c r="CA102" i="16"/>
  <c r="CA277" i="16"/>
  <c r="Z38" i="13"/>
  <c r="CA10" i="16"/>
  <c r="CA111" i="16"/>
  <c r="CA240" i="16"/>
  <c r="CA150" i="16"/>
  <c r="CA180" i="16"/>
  <c r="CA212" i="16"/>
  <c r="CA216" i="16"/>
  <c r="CA281" i="16"/>
  <c r="Z1" i="13"/>
  <c r="CA94" i="16"/>
  <c r="CA126" i="16"/>
  <c r="CA262" i="16"/>
  <c r="CA138" i="16"/>
  <c r="CA25" i="16"/>
  <c r="CA103" i="16"/>
  <c r="CA232" i="16"/>
  <c r="AA1" i="13"/>
  <c r="CA146" i="16"/>
  <c r="CA278" i="16"/>
  <c r="CA37" i="16"/>
  <c r="CA69" i="16"/>
  <c r="CA14" i="16"/>
  <c r="CA50" i="16"/>
  <c r="CA110" i="16"/>
  <c r="CA154" i="16"/>
  <c r="CA246" i="16"/>
  <c r="CA73" i="16"/>
  <c r="CA162" i="16"/>
  <c r="CA226" i="16"/>
  <c r="CA265" i="16"/>
  <c r="CA285" i="16"/>
  <c r="BX1" i="11"/>
  <c r="CA228" i="16"/>
  <c r="CA184" i="16"/>
  <c r="CA282" i="16"/>
  <c r="AA1" i="14"/>
  <c r="CA142" i="16"/>
  <c r="CA92" i="16"/>
  <c r="CA210" i="16"/>
  <c r="CJ145" i="11" l="1"/>
  <c r="CB145" i="11"/>
  <c r="CN145" i="11" s="1"/>
  <c r="BQ144" i="11"/>
  <c r="CJ144" i="11"/>
  <c r="CB144" i="11"/>
  <c r="CN144" i="11" s="1"/>
  <c r="CJ143" i="11"/>
  <c r="CB143" i="11"/>
  <c r="CN143" i="11" s="1"/>
  <c r="CB142" i="11"/>
  <c r="CK142" i="11" s="1"/>
  <c r="CA70" i="13"/>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CA145" i="11"/>
  <c r="CL145" i="11"/>
  <c r="CA144" i="11"/>
  <c r="CL144" i="11"/>
  <c r="BW144" i="11"/>
  <c r="CA143" i="11"/>
  <c r="BW143" i="11"/>
  <c r="CA142" i="11"/>
  <c r="BW142" i="11"/>
  <c r="CA141" i="11"/>
  <c r="CL141" i="11"/>
  <c r="BW141" i="11"/>
  <c r="BW140" i="11"/>
  <c r="CA140" i="11"/>
  <c r="CA258" i="16"/>
  <c r="CA295" i="16"/>
  <c r="CA215" i="16"/>
  <c r="CA236" i="16"/>
  <c r="CA208" i="16"/>
  <c r="CA176" i="16"/>
  <c r="CA129" i="16"/>
  <c r="CA45" i="16"/>
  <c r="CA179" i="16"/>
  <c r="CA135" i="16"/>
  <c r="CA233" i="16"/>
  <c r="CA173" i="16"/>
  <c r="CA241" i="16"/>
  <c r="CA74" i="16"/>
  <c r="CA107" i="16"/>
  <c r="CA292" i="16"/>
  <c r="CA203" i="16"/>
  <c r="CA96" i="16"/>
  <c r="CA213" i="16"/>
  <c r="CA255" i="16"/>
  <c r="CA128" i="16"/>
  <c r="CA60" i="16"/>
  <c r="CA201" i="16"/>
  <c r="CA288" i="16"/>
  <c r="CA175" i="16"/>
  <c r="CA112" i="16"/>
  <c r="CA169" i="16"/>
  <c r="CA27" i="14"/>
  <c r="CA20" i="14"/>
  <c r="CA12" i="14"/>
  <c r="CA18" i="14"/>
  <c r="CA275" i="16"/>
  <c r="CA86" i="16"/>
  <c r="CA223" i="16"/>
  <c r="CA48" i="16"/>
  <c r="CA35" i="16"/>
  <c r="CA251" i="16"/>
  <c r="CA31" i="16"/>
  <c r="CA279" i="16"/>
  <c r="CA269" i="16"/>
  <c r="CA254" i="16"/>
  <c r="CA98" i="16"/>
  <c r="CA264" i="16"/>
  <c r="CA204" i="16"/>
  <c r="CA172" i="16"/>
  <c r="CA125" i="16"/>
  <c r="CA167" i="16"/>
  <c r="CA131" i="16"/>
  <c r="CA225" i="16"/>
  <c r="CA161" i="16"/>
  <c r="CA84" i="16"/>
  <c r="CA105" i="16"/>
  <c r="CA70" i="16"/>
  <c r="CA61" i="16"/>
  <c r="CA280" i="16"/>
  <c r="CA171" i="16"/>
  <c r="CA87" i="16"/>
  <c r="CA120" i="16"/>
  <c r="CA239" i="16"/>
  <c r="CA93" i="16"/>
  <c r="CA52" i="16"/>
  <c r="CA181" i="16"/>
  <c r="CA296" i="16"/>
  <c r="CA219" i="16"/>
  <c r="CA104" i="16"/>
  <c r="CA152" i="16"/>
  <c r="Y15" i="14"/>
  <c r="CA22" i="14"/>
  <c r="CA303" i="16"/>
  <c r="CA10" i="14"/>
  <c r="CA32" i="16"/>
  <c r="CA291" i="16"/>
  <c r="CA256" i="16"/>
  <c r="CA253" i="16"/>
  <c r="CA34" i="16"/>
  <c r="CA244" i="16"/>
  <c r="CA202" i="16"/>
  <c r="CA170" i="16"/>
  <c r="CA121" i="16"/>
  <c r="CA38" i="16"/>
  <c r="CA163" i="16"/>
  <c r="CA127" i="16"/>
  <c r="CA221" i="16"/>
  <c r="CA80" i="16"/>
  <c r="CA9" i="16"/>
  <c r="CA100" i="16"/>
  <c r="CA33" i="16"/>
  <c r="CA9" i="14"/>
  <c r="CA289" i="16"/>
  <c r="CA153" i="16"/>
  <c r="CA71" i="16"/>
  <c r="CA91" i="16"/>
  <c r="CA217" i="16"/>
  <c r="CA83" i="16"/>
  <c r="CA44" i="16"/>
  <c r="CA136" i="16"/>
  <c r="CA284" i="16"/>
  <c r="CA187" i="16"/>
  <c r="CA79" i="16"/>
  <c r="CA75" i="16"/>
  <c r="CA23" i="14"/>
  <c r="CA13" i="14"/>
  <c r="CA6" i="14"/>
  <c r="CA147" i="16"/>
  <c r="CA66" i="16"/>
  <c r="CA132" i="16"/>
  <c r="CA11" i="16"/>
  <c r="CA224" i="16"/>
  <c r="CA250" i="16"/>
  <c r="CA230" i="16"/>
  <c r="CA260" i="16"/>
  <c r="CA238" i="16"/>
  <c r="CA198" i="16"/>
  <c r="CA166" i="16"/>
  <c r="CA117" i="16"/>
  <c r="CA155" i="16"/>
  <c r="CA123" i="16"/>
  <c r="CA209" i="16"/>
  <c r="CA76" i="16"/>
  <c r="CA273" i="16"/>
  <c r="CA95" i="16"/>
  <c r="CA54" i="16"/>
  <c r="CA259" i="16"/>
  <c r="CA145" i="16"/>
  <c r="CA55" i="16"/>
  <c r="CA43" i="16"/>
  <c r="CA185" i="16"/>
  <c r="CA67" i="16"/>
  <c r="CA36" i="16"/>
  <c r="CA101" i="16"/>
  <c r="CA276" i="16"/>
  <c r="CA157" i="16"/>
  <c r="CA63" i="16"/>
  <c r="CA27" i="16"/>
  <c r="CA24" i="14"/>
  <c r="CA21" i="14"/>
  <c r="CA16" i="14"/>
  <c r="CA271" i="16"/>
  <c r="CA109" i="16"/>
  <c r="CA249" i="16"/>
  <c r="CA46" i="16"/>
  <c r="CA257" i="16"/>
  <c r="CA237" i="16"/>
  <c r="CA192" i="16"/>
  <c r="CA160" i="16"/>
  <c r="CA115" i="16"/>
  <c r="CA211" i="16"/>
  <c r="CA151" i="16"/>
  <c r="CA119" i="16"/>
  <c r="CA205" i="16"/>
  <c r="CA42" i="16"/>
  <c r="CA72" i="16"/>
  <c r="CA272" i="16"/>
  <c r="CA90" i="16"/>
  <c r="CA26" i="16"/>
  <c r="CA17" i="16"/>
  <c r="CA243" i="16"/>
  <c r="CA148" i="16"/>
  <c r="CA39" i="16"/>
  <c r="CA64" i="16"/>
  <c r="CA229" i="16"/>
  <c r="CA51" i="16"/>
  <c r="CA28" i="16"/>
  <c r="CA59" i="16"/>
  <c r="CA267" i="16"/>
  <c r="CA149" i="16"/>
  <c r="CA47" i="16"/>
  <c r="CA56" i="16"/>
  <c r="Y25" i="14"/>
  <c r="CA25" i="14" s="1"/>
  <c r="CA19" i="14"/>
  <c r="CA287" i="16"/>
  <c r="CA65" i="16"/>
  <c r="CA17" i="14"/>
  <c r="CA23" i="16"/>
  <c r="CA20" i="16"/>
  <c r="CA156" i="16"/>
  <c r="CA106" i="16"/>
  <c r="CA283" i="16"/>
  <c r="CA299" i="16"/>
  <c r="CA218" i="16"/>
  <c r="CA186" i="16"/>
  <c r="CA137" i="16"/>
  <c r="CA195" i="16"/>
  <c r="CA143" i="16"/>
  <c r="CA18" i="16"/>
  <c r="CA189" i="16"/>
  <c r="CA22" i="16"/>
  <c r="CA53" i="16"/>
  <c r="CA248" i="16"/>
  <c r="CA82" i="16"/>
  <c r="CA304" i="16"/>
  <c r="CA191" i="16"/>
  <c r="CA116" i="16"/>
  <c r="CA7" i="16"/>
  <c r="CA24" i="16"/>
  <c r="CA165" i="16"/>
  <c r="CA19" i="16"/>
  <c r="CA12" i="16"/>
  <c r="CA40" i="16"/>
  <c r="CA235" i="16"/>
  <c r="CA140" i="16"/>
  <c r="CA15" i="16"/>
  <c r="CA8" i="16"/>
  <c r="CA8" i="14"/>
  <c r="CA26" i="14"/>
  <c r="CA11" i="14"/>
  <c r="CA15" i="14"/>
  <c r="CA188" i="16"/>
  <c r="CA193" i="16"/>
  <c r="CA57" i="16"/>
  <c r="CA274" i="16"/>
  <c r="CA261" i="16"/>
  <c r="CA214" i="16"/>
  <c r="CA182" i="16"/>
  <c r="CA133" i="16"/>
  <c r="CA58" i="16"/>
  <c r="CA183" i="16"/>
  <c r="CA139" i="16"/>
  <c r="CA234" i="16"/>
  <c r="CA177" i="16"/>
  <c r="CA242" i="16"/>
  <c r="CA78" i="16"/>
  <c r="CA113" i="16"/>
  <c r="CA300" i="16"/>
  <c r="CA159" i="16"/>
  <c r="CA108" i="16"/>
  <c r="CA231" i="16"/>
  <c r="CA97" i="16"/>
  <c r="CA144" i="16"/>
  <c r="CA68" i="16"/>
  <c r="CA263" i="16"/>
  <c r="CA16" i="16"/>
  <c r="CA207" i="16"/>
  <c r="CA124" i="16"/>
  <c r="CA247" i="16"/>
  <c r="CA6" i="16"/>
  <c r="CA14" i="14"/>
  <c r="CA7" i="14"/>
  <c r="BU1" i="11"/>
  <c r="CA220" i="16"/>
  <c r="CA141" i="16"/>
  <c r="CA199" i="16"/>
  <c r="CA62" i="16"/>
  <c r="CA13" i="16"/>
  <c r="CA197" i="16"/>
  <c r="CK145" i="11" l="1"/>
  <c r="CO145" i="1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Y1" i="13"/>
  <c r="BL1"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BX75" i="11"/>
  <c r="BX78" i="11"/>
  <c r="BX13" i="11"/>
  <c r="BX54" i="11"/>
  <c r="BX31" i="11"/>
  <c r="BX7" i="11"/>
  <c r="BX10" i="11"/>
  <c r="BX22" i="11"/>
  <c r="BX46" i="11"/>
  <c r="BX21" i="11"/>
  <c r="BX128" i="11"/>
  <c r="BX27" i="11"/>
  <c r="BX47" i="11"/>
  <c r="BX14" i="11"/>
  <c r="BX9" i="11"/>
  <c r="BX137" i="11"/>
  <c r="BX48" i="11"/>
  <c r="BX73" i="11"/>
  <c r="BX129" i="11"/>
  <c r="BX132" i="11"/>
  <c r="BX117" i="11"/>
  <c r="Y31" i="13"/>
  <c r="BX136" i="11"/>
  <c r="Y37" i="13"/>
  <c r="BX25" i="11"/>
  <c r="BX43" i="11"/>
  <c r="BX8" i="11"/>
  <c r="Y65" i="13"/>
  <c r="BX18" i="11"/>
  <c r="BX44" i="11"/>
  <c r="BX40" i="11"/>
  <c r="BX11" i="11"/>
  <c r="Y66" i="13"/>
  <c r="BX56" i="11"/>
  <c r="BX83"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Y32" i="13"/>
  <c r="CL8" i="11"/>
  <c r="CL15" i="11"/>
  <c r="CL119" i="11"/>
  <c r="CL125" i="11"/>
  <c r="CL138" i="11"/>
  <c r="CL54" i="11"/>
  <c r="CL58" i="11"/>
  <c r="CL126" i="11"/>
  <c r="CL38" i="11"/>
  <c r="CL65" i="11"/>
  <c r="CL24" i="11"/>
  <c r="CL135" i="11"/>
  <c r="CL133" i="11"/>
  <c r="CL48" i="11"/>
  <c r="CL129" i="11"/>
  <c r="CL80" i="11"/>
  <c r="CL75" i="11"/>
  <c r="CL59" i="11"/>
  <c r="CL120" i="11"/>
  <c r="CL11" i="11"/>
  <c r="CL37" i="11"/>
  <c r="CL32" i="11"/>
  <c r="CL104" i="11"/>
  <c r="CA65" i="13"/>
  <c r="Y15" i="13"/>
  <c r="CI106" i="11"/>
  <c r="CA37" i="13"/>
  <c r="CL6" i="11"/>
  <c r="CL41" i="11"/>
  <c r="CL94" i="11"/>
  <c r="CL136" i="11"/>
  <c r="CL22" i="11"/>
  <c r="CL97" i="11"/>
  <c r="CL42" i="11"/>
  <c r="CL83" i="11"/>
  <c r="CL33" i="11"/>
  <c r="CL30" i="11"/>
  <c r="CL109" i="11"/>
  <c r="CL105" i="11"/>
  <c r="CL103" i="11"/>
  <c r="CL93" i="11"/>
  <c r="CL35" i="11"/>
  <c r="CL44" i="11"/>
  <c r="CL26" i="11"/>
  <c r="CL101" i="11"/>
  <c r="CL52" i="11"/>
  <c r="CL124" i="11"/>
  <c r="CL17" i="11"/>
  <c r="CL74" i="11"/>
  <c r="CL70" i="11"/>
  <c r="CL76" i="11"/>
  <c r="CL106" i="11"/>
  <c r="CL91" i="11"/>
  <c r="CL56" i="11"/>
  <c r="CL51" i="11"/>
  <c r="CA31" i="13"/>
  <c r="CL102" i="11"/>
  <c r="CL115" i="11"/>
  <c r="CL139" i="11"/>
  <c r="CL13" i="11"/>
  <c r="CL40" i="11"/>
  <c r="CL77" i="11"/>
  <c r="CA19" i="13"/>
  <c r="CL89" i="11"/>
  <c r="CL96" i="11"/>
  <c r="CL127" i="11"/>
  <c r="CL29" i="11"/>
  <c r="CL62" i="11"/>
  <c r="CL64" i="11"/>
  <c r="CL88" i="11"/>
  <c r="CL86" i="11"/>
  <c r="CL130" i="11"/>
  <c r="CL108" i="11"/>
  <c r="CL137" i="11"/>
  <c r="CL98" i="11"/>
  <c r="CL73" i="11"/>
  <c r="CL60" i="11"/>
  <c r="CL112" i="11"/>
  <c r="CL128" i="11"/>
  <c r="CL10" i="11"/>
  <c r="CL78" i="11"/>
  <c r="CL111" i="11"/>
  <c r="CL31" i="11"/>
  <c r="CL53" i="11"/>
  <c r="CL23" i="11"/>
  <c r="CL132" i="11"/>
  <c r="CL12" i="11"/>
  <c r="CA20" i="13"/>
  <c r="CL72" i="11"/>
  <c r="CL114" i="11"/>
  <c r="CL100" i="11"/>
  <c r="CL87" i="11"/>
  <c r="CL21" i="11"/>
  <c r="CL116" i="11"/>
  <c r="CL7" i="11"/>
  <c r="CL9" i="11"/>
  <c r="CL46" i="11"/>
  <c r="CL99" i="11"/>
  <c r="CL117" i="11"/>
  <c r="CL49" i="11"/>
  <c r="CL122" i="11"/>
  <c r="CA18" i="13"/>
  <c r="CL123" i="11"/>
  <c r="CL121" i="11"/>
  <c r="CL81" i="11"/>
  <c r="CL84" i="11"/>
  <c r="CL55" i="11"/>
  <c r="CL18" i="11"/>
  <c r="CL50" i="11"/>
  <c r="CL90" i="11"/>
  <c r="CL27" i="11"/>
  <c r="CL79" i="11"/>
  <c r="CL34" i="11"/>
  <c r="CL118" i="11"/>
  <c r="CL36" i="11"/>
  <c r="CL19" i="11"/>
  <c r="CL85" i="11"/>
  <c r="CL45" i="11"/>
  <c r="CL110" i="11"/>
  <c r="CL95" i="11"/>
  <c r="Y6" i="13"/>
  <c r="CL113" i="11"/>
  <c r="CL61" i="11"/>
  <c r="CL68" i="11"/>
  <c r="CL71" i="11"/>
  <c r="CL57" i="11"/>
  <c r="CL131" i="11"/>
  <c r="CL47" i="11"/>
  <c r="CL69" i="11"/>
  <c r="CL63" i="11"/>
  <c r="CL82" i="11"/>
  <c r="CL14" i="11"/>
  <c r="CL39" i="11"/>
  <c r="CL25" i="11"/>
  <c r="CL16" i="11"/>
  <c r="CL20" i="11"/>
  <c r="CL28" i="11"/>
  <c r="CL92" i="11"/>
  <c r="CL67" i="11"/>
  <c r="CL43" i="11"/>
  <c r="CL134" i="11"/>
  <c r="CL107" i="11"/>
  <c r="CL66"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B105" i="11"/>
  <c r="CB108" i="11"/>
  <c r="CB83" i="11"/>
  <c r="CK83" i="11" s="1"/>
  <c r="CB55" i="11"/>
  <c r="CB51" i="11"/>
  <c r="CK51" i="11" s="1"/>
  <c r="CB31" i="11"/>
  <c r="CB32" i="11"/>
  <c r="CK32" i="11" s="1"/>
  <c r="CB21" i="11"/>
  <c r="CB121" i="11"/>
  <c r="CB124" i="11"/>
  <c r="CB58" i="11"/>
  <c r="CN58" i="11" s="1"/>
  <c r="CB62" i="11"/>
  <c r="CB24" i="11"/>
  <c r="CB134" i="11"/>
  <c r="CB47" i="11"/>
  <c r="CK47" i="11" s="1"/>
  <c r="CB40" i="11"/>
  <c r="CB14" i="11"/>
  <c r="CB30" i="11"/>
  <c r="CB50" i="11"/>
  <c r="CK50" i="11" s="1"/>
  <c r="CB11" i="11"/>
  <c r="CB53" i="11"/>
  <c r="CB132" i="11"/>
  <c r="CB7" i="11"/>
  <c r="CK7" i="11" s="1"/>
  <c r="CB22" i="11"/>
  <c r="CB34" i="11"/>
  <c r="CB38" i="11"/>
  <c r="CB43" i="11"/>
  <c r="CK43" i="11" s="1"/>
  <c r="CB23" i="11"/>
  <c r="CB114" i="11"/>
  <c r="CN114" i="11" s="1"/>
  <c r="CB112" i="11"/>
  <c r="CB120" i="11"/>
  <c r="CN120" i="11" s="1"/>
  <c r="CB125" i="11"/>
  <c r="CB59" i="11"/>
  <c r="CB63" i="1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B42" i="11"/>
  <c r="CN42" i="11" s="1"/>
  <c r="CB87" i="11"/>
  <c r="CK87" i="11" s="1"/>
  <c r="CB115" i="11"/>
  <c r="CK115" i="11" s="1"/>
  <c r="CB66" i="11"/>
  <c r="CB56" i="11"/>
  <c r="CN56" i="11" s="1"/>
  <c r="CB29" i="11"/>
  <c r="CB41" i="11"/>
  <c r="CB48" i="11"/>
  <c r="CB54" i="11"/>
  <c r="CK54" i="11" s="1"/>
  <c r="CB13" i="11"/>
  <c r="CB49" i="11"/>
  <c r="CB16" i="11"/>
  <c r="CB131" i="11"/>
  <c r="CN131" i="11" s="1"/>
  <c r="CB136" i="11"/>
  <c r="CN136" i="11" s="1"/>
  <c r="CB8" i="11"/>
  <c r="CN8" i="11" s="1"/>
  <c r="CB19" i="11"/>
  <c r="CB18" i="11"/>
  <c r="CK18" i="11" s="1"/>
  <c r="CB37" i="11"/>
  <c r="CB113" i="11"/>
  <c r="CK113" i="11" s="1"/>
  <c r="CB111" i="11"/>
  <c r="CB116" i="11"/>
  <c r="CK116" i="11" s="1"/>
  <c r="CB119" i="11"/>
  <c r="CB123" i="1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21"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N103"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CK63" i="11"/>
  <c r="BQ64" i="11"/>
  <c r="BQ65" i="11"/>
  <c r="BQ72" i="11"/>
  <c r="BQ73" i="11"/>
  <c r="BQ74" i="11"/>
  <c r="BQ75" i="11"/>
  <c r="CK57" i="11"/>
  <c r="BQ58" i="11"/>
  <c r="BQ59" i="11"/>
  <c r="CK65" i="11"/>
  <c r="BQ66" i="11"/>
  <c r="BQ67" i="11"/>
  <c r="BW67" i="11" s="1"/>
  <c r="CK59" i="11"/>
  <c r="BQ77" i="11"/>
  <c r="BQ60" i="11"/>
  <c r="CJ76" i="11"/>
  <c r="CK62" i="11"/>
  <c r="CN66"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3" i="11"/>
  <c r="CK124" i="11"/>
  <c r="BQ116" i="11"/>
  <c r="CJ116" i="11"/>
  <c r="CK112" i="11"/>
  <c r="BQ111" i="11"/>
  <c r="CJ111" i="11"/>
  <c r="CK111" i="11"/>
  <c r="BQ110" i="11"/>
  <c r="BQ113" i="11"/>
  <c r="BQ114" i="11"/>
  <c r="CN109" i="11"/>
  <c r="BQ87" i="11"/>
  <c r="CK23" i="11"/>
  <c r="CK36" i="11"/>
  <c r="CN35" i="11"/>
  <c r="CK37" i="11"/>
  <c r="CN21" i="11"/>
  <c r="CK20" i="11"/>
  <c r="CJ7" i="11"/>
  <c r="CJ8" i="11"/>
  <c r="CK19"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CK134" i="11"/>
  <c r="BQ47" i="11"/>
  <c r="CK45" i="11"/>
  <c r="CK28" i="11"/>
  <c r="CJ25" i="11"/>
  <c r="CN29" i="11"/>
  <c r="CN25" i="11"/>
  <c r="CN41" i="11"/>
  <c r="CK55" i="11"/>
  <c r="BQ48" i="11"/>
  <c r="BQ40" i="11"/>
  <c r="CK40" i="11"/>
  <c r="CN49" i="11"/>
  <c r="BQ137" i="11"/>
  <c r="CK17" i="11"/>
  <c r="CN48" i="11"/>
  <c r="CN137" i="11"/>
  <c r="BQ54" i="11"/>
  <c r="CN130" i="11"/>
  <c r="BQ15" i="11"/>
  <c r="CK10" i="11"/>
  <c r="CK128" i="11"/>
  <c r="CK14" i="11"/>
  <c r="CN39" i="11"/>
  <c r="CN31" i="11"/>
  <c r="CN13"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BU124" i="11"/>
  <c r="CG32" i="11"/>
  <c r="BU14" i="11"/>
  <c r="CH91" i="11"/>
  <c r="CG20" i="11"/>
  <c r="BU59" i="11"/>
  <c r="CI97" i="11"/>
  <c r="BU11" i="11"/>
  <c r="CH65" i="11"/>
  <c r="BU27" i="11"/>
  <c r="CH56" i="11"/>
  <c r="CI70" i="11"/>
  <c r="CG109" i="11"/>
  <c r="BU121" i="11"/>
  <c r="CG115" i="11"/>
  <c r="CI77" i="11"/>
  <c r="CH94" i="11"/>
  <c r="BU125" i="11"/>
  <c r="BU66" i="11"/>
  <c r="BU120" i="11"/>
  <c r="CH129" i="11"/>
  <c r="CH88" i="11"/>
  <c r="CG58" i="11"/>
  <c r="CI19" i="11"/>
  <c r="BU89" i="11"/>
  <c r="CH107" i="11"/>
  <c r="CH77" i="11"/>
  <c r="CH108" i="11"/>
  <c r="CH104" i="11"/>
  <c r="BU79" i="11"/>
  <c r="BU80" i="11"/>
  <c r="BU109" i="11"/>
  <c r="BU111" i="11"/>
  <c r="BU67" i="11"/>
  <c r="BU9" i="11"/>
  <c r="CH14" i="11"/>
  <c r="CG62" i="11"/>
  <c r="BW94" i="11"/>
  <c r="BW108" i="11"/>
  <c r="CG90" i="11"/>
  <c r="BU30" i="11"/>
  <c r="CG75" i="11"/>
  <c r="BU91" i="11"/>
  <c r="CG118" i="11"/>
  <c r="BU95" i="11"/>
  <c r="BU63" i="11"/>
  <c r="BW107" i="11"/>
  <c r="BW65" i="11"/>
  <c r="BW123" i="11"/>
  <c r="BW82" i="11"/>
  <c r="BW59" i="11"/>
  <c r="BW7" i="11"/>
  <c r="BW81" i="11"/>
  <c r="BL30" i="11"/>
  <c r="BL22" i="11"/>
  <c r="BL51" i="11"/>
  <c r="BL129" i="11"/>
  <c r="BL88" i="11"/>
  <c r="BL44" i="11"/>
  <c r="BL49" i="11"/>
  <c r="BL120" i="11"/>
  <c r="BL101" i="11"/>
  <c r="BL31" i="11"/>
  <c r="BL115" i="11"/>
  <c r="BL117" i="11"/>
  <c r="BL26" i="11"/>
  <c r="BL124" i="11"/>
  <c r="BL137" i="11"/>
  <c r="BL8" i="11"/>
  <c r="BL105" i="11"/>
  <c r="BL66" i="11"/>
  <c r="BL121" i="11"/>
  <c r="BL102" i="11"/>
  <c r="CG93" i="11"/>
  <c r="BL70" i="11"/>
  <c r="BL98" i="11"/>
  <c r="BL73" i="11"/>
  <c r="BL60" i="11"/>
  <c r="BL107" i="11"/>
  <c r="BU105" i="11"/>
  <c r="BW80" i="11"/>
  <c r="CI63" i="11"/>
  <c r="BW57" i="11"/>
  <c r="BL132" i="11"/>
  <c r="BL45" i="11"/>
  <c r="BL95" i="11"/>
  <c r="BU49" i="11"/>
  <c r="BW71" i="11"/>
  <c r="CI66" i="11"/>
  <c r="CG63" i="11"/>
  <c r="BL99" i="11"/>
  <c r="BL15" i="11"/>
  <c r="BU126" i="11"/>
  <c r="CG48" i="11"/>
  <c r="BU15" i="11"/>
  <c r="CG12" i="11"/>
  <c r="BU93" i="11"/>
  <c r="CG57" i="11"/>
  <c r="CG56" i="11"/>
  <c r="BW122" i="11"/>
  <c r="BL34" i="11"/>
  <c r="BL136" i="11"/>
  <c r="BL50" i="11"/>
  <c r="CH95" i="11"/>
  <c r="BU127" i="11"/>
  <c r="BU88" i="11"/>
  <c r="BU57" i="11"/>
  <c r="CG67" i="11"/>
  <c r="CI88" i="11"/>
  <c r="BU19" i="11"/>
  <c r="CH67" i="11"/>
  <c r="CG73" i="11"/>
  <c r="BU117" i="11"/>
  <c r="BU113" i="11"/>
  <c r="BU107" i="11"/>
  <c r="BU138" i="11"/>
  <c r="BU110" i="11"/>
  <c r="CI96" i="11"/>
  <c r="BU64" i="11"/>
  <c r="BU137" i="11"/>
  <c r="CG89" i="11"/>
  <c r="CH26" i="11"/>
  <c r="BU94" i="11"/>
  <c r="CG101" i="11"/>
  <c r="BU65" i="11"/>
  <c r="CI64" i="11"/>
  <c r="BU134" i="11"/>
  <c r="BU116" i="11"/>
  <c r="CH43" i="11"/>
  <c r="CH72" i="11"/>
  <c r="CG59" i="11"/>
  <c r="CG121" i="11"/>
  <c r="CH68" i="11"/>
  <c r="CI14" i="11"/>
  <c r="CG86" i="11"/>
  <c r="BW72" i="11"/>
  <c r="CG122" i="11"/>
  <c r="CH70" i="11"/>
  <c r="BU24" i="11"/>
  <c r="BV24" i="11" s="1"/>
  <c r="BW111" i="11"/>
  <c r="BW124" i="11"/>
  <c r="BW87" i="11"/>
  <c r="CG74" i="11"/>
  <c r="CH31" i="11"/>
  <c r="BW105" i="11"/>
  <c r="BW90" i="11"/>
  <c r="CH62" i="11"/>
  <c r="CG36" i="11"/>
  <c r="BU96" i="11"/>
  <c r="BW99" i="11"/>
  <c r="BL78" i="11"/>
  <c r="BU13" i="11"/>
  <c r="BU98" i="11"/>
  <c r="BU25" i="11"/>
  <c r="BV134" i="11"/>
  <c r="BL63" i="11"/>
  <c r="BL52" i="11"/>
  <c r="CA63" i="11"/>
  <c r="BU7" i="11"/>
  <c r="CH69" i="11"/>
  <c r="BW117" i="11"/>
  <c r="BL42" i="11"/>
  <c r="BL7" i="11"/>
  <c r="BL76" i="11"/>
  <c r="BL62" i="11"/>
  <c r="BU42" i="11"/>
  <c r="CI75" i="11"/>
  <c r="BU131" i="11"/>
  <c r="BU58" i="11"/>
  <c r="BU48" i="11"/>
  <c r="CG21" i="11"/>
  <c r="BU71" i="11"/>
  <c r="CG24" i="11"/>
  <c r="BW109" i="11"/>
  <c r="BL29" i="11"/>
  <c r="BL25" i="11"/>
  <c r="BU41" i="11"/>
  <c r="CG95" i="11"/>
  <c r="CG83" i="11"/>
  <c r="CG31" i="11"/>
  <c r="BU132" i="11"/>
  <c r="BV132" i="11" s="1"/>
  <c r="BU52" i="11"/>
  <c r="CH57" i="11"/>
  <c r="CG110" i="11"/>
  <c r="CI94" i="11"/>
  <c r="CG119" i="11"/>
  <c r="BU101" i="11"/>
  <c r="BU82" i="11"/>
  <c r="BU102" i="11"/>
  <c r="BU69" i="11"/>
  <c r="CI69" i="11"/>
  <c r="BU36" i="11"/>
  <c r="CI71" i="11"/>
  <c r="BU28" i="11"/>
  <c r="CI67" i="11"/>
  <c r="CI73" i="11"/>
  <c r="CH90" i="11"/>
  <c r="CG87" i="11"/>
  <c r="CI95" i="11"/>
  <c r="CH73" i="11"/>
  <c r="BU133" i="11"/>
  <c r="CG51" i="11"/>
  <c r="BU81" i="11"/>
  <c r="CI93" i="11"/>
  <c r="CG112" i="11"/>
  <c r="CI58" i="11"/>
  <c r="BU18" i="11"/>
  <c r="CG123" i="11"/>
  <c r="CG84" i="11"/>
  <c r="BW60" i="11"/>
  <c r="CG85" i="11"/>
  <c r="CG47" i="11"/>
  <c r="CH96" i="11"/>
  <c r="BW115" i="11"/>
  <c r="BW8" i="11"/>
  <c r="BU72" i="11"/>
  <c r="CI112" i="11"/>
  <c r="CI108" i="11"/>
  <c r="BW101" i="11"/>
  <c r="BV133" i="11"/>
  <c r="BW113" i="11"/>
  <c r="BU77" i="11"/>
  <c r="BU37" i="11"/>
  <c r="CG26" i="11"/>
  <c r="BW73" i="11"/>
  <c r="BV15" i="11"/>
  <c r="BW70" i="11"/>
  <c r="BV49" i="11"/>
  <c r="BW89" i="11"/>
  <c r="BV137" i="11"/>
  <c r="BW20" i="11"/>
  <c r="BL92" i="11"/>
  <c r="BL33" i="11"/>
  <c r="BL71" i="11"/>
  <c r="CA71" i="11" s="1"/>
  <c r="BL114" i="11"/>
  <c r="BL53" i="11"/>
  <c r="BL12" i="11"/>
  <c r="BL27" i="11"/>
  <c r="BL122" i="11"/>
  <c r="CA101" i="11"/>
  <c r="BL32" i="11"/>
  <c r="BL106" i="11"/>
  <c r="BL86" i="11"/>
  <c r="BL138" i="11"/>
  <c r="BL37" i="11"/>
  <c r="BL103" i="11"/>
  <c r="BL35" i="11"/>
  <c r="BL47" i="11"/>
  <c r="BL67" i="11"/>
  <c r="BU26" i="11"/>
  <c r="CI57" i="11"/>
  <c r="BU119" i="11"/>
  <c r="CG34" i="11"/>
  <c r="BU104" i="11"/>
  <c r="CG92" i="11"/>
  <c r="CI105" i="11"/>
  <c r="BW22" i="11"/>
  <c r="CG66" i="11"/>
  <c r="BU10" i="11"/>
  <c r="BU83" i="11"/>
  <c r="BV83" i="11" s="1"/>
  <c r="BV13" i="11"/>
  <c r="BV41" i="11"/>
  <c r="BW106" i="11"/>
  <c r="BL11" i="11"/>
  <c r="BL17" i="11"/>
  <c r="BL96" i="11"/>
  <c r="BU108" i="11"/>
  <c r="CG104" i="11"/>
  <c r="BW92" i="11"/>
  <c r="BW129" i="11"/>
  <c r="BL69" i="11"/>
  <c r="BL133" i="11"/>
  <c r="BL23" i="11"/>
  <c r="BU54" i="11"/>
  <c r="CI89" i="11"/>
  <c r="CG22" i="11"/>
  <c r="BU43" i="11"/>
  <c r="CG11" i="11"/>
  <c r="CH58" i="11"/>
  <c r="BU23" i="11"/>
  <c r="CG52" i="11"/>
  <c r="BU34" i="11"/>
  <c r="BW97" i="11"/>
  <c r="BL80" i="11"/>
  <c r="CA80" i="11" s="1"/>
  <c r="BL9" i="11"/>
  <c r="BL116" i="11"/>
  <c r="BU32" i="11"/>
  <c r="BV32" i="11" s="1"/>
  <c r="BU31" i="11"/>
  <c r="BU115" i="11"/>
  <c r="CG64" i="11"/>
  <c r="CG33" i="11"/>
  <c r="CH64" i="11"/>
  <c r="BU114" i="11"/>
  <c r="CH60" i="11"/>
  <c r="CH71" i="11"/>
  <c r="CG107" i="11"/>
  <c r="BW98" i="11"/>
  <c r="CA98" i="11" s="1"/>
  <c r="CH59" i="11"/>
  <c r="CG108" i="11"/>
  <c r="CI79" i="11"/>
  <c r="BU44" i="11"/>
  <c r="BU86" i="11"/>
  <c r="CG19" i="11"/>
  <c r="BU61" i="11"/>
  <c r="CI85" i="11"/>
  <c r="CH61" i="11"/>
  <c r="BU17" i="11"/>
  <c r="BU139" i="11"/>
  <c r="CG78" i="11"/>
  <c r="BW121" i="11"/>
  <c r="BL46" i="11"/>
  <c r="CG37" i="11"/>
  <c r="CG60" i="11"/>
  <c r="BW93" i="11"/>
  <c r="BW104" i="11"/>
  <c r="BL125" i="11"/>
  <c r="BU78" i="11"/>
  <c r="BU35" i="11"/>
  <c r="CG98" i="11"/>
  <c r="BU22" i="11"/>
  <c r="CH19" i="11"/>
  <c r="CG127" i="11"/>
  <c r="BU123" i="11"/>
  <c r="CI74" i="11"/>
  <c r="BU70" i="11"/>
  <c r="BU6" i="11"/>
  <c r="BW58" i="11"/>
  <c r="BU56" i="11"/>
  <c r="BU29" i="11"/>
  <c r="CH89" i="11"/>
  <c r="CG103" i="11"/>
  <c r="CG124" i="11"/>
  <c r="BU68" i="11"/>
  <c r="CG70" i="11"/>
  <c r="BU99" i="11"/>
  <c r="CH79" i="11"/>
  <c r="CI62" i="11"/>
  <c r="CH101" i="11"/>
  <c r="BU85" i="11"/>
  <c r="CH78" i="11"/>
  <c r="CG35" i="11"/>
  <c r="CH102" i="11"/>
  <c r="CG30" i="11"/>
  <c r="CH63" i="11"/>
  <c r="BU73" i="11"/>
  <c r="BU118" i="11"/>
  <c r="BU62" i="11"/>
  <c r="BW120" i="11"/>
  <c r="CA120" i="11" s="1"/>
  <c r="BU129" i="11"/>
  <c r="BU112" i="11"/>
  <c r="CI91" i="11"/>
  <c r="BV11" i="11"/>
  <c r="BL109" i="11"/>
  <c r="BL118" i="11"/>
  <c r="CH66" i="11"/>
  <c r="CH74" i="11"/>
  <c r="CI65" i="11"/>
  <c r="CG23" i="11"/>
  <c r="CH81" i="11"/>
  <c r="CH44" i="11"/>
  <c r="CH22" i="11"/>
  <c r="CG18" i="11"/>
  <c r="CG69" i="11"/>
  <c r="BU84" i="11"/>
  <c r="CI90" i="11"/>
  <c r="CG71" i="11"/>
  <c r="CI68" i="11"/>
  <c r="BU20" i="11"/>
  <c r="BU21" i="11"/>
  <c r="CG13" i="11"/>
  <c r="CG80" i="11"/>
  <c r="BU87" i="11"/>
  <c r="CG97" i="11"/>
  <c r="CG43" i="11"/>
  <c r="CG82" i="11"/>
  <c r="CG138" i="11"/>
  <c r="BU135" i="11"/>
  <c r="BV14" i="11"/>
  <c r="CG16" i="11"/>
  <c r="CG42" i="11"/>
  <c r="BU60" i="11"/>
  <c r="CG41" i="11"/>
  <c r="CI78" i="11"/>
  <c r="CG61" i="11"/>
  <c r="CG88" i="11"/>
  <c r="CG96" i="11"/>
  <c r="BU38" i="11"/>
  <c r="CI59" i="11"/>
  <c r="CI22" i="11"/>
  <c r="BU100" i="11"/>
  <c r="BU51" i="11"/>
  <c r="BV51" i="11" s="1"/>
  <c r="BW35" i="11"/>
  <c r="BW125" i="11"/>
  <c r="BU55" i="11"/>
  <c r="CH105" i="11"/>
  <c r="BW127" i="11"/>
  <c r="BW110" i="11"/>
  <c r="BW96" i="11"/>
  <c r="BW69" i="11"/>
  <c r="CG113" i="11"/>
  <c r="BU47" i="11"/>
  <c r="CG77" i="11"/>
  <c r="BV10" i="11"/>
  <c r="CH106" i="11"/>
  <c r="BV54" i="11"/>
  <c r="BV6" i="11"/>
  <c r="BW116" i="11"/>
  <c r="CA116" i="11" s="1"/>
  <c r="BW76" i="11"/>
  <c r="BV9" i="11"/>
  <c r="BL135" i="11"/>
  <c r="BL55" i="11"/>
  <c r="BL43" i="11"/>
  <c r="CA43" i="11" s="1"/>
  <c r="BL128" i="11"/>
  <c r="BL24" i="11"/>
  <c r="BL48" i="11"/>
  <c r="BL79" i="11"/>
  <c r="BL59" i="11"/>
  <c r="CA59" i="11" s="1"/>
  <c r="CA99" i="11"/>
  <c r="BL74" i="11"/>
  <c r="BL21" i="11"/>
  <c r="BL41" i="11"/>
  <c r="BL130" i="11"/>
  <c r="BL81" i="11"/>
  <c r="BL18" i="11"/>
  <c r="CA18" i="11" s="1"/>
  <c r="CA70" i="11"/>
  <c r="CA81" i="11"/>
  <c r="BL111" i="11"/>
  <c r="CA44" i="11"/>
  <c r="CA106" i="11"/>
  <c r="BW126" i="11"/>
  <c r="BV27" i="11"/>
  <c r="BL75" i="11"/>
  <c r="BL65" i="11"/>
  <c r="CA65" i="11" s="1"/>
  <c r="BL100" i="11"/>
  <c r="BL104" i="11"/>
  <c r="BL40" i="11"/>
  <c r="BL91" i="11"/>
  <c r="CA33" i="11"/>
  <c r="CH98" i="11"/>
  <c r="CI98" i="11"/>
  <c r="BU12" i="11"/>
  <c r="BW66" i="11"/>
  <c r="BL28" i="11"/>
  <c r="BL56" i="11"/>
  <c r="BU130" i="11"/>
  <c r="BV130" i="11" s="1"/>
  <c r="CH103" i="11"/>
  <c r="BW77" i="11"/>
  <c r="CH42" i="11"/>
  <c r="BL13" i="11"/>
  <c r="BL64" i="11"/>
  <c r="BL123" i="11"/>
  <c r="CI61" i="11"/>
  <c r="BW74" i="11"/>
  <c r="CA74" i="11" s="1"/>
  <c r="BU122" i="11"/>
  <c r="BU46" i="11"/>
  <c r="BV46" i="11" s="1"/>
  <c r="BU128" i="11"/>
  <c r="CH92" i="11"/>
  <c r="BW26" i="11"/>
  <c r="BV56" i="11"/>
  <c r="BW79" i="11"/>
  <c r="CA79" i="11" s="1"/>
  <c r="BW68" i="11"/>
  <c r="BL139" i="11"/>
  <c r="BL19" i="11"/>
  <c r="BL113" i="11"/>
  <c r="CA69" i="11"/>
  <c r="BU50" i="11"/>
  <c r="BV50" i="11" s="1"/>
  <c r="CH97" i="11"/>
  <c r="CG94" i="11"/>
  <c r="BU136" i="11"/>
  <c r="BV136" i="11" s="1"/>
  <c r="BU8" i="11"/>
  <c r="CG105" i="11"/>
  <c r="CH93" i="11"/>
  <c r="BU45" i="11"/>
  <c r="BV45" i="11" s="1"/>
  <c r="CG38" i="11"/>
  <c r="CG99" i="11"/>
  <c r="BU97" i="11"/>
  <c r="BU103" i="11"/>
  <c r="CG65" i="11"/>
  <c r="CH52" i="11"/>
  <c r="BU39" i="11"/>
  <c r="CG120" i="11"/>
  <c r="CG79" i="11"/>
  <c r="CH112" i="11"/>
  <c r="CG81" i="11"/>
  <c r="CI60" i="11"/>
  <c r="CH75" i="11"/>
  <c r="CH99" i="11"/>
  <c r="CG102" i="11"/>
  <c r="CH82" i="11"/>
  <c r="CG44" i="11"/>
  <c r="BU53" i="11"/>
  <c r="BU75" i="11"/>
  <c r="CG68" i="11"/>
  <c r="CG129" i="11"/>
  <c r="BU106" i="11"/>
  <c r="CH100" i="11"/>
  <c r="CG28" i="11"/>
  <c r="CG100" i="11"/>
  <c r="CH127" i="11"/>
  <c r="CI82" i="11"/>
  <c r="CH85" i="11"/>
  <c r="BU33" i="11"/>
  <c r="BV39" i="11"/>
  <c r="BV128" i="11"/>
  <c r="CI92" i="11"/>
  <c r="BU40" i="11"/>
  <c r="BV40" i="11" s="1"/>
  <c r="BW64" i="11"/>
  <c r="CA64" i="11" s="1"/>
  <c r="BW114" i="11"/>
  <c r="CA114" i="11" s="1"/>
  <c r="BV48" i="11"/>
  <c r="CG106" i="11"/>
  <c r="BU76" i="11"/>
  <c r="CI31" i="11"/>
  <c r="CH80" i="11"/>
  <c r="BW75" i="11"/>
  <c r="CA75" i="11" s="1"/>
  <c r="BW91" i="11"/>
  <c r="CA91" i="11" s="1"/>
  <c r="BV29" i="11"/>
  <c r="BV138" i="11"/>
  <c r="BW19" i="11"/>
  <c r="CA19" i="11" s="1"/>
  <c r="BW112" i="11"/>
  <c r="BW95" i="11"/>
  <c r="BL58" i="11"/>
  <c r="CA58" i="11" s="1"/>
  <c r="BL68" i="11"/>
  <c r="BL10" i="11"/>
  <c r="BL110" i="11"/>
  <c r="CA110" i="11" s="1"/>
  <c r="BL126" i="11"/>
  <c r="CA126" i="11" s="1"/>
  <c r="BL54" i="11"/>
  <c r="BL6" i="11"/>
  <c r="BL87" i="11"/>
  <c r="BL94" i="11"/>
  <c r="BL108" i="11"/>
  <c r="BL38" i="11"/>
  <c r="CA38" i="11" s="1"/>
  <c r="BL39" i="11"/>
  <c r="CA87" i="11"/>
  <c r="CA104" i="11"/>
  <c r="BL127" i="11"/>
  <c r="BL84" i="11"/>
  <c r="CA84" i="11" s="1"/>
  <c r="BL131" i="11"/>
  <c r="BL97" i="11"/>
  <c r="CA97" i="11" s="1"/>
  <c r="CA94" i="11"/>
  <c r="BL61" i="11"/>
  <c r="CA61" i="11" s="1"/>
  <c r="BL119" i="11"/>
  <c r="CA95" i="11"/>
  <c r="CA22" i="11"/>
  <c r="BV31" i="11"/>
  <c r="BV28" i="11"/>
  <c r="BW103" i="11"/>
  <c r="CA103" i="11" s="1"/>
  <c r="BL57" i="11"/>
  <c r="CA57" i="11" s="1"/>
  <c r="BL16" i="11"/>
  <c r="BL134" i="11"/>
  <c r="BL83" i="11"/>
  <c r="CA8" i="11"/>
  <c r="BU90" i="11"/>
  <c r="BW102" i="11"/>
  <c r="BW100" i="11"/>
  <c r="CA100" i="11" s="1"/>
  <c r="BV12" i="11"/>
  <c r="BV52" i="11"/>
  <c r="BL90" i="11"/>
  <c r="BL14" i="11"/>
  <c r="BL82" i="11"/>
  <c r="CA82" i="11" s="1"/>
  <c r="BL93" i="11"/>
  <c r="CA93" i="11" s="1"/>
  <c r="BL89" i="11"/>
  <c r="CG91" i="11"/>
  <c r="BV139" i="11"/>
  <c r="BW118" i="11"/>
  <c r="BW88" i="11"/>
  <c r="BW119" i="11"/>
  <c r="BL36" i="11"/>
  <c r="CA36" i="11" s="1"/>
  <c r="BL112" i="11"/>
  <c r="CA112" i="11" s="1"/>
  <c r="BL72" i="11"/>
  <c r="CA129" i="11"/>
  <c r="CI18" i="11"/>
  <c r="CG114" i="11"/>
  <c r="BU74" i="11"/>
  <c r="CG72" i="11"/>
  <c r="BU16" i="11"/>
  <c r="BV16" i="11" s="1"/>
  <c r="BU92" i="11"/>
  <c r="CH18" i="11"/>
  <c r="CG14" i="11"/>
  <c r="BV53" i="11"/>
  <c r="BV17" i="11"/>
  <c r="BL77" i="11"/>
  <c r="CA77" i="11" s="1"/>
  <c r="BL20" i="11"/>
  <c r="CA20" i="11" s="1"/>
  <c r="CA92" i="11"/>
  <c r="BL85" i="11"/>
  <c r="CA85" i="11" s="1"/>
  <c r="CA124"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CA72" i="11"/>
  <c r="CA21" i="11"/>
  <c r="CA96" i="11"/>
  <c r="CA76" i="11"/>
  <c r="CA102" i="11"/>
  <c r="BW45" i="11"/>
  <c r="CA89" i="11"/>
  <c r="BV47" i="11"/>
  <c r="CA67" i="11"/>
  <c r="CA7" i="11"/>
  <c r="CA121" i="11"/>
  <c r="CA90" i="11"/>
  <c r="BV55" i="11"/>
  <c r="CA35" i="11"/>
  <c r="CA42" i="11"/>
  <c r="CA66" i="11"/>
  <c r="BW32" i="11"/>
  <c r="CA32" i="11" s="1"/>
  <c r="BW14" i="11"/>
  <c r="BW40" i="11"/>
  <c r="BW136" i="11"/>
  <c r="BW15" i="11"/>
  <c r="CA88" i="11"/>
  <c r="BW54" i="11"/>
  <c r="BW134" i="11"/>
  <c r="CA134" i="11" s="1"/>
  <c r="CA113" i="11"/>
  <c r="BV30" i="11"/>
  <c r="BW13" i="11"/>
  <c r="CA117" i="11"/>
  <c r="CA119" i="11"/>
  <c r="BV135" i="11"/>
  <c r="CA37" i="11"/>
  <c r="BV25" i="11"/>
  <c r="CA26" i="11"/>
  <c r="BW28" i="11"/>
  <c r="BW53" i="11"/>
  <c r="BW17" i="11"/>
  <c r="CA17" i="11" s="1"/>
  <c r="BW41" i="11"/>
  <c r="CA136" i="11"/>
  <c r="BW50" i="11"/>
  <c r="BW11" i="11"/>
  <c r="CA11" i="11" s="1"/>
  <c r="CA109" i="11"/>
  <c r="CA107" i="11"/>
  <c r="CA28" i="11"/>
  <c r="CA127" i="11"/>
  <c r="CA118" i="11"/>
  <c r="CA86" i="11"/>
  <c r="CA78" i="11"/>
  <c r="CA115" i="11"/>
  <c r="BW48" i="11"/>
  <c r="CA122" i="11"/>
  <c r="CA123" i="11"/>
  <c r="CA125" i="11"/>
  <c r="BV131" i="11"/>
  <c r="CA60" i="11"/>
  <c r="BW16" i="11"/>
  <c r="BW56" i="11"/>
  <c r="CA56" i="11" s="1"/>
  <c r="BW46" i="11"/>
  <c r="CA46" i="11" s="1"/>
  <c r="BW130" i="11"/>
  <c r="CA130" i="11" s="1"/>
  <c r="BW51" i="11"/>
  <c r="CA51" i="11" s="1"/>
  <c r="CA108" i="11"/>
  <c r="CA14" i="11"/>
  <c r="CA15" i="11"/>
  <c r="CA16" i="11"/>
  <c r="CA40" i="11"/>
  <c r="BW139" i="11"/>
  <c r="CA139" i="11" s="1"/>
  <c r="BW6" i="11"/>
  <c r="CA34" i="11"/>
  <c r="CA45" i="11"/>
  <c r="BW137" i="11"/>
  <c r="CA137" i="11" s="1"/>
  <c r="BW39" i="11"/>
  <c r="CA39" i="11" s="1"/>
  <c r="BW29" i="11"/>
  <c r="CA29" i="11" s="1"/>
  <c r="BW9" i="11"/>
  <c r="CA54" i="11"/>
  <c r="CA9" i="11"/>
  <c r="BW52" i="11"/>
  <c r="CA52" i="11" s="1"/>
  <c r="BW24" i="11"/>
  <c r="CA6" i="11"/>
  <c r="CA111" i="11"/>
  <c r="CA23" i="11"/>
  <c r="CA62" i="11"/>
  <c r="CA73" i="11"/>
  <c r="BW83" i="11"/>
  <c r="CA83" i="11" s="1"/>
  <c r="BW138" i="11"/>
  <c r="CA138" i="11" s="1"/>
  <c r="BW49" i="11"/>
  <c r="CA49" i="11" s="1"/>
  <c r="BW128" i="11"/>
  <c r="CA128" i="11" s="1"/>
  <c r="CA68" i="11"/>
  <c r="CA50" i="11"/>
  <c r="CA105" i="11"/>
  <c r="BW132" i="11"/>
  <c r="CA132" i="11" s="1"/>
  <c r="BW12" i="11"/>
  <c r="CA24" i="11"/>
  <c r="CA41" i="11"/>
  <c r="CA13" i="11"/>
  <c r="BW27" i="11"/>
  <c r="CA27" i="11" s="1"/>
  <c r="BW31" i="11"/>
  <c r="CA31" i="11" s="1"/>
  <c r="CA12" i="11"/>
  <c r="CA48" i="11"/>
  <c r="BW10" i="11"/>
  <c r="CA10" i="11" s="1"/>
  <c r="BW133" i="11"/>
  <c r="CA133" i="11" s="1"/>
  <c r="CA53" i="11"/>
  <c r="BW131" i="11"/>
  <c r="CA131" i="11" s="1"/>
  <c r="BW135" i="11"/>
  <c r="CA135" i="11" s="1"/>
  <c r="BW30" i="11"/>
  <c r="CA30" i="11" s="1"/>
  <c r="BW47" i="11"/>
  <c r="CA47" i="11" s="1"/>
  <c r="BW25" i="11"/>
  <c r="CA25" i="11" s="1"/>
  <c r="BW55" i="11"/>
  <c r="CA55" i="11" s="1"/>
</calcChain>
</file>

<file path=xl/sharedStrings.xml><?xml version="1.0" encoding="utf-8"?>
<sst xmlns="http://schemas.openxmlformats.org/spreadsheetml/2006/main" count="9537" uniqueCount="2290">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</sst>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59">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cellXfs>
  <cellStyles count="2">
    <cellStyle name="Hyperlink" xfId="1" builtinId="8"/>
    <cellStyle name="Normal" xfId="0" builtinId="0"/>
  </cellStyles>
  <dxfs count="18">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25" x14ac:dyDescent="0.45"/>
  <cols>
    <col min="1" max="1" width="2.73046875" bestFit="1" customWidth="1"/>
    <col min="2" max="2" width="7.59765625" bestFit="1" customWidth="1"/>
    <col min="3" max="3" width="71.59765625" bestFit="1" customWidth="1"/>
    <col min="4" max="4" width="11" bestFit="1" customWidth="1"/>
    <col min="5" max="5" width="3.59765625" bestFit="1" customWidth="1"/>
    <col min="6" max="6" width="60" bestFit="1" customWidth="1"/>
    <col min="7" max="7" width="4.73046875" bestFit="1" customWidth="1"/>
    <col min="8" max="8" width="3.265625" bestFit="1" customWidth="1"/>
    <col min="9" max="9" width="3.73046875" bestFit="1" customWidth="1"/>
    <col min="10" max="10" width="15.59765625" customWidth="1"/>
    <col min="11" max="11" width="5.3984375" bestFit="1" customWidth="1"/>
    <col min="12" max="12" width="45.265625" bestFit="1" customWidth="1"/>
    <col min="14" max="14" width="8.59765625" bestFit="1" customWidth="1"/>
    <col min="15" max="15" width="9.3984375" bestFit="1" customWidth="1"/>
    <col min="16" max="16" width="6.265625" bestFit="1" customWidth="1"/>
    <col min="17" max="17" width="5" bestFit="1" customWidth="1"/>
    <col min="18" max="18" width="3.86328125" bestFit="1" customWidth="1"/>
    <col min="19" max="19" width="6" bestFit="1" customWidth="1"/>
    <col min="20" max="20" width="10.73046875" bestFit="1" customWidth="1"/>
    <col min="21" max="21" width="10.59765625" bestFit="1" customWidth="1"/>
  </cols>
  <sheetData>
    <row r="1" spans="1:21" x14ac:dyDescent="0.4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4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4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4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4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4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4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4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4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4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4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4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4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4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4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4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4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4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4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4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4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4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4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45"/>
  <sheetViews>
    <sheetView tabSelected="1" zoomScale="80" zoomScaleNormal="80" workbookViewId="0">
      <pane xSplit="7" ySplit="5" topLeftCell="H139" activePane="bottomRight" state="frozen"/>
      <selection pane="topRight" activeCell="G1" sqref="G1"/>
      <selection pane="bottomLeft" activeCell="A2" sqref="A2"/>
      <selection pane="bottomRight" activeCell="A146" sqref="A146"/>
    </sheetView>
  </sheetViews>
  <sheetFormatPr defaultColWidth="9.1328125" defaultRowHeight="13.15" x14ac:dyDescent="0.45"/>
  <cols>
    <col min="1" max="1" width="12.86328125" style="129" bestFit="1" customWidth="1"/>
    <col min="2" max="2" width="7.86328125" style="7" customWidth="1"/>
    <col min="3" max="3" width="9.86328125" style="7" bestFit="1" customWidth="1"/>
    <col min="4" max="4" width="14.3984375" style="7" customWidth="1"/>
    <col min="5" max="5" width="5.265625" style="1" customWidth="1"/>
    <col min="6" max="6" width="5.265625" style="30" customWidth="1"/>
    <col min="7" max="7" width="38.1328125" style="7" bestFit="1" customWidth="1"/>
    <col min="8" max="8" width="38.1328125" style="33" customWidth="1"/>
    <col min="9" max="9" width="9.3984375" style="7" bestFit="1" customWidth="1"/>
    <col min="10" max="10" width="9.3984375" style="7" customWidth="1"/>
    <col min="11" max="12" width="14.3984375" style="7" customWidth="1"/>
    <col min="13" max="13" width="69" style="7" customWidth="1"/>
    <col min="14" max="14" width="45.59765625" style="33" customWidth="1"/>
    <col min="15" max="15" width="11.3984375" style="1" bestFit="1" customWidth="1"/>
    <col min="16" max="16" width="9.1328125" style="1"/>
    <col min="17" max="17" width="11.59765625" style="40" bestFit="1" customWidth="1"/>
    <col min="18" max="18" width="10.265625" style="1" bestFit="1" customWidth="1"/>
    <col min="19" max="19" width="14.86328125" style="44" bestFit="1" customWidth="1"/>
    <col min="20" max="20" width="11.59765625" style="40" bestFit="1" customWidth="1"/>
    <col min="21" max="21" width="10.265625" style="1" bestFit="1" customWidth="1"/>
    <col min="22" max="22" width="14.86328125" style="44" bestFit="1" customWidth="1"/>
    <col min="23" max="23" width="11.59765625" style="1" bestFit="1" customWidth="1"/>
    <col min="24" max="24" width="10.265625" style="1" bestFit="1" customWidth="1"/>
    <col min="25" max="25" width="14.86328125" style="30" bestFit="1" customWidth="1"/>
    <col min="26" max="35" width="18.86328125" style="1" customWidth="1"/>
    <col min="36" max="36" width="36.265625" style="60" bestFit="1" customWidth="1"/>
    <col min="37" max="37" width="21" style="57" bestFit="1" customWidth="1"/>
    <col min="38" max="38" width="18.3984375" style="1" bestFit="1" customWidth="1"/>
    <col min="39" max="39" width="18.3984375" style="1" customWidth="1"/>
    <col min="40" max="40" width="14.3984375" style="1" bestFit="1" customWidth="1"/>
    <col min="41" max="42" width="14.3984375" style="1" customWidth="1"/>
    <col min="43" max="43" width="14.3984375" style="30" customWidth="1"/>
    <col min="44" max="44" width="4.59765625" style="121" bestFit="1" customWidth="1"/>
    <col min="45" max="45" width="9" style="116" bestFit="1" customWidth="1"/>
    <col min="46" max="46" width="10.265625" style="117" bestFit="1" customWidth="1"/>
    <col min="47" max="47" width="8.86328125" style="117" bestFit="1" customWidth="1"/>
    <col min="48" max="48" width="8.86328125" style="117" customWidth="1"/>
    <col min="49" max="64" width="9.1328125" style="117"/>
    <col min="65" max="72" width="7.1328125" style="117" customWidth="1"/>
    <col min="73" max="78" width="9.1328125" style="117"/>
    <col min="79" max="79" width="38.73046875" style="6" customWidth="1"/>
    <col min="80" max="80" width="38.73046875" style="14" customWidth="1"/>
    <col min="81" max="81" width="3" style="14" customWidth="1"/>
    <col min="82" max="87" width="12" style="12" customWidth="1"/>
    <col min="88" max="88" width="11.86328125" style="12" bestFit="1" customWidth="1"/>
    <col min="89" max="93" width="11.86328125" style="12" customWidth="1"/>
    <col min="94" max="16384" width="9.1328125" style="1"/>
  </cols>
  <sheetData>
    <row r="1" spans="1:93" ht="39.4" hidden="1" x14ac:dyDescent="0.4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 t="shared" ref="AS1" si="0">IF(OR(A1="Done",A1="In Progress"),TRUE)</f>
        <v>0</v>
      </c>
      <c r="AT1" s="117" t="str">
        <f t="shared" ref="AT1" si="1">"title: """&amp;G1&amp;""""</f>
        <v>title: "Page Title (what will display on website)"</v>
      </c>
      <c r="AU1" s="117" t="str">
        <f t="shared" ref="AU1" si="2">"location: {lat: "&amp;E1&amp;", lng: "&amp;F1&amp;"}"</f>
        <v>location: {lat: Lat, lng: Lon}</v>
      </c>
      <c r="AV1" s="117" t="str">
        <f t="shared" ref="AV1" si="3">"interest: "&amp;I1</f>
        <v>interest: Interest Level</v>
      </c>
      <c r="AW1" s="117" t="e">
        <f>"- "&amp;VLOOKUP(C1,'Country Tags'!C:E,3,)</f>
        <v>#N/A</v>
      </c>
      <c r="AX1" s="117" t="str">
        <f t="shared" ref="AX1" si="4">IF(LEN(D1)&gt;1,"- "&amp;LOWER(SUBSTITUTE(D1," ","-")),"")</f>
        <v>- diocese-(optional)</v>
      </c>
      <c r="AY1" s="117" t="e">
        <f t="shared" ref="AY1" si="5">IF(J1,"- churches","")</f>
        <v>#VALUE!</v>
      </c>
      <c r="AZ1" s="117" t="e">
        <f t="shared" ref="AZ1" si="6">IF(K1,"- marian-sites","")</f>
        <v>#VALUE!</v>
      </c>
      <c r="BA1" s="117" t="e">
        <f t="shared" ref="BA1" si="7">IF(L1,"- holy-persons","")</f>
        <v>#VALUE!</v>
      </c>
      <c r="BB1" s="117" t="str">
        <f t="shared" ref="BB1" si="8">IF(LEN(Z1)&gt;0,"- "&amp;Z1,"")</f>
        <v>- Additional Tags (must add to tag sheet)</v>
      </c>
      <c r="BC1" s="117" t="str">
        <f t="shared" ref="BC1" si="9">IF(LEN(AA1)&gt;0,"- "&amp;AA1,"")</f>
        <v/>
      </c>
      <c r="BD1" s="117" t="str">
        <f t="shared" ref="BD1" si="10">IF(LEN(AB1)&gt;0,"- "&amp;AB1,"")</f>
        <v/>
      </c>
      <c r="BE1" s="117" t="str">
        <f t="shared" ref="BE1" si="11">IF(LEN(AC1)&gt;0,"- "&amp;AC1,"")</f>
        <v/>
      </c>
      <c r="BF1" s="117" t="str">
        <f t="shared" ref="BF1" si="12">IF(LEN(AD1)&gt;0,"- "&amp;AD1,"")</f>
        <v/>
      </c>
      <c r="BG1" s="117" t="str">
        <f t="shared" ref="BG1" si="13">IF(LEN(AE1)&gt;0,"- "&amp;AE1,"")</f>
        <v/>
      </c>
      <c r="BH1" s="117" t="str">
        <f t="shared" ref="BH1" si="14">IF(LEN(AF1)&gt;0,"- "&amp;AF1,"")</f>
        <v/>
      </c>
      <c r="BI1" s="117" t="str">
        <f t="shared" ref="BI1" si="15">IF(LEN(AG1)&gt;0,"- "&amp;AG1,"")</f>
        <v/>
      </c>
      <c r="BJ1" s="117" t="str">
        <f t="shared" ref="BJ1" si="16">IF(LEN(AH1)&gt;0,"- "&amp;AH1,"")</f>
        <v/>
      </c>
      <c r="BK1" s="117" t="str">
        <f t="shared" ref="BK1" si="17">IF(LEN(AI1)&gt;0,"- "&amp;AI1,"")</f>
        <v/>
      </c>
      <c r="BL1" s="117" t="e">
        <f t="shared" ref="BL1" si="18">"tags:"&amp;CHAR(10)&amp;concatl(AW1:BK1)</f>
        <v>#VALUE!</v>
      </c>
      <c r="BM1" s="117" t="str">
        <f t="shared" ref="BM1" si="19">IF(LEN(O1)&gt;0,TRIM(CONCATENATE("[Official site](",O1,") ",IF(LEN(P1)&gt;0,"- "&amp;P1,P1))),"")</f>
        <v>[Official site](Official URL) - Comment</v>
      </c>
      <c r="BN1" s="117" t="str">
        <f t="shared" ref="BN1" si="20">IF(LEN(R1)&gt;0,TRIM(CONCATENATE("["&amp;Q1&amp;"](",R1,") ",IF(LEN(S1)&gt;0,"- "&amp;S1,S1))),"")</f>
        <v>[Link Name](Link URL) - Link Comment</v>
      </c>
      <c r="BO1" s="117" t="str">
        <f t="shared" ref="BO1" si="21">IF(LEN(U1)&gt;0,TRIM(CONCATENATE("["&amp;T1&amp;"](",U1,") ",IF(LEN(V1)&gt;0,"- "&amp;V1,V1))),"")</f>
        <v/>
      </c>
      <c r="BP1" s="117" t="str">
        <f t="shared" ref="BP1" si="22">IF(LEN(X1)&gt;0,TRIM(CONCATENATE("["&amp;W1&amp;"](",X1,") ",IF(LEN(Y1)&gt;0,"- "&amp;Y1,Y1))),"")</f>
        <v/>
      </c>
      <c r="BQ1" s="117" t="str">
        <f t="shared" ref="BQ1" si="23">IF(LEN(BM1)&gt;0,"* "&amp;BM1&amp;CHAR(10),"")&amp;
IF(LEN(BN1)&gt;0,"* "&amp;BN1&amp;CHAR(10),"")&amp;
IF(LEN(BO1)&gt;0,"* "&amp;BO1&amp;CHAR(10),"")&amp;
IF(LEN(BP1)&gt;0,"* "&amp;BP1&amp;CHAR(10),"")</f>
        <v xml:space="preserve">* [Official site](Official URL) - Comment
* [Link Name](Link URL) - Link Comment
</v>
      </c>
      <c r="BR1" s="117" t="str">
        <f t="shared" ref="BR1" si="24">IF(LEN(AL1)&gt;0,TRIM(CONCATENATE("[Link](",AL1,") ",AM1)),"")</f>
        <v/>
      </c>
      <c r="BS1" s="117" t="str">
        <f t="shared" ref="BS1" si="25">IF(LEN(AN1)&gt;0,TRIM(CONCATENATE("[Link](",AN1,") ",AO1)),"")</f>
        <v/>
      </c>
      <c r="BT1" s="117" t="str">
        <f t="shared" ref="BT1" si="26">IF(LEN(AP1)&gt;0,TRIM(CONCATENATE("[Link](",AP1,") ",AQ1)),"")</f>
        <v/>
      </c>
      <c r="BU1" s="117" t="str">
        <f>IF(LEN(_xludf.concat(BR1:BT1))&gt;0,_xludf.concat("| ",BR1," | ",BS1," | ",BT1," |"),"")</f>
        <v/>
      </c>
      <c r="BV1" s="117" t="e">
        <f t="shared" ref="BV1" si="27">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 t="shared" ref="CJ1" si="28">"|"&amp;IF(LEN(CG1)&gt;1," "&amp;CG1,"")&amp;IF(LEN(CH1)&gt;1,", "&amp;CH1,"")&amp;IF(LEN(CI1)&gt;1,", "&amp;CI1,"")&amp;" "</f>
        <v>#VALUE!</v>
      </c>
      <c r="CK1" s="12" t="str">
        <f t="shared" ref="CK1" si="29">"| "&amp;IF(AS1,"["&amp;AJ1&amp;"](/places/"&amp;SUBSTITUTE(CB1,".md","")&amp;")",AJ1)&amp;" "</f>
        <v xml:space="preserve">|  </v>
      </c>
      <c r="CL1" s="12" t="str">
        <f>"| "&amp;IF(AS1,GetTagPage(C1,VLOOKUP(C1,'Country Tags'!C:E,3,)),C1)&amp; " "</f>
        <v xml:space="preserve">| Country Name </v>
      </c>
      <c r="CM1" s="12" t="str">
        <f t="shared" ref="CM1" si="30">"| "&amp;AK1&amp;" "</f>
        <v xml:space="preserve">|  </v>
      </c>
      <c r="CN1" s="12" t="str">
        <f t="shared" ref="CN1" si="31">"|"&amp;IF(AS1," [Link](/places/"&amp;SUBSTITUTE(CB1,".md","")&amp;")","")&amp;" "</f>
        <v xml:space="preserve">| </v>
      </c>
      <c r="CO1" s="12" t="e">
        <f t="shared" ref="CO1" si="32">"
"&amp;CK1&amp;CL1&amp;CM1&amp;CN1&amp;BM1&amp;BR1&amp;BS1&amp;BT1&amp;CJ1&amp;"|"</f>
        <v>#VALUE!</v>
      </c>
    </row>
    <row r="2" spans="1:93" x14ac:dyDescent="0.45">
      <c r="Y2" s="125"/>
    </row>
    <row r="5" spans="1:93" s="47" customFormat="1" ht="26.65" thickBot="1" x14ac:dyDescent="0.5">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76.5" x14ac:dyDescent="0.4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33">IF(OR(A6="Done",A6="In Progress"),TRUE)</f>
        <v>1</v>
      </c>
      <c r="AT6" s="117" t="str">
        <f t="shared" ref="AT6:AT37" si="34">"title: """&amp;G6&amp;""""</f>
        <v>title: "Basilica of Our Lady of Lujan"</v>
      </c>
      <c r="AU6" s="117" t="str">
        <f t="shared" ref="AU6:AU37" si="35">"location: {lat: "&amp;E6&amp;", lng: "&amp;F6&amp;"}"</f>
        <v>location: {lat: -34.5641985133718, lng: -59.1214082314216}</v>
      </c>
      <c r="AV6" s="117" t="str">
        <f t="shared" ref="AV6:AV37" si="36">"interest: "&amp;I6</f>
        <v>interest: global</v>
      </c>
      <c r="AW6" s="117" t="str">
        <f>"- "&amp;VLOOKUP(C6,'Country Tags'!C:E,3,)</f>
        <v>- ar</v>
      </c>
      <c r="AX6" s="117" t="str">
        <f t="shared" ref="AX6:AX37" si="37">IF(LEN(D6)&gt;1,"- "&amp;LOWER(SUBSTITUTE(D6," ","-")),"")</f>
        <v/>
      </c>
      <c r="AY6" s="117" t="str">
        <f t="shared" ref="AY6:AY37" si="38">IF(J6,"- churches","")</f>
        <v>- churches</v>
      </c>
      <c r="AZ6" s="117" t="str">
        <f t="shared" ref="AZ6:AZ37" si="39">IF(K6,"- marian-sites","")</f>
        <v>- marian-sites</v>
      </c>
      <c r="BA6" s="117" t="str">
        <f t="shared" ref="BA6:BA37" si="40">IF(L6,"- holy-persons","")</f>
        <v/>
      </c>
      <c r="BB6" s="117" t="str">
        <f t="shared" ref="BB6:BB37" si="41">IF(LEN(Z6)&gt;0,"- "&amp;Z6,"")</f>
        <v/>
      </c>
      <c r="BC6" s="117" t="str">
        <f t="shared" ref="BC6:BC37" si="42">IF(LEN(AA6)&gt;0,"- "&amp;AA6,"")</f>
        <v/>
      </c>
      <c r="BD6" s="117" t="str">
        <f t="shared" ref="BD6:BD37" si="43">IF(LEN(AB6)&gt;0,"- "&amp;AB6,"")</f>
        <v/>
      </c>
      <c r="BE6" s="117" t="str">
        <f t="shared" ref="BE6:BE37" si="44">IF(LEN(AC6)&gt;0,"- "&amp;AC6,"")</f>
        <v/>
      </c>
      <c r="BF6" s="117" t="str">
        <f t="shared" ref="BF6:BF37" si="45">IF(LEN(AD6)&gt;0,"- "&amp;AD6,"")</f>
        <v/>
      </c>
      <c r="BG6" s="117" t="str">
        <f t="shared" ref="BG6:BG37" si="46">IF(LEN(AE6)&gt;0,"- "&amp;AE6,"")</f>
        <v/>
      </c>
      <c r="BH6" s="117" t="str">
        <f t="shared" ref="BH6:BH37" si="47">IF(LEN(AF6)&gt;0,"- "&amp;AF6,"")</f>
        <v/>
      </c>
      <c r="BI6" s="117" t="str">
        <f t="shared" ref="BI6:BI37" si="48">IF(LEN(AG6)&gt;0,"- "&amp;AG6,"")</f>
        <v/>
      </c>
      <c r="BJ6" s="117" t="str">
        <f t="shared" ref="BJ6:BJ37" si="49">IF(LEN(AH6)&gt;0,"- "&amp;AH6,"")</f>
        <v/>
      </c>
      <c r="BK6" s="117" t="str">
        <f t="shared" ref="BK6:BK37" si="50">IF(LEN(AI6)&gt;0,"- "&amp;AI6,"")</f>
        <v/>
      </c>
      <c r="BL6" s="117" t="str">
        <f t="shared" ref="BL6:BL37" si="51">"tags:"&amp;CHAR(10)&amp;concatl(AW6:BK6)</f>
        <v xml:space="preserve">tags:
- ar_x000D_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 t="shared" ref="BQ6:BQ37" si="52">IF(LEN(BM6)&gt;0,"* "&amp;BM6&amp;CHAR(10),"")&amp;
IF(LEN(BN6)&gt;0,"* "&amp;BN6&amp;CHAR(10),"")&amp;
IF(LEN(BO6)&gt;0,"* "&amp;BO6&amp;CHAR(10),"")&amp;
IF(LEN(BP6)&gt;0,"* "&amp;BP6&amp;CHAR(10),"")</f>
        <v xml:space="preserve">* [Official site](https://santuariodelujan.org.ar/)
</v>
      </c>
      <c r="BR6" s="120" t="str">
        <f t="shared" ref="BR6:BR37" si="53">IF(LEN(AL6)&gt;0,TRIM(CONCATENATE("[Link](",AL6,") ",AM6)),"")</f>
        <v>[Link](http://www.therealpresence.org/eucharst/misc/BVM/112_LUJAN_96x96.pdf)</v>
      </c>
      <c r="BS6" s="120" t="str">
        <f t="shared" ref="BS6:BS37" si="54">IF(LEN(AN6)&gt;0,TRIM(CONCATENATE("[Link](",AN6,") ",AO6)),"")</f>
        <v>[Link](http://www.miraclehunter.com/miraculous_images/icons_1600-1699.html) (Search "Lujan")</v>
      </c>
      <c r="BT6" s="120" t="str">
        <f t="shared" ref="BT6:BT37" si="55">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57">"|"&amp;IF(LEN(CG6)&gt;1," "&amp;CG6,"")&amp;IF(LEN(CH6)&gt;1,", "&amp;CH6,"")&amp;IF(LEN(CI6)&gt;1,", "&amp;CI6,"")&amp;" "</f>
        <v xml:space="preserve">| </v>
      </c>
      <c r="CK6" s="13" t="str">
        <f t="shared" ref="CK6:CK37" si="58">"| "&amp;IF(AS6,"["&amp;AJ6&amp;"](/places/"&amp;SUBSTITUTE(CB6,".md","")&amp;")",AJ6)&amp;" "</f>
        <v xml:space="preserve">| [Luján](/places/places\ar-basilica-of-our-lady-of-lujan) </v>
      </c>
      <c r="CL6" s="13" t="str">
        <f>"| "&amp;IF(AS6,GetTagPage(C6,VLOOKUP(C6,'Country Tags'!C:E,3,)),C6)&amp; " "</f>
        <v xml:space="preserve">| [Argentina](/tags/ar) </v>
      </c>
      <c r="CM6" s="13" t="str">
        <f t="shared" ref="CM6:CM37" si="59">"| "&amp;AK6&amp;" "</f>
        <v xml:space="preserve">| 17th Century </v>
      </c>
      <c r="CN6" s="13" t="str">
        <f t="shared" ref="CN6:CN37" si="60">"|"&amp;IF(AS6," [Link](/places/"&amp;SUBSTITUTE(CB6,".md","")&amp;")","")&amp;" "</f>
        <v xml:space="preserve">| [Link](/places/places\ar-basilica-of-our-lady-of-lujan) </v>
      </c>
      <c r="CO6" s="12" t="str">
        <f t="shared" ref="CO6:CO37" si="61">"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4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33"/>
        <v>1</v>
      </c>
      <c r="AT7" s="117" t="str">
        <f t="shared" si="34"/>
        <v>title: "St. Michael and St. Gudula Cathedral (Brussels Cathedral)"</v>
      </c>
      <c r="AU7" s="117" t="str">
        <f t="shared" si="35"/>
        <v>location: {lat: 50.8478744506604, lng: 4.35897312161425}</v>
      </c>
      <c r="AV7" s="117" t="str">
        <f t="shared" si="36"/>
        <v>interest: regional</v>
      </c>
      <c r="AW7" s="117" t="str">
        <f>"- "&amp;VLOOKUP(C7,'Country Tags'!C:E,3,)</f>
        <v>- be</v>
      </c>
      <c r="AX7" s="117" t="str">
        <f t="shared" si="37"/>
        <v>- brussels</v>
      </c>
      <c r="AY7" s="117" t="str">
        <f t="shared" si="38"/>
        <v>- churches</v>
      </c>
      <c r="AZ7" s="117" t="str">
        <f t="shared" si="39"/>
        <v/>
      </c>
      <c r="BA7" s="117" t="str">
        <f t="shared" si="40"/>
        <v/>
      </c>
      <c r="BB7" s="117" t="str">
        <f t="shared" si="41"/>
        <v/>
      </c>
      <c r="BC7" s="117" t="str">
        <f t="shared" si="42"/>
        <v/>
      </c>
      <c r="BD7" s="117" t="str">
        <f t="shared" si="43"/>
        <v/>
      </c>
      <c r="BE7" s="117" t="str">
        <f t="shared" si="44"/>
        <v/>
      </c>
      <c r="BF7" s="117" t="str">
        <f t="shared" si="45"/>
        <v/>
      </c>
      <c r="BG7" s="117" t="str">
        <f t="shared" si="46"/>
        <v/>
      </c>
      <c r="BH7" s="117" t="str">
        <f t="shared" si="47"/>
        <v/>
      </c>
      <c r="BI7" s="117" t="str">
        <f t="shared" si="48"/>
        <v/>
      </c>
      <c r="BJ7" s="117" t="str">
        <f t="shared" si="49"/>
        <v/>
      </c>
      <c r="BK7" s="117" t="str">
        <f t="shared" si="50"/>
        <v/>
      </c>
      <c r="BL7" s="117" t="str">
        <f t="shared" si="51"/>
        <v xml:space="preserve">tags:
- be_x000D_
- brussels_x000D_
- churches_x000D_
</v>
      </c>
      <c r="BM7" s="120" t="str">
        <f t="shared" ref="BM7:BM70" si="62">IF(LEN(O7)&gt;0,TRIM(CONCATENATE("[Official site](",O7,") ",IF(LEN(P7)&gt;0,"- "&amp;P7,P7))),"")</f>
        <v>[Official site](https://www.cathedralisbruxellensis.be/)</v>
      </c>
      <c r="BN7" s="120" t="str">
        <f t="shared" ref="BN7:BN70" si="63">IF(LEN(R7)&gt;0,TRIM(CONCATENATE("["&amp;Q7&amp;"](",R7,") ",IF(LEN(S7)&gt;0,"- "&amp;S7,S7))),"")</f>
        <v/>
      </c>
      <c r="BO7" s="120" t="str">
        <f t="shared" ref="BO7:BO70" si="64">IF(LEN(U7)&gt;0,TRIM(CONCATENATE("["&amp;T7&amp;"](",U7,") ",IF(LEN(V7)&gt;0,"- "&amp;V7,V7))),"")</f>
        <v/>
      </c>
      <c r="BP7" s="120" t="str">
        <f t="shared" ref="BP7:BP70" si="65">IF(LEN(X7)&gt;0,TRIM(CONCATENATE("["&amp;W7&amp;"](",X7,") ",IF(LEN(Y7)&gt;0,"- "&amp;Y7,Y7))),"")</f>
        <v/>
      </c>
      <c r="BQ7" s="120" t="str">
        <f t="shared" si="52"/>
        <v xml:space="preserve">* [Official site](https://www.cathedralisbruxellensis.be/)
</v>
      </c>
      <c r="BR7" s="120" t="str">
        <f t="shared" si="53"/>
        <v/>
      </c>
      <c r="BS7" s="120" t="str">
        <f t="shared" si="54"/>
        <v/>
      </c>
      <c r="BT7" s="120" t="str">
        <f t="shared" si="55"/>
        <v/>
      </c>
      <c r="BU7" s="120" t="str">
        <f>IF(LEN(_xludf.concat(BR7:BT7))&gt;0,_xludf.concat("| ",BR7," | ",BS7," | ",BT7," |"),"")</f>
        <v/>
      </c>
      <c r="BV7" s="117" t="str">
        <f t="shared" si="56"/>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57"/>
        <v xml:space="preserve">| </v>
      </c>
      <c r="CK7" s="13" t="str">
        <f t="shared" si="58"/>
        <v xml:space="preserve">| [](/places/places\be-brussels-cathedral) </v>
      </c>
      <c r="CL7" s="13" t="str">
        <f>"| "&amp;IF(AS7,GetTagPage(C7,VLOOKUP(C7,'Country Tags'!C:E,3,)),C7)&amp; " "</f>
        <v xml:space="preserve">| [Belgium](/tags/be) </v>
      </c>
      <c r="CM7" s="13" t="str">
        <f t="shared" si="59"/>
        <v xml:space="preserve">|  </v>
      </c>
      <c r="CN7" s="13" t="str">
        <f t="shared" si="60"/>
        <v xml:space="preserve">| [Link](/places/places\be-brussels-cathedral) </v>
      </c>
      <c r="CO7" s="12" t="str">
        <f t="shared" si="61"/>
        <v xml:space="preserve">
| [](/places/places\be-brussels-cathedral) | [Belgium](/tags/be) |  | [Link](/places/places\be-brussels-cathedral) [Official site](https://www.cathedralisbruxellensis.be/)| |</v>
      </c>
    </row>
    <row r="8" spans="1:93" x14ac:dyDescent="0.4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33"/>
        <v>1</v>
      </c>
      <c r="AT8" s="117" t="str">
        <f t="shared" si="34"/>
        <v>title: "St. Catherine's Church"</v>
      </c>
      <c r="AU8" s="117" t="str">
        <f t="shared" si="35"/>
        <v>location: {lat: 50.8506899525108, lng: 4.34804927612854}</v>
      </c>
      <c r="AV8" s="117" t="str">
        <f t="shared" si="36"/>
        <v>interest: local</v>
      </c>
      <c r="AW8" s="117" t="str">
        <f>"- "&amp;VLOOKUP(C8,'Country Tags'!C:E,3,)</f>
        <v>- be</v>
      </c>
      <c r="AX8" s="117" t="str">
        <f t="shared" si="37"/>
        <v>- brussels</v>
      </c>
      <c r="AY8" s="117" t="str">
        <f t="shared" si="38"/>
        <v>- churches</v>
      </c>
      <c r="AZ8" s="117" t="str">
        <f t="shared" si="39"/>
        <v/>
      </c>
      <c r="BA8" s="117" t="str">
        <f t="shared" si="40"/>
        <v/>
      </c>
      <c r="BB8" s="117" t="str">
        <f t="shared" si="41"/>
        <v/>
      </c>
      <c r="BC8" s="117" t="str">
        <f t="shared" si="42"/>
        <v/>
      </c>
      <c r="BD8" s="117" t="str">
        <f t="shared" si="43"/>
        <v/>
      </c>
      <c r="BE8" s="117" t="str">
        <f t="shared" si="44"/>
        <v/>
      </c>
      <c r="BF8" s="117" t="str">
        <f t="shared" si="45"/>
        <v/>
      </c>
      <c r="BG8" s="117" t="str">
        <f t="shared" si="46"/>
        <v/>
      </c>
      <c r="BH8" s="117" t="str">
        <f t="shared" si="47"/>
        <v/>
      </c>
      <c r="BI8" s="117" t="str">
        <f t="shared" si="48"/>
        <v/>
      </c>
      <c r="BJ8" s="117" t="str">
        <f t="shared" si="49"/>
        <v/>
      </c>
      <c r="BK8" s="117" t="str">
        <f t="shared" si="50"/>
        <v/>
      </c>
      <c r="BL8" s="117" t="str">
        <f t="shared" si="51"/>
        <v xml:space="preserve">tags:
- be_x000D_
- brussels_x000D_
- churches_x000D_
</v>
      </c>
      <c r="BM8" s="120" t="str">
        <f t="shared" si="62"/>
        <v>[Official site](https://www.cathedralisbruxellensis.be/)</v>
      </c>
      <c r="BN8" s="120" t="str">
        <f t="shared" si="63"/>
        <v/>
      </c>
      <c r="BO8" s="120" t="str">
        <f t="shared" si="64"/>
        <v/>
      </c>
      <c r="BP8" s="120" t="str">
        <f t="shared" si="65"/>
        <v/>
      </c>
      <c r="BQ8" s="117" t="str">
        <f t="shared" si="52"/>
        <v xml:space="preserve">* [Official site](https://www.cathedralisbruxellensis.be/)
</v>
      </c>
      <c r="BR8" s="117" t="str">
        <f t="shared" si="53"/>
        <v/>
      </c>
      <c r="BS8" s="117" t="str">
        <f t="shared" si="54"/>
        <v/>
      </c>
      <c r="BT8" s="117" t="str">
        <f t="shared" si="55"/>
        <v/>
      </c>
      <c r="BU8" s="117" t="str">
        <f>IF(LEN(_xludf.concat(BR8:BT8))&gt;0,_xludf.concat("| ",BR8," | ",BS8," | ",BT8," |"),"")</f>
        <v/>
      </c>
      <c r="BV8" s="117" t="str">
        <f t="shared" si="56"/>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57"/>
        <v xml:space="preserve">| </v>
      </c>
      <c r="CK8" s="12" t="str">
        <f t="shared" si="58"/>
        <v xml:space="preserve">| [](/places/places\be-brussels-st-catherine) </v>
      </c>
      <c r="CL8" s="13" t="str">
        <f>"| "&amp;IF(AS8,GetTagPage(C8,VLOOKUP(C8,'Country Tags'!C:E,3,)),C8)&amp; " "</f>
        <v xml:space="preserve">| [Belgium](/tags/be) </v>
      </c>
      <c r="CM8" s="12" t="str">
        <f t="shared" si="59"/>
        <v xml:space="preserve">|  </v>
      </c>
      <c r="CN8" s="12" t="str">
        <f t="shared" si="60"/>
        <v xml:space="preserve">| [Link](/places/places\be-brussels-st-catherine) </v>
      </c>
      <c r="CO8" s="12" t="str">
        <f t="shared" si="61"/>
        <v xml:space="preserve">
| [](/places/places\be-brussels-st-catherine) | [Belgium](/tags/be) |  | [Link](/places/places\be-brussels-st-catherine) [Official site](https://www.cathedralisbruxellensis.be/)| |</v>
      </c>
    </row>
    <row r="9" spans="1:93" ht="216.75" x14ac:dyDescent="0.4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33"/>
        <v>1</v>
      </c>
      <c r="AT9" s="117" t="str">
        <f t="shared" si="34"/>
        <v>title: "National Shrine Basilica of Our Lady of Las Lajas"</v>
      </c>
      <c r="AU9" s="117" t="str">
        <f t="shared" si="35"/>
        <v>location: {lat: 0.805324865882345, lng: -77.5859226762825}</v>
      </c>
      <c r="AV9" s="117" t="str">
        <f t="shared" si="36"/>
        <v>interest: global</v>
      </c>
      <c r="AW9" s="117" t="str">
        <f>"- "&amp;VLOOKUP(C9,'Country Tags'!C:E,3,)</f>
        <v>- co</v>
      </c>
      <c r="AX9" s="117" t="str">
        <f t="shared" si="37"/>
        <v/>
      </c>
      <c r="AY9" s="117" t="str">
        <f t="shared" si="38"/>
        <v>- churches</v>
      </c>
      <c r="AZ9" s="117" t="str">
        <f t="shared" si="39"/>
        <v>- marian-sites</v>
      </c>
      <c r="BA9" s="117" t="str">
        <f t="shared" si="40"/>
        <v/>
      </c>
      <c r="BB9" s="117" t="str">
        <f t="shared" si="41"/>
        <v/>
      </c>
      <c r="BC9" s="117" t="str">
        <f t="shared" si="42"/>
        <v/>
      </c>
      <c r="BD9" s="117" t="str">
        <f t="shared" si="43"/>
        <v/>
      </c>
      <c r="BE9" s="117" t="str">
        <f t="shared" si="44"/>
        <v/>
      </c>
      <c r="BF9" s="117" t="str">
        <f t="shared" si="45"/>
        <v/>
      </c>
      <c r="BG9" s="117" t="str">
        <f t="shared" si="46"/>
        <v/>
      </c>
      <c r="BH9" s="117" t="str">
        <f t="shared" si="47"/>
        <v/>
      </c>
      <c r="BI9" s="117" t="str">
        <f t="shared" si="48"/>
        <v/>
      </c>
      <c r="BJ9" s="117" t="str">
        <f t="shared" si="49"/>
        <v/>
      </c>
      <c r="BK9" s="117" t="str">
        <f t="shared" si="50"/>
        <v/>
      </c>
      <c r="BL9" s="117" t="str">
        <f t="shared" si="51"/>
        <v xml:space="preserve">tags:
- co_x000D_
- churches_x000D_
- marian-sites_x000D_
</v>
      </c>
      <c r="BM9" s="120" t="str">
        <f t="shared" si="62"/>
        <v>[Official site](https://www.laslajas.org/)</v>
      </c>
      <c r="BN9" s="120" t="str">
        <f t="shared" si="63"/>
        <v/>
      </c>
      <c r="BO9" s="120" t="str">
        <f t="shared" si="64"/>
        <v/>
      </c>
      <c r="BP9" s="120" t="str">
        <f t="shared" si="65"/>
        <v/>
      </c>
      <c r="BQ9" s="120" t="str">
        <f t="shared" si="52"/>
        <v xml:space="preserve">* [Official site](https://www.laslajas.org/)
</v>
      </c>
      <c r="BR9" s="120" t="str">
        <f t="shared" si="53"/>
        <v>[Link](http://www.therealpresence.org/eucharst/misc/BVM/109_LAJAS_96x96.pdf)</v>
      </c>
      <c r="BS9" s="120" t="str">
        <f t="shared" si="54"/>
        <v>[Link](http://www.miraclehunter.com/marian_apparitions/approved_apparitions/guaitara/index.html)</v>
      </c>
      <c r="BT9" s="120" t="str">
        <f t="shared" si="55"/>
        <v/>
      </c>
      <c r="BU9" s="120" t="str">
        <f>IF(LEN(_xludf.concat(BR9:BT9))&gt;0,_xludf.concat("| ",BR9," | ",BS9," | ",BT9," |"),"")</f>
        <v>| [Link](http://www.therealpresence.org/eucharst/misc/BVM/109_LAJAS_96x96.pdf) | [Link](http://www.miraclehunter.com/marian_apparitions/approved_apparitions/guaitara/index.html) |  |</v>
      </c>
      <c r="BV9" s="117" t="str">
        <f t="shared" si="56"/>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57"/>
        <v xml:space="preserve">| </v>
      </c>
      <c r="CK9" s="13" t="str">
        <f t="shared" si="58"/>
        <v xml:space="preserve">| [Las Lajas](/places/places\co-basilica-of-our-lady-of-las-lajas) </v>
      </c>
      <c r="CL9" s="13" t="str">
        <f>"| "&amp;IF(AS9,GetTagPage(C9,VLOOKUP(C9,'Country Tags'!C:E,3,)),C9)&amp; " "</f>
        <v xml:space="preserve">| [Colombia](/tags/co) </v>
      </c>
      <c r="CM9" s="13" t="str">
        <f t="shared" si="59"/>
        <v xml:space="preserve">| 1754 </v>
      </c>
      <c r="CN9" s="13" t="str">
        <f t="shared" si="60"/>
        <v xml:space="preserve">| [Link](/places/places\co-basilica-of-our-lady-of-las-lajas) </v>
      </c>
      <c r="CO9" s="12" t="str">
        <f t="shared" si="61"/>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4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33"/>
        <v>1</v>
      </c>
      <c r="AT10" s="117" t="str">
        <f t="shared" si="34"/>
        <v>title: "Basilica of Our Lady Help of Christians"</v>
      </c>
      <c r="AU10" s="117" t="str">
        <f t="shared" si="35"/>
        <v>location: {lat: 50.9806857, lng: 14.5973499}</v>
      </c>
      <c r="AV10" s="117" t="str">
        <f t="shared" si="36"/>
        <v>interest: global</v>
      </c>
      <c r="AW10" s="117" t="str">
        <f>"- "&amp;VLOOKUP(C10,'Country Tags'!C:E,3,)</f>
        <v>- cz</v>
      </c>
      <c r="AX10" s="117" t="str">
        <f t="shared" si="37"/>
        <v/>
      </c>
      <c r="AY10" s="117" t="str">
        <f t="shared" si="38"/>
        <v>- churches</v>
      </c>
      <c r="AZ10" s="117" t="str">
        <f t="shared" si="39"/>
        <v>- marian-sites</v>
      </c>
      <c r="BA10" s="117" t="str">
        <f t="shared" si="40"/>
        <v/>
      </c>
      <c r="BB10" s="117" t="str">
        <f t="shared" si="41"/>
        <v/>
      </c>
      <c r="BC10" s="117" t="str">
        <f t="shared" si="42"/>
        <v/>
      </c>
      <c r="BD10" s="117" t="str">
        <f t="shared" si="43"/>
        <v/>
      </c>
      <c r="BE10" s="117" t="str">
        <f t="shared" si="44"/>
        <v/>
      </c>
      <c r="BF10" s="117" t="str">
        <f t="shared" si="45"/>
        <v/>
      </c>
      <c r="BG10" s="117" t="str">
        <f t="shared" si="46"/>
        <v/>
      </c>
      <c r="BH10" s="117" t="str">
        <f t="shared" si="47"/>
        <v/>
      </c>
      <c r="BI10" s="117" t="str">
        <f t="shared" si="48"/>
        <v/>
      </c>
      <c r="BJ10" s="117" t="str">
        <f t="shared" si="49"/>
        <v/>
      </c>
      <c r="BK10" s="117" t="str">
        <f t="shared" si="50"/>
        <v/>
      </c>
      <c r="BL10" s="117" t="str">
        <f t="shared" si="51"/>
        <v xml:space="preserve">tags:
- cz_x000D_
- churches_x000D_
- marian-sites_x000D_
</v>
      </c>
      <c r="BM10" s="120" t="str">
        <f t="shared" si="62"/>
        <v>[Official site](http://cz.poutni-mista-sluknovsko.cz/bazilika-minor-panny-marie-pomocnice-krestanu-filipov.html)</v>
      </c>
      <c r="BN10" s="120" t="str">
        <f t="shared" si="63"/>
        <v>[Official Facebook page](https://www.facebook.com/poutnimistofilipov)</v>
      </c>
      <c r="BO10" s="120" t="str">
        <f t="shared" si="64"/>
        <v/>
      </c>
      <c r="BP10" s="120" t="str">
        <f t="shared" si="65"/>
        <v/>
      </c>
      <c r="BQ10" s="120" t="str">
        <f t="shared" si="52"/>
        <v xml:space="preserve">* [Official site](http://cz.poutni-mista-sluknovsko.cz/bazilika-minor-panny-marie-pomocnice-krestanu-filipov.html)
* [Official Facebook page](https://www.facebook.com/poutnimistofilipov)
</v>
      </c>
      <c r="BR10" s="120" t="str">
        <f t="shared" si="53"/>
        <v>[Link](http://www.therealpresence.org/eucharst/misc/BVM/89_FILIPOV_96x96.pdf)</v>
      </c>
      <c r="BS10" s="120" t="str">
        <f t="shared" si="54"/>
        <v>[Link](https://www.miraclehunter.com/marian_apparitions/approved_apparitions/filippsdorf/index.html)</v>
      </c>
      <c r="BT10" s="120" t="str">
        <f t="shared" si="55"/>
        <v/>
      </c>
      <c r="BU10" s="120" t="str">
        <f>IF(LEN(_xludf.concat(BR10:BT10))&gt;0,_xludf.concat("| ",BR10," | ",BS10," | ",BT10," |"),"")</f>
        <v>| [Link](http://www.therealpresence.org/eucharst/misc/BVM/89_FILIPOV_96x96.pdf) | [Link](https://www.miraclehunter.com/marian_apparitions/approved_apparitions/filippsdorf/index.html) |  |</v>
      </c>
      <c r="BV10" s="117"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57"/>
        <v xml:space="preserve">| </v>
      </c>
      <c r="CK10" s="13" t="str">
        <f t="shared" si="58"/>
        <v xml:space="preserve">| [Filipov](/places/places\cz-basilica-of-our-lady-help-of-christians) </v>
      </c>
      <c r="CL10" s="13" t="str">
        <f>"| "&amp;IF(AS10,GetTagPage(C10,VLOOKUP(C10,'Country Tags'!C:E,3,)),C10)&amp; " "</f>
        <v xml:space="preserve">| [Czechia](/tags/cz) </v>
      </c>
      <c r="CM10" s="13" t="str">
        <f t="shared" si="59"/>
        <v xml:space="preserve">| 1866 </v>
      </c>
      <c r="CN10" s="13" t="str">
        <f t="shared" si="60"/>
        <v xml:space="preserve">| [Link](/places/places\cz-basilica-of-our-lady-help-of-christians) </v>
      </c>
      <c r="CO10" s="12" t="str">
        <f t="shared" si="61"/>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4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33"/>
        <v>1</v>
      </c>
      <c r="AT11" s="117" t="str">
        <f t="shared" si="34"/>
        <v>title: "Virgin Mary Church in Zeitoun (Our Lady of Zeitoun, Our Lady of Light)"</v>
      </c>
      <c r="AU11" s="117" t="str">
        <f t="shared" si="35"/>
        <v>location: {lat: 30.1046229269409, lng: 31.3155447438101}</v>
      </c>
      <c r="AV11" s="117" t="str">
        <f t="shared" si="36"/>
        <v>interest: global</v>
      </c>
      <c r="AW11" s="117" t="str">
        <f>"- "&amp;VLOOKUP(C11,'Country Tags'!C:E,3,)</f>
        <v>- eg</v>
      </c>
      <c r="AX11" s="117" t="str">
        <f t="shared" si="37"/>
        <v/>
      </c>
      <c r="AY11" s="117" t="str">
        <f t="shared" si="38"/>
        <v>- churches</v>
      </c>
      <c r="AZ11" s="117" t="str">
        <f t="shared" si="39"/>
        <v>- marian-sites</v>
      </c>
      <c r="BA11" s="117" t="str">
        <f t="shared" si="40"/>
        <v/>
      </c>
      <c r="BB11" s="117" t="str">
        <f t="shared" si="41"/>
        <v>- coptic</v>
      </c>
      <c r="BC11" s="117" t="str">
        <f t="shared" si="42"/>
        <v/>
      </c>
      <c r="BD11" s="117" t="str">
        <f t="shared" si="43"/>
        <v/>
      </c>
      <c r="BE11" s="117" t="str">
        <f t="shared" si="44"/>
        <v/>
      </c>
      <c r="BF11" s="117" t="str">
        <f t="shared" si="45"/>
        <v/>
      </c>
      <c r="BG11" s="117" t="str">
        <f t="shared" si="46"/>
        <v/>
      </c>
      <c r="BH11" s="117" t="str">
        <f t="shared" si="47"/>
        <v/>
      </c>
      <c r="BI11" s="117" t="str">
        <f t="shared" si="48"/>
        <v/>
      </c>
      <c r="BJ11" s="117" t="str">
        <f t="shared" si="49"/>
        <v/>
      </c>
      <c r="BK11" s="117" t="str">
        <f t="shared" si="50"/>
        <v/>
      </c>
      <c r="BL11" s="117" t="str">
        <f t="shared" si="51"/>
        <v xml:space="preserve">tags:
- eg_x000D_
- churches_x000D_
- marian-sites_x000D_
- coptic_x000D_
</v>
      </c>
      <c r="BM11" s="120" t="str">
        <f t="shared" si="62"/>
        <v>[Official site](https://www.stmaryztn.org/saintmary/en/)</v>
      </c>
      <c r="BN11" s="120" t="str">
        <f t="shared" si="63"/>
        <v/>
      </c>
      <c r="BO11" s="120" t="str">
        <f t="shared" si="64"/>
        <v/>
      </c>
      <c r="BP11" s="120" t="str">
        <f t="shared" si="65"/>
        <v/>
      </c>
      <c r="BQ11" s="120" t="str">
        <f t="shared" si="52"/>
        <v xml:space="preserve">* [Official site](https://www.stmaryztn.org/saintmary/en/)
</v>
      </c>
      <c r="BR11" s="120" t="str">
        <f t="shared" si="53"/>
        <v>[Link](http://www.therealpresence.org/eucharst/misc/BVM/144_ZEITUN_96x96.pdf)</v>
      </c>
      <c r="BS11" s="120" t="str">
        <f t="shared" si="54"/>
        <v>[Link](https://www.miraclehunter.com/marian_apparitions/approved_apparitions/zeitun/index.html)</v>
      </c>
      <c r="BT11" s="120" t="str">
        <f t="shared" si="55"/>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57"/>
        <v>#VALUE!</v>
      </c>
      <c r="CK11" s="13" t="str">
        <f t="shared" si="58"/>
        <v xml:space="preserve">| [Zeitoun](/places/places\eg-virgin-mary-church-in-zeitoun) </v>
      </c>
      <c r="CL11" s="13" t="str">
        <f>"| "&amp;IF(AS11,GetTagPage(C11,VLOOKUP(C11,'Country Tags'!C:E,3,)),C11)&amp; " "</f>
        <v xml:space="preserve">| [Egypt](/tags/eg) </v>
      </c>
      <c r="CM11" s="13" t="str">
        <f t="shared" si="59"/>
        <v xml:space="preserve">| 1968-1970 </v>
      </c>
      <c r="CN11" s="13" t="str">
        <f t="shared" si="60"/>
        <v xml:space="preserve">| [Link](/places/places\eg-virgin-mary-church-in-zeitoun) </v>
      </c>
      <c r="CO11" s="12" t="e">
        <f t="shared" si="61"/>
        <v>#VALUE!</v>
      </c>
    </row>
    <row r="12" spans="1:93" ht="51" x14ac:dyDescent="0.4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33"/>
        <v>1</v>
      </c>
      <c r="AT12" s="117" t="str">
        <f t="shared" si="34"/>
        <v>title: "Cathedral of Our Lady of Puy"</v>
      </c>
      <c r="AU12" s="117" t="str">
        <f t="shared" si="35"/>
        <v>location: {lat: 45.0456296446269, lng: 3.88463383893332}</v>
      </c>
      <c r="AV12" s="117" t="str">
        <f t="shared" si="36"/>
        <v>interest: global</v>
      </c>
      <c r="AW12" s="117" t="str">
        <f>"- "&amp;VLOOKUP(C12,'Country Tags'!C:E,3,)</f>
        <v>- fr</v>
      </c>
      <c r="AX12" s="117" t="str">
        <f t="shared" si="37"/>
        <v/>
      </c>
      <c r="AY12" s="117" t="str">
        <f t="shared" si="38"/>
        <v>- churches</v>
      </c>
      <c r="AZ12" s="117" t="str">
        <f t="shared" si="39"/>
        <v>- marian-sites</v>
      </c>
      <c r="BA12" s="117" t="str">
        <f t="shared" si="40"/>
        <v/>
      </c>
      <c r="BB12" s="117" t="str">
        <f t="shared" si="41"/>
        <v>- camino</v>
      </c>
      <c r="BC12" s="117" t="str">
        <f t="shared" si="42"/>
        <v/>
      </c>
      <c r="BD12" s="117" t="str">
        <f t="shared" si="43"/>
        <v/>
      </c>
      <c r="BE12" s="117" t="str">
        <f t="shared" si="44"/>
        <v/>
      </c>
      <c r="BF12" s="117" t="str">
        <f t="shared" si="45"/>
        <v/>
      </c>
      <c r="BG12" s="117" t="str">
        <f t="shared" si="46"/>
        <v/>
      </c>
      <c r="BH12" s="117" t="str">
        <f t="shared" si="47"/>
        <v/>
      </c>
      <c r="BI12" s="117" t="str">
        <f t="shared" si="48"/>
        <v/>
      </c>
      <c r="BJ12" s="117" t="str">
        <f t="shared" si="49"/>
        <v/>
      </c>
      <c r="BK12" s="117" t="str">
        <f t="shared" si="50"/>
        <v/>
      </c>
      <c r="BL12" s="117" t="str">
        <f t="shared" si="51"/>
        <v xml:space="preserve">tags:
- fr_x000D_
- churches_x000D_
- marian-sites_x000D_
- camino_x000D_
</v>
      </c>
      <c r="BM12" s="120" t="str">
        <f t="shared" si="62"/>
        <v>[Official site](https://www.cathedraledupuy.org/)</v>
      </c>
      <c r="BN12" s="120" t="str">
        <f t="shared" si="63"/>
        <v/>
      </c>
      <c r="BO12" s="120" t="str">
        <f t="shared" si="64"/>
        <v/>
      </c>
      <c r="BP12" s="120" t="str">
        <f t="shared" si="65"/>
        <v/>
      </c>
      <c r="BQ12" s="120" t="str">
        <f t="shared" si="52"/>
        <v xml:space="preserve">* [Official site](https://www.cathedraledupuy.org/)
</v>
      </c>
      <c r="BR12" s="120" t="str">
        <f t="shared" si="53"/>
        <v>[Link](http://www.therealpresence.org/eucharst/misc/BVM/68_LE_PUY_60x96.pdf)</v>
      </c>
      <c r="BS12" s="120" t="str">
        <f t="shared" si="54"/>
        <v>[Link](https://www.miraclehunter.com/marian_apparitions/approved_apparitions/lepuy/index.html)</v>
      </c>
      <c r="BT12" s="120" t="str">
        <f t="shared" si="55"/>
        <v/>
      </c>
      <c r="BU12" s="120" t="str">
        <f>IF(LEN(_xludf.concat(BR12:BT12))&gt;0,_xludf.concat("| ",BR12," | ",BS12," | ",BT12," |"),"")</f>
        <v>| [Link](http://www.therealpresence.org/eucharst/misc/BVM/68_LE_PUY_60x96.pdf) | [Link](https://www.miraclehunter.com/marian_apparitions/approved_apparitions/lepuy/index.html) |  |</v>
      </c>
      <c r="BV12" s="117" t="str">
        <f t="shared" si="56"/>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57"/>
        <v>#VALUE!</v>
      </c>
      <c r="CK12" s="13" t="str">
        <f t="shared" si="58"/>
        <v xml:space="preserve">| [Le Puy En Velay](/places/places\fr-cathedral-of-our-lady-of-puy) </v>
      </c>
      <c r="CL12" s="13" t="str">
        <f>"| "&amp;IF(AS12,GetTagPage(C12,VLOOKUP(C12,'Country Tags'!C:E,3,)),C12)&amp; " "</f>
        <v xml:space="preserve">| [France](/tags/fr) </v>
      </c>
      <c r="CM12" s="13" t="str">
        <f t="shared" si="59"/>
        <v xml:space="preserve">| 47 </v>
      </c>
      <c r="CN12" s="13" t="str">
        <f t="shared" si="60"/>
        <v xml:space="preserve">| [Link](/places/places\fr-cathedral-of-our-lady-of-puy) </v>
      </c>
      <c r="CO12" s="12" t="e">
        <f t="shared" si="61"/>
        <v>#VALUE!</v>
      </c>
    </row>
    <row r="13" spans="1:93" ht="76.5" x14ac:dyDescent="0.4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33"/>
        <v>1</v>
      </c>
      <c r="AT13" s="117" t="str">
        <f t="shared" si="34"/>
        <v>title: "Sanctuary of Our Lady of Laus"</v>
      </c>
      <c r="AU13" s="117" t="str">
        <f t="shared" si="35"/>
        <v>location: {lat: 44.5212016, lng: 6.152116}</v>
      </c>
      <c r="AV13" s="117" t="str">
        <f t="shared" si="36"/>
        <v>interest: global</v>
      </c>
      <c r="AW13" s="117" t="str">
        <f>"- "&amp;VLOOKUP(C13,'Country Tags'!C:E,3,)</f>
        <v>- fr</v>
      </c>
      <c r="AX13" s="117" t="str">
        <f t="shared" si="37"/>
        <v/>
      </c>
      <c r="AY13" s="117" t="str">
        <f t="shared" si="38"/>
        <v>- churches</v>
      </c>
      <c r="AZ13" s="117" t="str">
        <f t="shared" si="39"/>
        <v>- marian-sites</v>
      </c>
      <c r="BA13" s="117" t="str">
        <f t="shared" si="40"/>
        <v>- holy-persons</v>
      </c>
      <c r="BB13" s="117" t="str">
        <f t="shared" si="41"/>
        <v>- benoite-rencurel</v>
      </c>
      <c r="BC13" s="117" t="str">
        <f t="shared" si="42"/>
        <v/>
      </c>
      <c r="BD13" s="117" t="str">
        <f t="shared" si="43"/>
        <v/>
      </c>
      <c r="BE13" s="117" t="str">
        <f t="shared" si="44"/>
        <v/>
      </c>
      <c r="BF13" s="117" t="str">
        <f t="shared" si="45"/>
        <v/>
      </c>
      <c r="BG13" s="117" t="str">
        <f t="shared" si="46"/>
        <v/>
      </c>
      <c r="BH13" s="117" t="str">
        <f t="shared" si="47"/>
        <v/>
      </c>
      <c r="BI13" s="117" t="str">
        <f t="shared" si="48"/>
        <v/>
      </c>
      <c r="BJ13" s="117" t="str">
        <f t="shared" si="49"/>
        <v/>
      </c>
      <c r="BK13" s="117" t="str">
        <f t="shared" si="50"/>
        <v/>
      </c>
      <c r="BL13" s="117" t="str">
        <f t="shared" si="51"/>
        <v xml:space="preserve">tags:
- fr_x000D_
- churches_x000D_
- marian-sites_x000D_
- holy-persons_x000D_
- benoite-rencurel_x000D_
</v>
      </c>
      <c r="BM13" s="120" t="str">
        <f t="shared" si="62"/>
        <v>[Official site](https://www.sanctuaire-notredamedulaus.com/)</v>
      </c>
      <c r="BN13" s="120" t="str">
        <f t="shared" si="63"/>
        <v/>
      </c>
      <c r="BO13" s="120" t="str">
        <f t="shared" si="64"/>
        <v/>
      </c>
      <c r="BP13" s="120" t="str">
        <f t="shared" si="65"/>
        <v/>
      </c>
      <c r="BQ13" s="120" t="str">
        <f t="shared" si="52"/>
        <v xml:space="preserve">* [Official site](https://www.sanctuaire-notredamedulaus.com/)
</v>
      </c>
      <c r="BR13" s="120" t="str">
        <f t="shared" si="53"/>
        <v>[Link](http://www.therealpresence.org/eucharst/misc/BVM/69_LAUS_140x96.pdf)</v>
      </c>
      <c r="BS13" s="120" t="str">
        <f t="shared" si="54"/>
        <v>[Link](https://www.miraclehunter.com/marian_apparitions/approved_apparitions/laus/index.html)</v>
      </c>
      <c r="BT13" s="120" t="str">
        <f t="shared" si="55"/>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57"/>
        <v>#VALUE!</v>
      </c>
      <c r="CK13" s="13" t="str">
        <f t="shared" si="58"/>
        <v xml:space="preserve">| [Laus](/places/places\fr-sanctuary-of-our-lady-of-laus) </v>
      </c>
      <c r="CL13" s="13" t="str">
        <f>"| "&amp;IF(AS13,GetTagPage(C13,VLOOKUP(C13,'Country Tags'!C:E,3,)),C13)&amp; " "</f>
        <v xml:space="preserve">| [France](/tags/fr) </v>
      </c>
      <c r="CM13" s="13" t="str">
        <f t="shared" si="59"/>
        <v xml:space="preserve">| 1664-1718 </v>
      </c>
      <c r="CN13" s="13" t="str">
        <f t="shared" si="60"/>
        <v xml:space="preserve">| [Link](/places/places\fr-sanctuary-of-our-lady-of-laus) </v>
      </c>
      <c r="CO13" s="12" t="e">
        <f t="shared" si="61"/>
        <v>#VALUE!</v>
      </c>
    </row>
    <row r="14" spans="1:93" ht="204" x14ac:dyDescent="0.4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33"/>
        <v>1</v>
      </c>
      <c r="AT14" s="117" t="str">
        <f t="shared" si="34"/>
        <v>title: "Chapel of Our Lady of the Miraculous Medal"</v>
      </c>
      <c r="AU14" s="117" t="str">
        <f t="shared" si="35"/>
        <v>location: {lat: 48.8507859, lng: 2.3229912}</v>
      </c>
      <c r="AV14" s="117" t="str">
        <f t="shared" si="36"/>
        <v>interest: global</v>
      </c>
      <c r="AW14" s="117" t="str">
        <f>"- "&amp;VLOOKUP(C14,'Country Tags'!C:E,3,)</f>
        <v>- fr</v>
      </c>
      <c r="AX14" s="117" t="str">
        <f t="shared" si="37"/>
        <v>- paris</v>
      </c>
      <c r="AY14" s="117" t="str">
        <f t="shared" si="38"/>
        <v>- churches</v>
      </c>
      <c r="AZ14" s="117" t="str">
        <f t="shared" si="39"/>
        <v>- marian-sites</v>
      </c>
      <c r="BA14" s="117" t="str">
        <f t="shared" si="40"/>
        <v>- holy-persons</v>
      </c>
      <c r="BB14" s="117" t="str">
        <f t="shared" si="41"/>
        <v>- catherine-laboure</v>
      </c>
      <c r="BC14" s="117" t="str">
        <f t="shared" si="42"/>
        <v>- vincent-de-paul</v>
      </c>
      <c r="BD14" s="117" t="str">
        <f t="shared" si="43"/>
        <v>- louise-de-marillac</v>
      </c>
      <c r="BE14" s="117" t="str">
        <f t="shared" si="44"/>
        <v/>
      </c>
      <c r="BF14" s="117" t="str">
        <f t="shared" si="45"/>
        <v/>
      </c>
      <c r="BG14" s="117" t="str">
        <f t="shared" si="46"/>
        <v/>
      </c>
      <c r="BH14" s="117" t="str">
        <f t="shared" si="47"/>
        <v/>
      </c>
      <c r="BI14" s="117" t="str">
        <f t="shared" si="48"/>
        <v/>
      </c>
      <c r="BJ14" s="117" t="str">
        <f t="shared" si="49"/>
        <v/>
      </c>
      <c r="BK14" s="117" t="str">
        <f t="shared" si="50"/>
        <v/>
      </c>
      <c r="BL14" s="117" t="str">
        <f t="shared" si="51"/>
        <v xml:space="preserve">tags:
- fr_x000D_
- paris_x000D_
- churches_x000D_
- marian-sites_x000D_
- holy-persons_x000D_
- catherine-laboure_x000D_
- vincent-de-paul_x000D_
- louise-de-marillac_x000D_
</v>
      </c>
      <c r="BM14" s="120" t="str">
        <f t="shared" si="62"/>
        <v>[Official site](https://www.chapellenotredamedelamedaillemiraculeuse.com/)</v>
      </c>
      <c r="BN14" s="120" t="str">
        <f t="shared" si="63"/>
        <v/>
      </c>
      <c r="BO14" s="120" t="str">
        <f t="shared" si="64"/>
        <v/>
      </c>
      <c r="BP14" s="120" t="str">
        <f t="shared" si="65"/>
        <v/>
      </c>
      <c r="BQ14" s="120" t="str">
        <f t="shared" si="52"/>
        <v xml:space="preserve">* [Official site](https://www.chapellenotredamedelamedaillemiraculeuse.com/)
</v>
      </c>
      <c r="BR14" s="120" t="str">
        <f t="shared" si="53"/>
        <v>[Link](http://www.therealpresence.org/eucharst/misc/BVM/06_PARIGI_60x96.pdf)</v>
      </c>
      <c r="BS14" s="120" t="str">
        <f t="shared" si="54"/>
        <v>[Link](https://www.miraclehunter.com/marian_apparitions/approved_apparitions/ruedubac/index.html)</v>
      </c>
      <c r="BT14" s="120" t="str">
        <f t="shared" si="55"/>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57"/>
        <v>#VALUE!</v>
      </c>
      <c r="CK14" s="13" t="str">
        <f t="shared" si="58"/>
        <v xml:space="preserve">| [Paris](/places/places\fr-paris-chapel-of-our-lady-of-the-miraculous-medal) </v>
      </c>
      <c r="CL14" s="13" t="str">
        <f>"| "&amp;IF(AS14,GetTagPage(C14,VLOOKUP(C14,'Country Tags'!C:E,3,)),C14)&amp; " "</f>
        <v xml:space="preserve">| [France](/tags/fr) </v>
      </c>
      <c r="CM14" s="13" t="str">
        <f t="shared" si="59"/>
        <v xml:space="preserve">| 1830 </v>
      </c>
      <c r="CN14" s="13" t="str">
        <f t="shared" si="60"/>
        <v xml:space="preserve">| [Link](/places/places\fr-paris-chapel-of-our-lady-of-the-miraculous-medal) </v>
      </c>
      <c r="CO14" s="12" t="e">
        <f t="shared" si="61"/>
        <v>#VALUE!</v>
      </c>
    </row>
    <row r="15" spans="1:93" ht="38.25" x14ac:dyDescent="0.4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33"/>
        <v>1</v>
      </c>
      <c r="AT15" s="117" t="str">
        <f t="shared" si="34"/>
        <v>title: "Sanctuary of Our Lady of La Salette"</v>
      </c>
      <c r="AU15" s="117" t="str">
        <f t="shared" si="35"/>
        <v>location: {lat: 44.8586296, lng: 5.9788044}</v>
      </c>
      <c r="AV15" s="117" t="str">
        <f t="shared" si="36"/>
        <v>interest: global</v>
      </c>
      <c r="AW15" s="117" t="str">
        <f>"- "&amp;VLOOKUP(C15,'Country Tags'!C:E,3,)</f>
        <v>- fr</v>
      </c>
      <c r="AX15" s="117" t="str">
        <f t="shared" si="37"/>
        <v/>
      </c>
      <c r="AY15" s="117" t="str">
        <f t="shared" si="38"/>
        <v>- churches</v>
      </c>
      <c r="AZ15" s="117" t="str">
        <f t="shared" si="39"/>
        <v>- marian-sites</v>
      </c>
      <c r="BA15" s="117" t="str">
        <f t="shared" si="40"/>
        <v/>
      </c>
      <c r="BB15" s="117" t="str">
        <f t="shared" si="41"/>
        <v/>
      </c>
      <c r="BC15" s="117" t="str">
        <f t="shared" si="42"/>
        <v/>
      </c>
      <c r="BD15" s="117" t="str">
        <f t="shared" si="43"/>
        <v/>
      </c>
      <c r="BE15" s="117" t="str">
        <f t="shared" si="44"/>
        <v/>
      </c>
      <c r="BF15" s="117" t="str">
        <f t="shared" si="45"/>
        <v/>
      </c>
      <c r="BG15" s="117" t="str">
        <f t="shared" si="46"/>
        <v/>
      </c>
      <c r="BH15" s="117" t="str">
        <f t="shared" si="47"/>
        <v/>
      </c>
      <c r="BI15" s="117" t="str">
        <f t="shared" si="48"/>
        <v/>
      </c>
      <c r="BJ15" s="117" t="str">
        <f t="shared" si="49"/>
        <v/>
      </c>
      <c r="BK15" s="117" t="str">
        <f t="shared" si="50"/>
        <v/>
      </c>
      <c r="BL15" s="117" t="str">
        <f t="shared" si="51"/>
        <v xml:space="preserve">tags:
- fr_x000D_
- churches_x000D_
- marian-sites_x000D_
</v>
      </c>
      <c r="BM15" s="120" t="str">
        <f t="shared" si="62"/>
        <v>[Official site](https://lasalette.cef.fr/)</v>
      </c>
      <c r="BN15" s="120" t="str">
        <f t="shared" si="63"/>
        <v/>
      </c>
      <c r="BO15" s="120" t="str">
        <f t="shared" si="64"/>
        <v/>
      </c>
      <c r="BP15" s="120" t="str">
        <f t="shared" si="65"/>
        <v/>
      </c>
      <c r="BQ15" s="120" t="str">
        <f t="shared" si="52"/>
        <v xml:space="preserve">* [Official site](https://lasalette.cef.fr/)
</v>
      </c>
      <c r="BR15" s="120" t="str">
        <f t="shared" si="53"/>
        <v>[Link](http://www.therealpresence.org/eucharst/misc/BVM/30_LA_SALETTE_96x96.pdf)</v>
      </c>
      <c r="BS15" s="120" t="str">
        <f t="shared" si="54"/>
        <v>[Link](https://www.miraclehunter.com/marian_apparitions/approved_apparitions/lasalette/index.html)</v>
      </c>
      <c r="BT15" s="120" t="str">
        <f t="shared" si="55"/>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57"/>
        <v xml:space="preserve">| </v>
      </c>
      <c r="CK15" s="13" t="str">
        <f t="shared" si="58"/>
        <v xml:space="preserve">| [La Salette](/places/places\fr-sanctuary-of-our-lady-of-la-salette) </v>
      </c>
      <c r="CL15" s="13" t="str">
        <f>"| "&amp;IF(AS15,GetTagPage(C15,VLOOKUP(C15,'Country Tags'!C:E,3,)),C15)&amp; " "</f>
        <v xml:space="preserve">| [France](/tags/fr) </v>
      </c>
      <c r="CM15" s="13" t="str">
        <f t="shared" si="59"/>
        <v xml:space="preserve">| 1846 </v>
      </c>
      <c r="CN15" s="13" t="str">
        <f t="shared" si="60"/>
        <v xml:space="preserve">| [Link](/places/places\fr-sanctuary-of-our-lady-of-la-salette) </v>
      </c>
      <c r="CO15" s="12" t="str">
        <f t="shared" si="61"/>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38.25" x14ac:dyDescent="0.4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33"/>
        <v>1</v>
      </c>
      <c r="AT16" s="117" t="str">
        <f t="shared" si="34"/>
        <v>title: "Sanctuary of Our Lady of Lourdes"</v>
      </c>
      <c r="AU16" s="117" t="str">
        <f t="shared" si="35"/>
        <v>location: {lat: 43.0974206, lng: -0.0582611}</v>
      </c>
      <c r="AV16" s="117" t="str">
        <f t="shared" si="36"/>
        <v>interest: global</v>
      </c>
      <c r="AW16" s="117" t="str">
        <f>"- "&amp;VLOOKUP(C16,'Country Tags'!C:E,3,)</f>
        <v>- fr</v>
      </c>
      <c r="AX16" s="117" t="str">
        <f t="shared" si="37"/>
        <v/>
      </c>
      <c r="AY16" s="117" t="str">
        <f t="shared" si="38"/>
        <v>- churches</v>
      </c>
      <c r="AZ16" s="117" t="str">
        <f t="shared" si="39"/>
        <v>- marian-sites</v>
      </c>
      <c r="BA16" s="117" t="str">
        <f t="shared" si="40"/>
        <v>- holy-persons</v>
      </c>
      <c r="BB16" s="117" t="str">
        <f t="shared" si="41"/>
        <v>- bernadette-soubirous</v>
      </c>
      <c r="BC16" s="117" t="str">
        <f t="shared" si="42"/>
        <v/>
      </c>
      <c r="BD16" s="117" t="str">
        <f t="shared" si="43"/>
        <v/>
      </c>
      <c r="BE16" s="117" t="str">
        <f t="shared" si="44"/>
        <v/>
      </c>
      <c r="BF16" s="117" t="str">
        <f t="shared" si="45"/>
        <v/>
      </c>
      <c r="BG16" s="117" t="str">
        <f t="shared" si="46"/>
        <v/>
      </c>
      <c r="BH16" s="117" t="str">
        <f t="shared" si="47"/>
        <v/>
      </c>
      <c r="BI16" s="117" t="str">
        <f t="shared" si="48"/>
        <v/>
      </c>
      <c r="BJ16" s="117" t="str">
        <f t="shared" si="49"/>
        <v/>
      </c>
      <c r="BK16" s="117" t="str">
        <f t="shared" si="50"/>
        <v/>
      </c>
      <c r="BL16" s="117" t="str">
        <f t="shared" si="51"/>
        <v xml:space="preserve">tags:
- fr_x000D_
- churches_x000D_
- marian-sites_x000D_
- holy-persons_x000D_
- bernadette-soubirous_x000D_
</v>
      </c>
      <c r="BM16" s="120" t="str">
        <f t="shared" si="62"/>
        <v>[Official site](https://www.lourdes-france.org/)</v>
      </c>
      <c r="BN16" s="120" t="str">
        <f t="shared" si="63"/>
        <v/>
      </c>
      <c r="BO16" s="120" t="str">
        <f t="shared" si="64"/>
        <v/>
      </c>
      <c r="BP16" s="120" t="str">
        <f t="shared" si="65"/>
        <v/>
      </c>
      <c r="BQ16" s="120" t="str">
        <f t="shared" si="52"/>
        <v xml:space="preserve">* [Official site](https://www.lourdes-france.org/)
</v>
      </c>
      <c r="BR16" s="120" t="str">
        <f t="shared" si="53"/>
        <v>[Link](http://www.therealpresence.org/eucharst/misc/BVM/40_LOURDES_140x96.pdf)</v>
      </c>
      <c r="BS16" s="120" t="str">
        <f t="shared" si="54"/>
        <v>[Link](https://www.miraclehunter.com/marian_apparitions/approved_apparitions/lourdes/index.html)</v>
      </c>
      <c r="BT16" s="120" t="str">
        <f t="shared" si="55"/>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57"/>
        <v>#VALUE!</v>
      </c>
      <c r="CK16" s="13" t="str">
        <f t="shared" si="58"/>
        <v xml:space="preserve">| [Lourdes](/places/places\fr-sanctuary-of-our-lady-of-lourdes) </v>
      </c>
      <c r="CL16" s="13" t="str">
        <f>"| "&amp;IF(AS16,GetTagPage(C16,VLOOKUP(C16,'Country Tags'!C:E,3,)),C16)&amp; " "</f>
        <v xml:space="preserve">| [France](/tags/fr) </v>
      </c>
      <c r="CM16" s="13" t="str">
        <f t="shared" si="59"/>
        <v xml:space="preserve">| 1858 </v>
      </c>
      <c r="CN16" s="13" t="str">
        <f t="shared" si="60"/>
        <v xml:space="preserve">| [Link](/places/places\fr-sanctuary-of-our-lady-of-lourdes) </v>
      </c>
      <c r="CO16" s="12" t="e">
        <f t="shared" si="61"/>
        <v>#VALUE!</v>
      </c>
    </row>
    <row r="17" spans="1:93" ht="51" x14ac:dyDescent="0.4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33"/>
        <v>1</v>
      </c>
      <c r="AT17" s="117" t="str">
        <f t="shared" si="34"/>
        <v>title: "Sanctuary of Pontmain (Mother of Hope)"</v>
      </c>
      <c r="AU17" s="117" t="str">
        <f t="shared" si="35"/>
        <v>location: {lat: 48.4396021, lng: -1.0592325}</v>
      </c>
      <c r="AV17" s="117" t="str">
        <f t="shared" si="36"/>
        <v>interest: global</v>
      </c>
      <c r="AW17" s="117" t="str">
        <f>"- "&amp;VLOOKUP(C17,'Country Tags'!C:E,3,)</f>
        <v>- fr</v>
      </c>
      <c r="AX17" s="117" t="str">
        <f t="shared" si="37"/>
        <v/>
      </c>
      <c r="AY17" s="117" t="str">
        <f t="shared" si="38"/>
        <v>- churches</v>
      </c>
      <c r="AZ17" s="117" t="str">
        <f t="shared" si="39"/>
        <v>- marian-sites</v>
      </c>
      <c r="BA17" s="117" t="str">
        <f t="shared" si="40"/>
        <v/>
      </c>
      <c r="BB17" s="117" t="str">
        <f t="shared" si="41"/>
        <v/>
      </c>
      <c r="BC17" s="117" t="str">
        <f t="shared" si="42"/>
        <v/>
      </c>
      <c r="BD17" s="117" t="str">
        <f t="shared" si="43"/>
        <v/>
      </c>
      <c r="BE17" s="117" t="str">
        <f t="shared" si="44"/>
        <v/>
      </c>
      <c r="BF17" s="117" t="str">
        <f t="shared" si="45"/>
        <v/>
      </c>
      <c r="BG17" s="117" t="str">
        <f t="shared" si="46"/>
        <v/>
      </c>
      <c r="BH17" s="117" t="str">
        <f t="shared" si="47"/>
        <v/>
      </c>
      <c r="BI17" s="117" t="str">
        <f t="shared" si="48"/>
        <v/>
      </c>
      <c r="BJ17" s="117" t="str">
        <f t="shared" si="49"/>
        <v/>
      </c>
      <c r="BK17" s="117" t="str">
        <f t="shared" si="50"/>
        <v/>
      </c>
      <c r="BL17" s="117" t="str">
        <f t="shared" si="51"/>
        <v xml:space="preserve">tags:
- fr_x000D_
- churches_x000D_
- marian-sites_x000D_
</v>
      </c>
      <c r="BM17" s="120" t="str">
        <f t="shared" si="62"/>
        <v>[Official site](https://sanctuaire-pontmain.com/)</v>
      </c>
      <c r="BN17" s="120" t="str">
        <f t="shared" si="63"/>
        <v/>
      </c>
      <c r="BO17" s="120" t="str">
        <f t="shared" si="64"/>
        <v/>
      </c>
      <c r="BP17" s="120" t="str">
        <f t="shared" si="65"/>
        <v/>
      </c>
      <c r="BQ17" s="120" t="str">
        <f t="shared" si="52"/>
        <v xml:space="preserve">* [Official site](https://sanctuaire-pontmain.com/)
</v>
      </c>
      <c r="BR17" s="120" t="str">
        <f t="shared" si="53"/>
        <v>[Link](http://www.therealpresence.org/eucharst/misc/BVM/26_PONTMAIN_60x96.pdf)</v>
      </c>
      <c r="BS17" s="120" t="str">
        <f t="shared" si="54"/>
        <v>[Link](https://www.miraclehunter.com/marian_apparitions/approved_apparitions/pontmain/index.html))</v>
      </c>
      <c r="BT17" s="120" t="str">
        <f t="shared" si="55"/>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57"/>
        <v xml:space="preserve">| </v>
      </c>
      <c r="CK17" s="13" t="str">
        <f t="shared" si="58"/>
        <v xml:space="preserve">| [Pontmain](/places/places\fr-sanctuary-of-pontmain) </v>
      </c>
      <c r="CL17" s="13" t="str">
        <f>"| "&amp;IF(AS17,GetTagPage(C17,VLOOKUP(C17,'Country Tags'!C:E,3,)),C17)&amp; " "</f>
        <v xml:space="preserve">| [France](/tags/fr) </v>
      </c>
      <c r="CM17" s="13" t="str">
        <f t="shared" si="59"/>
        <v xml:space="preserve">| 1871 </v>
      </c>
      <c r="CN17" s="13" t="str">
        <f t="shared" si="60"/>
        <v xml:space="preserve">| [Link](/places/places\fr-sanctuary-of-pontmain) </v>
      </c>
      <c r="CO17" s="12" t="str">
        <f t="shared" si="61"/>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38.25" x14ac:dyDescent="0.4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33"/>
        <v>1</v>
      </c>
      <c r="AT18" s="117" t="str">
        <f t="shared" si="34"/>
        <v>title: "St. Vincent De Paul Chapel"</v>
      </c>
      <c r="AU18" s="117" t="str">
        <f t="shared" si="35"/>
        <v>location: {lat: 48.8488573825124, lng: 2.32163111226356}</v>
      </c>
      <c r="AV18" s="117" t="str">
        <f t="shared" si="36"/>
        <v>interest: regional</v>
      </c>
      <c r="AW18" s="117" t="str">
        <f>"- "&amp;VLOOKUP(C18,'Country Tags'!C:E,3,)</f>
        <v>- fr</v>
      </c>
      <c r="AX18" s="117" t="str">
        <f t="shared" si="37"/>
        <v>- paris</v>
      </c>
      <c r="AY18" s="117" t="str">
        <f t="shared" si="38"/>
        <v>- churches</v>
      </c>
      <c r="AZ18" s="117" t="str">
        <f t="shared" si="39"/>
        <v/>
      </c>
      <c r="BA18" s="117" t="str">
        <f t="shared" si="40"/>
        <v>- holy-persons</v>
      </c>
      <c r="BB18" s="117" t="str">
        <f t="shared" si="41"/>
        <v>- vincent-de-paul</v>
      </c>
      <c r="BC18" s="117" t="str">
        <f t="shared" si="42"/>
        <v>- jean-gabriel-perboyre</v>
      </c>
      <c r="BD18" s="117" t="str">
        <f t="shared" si="43"/>
        <v>- vincentians</v>
      </c>
      <c r="BE18" s="117" t="str">
        <f t="shared" si="44"/>
        <v/>
      </c>
      <c r="BF18" s="117" t="str">
        <f t="shared" si="45"/>
        <v/>
      </c>
      <c r="BG18" s="117" t="str">
        <f t="shared" si="46"/>
        <v/>
      </c>
      <c r="BH18" s="117" t="str">
        <f t="shared" si="47"/>
        <v/>
      </c>
      <c r="BI18" s="117" t="str">
        <f t="shared" si="48"/>
        <v/>
      </c>
      <c r="BJ18" s="117" t="str">
        <f t="shared" si="49"/>
        <v/>
      </c>
      <c r="BK18" s="117" t="str">
        <f t="shared" si="50"/>
        <v/>
      </c>
      <c r="BL18" s="117" t="str">
        <f t="shared" si="51"/>
        <v xml:space="preserve">tags:
- fr_x000D_
- paris_x000D_
- churches_x000D_
- holy-persons_x000D_
- vincent-de-paul_x000D_
- jean-gabriel-perboyre_x000D_
- vincentians_x000D_
</v>
      </c>
      <c r="BM18" s="120" t="str">
        <f t="shared" si="62"/>
        <v/>
      </c>
      <c r="BN18" s="120" t="str">
        <f t="shared" si="63"/>
        <v/>
      </c>
      <c r="BO18" s="120" t="str">
        <f t="shared" si="64"/>
        <v/>
      </c>
      <c r="BP18" s="120" t="str">
        <f t="shared" si="65"/>
        <v/>
      </c>
      <c r="BQ18" s="117" t="str">
        <f t="shared" si="52"/>
        <v/>
      </c>
      <c r="BR18" s="117" t="str">
        <f t="shared" si="53"/>
        <v/>
      </c>
      <c r="BS18" s="117" t="str">
        <f t="shared" si="54"/>
        <v/>
      </c>
      <c r="BT18" s="117" t="str">
        <f t="shared" si="55"/>
        <v/>
      </c>
      <c r="BU18" s="117" t="str">
        <f>IF(LEN(_xludf.concat(BR18:BT18))&gt;0,_xludf.concat("| ",BR18," | ",BS18," | ",BT18," |"),"")</f>
        <v/>
      </c>
      <c r="BV18" s="117" t="str">
        <f t="shared" si="56"/>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57"/>
        <v>#VALUE!</v>
      </c>
      <c r="CK18" s="12" t="str">
        <f t="shared" si="58"/>
        <v xml:space="preserve">| [](/places/places\fr-paris-st-vincent-de-paul-chapel) </v>
      </c>
      <c r="CL18" s="13" t="str">
        <f>"| "&amp;IF(AS18,GetTagPage(C18,VLOOKUP(C18,'Country Tags'!C:E,3,)),C18)&amp; " "</f>
        <v xml:space="preserve">| [France](/tags/fr) </v>
      </c>
      <c r="CM18" s="12" t="str">
        <f t="shared" si="59"/>
        <v xml:space="preserve">|  </v>
      </c>
      <c r="CN18" s="12" t="str">
        <f t="shared" si="60"/>
        <v xml:space="preserve">| [Link](/places/places\fr-paris-st-vincent-de-paul-chapel) </v>
      </c>
      <c r="CO18" s="12" t="e">
        <f t="shared" si="61"/>
        <v>#VALUE!</v>
      </c>
    </row>
    <row r="19" spans="1:93" ht="38.25" x14ac:dyDescent="0.4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33"/>
        <v>1</v>
      </c>
      <c r="AT19" s="117" t="str">
        <f t="shared" si="34"/>
        <v>title: "Diocesan Museum of St. Afra"</v>
      </c>
      <c r="AU19" s="117" t="str">
        <f t="shared" si="35"/>
        <v>location: {lat: 48.3733418136289, lng: 10.8960887661434}</v>
      </c>
      <c r="AV19" s="117" t="str">
        <f t="shared" si="36"/>
        <v>interest: regional</v>
      </c>
      <c r="AW19" s="117" t="str">
        <f>"- "&amp;VLOOKUP(C19,'Country Tags'!C:E,3,)</f>
        <v>- de</v>
      </c>
      <c r="AX19" s="117" t="str">
        <f t="shared" si="37"/>
        <v>- augsburg</v>
      </c>
      <c r="AY19" s="117" t="str">
        <f t="shared" si="38"/>
        <v/>
      </c>
      <c r="AZ19" s="117" t="str">
        <f t="shared" si="39"/>
        <v/>
      </c>
      <c r="BA19" s="117" t="str">
        <f t="shared" si="40"/>
        <v>- holy-persons</v>
      </c>
      <c r="BB19" s="117" t="str">
        <f t="shared" si="41"/>
        <v>- ulrich</v>
      </c>
      <c r="BC19" s="117" t="str">
        <f t="shared" si="42"/>
        <v>- afra</v>
      </c>
      <c r="BD19" s="117" t="str">
        <f t="shared" si="43"/>
        <v>- simpert</v>
      </c>
      <c r="BE19" s="117" t="str">
        <f t="shared" si="44"/>
        <v/>
      </c>
      <c r="BF19" s="117" t="str">
        <f t="shared" si="45"/>
        <v/>
      </c>
      <c r="BG19" s="117" t="str">
        <f t="shared" si="46"/>
        <v/>
      </c>
      <c r="BH19" s="117" t="str">
        <f t="shared" si="47"/>
        <v/>
      </c>
      <c r="BI19" s="117" t="str">
        <f t="shared" si="48"/>
        <v/>
      </c>
      <c r="BJ19" s="117" t="str">
        <f t="shared" si="49"/>
        <v/>
      </c>
      <c r="BK19" s="117" t="str">
        <f t="shared" si="50"/>
        <v/>
      </c>
      <c r="BL19" s="117" t="str">
        <f t="shared" si="51"/>
        <v xml:space="preserve">tags:
- de_x000D_
- augsburg_x000D_
- holy-persons_x000D_
- ulrich_x000D_
- afra_x000D_
- simpert_x000D_
</v>
      </c>
      <c r="BM19" s="120" t="str">
        <f t="shared" si="62"/>
        <v>[Official site](https://www.museum-st-afra.de/en/)</v>
      </c>
      <c r="BN19" s="120" t="str">
        <f t="shared" si="63"/>
        <v/>
      </c>
      <c r="BO19" s="120" t="str">
        <f t="shared" si="64"/>
        <v/>
      </c>
      <c r="BP19" s="120" t="str">
        <f t="shared" si="65"/>
        <v/>
      </c>
      <c r="BQ19" s="117" t="str">
        <f t="shared" si="52"/>
        <v xml:space="preserve">* [Official site](https://www.museum-st-afra.de/en/)
</v>
      </c>
      <c r="BR19" s="117" t="str">
        <f t="shared" si="53"/>
        <v/>
      </c>
      <c r="BS19" s="117" t="str">
        <f t="shared" si="54"/>
        <v/>
      </c>
      <c r="BT19" s="117" t="str">
        <f t="shared" si="55"/>
        <v/>
      </c>
      <c r="BU19" s="117" t="str">
        <f>IF(LEN(_xludf.concat(BR19:BT19))&gt;0,_xludf.concat("| ",BR19," | ",BS19," | ",BT19," |"),"")</f>
        <v/>
      </c>
      <c r="BV19" s="117" t="str">
        <f t="shared" si="56"/>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57"/>
        <v>#VALUE!</v>
      </c>
      <c r="CK19" s="12" t="str">
        <f t="shared" si="58"/>
        <v xml:space="preserve">| [](/places/places\de-augsburg-diocesan-museum) </v>
      </c>
      <c r="CL19" s="13" t="str">
        <f>"| "&amp;IF(AS19,GetTagPage(C19,VLOOKUP(C19,'Country Tags'!C:E,3,)),C19)&amp; " "</f>
        <v xml:space="preserve">| [Germany](/tags/de) </v>
      </c>
      <c r="CM19" s="12" t="str">
        <f t="shared" si="59"/>
        <v xml:space="preserve">|  </v>
      </c>
      <c r="CN19" s="12" t="str">
        <f t="shared" si="60"/>
        <v xml:space="preserve">| [Link](/places/places\de-augsburg-diocesan-museum) </v>
      </c>
      <c r="CO19" s="12" t="e">
        <f t="shared" si="61"/>
        <v>#VALUE!</v>
      </c>
    </row>
    <row r="20" spans="1:93" ht="25.5" x14ac:dyDescent="0.4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33"/>
        <v>1</v>
      </c>
      <c r="AT20" s="117" t="str">
        <f t="shared" si="34"/>
        <v>title: "Augsburg Cathedral (Augsburgur Dom)"</v>
      </c>
      <c r="AU20" s="117" t="str">
        <f t="shared" si="35"/>
        <v>location: {lat: 48.3726562248586, lng: 10.8969802045589}</v>
      </c>
      <c r="AV20" s="117" t="str">
        <f t="shared" si="36"/>
        <v>interest: local</v>
      </c>
      <c r="AW20" s="117" t="str">
        <f>"- "&amp;VLOOKUP(C20,'Country Tags'!C:E,3,)</f>
        <v>- de</v>
      </c>
      <c r="AX20" s="117" t="str">
        <f t="shared" si="37"/>
        <v>- augsburg</v>
      </c>
      <c r="AY20" s="117" t="str">
        <f t="shared" si="38"/>
        <v>- churches</v>
      </c>
      <c r="AZ20" s="117" t="str">
        <f t="shared" si="39"/>
        <v/>
      </c>
      <c r="BA20" s="117" t="str">
        <f t="shared" si="40"/>
        <v>- holy-persons</v>
      </c>
      <c r="BB20" s="117" t="str">
        <f t="shared" si="41"/>
        <v>- peter-canisius</v>
      </c>
      <c r="BC20" s="117" t="str">
        <f t="shared" si="42"/>
        <v/>
      </c>
      <c r="BD20" s="117" t="str">
        <f t="shared" si="43"/>
        <v/>
      </c>
      <c r="BE20" s="117" t="str">
        <f t="shared" si="44"/>
        <v/>
      </c>
      <c r="BF20" s="117" t="str">
        <f t="shared" si="45"/>
        <v/>
      </c>
      <c r="BG20" s="117" t="str">
        <f t="shared" si="46"/>
        <v/>
      </c>
      <c r="BH20" s="117" t="str">
        <f t="shared" si="47"/>
        <v/>
      </c>
      <c r="BI20" s="117" t="str">
        <f t="shared" si="48"/>
        <v/>
      </c>
      <c r="BJ20" s="117" t="str">
        <f t="shared" si="49"/>
        <v/>
      </c>
      <c r="BK20" s="117" t="str">
        <f t="shared" si="50"/>
        <v/>
      </c>
      <c r="BL20" s="117" t="str">
        <f t="shared" si="51"/>
        <v xml:space="preserve">tags:
- de_x000D_
- augsburg_x000D_
- churches_x000D_
- holy-persons_x000D_
- peter-canisius_x000D_
</v>
      </c>
      <c r="BM20" s="120" t="str">
        <f t="shared" si="62"/>
        <v>[Official site](https://bistum-augsburg.de/Bistum/Unser-Bistum/Kathedrale/Hoher-Dom)</v>
      </c>
      <c r="BN20" s="120" t="str">
        <f t="shared" si="63"/>
        <v/>
      </c>
      <c r="BO20" s="120" t="str">
        <f t="shared" si="64"/>
        <v/>
      </c>
      <c r="BP20" s="120" t="str">
        <f t="shared" si="65"/>
        <v/>
      </c>
      <c r="BQ20" s="117" t="str">
        <f t="shared" si="52"/>
        <v xml:space="preserve">* [Official site](https://bistum-augsburg.de/Bistum/Unser-Bistum/Kathedrale/Hoher-Dom)
</v>
      </c>
      <c r="BR20" s="117" t="str">
        <f t="shared" si="53"/>
        <v/>
      </c>
      <c r="BS20" s="117" t="str">
        <f t="shared" si="54"/>
        <v/>
      </c>
      <c r="BT20" s="117" t="str">
        <f t="shared" si="55"/>
        <v/>
      </c>
      <c r="BU20" s="117" t="str">
        <f>IF(LEN(_xludf.concat(BR20:BT20))&gt;0,_xludf.concat("| ",BR20," | ",BS20," | ",BT20," |"),"")</f>
        <v/>
      </c>
      <c r="BV20" s="117" t="str">
        <f t="shared" si="56"/>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57"/>
        <v>#VALUE!</v>
      </c>
      <c r="CK20" s="12" t="str">
        <f t="shared" si="58"/>
        <v xml:space="preserve">| [](/places/places\de-augsburg-cathedral) </v>
      </c>
      <c r="CL20" s="13" t="str">
        <f>"| "&amp;IF(AS20,GetTagPage(C20,VLOOKUP(C20,'Country Tags'!C:E,3,)),C20)&amp; " "</f>
        <v xml:space="preserve">| [Germany](/tags/de) </v>
      </c>
      <c r="CM20" s="12" t="str">
        <f t="shared" si="59"/>
        <v xml:space="preserve">|  </v>
      </c>
      <c r="CN20" s="12" t="str">
        <f t="shared" si="60"/>
        <v xml:space="preserve">| [Link](/places/places\de-augsburg-cathedral) </v>
      </c>
      <c r="CO20" s="12" t="e">
        <f t="shared" si="61"/>
        <v>#VALUE!</v>
      </c>
    </row>
    <row r="21" spans="1:93" ht="25.5" x14ac:dyDescent="0.4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33"/>
        <v>1</v>
      </c>
      <c r="AT21" s="117" t="str">
        <f t="shared" si="34"/>
        <v>title: "Former Residence of the Prince-Bishop of Augsburg"</v>
      </c>
      <c r="AU21" s="117" t="str">
        <f t="shared" si="35"/>
        <v>location: {lat: 48.3723371083759, lng: 10.8944612321084}</v>
      </c>
      <c r="AV21" s="117" t="str">
        <f t="shared" si="36"/>
        <v>interest: local</v>
      </c>
      <c r="AW21" s="117" t="str">
        <f>"- "&amp;VLOOKUP(C21,'Country Tags'!C:E,3,)</f>
        <v>- de</v>
      </c>
      <c r="AX21" s="117" t="str">
        <f t="shared" si="37"/>
        <v>- augsburg</v>
      </c>
      <c r="AY21" s="117" t="str">
        <f t="shared" si="38"/>
        <v/>
      </c>
      <c r="AZ21" s="117" t="str">
        <f t="shared" si="39"/>
        <v/>
      </c>
      <c r="BA21" s="117" t="str">
        <f t="shared" si="40"/>
        <v/>
      </c>
      <c r="BB21" s="117" t="str">
        <f t="shared" si="41"/>
        <v>- reformation</v>
      </c>
      <c r="BC21" s="117" t="str">
        <f t="shared" si="42"/>
        <v/>
      </c>
      <c r="BD21" s="117" t="str">
        <f t="shared" si="43"/>
        <v/>
      </c>
      <c r="BE21" s="117" t="str">
        <f t="shared" si="44"/>
        <v/>
      </c>
      <c r="BF21" s="117" t="str">
        <f t="shared" si="45"/>
        <v/>
      </c>
      <c r="BG21" s="117" t="str">
        <f t="shared" si="46"/>
        <v/>
      </c>
      <c r="BH21" s="117" t="str">
        <f t="shared" si="47"/>
        <v/>
      </c>
      <c r="BI21" s="117" t="str">
        <f t="shared" si="48"/>
        <v/>
      </c>
      <c r="BJ21" s="117" t="str">
        <f t="shared" si="49"/>
        <v/>
      </c>
      <c r="BK21" s="117" t="str">
        <f t="shared" si="50"/>
        <v/>
      </c>
      <c r="BL21" s="117" t="str">
        <f t="shared" si="51"/>
        <v xml:space="preserve">tags:
- de_x000D_
- augsburg_x000D_
- reformation_x000D_
</v>
      </c>
      <c r="BM21" s="120" t="str">
        <f t="shared" si="62"/>
        <v/>
      </c>
      <c r="BN21" s="120" t="str">
        <f t="shared" si="63"/>
        <v/>
      </c>
      <c r="BO21" s="120" t="str">
        <f t="shared" si="64"/>
        <v/>
      </c>
      <c r="BP21" s="120" t="str">
        <f t="shared" si="65"/>
        <v/>
      </c>
      <c r="BQ21" s="117" t="str">
        <f t="shared" si="52"/>
        <v/>
      </c>
      <c r="BR21" s="117" t="str">
        <f t="shared" si="53"/>
        <v/>
      </c>
      <c r="BS21" s="117" t="str">
        <f t="shared" si="54"/>
        <v/>
      </c>
      <c r="BT21" s="117" t="str">
        <f t="shared" si="55"/>
        <v/>
      </c>
      <c r="BU21" s="117" t="str">
        <f>IF(LEN(_xludf.concat(BR21:BT21))&gt;0,_xludf.concat("| ",BR21," | ",BS21," | ",BT21," |"),"")</f>
        <v/>
      </c>
      <c r="BV21" s="117" t="str">
        <f t="shared" si="56"/>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57"/>
        <v>#VALUE!</v>
      </c>
      <c r="CK21" s="12" t="str">
        <f t="shared" si="58"/>
        <v xml:space="preserve">| [](/places/places\de-augsburg-prince-bishop-residence) </v>
      </c>
      <c r="CL21" s="13" t="str">
        <f>"| "&amp;IF(AS21,GetTagPage(C21,VLOOKUP(C21,'Country Tags'!C:E,3,)),C21)&amp; " "</f>
        <v xml:space="preserve">| [Germany](/tags/de) </v>
      </c>
      <c r="CM21" s="12" t="str">
        <f t="shared" si="59"/>
        <v xml:space="preserve">|  </v>
      </c>
      <c r="CN21" s="12" t="str">
        <f t="shared" si="60"/>
        <v xml:space="preserve">| [Link](/places/places\de-augsburg-prince-bishop-residence) </v>
      </c>
      <c r="CO21" s="12" t="e">
        <f t="shared" si="61"/>
        <v>#VALUE!</v>
      </c>
    </row>
    <row r="22" spans="1:93" ht="51" x14ac:dyDescent="0.4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33"/>
        <v>1</v>
      </c>
      <c r="AT22" s="117" t="str">
        <f t="shared" si="34"/>
        <v>title: "Basilica of Sts. Ulrich and Afra"</v>
      </c>
      <c r="AU22" s="117" t="str">
        <f t="shared" si="35"/>
        <v>location: {lat: 48.3614792393351, lng: 10.9000712149692}</v>
      </c>
      <c r="AV22" s="117" t="str">
        <f t="shared" si="36"/>
        <v>interest: regional</v>
      </c>
      <c r="AW22" s="117" t="str">
        <f>"- "&amp;VLOOKUP(C22,'Country Tags'!C:E,3,)</f>
        <v>- de</v>
      </c>
      <c r="AX22" s="117" t="str">
        <f t="shared" si="37"/>
        <v>- augsburg</v>
      </c>
      <c r="AY22" s="117" t="str">
        <f t="shared" si="38"/>
        <v>- churches</v>
      </c>
      <c r="AZ22" s="117" t="str">
        <f t="shared" si="39"/>
        <v/>
      </c>
      <c r="BA22" s="117" t="str">
        <f t="shared" si="40"/>
        <v>- holy-persons</v>
      </c>
      <c r="BB22" s="117" t="str">
        <f t="shared" si="41"/>
        <v>- ulrich</v>
      </c>
      <c r="BC22" s="117" t="str">
        <f t="shared" si="42"/>
        <v>- afra</v>
      </c>
      <c r="BD22" s="117" t="str">
        <f t="shared" si="43"/>
        <v>- simpert</v>
      </c>
      <c r="BE22" s="117" t="str">
        <f t="shared" si="44"/>
        <v/>
      </c>
      <c r="BF22" s="117" t="str">
        <f t="shared" si="45"/>
        <v/>
      </c>
      <c r="BG22" s="117" t="str">
        <f t="shared" si="46"/>
        <v/>
      </c>
      <c r="BH22" s="117" t="str">
        <f t="shared" si="47"/>
        <v/>
      </c>
      <c r="BI22" s="117" t="str">
        <f t="shared" si="48"/>
        <v/>
      </c>
      <c r="BJ22" s="117" t="str">
        <f t="shared" si="49"/>
        <v/>
      </c>
      <c r="BK22" s="117" t="str">
        <f t="shared" si="50"/>
        <v/>
      </c>
      <c r="BL22" s="117" t="str">
        <f t="shared" si="51"/>
        <v xml:space="preserve">tags:
- de_x000D_
- augsburg_x000D_
- churches_x000D_
- holy-persons_x000D_
- ulrich_x000D_
- afra_x000D_
- simpert_x000D_
</v>
      </c>
      <c r="BM22" s="120" t="str">
        <f t="shared" si="62"/>
        <v>[Official site](https://ulrich-afra-anton.de)</v>
      </c>
      <c r="BN22" s="120" t="str">
        <f t="shared" si="63"/>
        <v/>
      </c>
      <c r="BO22" s="120" t="str">
        <f t="shared" si="64"/>
        <v/>
      </c>
      <c r="BP22" s="120" t="str">
        <f t="shared" si="65"/>
        <v/>
      </c>
      <c r="BQ22" s="117" t="str">
        <f t="shared" si="52"/>
        <v xml:space="preserve">* [Official site](https://ulrich-afra-anton.de)
</v>
      </c>
      <c r="BR22" s="117" t="str">
        <f t="shared" si="53"/>
        <v/>
      </c>
      <c r="BS22" s="117" t="str">
        <f t="shared" si="54"/>
        <v/>
      </c>
      <c r="BT22" s="117" t="str">
        <f t="shared" si="55"/>
        <v/>
      </c>
      <c r="BU22" s="117" t="str">
        <f>IF(LEN(_xludf.concat(BR22:BT22))&gt;0,_xludf.concat("| ",BR22," | ",BS22," | ",BT22," |"),"")</f>
        <v/>
      </c>
      <c r="BV22" s="117" t="str">
        <f t="shared" si="56"/>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57"/>
        <v>#VALUE!</v>
      </c>
      <c r="CK22" s="12" t="str">
        <f t="shared" si="58"/>
        <v xml:space="preserve">| [](/places/places\de-augsburg-basilica-of-sts-ulrich-and-afra) </v>
      </c>
      <c r="CL22" s="13" t="str">
        <f>"| "&amp;IF(AS22,GetTagPage(C22,VLOOKUP(C22,'Country Tags'!C:E,3,)),C22)&amp; " "</f>
        <v xml:space="preserve">| [Germany](/tags/de) </v>
      </c>
      <c r="CM22" s="12" t="str">
        <f t="shared" si="59"/>
        <v xml:space="preserve">|  </v>
      </c>
      <c r="CN22" s="12" t="str">
        <f t="shared" si="60"/>
        <v xml:space="preserve">| [Link](/places/places\de-augsburg-basilica-of-sts-ulrich-and-afra) </v>
      </c>
      <c r="CO22" s="12" t="e">
        <f t="shared" si="61"/>
        <v>#VALUE!</v>
      </c>
    </row>
    <row r="23" spans="1:93" ht="38.25" x14ac:dyDescent="0.4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33"/>
        <v>1</v>
      </c>
      <c r="AT23" s="117" t="str">
        <f t="shared" si="34"/>
        <v>title: "Church of St. James the Apostle (Iglesia Santiago Apostol)"</v>
      </c>
      <c r="AU23" s="117" t="str">
        <f t="shared" si="35"/>
        <v>location: {lat: 14.638171, lng: -91.229103}</v>
      </c>
      <c r="AV23" s="117" t="str">
        <f t="shared" si="36"/>
        <v>interest: regional</v>
      </c>
      <c r="AW23" s="117" t="str">
        <f>"- "&amp;VLOOKUP(C23,'Country Tags'!C:E,3,)</f>
        <v>- gt</v>
      </c>
      <c r="AX23" s="117" t="str">
        <f t="shared" si="37"/>
        <v>- atitlan</v>
      </c>
      <c r="AY23" s="117" t="str">
        <f t="shared" si="38"/>
        <v>- churches</v>
      </c>
      <c r="AZ23" s="117" t="str">
        <f t="shared" si="39"/>
        <v/>
      </c>
      <c r="BA23" s="117" t="str">
        <f t="shared" si="40"/>
        <v>- holy-persons</v>
      </c>
      <c r="BB23" s="117" t="str">
        <f t="shared" si="41"/>
        <v>- stanley-rother</v>
      </c>
      <c r="BC23" s="117" t="str">
        <f t="shared" si="42"/>
        <v/>
      </c>
      <c r="BD23" s="117" t="str">
        <f t="shared" si="43"/>
        <v/>
      </c>
      <c r="BE23" s="117" t="str">
        <f t="shared" si="44"/>
        <v/>
      </c>
      <c r="BF23" s="117" t="str">
        <f t="shared" si="45"/>
        <v/>
      </c>
      <c r="BG23" s="117" t="str">
        <f t="shared" si="46"/>
        <v/>
      </c>
      <c r="BH23" s="117" t="str">
        <f t="shared" si="47"/>
        <v/>
      </c>
      <c r="BI23" s="117" t="str">
        <f t="shared" si="48"/>
        <v/>
      </c>
      <c r="BJ23" s="117" t="str">
        <f t="shared" si="49"/>
        <v/>
      </c>
      <c r="BK23" s="117" t="str">
        <f t="shared" si="50"/>
        <v/>
      </c>
      <c r="BL23" s="117" t="str">
        <f t="shared" si="51"/>
        <v xml:space="preserve">tags:
- gt_x000D_
- atitlan_x000D_
- churches_x000D_
- holy-persons_x000D_
- stanley-rother_x000D_
</v>
      </c>
      <c r="BM23" s="120" t="str">
        <f t="shared" si="62"/>
        <v/>
      </c>
      <c r="BN23" s="120" t="str">
        <f t="shared" si="63"/>
        <v/>
      </c>
      <c r="BO23" s="120" t="str">
        <f t="shared" si="64"/>
        <v/>
      </c>
      <c r="BP23" s="120" t="str">
        <f t="shared" si="65"/>
        <v/>
      </c>
      <c r="BQ23" s="117" t="str">
        <f t="shared" si="52"/>
        <v/>
      </c>
      <c r="BR23" s="117" t="str">
        <f t="shared" si="53"/>
        <v/>
      </c>
      <c r="BS23" s="117" t="str">
        <f t="shared" si="54"/>
        <v/>
      </c>
      <c r="BT23" s="117" t="str">
        <f t="shared" si="55"/>
        <v/>
      </c>
      <c r="BU23" s="117" t="str">
        <f>IF(LEN(_xludf.concat(BR23:BT23))&gt;0,_xludf.concat("| ",BR23," | ",BS23," | ",BT23," |"),"")</f>
        <v/>
      </c>
      <c r="BV23" s="117" t="str">
        <f t="shared" si="56"/>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57"/>
        <v>#VALUE!</v>
      </c>
      <c r="CK23" s="12" t="str">
        <f t="shared" si="58"/>
        <v xml:space="preserve">| [](/places/places\gt-atitlan-iglesia-santiago-apostol) </v>
      </c>
      <c r="CL23" s="13" t="str">
        <f>"| "&amp;IF(AS23,GetTagPage(C23,VLOOKUP(C23,'Country Tags'!C:E,3,)),C23)&amp; " "</f>
        <v xml:space="preserve">| [Guatemala](/tags/gt) </v>
      </c>
      <c r="CM23" s="12" t="str">
        <f t="shared" si="59"/>
        <v xml:space="preserve">|  </v>
      </c>
      <c r="CN23" s="12" t="str">
        <f t="shared" si="60"/>
        <v xml:space="preserve">| [Link](/places/places\gt-atitlan-iglesia-santiago-apostol) </v>
      </c>
      <c r="CO23" s="12" t="e">
        <f t="shared" si="61"/>
        <v>#VALUE!</v>
      </c>
    </row>
    <row r="24" spans="1:93" ht="51" x14ac:dyDescent="0.4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33"/>
        <v>1</v>
      </c>
      <c r="AT24" s="117" t="str">
        <f t="shared" si="34"/>
        <v>title: "Major Archiepiscopal Marth Mariam Archdeacon Pilgrim Church at Kuravilangad"</v>
      </c>
      <c r="AU24" s="117" t="str">
        <f t="shared" si="35"/>
        <v>location: {lat: 9.754446, lng: 76.56482}</v>
      </c>
      <c r="AV24" s="117" t="str">
        <f t="shared" si="36"/>
        <v>interest: global</v>
      </c>
      <c r="AW24" s="117" t="str">
        <f>"- "&amp;VLOOKUP(C24,'Country Tags'!C:E,3,)</f>
        <v>- in</v>
      </c>
      <c r="AX24" s="117" t="str">
        <f t="shared" si="37"/>
        <v/>
      </c>
      <c r="AY24" s="117" t="str">
        <f t="shared" si="38"/>
        <v>- churches</v>
      </c>
      <c r="AZ24" s="117" t="str">
        <f t="shared" si="39"/>
        <v>- marian-sites</v>
      </c>
      <c r="BA24" s="117" t="str">
        <f t="shared" si="40"/>
        <v/>
      </c>
      <c r="BB24" s="117" t="str">
        <f t="shared" si="41"/>
        <v>- syro-malabar</v>
      </c>
      <c r="BC24" s="117" t="str">
        <f t="shared" si="42"/>
        <v/>
      </c>
      <c r="BD24" s="117" t="str">
        <f t="shared" si="43"/>
        <v/>
      </c>
      <c r="BE24" s="117" t="str">
        <f t="shared" si="44"/>
        <v/>
      </c>
      <c r="BF24" s="117" t="str">
        <f t="shared" si="45"/>
        <v/>
      </c>
      <c r="BG24" s="117" t="str">
        <f t="shared" si="46"/>
        <v/>
      </c>
      <c r="BH24" s="117" t="str">
        <f t="shared" si="47"/>
        <v/>
      </c>
      <c r="BI24" s="117" t="str">
        <f t="shared" si="48"/>
        <v/>
      </c>
      <c r="BJ24" s="117" t="str">
        <f t="shared" si="49"/>
        <v/>
      </c>
      <c r="BK24" s="117" t="str">
        <f t="shared" si="50"/>
        <v/>
      </c>
      <c r="BL24" s="117" t="str">
        <f t="shared" si="51"/>
        <v xml:space="preserve">tags:
- in_x000D_
- churches_x000D_
- marian-sites_x000D_
- syro-malabar_x000D_
</v>
      </c>
      <c r="BM24" s="120" t="str">
        <f t="shared" si="62"/>
        <v>[Official site](http://kuravilangadpally.com/)</v>
      </c>
      <c r="BN24" s="120" t="str">
        <f t="shared" si="63"/>
        <v/>
      </c>
      <c r="BO24" s="120" t="str">
        <f t="shared" si="64"/>
        <v/>
      </c>
      <c r="BP24" s="120" t="str">
        <f t="shared" si="65"/>
        <v/>
      </c>
      <c r="BQ24" s="120" t="str">
        <f t="shared" si="52"/>
        <v xml:space="preserve">* [Official site](http://kuravilangadpally.com/)
</v>
      </c>
      <c r="BR24" s="120" t="str">
        <f t="shared" si="53"/>
        <v/>
      </c>
      <c r="BS24" s="120" t="str">
        <f t="shared" si="54"/>
        <v>[Link](https://www.miraclehunter.com/marian_apparitions/approved_apparitions/apparitions_0040-0999.html) (Search "Kuravilangad")</v>
      </c>
      <c r="BT24" s="120" t="str">
        <f t="shared" si="55"/>
        <v/>
      </c>
      <c r="BU24" s="120" t="str">
        <f>IF(LEN(_xludf.concat(BR24:BT24))&gt;0,_xludf.concat("| ",BR24," | ",BS24," | ",BT24," |"),"")</f>
        <v>|  | [Link](https://www.miraclehunter.com/marian_apparitions/approved_apparitions/apparitions_0040-0999.html) (Search "Kuravilangad") |  |</v>
      </c>
      <c r="BV24" s="117" t="str">
        <f t="shared" si="56"/>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57"/>
        <v>#VALUE!</v>
      </c>
      <c r="CK24" s="13" t="str">
        <f t="shared" si="58"/>
        <v xml:space="preserve">| [Kuravilangad](/places/places\in-marth-mariam-archdeacon-pilgrim-church-at-kuravilangad) </v>
      </c>
      <c r="CL24" s="13" t="str">
        <f>"| "&amp;IF(AS24,GetTagPage(C24,VLOOKUP(C24,'Country Tags'!C:E,3,)),C24)&amp; " "</f>
        <v xml:space="preserve">| [India](/tags/in) </v>
      </c>
      <c r="CM24" s="13" t="str">
        <f t="shared" si="59"/>
        <v xml:space="preserve">| 335 </v>
      </c>
      <c r="CN24" s="13" t="str">
        <f t="shared" si="60"/>
        <v xml:space="preserve">| [Link](/places/places\in-marth-mariam-archdeacon-pilgrim-church-at-kuravilangad) </v>
      </c>
      <c r="CO24" s="12" t="e">
        <f t="shared" si="61"/>
        <v>#VALUE!</v>
      </c>
    </row>
    <row r="25" spans="1:93" ht="51" x14ac:dyDescent="0.4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33"/>
        <v>1</v>
      </c>
      <c r="AT25" s="117" t="str">
        <f t="shared" si="34"/>
        <v>title: "Basilica of Our Lady of Good Health (Our Lady of Velankanni)"</v>
      </c>
      <c r="AU25" s="117" t="str">
        <f t="shared" si="35"/>
        <v>location: {lat: 10.6803068, lng: 79.8493137}</v>
      </c>
      <c r="AV25" s="117" t="str">
        <f t="shared" si="36"/>
        <v>interest: global</v>
      </c>
      <c r="AW25" s="117" t="str">
        <f>"- "&amp;VLOOKUP(C25,'Country Tags'!C:E,3,)</f>
        <v>- in</v>
      </c>
      <c r="AX25" s="117" t="str">
        <f t="shared" si="37"/>
        <v/>
      </c>
      <c r="AY25" s="117" t="str">
        <f t="shared" si="38"/>
        <v>- churches</v>
      </c>
      <c r="AZ25" s="117" t="str">
        <f t="shared" si="39"/>
        <v>- marian-sites</v>
      </c>
      <c r="BA25" s="117" t="str">
        <f t="shared" si="40"/>
        <v/>
      </c>
      <c r="BB25" s="117" t="str">
        <f t="shared" si="41"/>
        <v/>
      </c>
      <c r="BC25" s="117" t="str">
        <f t="shared" si="42"/>
        <v/>
      </c>
      <c r="BD25" s="117" t="str">
        <f t="shared" si="43"/>
        <v/>
      </c>
      <c r="BE25" s="117" t="str">
        <f t="shared" si="44"/>
        <v/>
      </c>
      <c r="BF25" s="117" t="str">
        <f t="shared" si="45"/>
        <v/>
      </c>
      <c r="BG25" s="117" t="str">
        <f t="shared" si="46"/>
        <v/>
      </c>
      <c r="BH25" s="117" t="str">
        <f t="shared" si="47"/>
        <v/>
      </c>
      <c r="BI25" s="117" t="str">
        <f t="shared" si="48"/>
        <v/>
      </c>
      <c r="BJ25" s="117" t="str">
        <f t="shared" si="49"/>
        <v/>
      </c>
      <c r="BK25" s="117" t="str">
        <f t="shared" si="50"/>
        <v/>
      </c>
      <c r="BL25" s="117" t="str">
        <f t="shared" si="51"/>
        <v xml:space="preserve">tags:
- in_x000D_
- churches_x000D_
- marian-sites_x000D_
</v>
      </c>
      <c r="BM25" s="120" t="str">
        <f t="shared" si="62"/>
        <v>[Official site](https://www.velankannichurch.com/)</v>
      </c>
      <c r="BN25" s="120" t="str">
        <f t="shared" si="63"/>
        <v/>
      </c>
      <c r="BO25" s="120" t="str">
        <f t="shared" si="64"/>
        <v/>
      </c>
      <c r="BP25" s="120" t="str">
        <f t="shared" si="65"/>
        <v/>
      </c>
      <c r="BQ25" s="120" t="str">
        <f t="shared" si="52"/>
        <v xml:space="preserve">* [Official site](https://www.velankannichurch.com/)
</v>
      </c>
      <c r="BR25" s="120" t="str">
        <f t="shared" si="53"/>
        <v>[Link](http://www.therealpresence.org/eucharst/misc/BVM/32_VAILANKANNI_60x96.pdf)</v>
      </c>
      <c r="BS25" s="120" t="str">
        <f t="shared" si="54"/>
        <v>[Link](https://www.miraclehunter.com/marian_apparitions/approved_apparitions/vailankanni/)</v>
      </c>
      <c r="BT25" s="120" t="str">
        <f t="shared" si="55"/>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57"/>
        <v xml:space="preserve">| </v>
      </c>
      <c r="CK25" s="13" t="str">
        <f t="shared" si="58"/>
        <v xml:space="preserve">| [Vailankanni](/places/places\in-basilica-of-our-lady-of-good-health) </v>
      </c>
      <c r="CL25" s="13" t="str">
        <f>"| "&amp;IF(AS25,GetTagPage(C25,VLOOKUP(C25,'Country Tags'!C:E,3,)),C25)&amp; " "</f>
        <v xml:space="preserve">| [India](/tags/in) </v>
      </c>
      <c r="CM25" s="13" t="str">
        <f t="shared" si="59"/>
        <v xml:space="preserve">| 16th Century </v>
      </c>
      <c r="CN25" s="13" t="str">
        <f t="shared" si="60"/>
        <v xml:space="preserve">| [Link](/places/places\in-basilica-of-our-lady-of-good-health) </v>
      </c>
      <c r="CO25" s="12" t="str">
        <f t="shared" si="61"/>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4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33"/>
        <v>1</v>
      </c>
      <c r="AT26" s="117" t="str">
        <f t="shared" si="34"/>
        <v>title: "Sanctuary of St. Joseph Vaz"</v>
      </c>
      <c r="AU26" s="117" t="str">
        <f t="shared" si="35"/>
        <v>location: {lat: 15.3912514402316, lng: 73.903795958225}</v>
      </c>
      <c r="AV26" s="117" t="str">
        <f t="shared" si="36"/>
        <v>interest: local</v>
      </c>
      <c r="AW26" s="117" t="str">
        <f>"- "&amp;VLOOKUP(C26,'Country Tags'!C:E,3,)</f>
        <v>- in</v>
      </c>
      <c r="AX26" s="117" t="str">
        <f t="shared" si="37"/>
        <v>- goa</v>
      </c>
      <c r="AY26" s="117" t="str">
        <f t="shared" si="38"/>
        <v>- churches</v>
      </c>
      <c r="AZ26" s="117" t="str">
        <f t="shared" si="39"/>
        <v/>
      </c>
      <c r="BA26" s="117" t="str">
        <f t="shared" si="40"/>
        <v>- holy-persons</v>
      </c>
      <c r="BB26" s="117" t="str">
        <f t="shared" si="41"/>
        <v>- joseph-vaz</v>
      </c>
      <c r="BC26" s="117" t="str">
        <f t="shared" si="42"/>
        <v>- oratorians</v>
      </c>
      <c r="BD26" s="117" t="str">
        <f t="shared" si="43"/>
        <v/>
      </c>
      <c r="BE26" s="117" t="str">
        <f t="shared" si="44"/>
        <v/>
      </c>
      <c r="BF26" s="117" t="str">
        <f t="shared" si="45"/>
        <v/>
      </c>
      <c r="BG26" s="117" t="str">
        <f t="shared" si="46"/>
        <v/>
      </c>
      <c r="BH26" s="117" t="str">
        <f t="shared" si="47"/>
        <v/>
      </c>
      <c r="BI26" s="117" t="str">
        <f t="shared" si="48"/>
        <v/>
      </c>
      <c r="BJ26" s="117" t="str">
        <f t="shared" si="49"/>
        <v/>
      </c>
      <c r="BK26" s="117" t="str">
        <f t="shared" si="50"/>
        <v/>
      </c>
      <c r="BL26" s="117" t="str">
        <f t="shared" si="51"/>
        <v xml:space="preserve">tags:
- in_x000D_
- goa_x000D_
- churches_x000D_
- holy-persons_x000D_
- joseph-vaz_x000D_
- oratorians_x000D_
</v>
      </c>
      <c r="BM26" s="120" t="str">
        <f t="shared" si="62"/>
        <v>[Official site](https://blessedjosephvaz.org/sanctuary.htm)</v>
      </c>
      <c r="BN26" s="120" t="str">
        <f t="shared" si="63"/>
        <v>[Missionary Oblates of Mary Immaculate biography](https://www.omiworld.org/our-charism/our-saints/non-oblate-causes/saint-joseph-vaz-1651-1711/biography/)</v>
      </c>
      <c r="BO26" s="120" t="str">
        <f t="shared" si="64"/>
        <v/>
      </c>
      <c r="BP26" s="120" t="str">
        <f t="shared" si="65"/>
        <v/>
      </c>
      <c r="BQ26" s="117" t="str">
        <f t="shared" si="52"/>
        <v xml:space="preserve">* [Official site](https://blessedjosephvaz.org/sanctuary.htm)
* [Missionary Oblates of Mary Immaculate biography](https://www.omiworld.org/our-charism/our-saints/non-oblate-causes/saint-joseph-vaz-1651-1711/biography/)
</v>
      </c>
      <c r="BR26" s="117" t="str">
        <f t="shared" si="53"/>
        <v/>
      </c>
      <c r="BS26" s="117" t="str">
        <f t="shared" si="54"/>
        <v/>
      </c>
      <c r="BT26" s="117" t="str">
        <f t="shared" si="55"/>
        <v/>
      </c>
      <c r="BU26" s="117" t="str">
        <f>IF(LEN(_xludf.concat(BR26:BT26))&gt;0,_xludf.concat("| ",BR26," | ",BS26," | ",BT26," |"),"")</f>
        <v/>
      </c>
      <c r="BV26" s="117" t="str">
        <f t="shared" si="56"/>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57"/>
        <v>#VALUE!</v>
      </c>
      <c r="CK26" s="12" t="str">
        <f t="shared" si="58"/>
        <v xml:space="preserve">| [](/places/places\in-goa-st-joseph-vaz) </v>
      </c>
      <c r="CL26" s="13" t="str">
        <f>"| "&amp;IF(AS26,GetTagPage(C26,VLOOKUP(C26,'Country Tags'!C:E,3,)),C26)&amp; " "</f>
        <v xml:space="preserve">| [India](/tags/in) </v>
      </c>
      <c r="CM26" s="12" t="str">
        <f t="shared" si="59"/>
        <v xml:space="preserve">|  </v>
      </c>
      <c r="CN26" s="12" t="str">
        <f t="shared" si="60"/>
        <v xml:space="preserve">| [Link](/places/places\in-goa-st-joseph-vaz) </v>
      </c>
      <c r="CO26" s="12" t="e">
        <f t="shared" si="61"/>
        <v>#VALUE!</v>
      </c>
    </row>
    <row r="27" spans="1:93" ht="63.75" x14ac:dyDescent="0.4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33"/>
        <v>1</v>
      </c>
      <c r="AT27" s="117" t="str">
        <f t="shared" si="34"/>
        <v>title: "Knock Shrine (Our Lady of Knock)"</v>
      </c>
      <c r="AU27" s="117" t="str">
        <f t="shared" si="35"/>
        <v>location: {lat: 53.7927562, lng: -8.918981}</v>
      </c>
      <c r="AV27" s="117" t="str">
        <f t="shared" si="36"/>
        <v>interest: global</v>
      </c>
      <c r="AW27" s="117" t="str">
        <f>"- "&amp;VLOOKUP(C27,'Country Tags'!C:E,3,)</f>
        <v>- ie</v>
      </c>
      <c r="AX27" s="117" t="str">
        <f t="shared" si="37"/>
        <v/>
      </c>
      <c r="AY27" s="117" t="str">
        <f t="shared" si="38"/>
        <v>- churches</v>
      </c>
      <c r="AZ27" s="117" t="str">
        <f t="shared" si="39"/>
        <v>- marian-sites</v>
      </c>
      <c r="BA27" s="117" t="str">
        <f t="shared" si="40"/>
        <v/>
      </c>
      <c r="BB27" s="117" t="str">
        <f t="shared" si="41"/>
        <v/>
      </c>
      <c r="BC27" s="117" t="str">
        <f t="shared" si="42"/>
        <v/>
      </c>
      <c r="BD27" s="117" t="str">
        <f t="shared" si="43"/>
        <v/>
      </c>
      <c r="BE27" s="117" t="str">
        <f t="shared" si="44"/>
        <v/>
      </c>
      <c r="BF27" s="117" t="str">
        <f t="shared" si="45"/>
        <v/>
      </c>
      <c r="BG27" s="117" t="str">
        <f t="shared" si="46"/>
        <v/>
      </c>
      <c r="BH27" s="117" t="str">
        <f t="shared" si="47"/>
        <v/>
      </c>
      <c r="BI27" s="117" t="str">
        <f t="shared" si="48"/>
        <v/>
      </c>
      <c r="BJ27" s="117" t="str">
        <f t="shared" si="49"/>
        <v/>
      </c>
      <c r="BK27" s="117" t="str">
        <f t="shared" si="50"/>
        <v/>
      </c>
      <c r="BL27" s="117" t="str">
        <f t="shared" si="51"/>
        <v xml:space="preserve">tags:
- ie_x000D_
- churches_x000D_
- marian-sites_x000D_
</v>
      </c>
      <c r="BM27" s="120" t="str">
        <f t="shared" si="62"/>
        <v>[Official site](https://www.knockshrine.ie/)</v>
      </c>
      <c r="BN27" s="120" t="str">
        <f t="shared" si="63"/>
        <v/>
      </c>
      <c r="BO27" s="120" t="str">
        <f t="shared" si="64"/>
        <v/>
      </c>
      <c r="BP27" s="120" t="str">
        <f t="shared" si="65"/>
        <v/>
      </c>
      <c r="BQ27" s="120" t="str">
        <f t="shared" si="52"/>
        <v xml:space="preserve">* [Official site](https://www.knockshrine.ie/)
</v>
      </c>
      <c r="BR27" s="120" t="str">
        <f t="shared" si="53"/>
        <v>[Link](http://www.therealpresence.org/eucharst/misc/BVM/63_KNOCK_60x96.pdf)</v>
      </c>
      <c r="BS27" s="120" t="str">
        <f t="shared" si="54"/>
        <v>[Link](http://www.miraclehunter.com/marian_apparitions/approved_apparitions/knock/index.html)</v>
      </c>
      <c r="BT27" s="120" t="str">
        <f t="shared" si="55"/>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57"/>
        <v xml:space="preserve">| </v>
      </c>
      <c r="CK27" s="13" t="str">
        <f t="shared" si="58"/>
        <v xml:space="preserve">| [Knock](/places/places\ie-knock-shrine) </v>
      </c>
      <c r="CL27" s="13" t="str">
        <f>"| "&amp;IF(AS27,GetTagPage(C27,VLOOKUP(C27,'Country Tags'!C:E,3,)),C27)&amp; " "</f>
        <v xml:space="preserve">| [Ireland](/tags/ie) </v>
      </c>
      <c r="CM27" s="13" t="str">
        <f t="shared" si="59"/>
        <v xml:space="preserve">| 1879 </v>
      </c>
      <c r="CN27" s="13" t="str">
        <f t="shared" si="60"/>
        <v xml:space="preserve">| [Link](/places/places\ie-knock-shrine) </v>
      </c>
      <c r="CO27" s="12" t="str">
        <f t="shared" si="61"/>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89.25" x14ac:dyDescent="0.4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33"/>
        <v>1</v>
      </c>
      <c r="AT28" s="117" t="str">
        <f t="shared" si="34"/>
        <v>title: "St. Mary Major (S. Maria Maggiore) (Our Lady of the Snows)"</v>
      </c>
      <c r="AU28" s="117" t="str">
        <f t="shared" si="35"/>
        <v>location: {lat: 41.8972931099639, lng: 12.4989743434214}</v>
      </c>
      <c r="AV28" s="117" t="str">
        <f t="shared" si="36"/>
        <v>interest: global</v>
      </c>
      <c r="AW28" s="117" t="str">
        <f>"- "&amp;VLOOKUP(C28,'Country Tags'!C:E,3,)</f>
        <v>- it</v>
      </c>
      <c r="AX28" s="117" t="str">
        <f t="shared" si="37"/>
        <v>- rome</v>
      </c>
      <c r="AY28" s="117" t="str">
        <f t="shared" si="38"/>
        <v>- churches</v>
      </c>
      <c r="AZ28" s="117" t="str">
        <f t="shared" si="39"/>
        <v>- marian-sites</v>
      </c>
      <c r="BA28" s="117" t="str">
        <f t="shared" si="40"/>
        <v/>
      </c>
      <c r="BB28" s="117" t="str">
        <f t="shared" si="41"/>
        <v>- major-basilicas</v>
      </c>
      <c r="BC28" s="117" t="str">
        <f t="shared" si="42"/>
        <v/>
      </c>
      <c r="BD28" s="117" t="str">
        <f t="shared" si="43"/>
        <v/>
      </c>
      <c r="BE28" s="117" t="str">
        <f t="shared" si="44"/>
        <v/>
      </c>
      <c r="BF28" s="117" t="str">
        <f t="shared" si="45"/>
        <v/>
      </c>
      <c r="BG28" s="117" t="str">
        <f t="shared" si="46"/>
        <v/>
      </c>
      <c r="BH28" s="117" t="str">
        <f t="shared" si="47"/>
        <v/>
      </c>
      <c r="BI28" s="117" t="str">
        <f t="shared" si="48"/>
        <v/>
      </c>
      <c r="BJ28" s="117" t="str">
        <f t="shared" si="49"/>
        <v/>
      </c>
      <c r="BK28" s="117" t="str">
        <f t="shared" si="50"/>
        <v/>
      </c>
      <c r="BL28" s="117" t="str">
        <f t="shared" si="51"/>
        <v xml:space="preserve">tags:
- it_x000D_
- rome_x000D_
- churches_x000D_
- marian-sites_x000D_
- major-basilicas_x000D_
</v>
      </c>
      <c r="BM28" s="120" t="str">
        <f t="shared" si="62"/>
        <v>[Official site](https://www.vatican.va/various/basiliche/sm_maggiore/index_en.html)</v>
      </c>
      <c r="BN28" s="120" t="str">
        <f t="shared" si="63"/>
        <v/>
      </c>
      <c r="BO28" s="120" t="str">
        <f t="shared" si="64"/>
        <v/>
      </c>
      <c r="BP28" s="120" t="str">
        <f t="shared" si="65"/>
        <v/>
      </c>
      <c r="BQ28" s="120" t="str">
        <f t="shared" si="52"/>
        <v xml:space="preserve">* [Official site](https://www.vatican.va/various/basiliche/sm_maggiore/index_en.html)
</v>
      </c>
      <c r="BR28" s="120" t="str">
        <f t="shared" si="53"/>
        <v>[Link](http://www.therealpresence.org/eucharst/misc/BVM/117_ROMA_60x96.pdf)</v>
      </c>
      <c r="BS28" s="120" t="str">
        <f t="shared" si="54"/>
        <v>[Link](https://www.miraclehunter.com/marian_apparitions/approved_apparitions/rome/index.html)</v>
      </c>
      <c r="BT28" s="120" t="str">
        <f t="shared" si="55"/>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57"/>
        <v>#VALUE!</v>
      </c>
      <c r="CK28" s="13" t="str">
        <f t="shared" si="58"/>
        <v xml:space="preserve">| [Rome (Santa Maria Maggiore)](/places/places\it-rome-st-mary-major) </v>
      </c>
      <c r="CL28" s="13" t="str">
        <f>"| "&amp;IF(AS28,GetTagPage(C28,VLOOKUP(C28,'Country Tags'!C:E,3,)),C28)&amp; " "</f>
        <v xml:space="preserve">| [Italy](/tags/it) </v>
      </c>
      <c r="CM28" s="13" t="str">
        <f t="shared" si="59"/>
        <v xml:space="preserve">| 352 </v>
      </c>
      <c r="CN28" s="13" t="str">
        <f t="shared" si="60"/>
        <v xml:space="preserve">| [Link](/places/places\it-rome-st-mary-major) </v>
      </c>
      <c r="CO28" s="12" t="e">
        <f t="shared" si="61"/>
        <v>#VALUE!</v>
      </c>
    </row>
    <row r="29" spans="1:93" ht="76.5" x14ac:dyDescent="0.4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33"/>
        <v>1</v>
      </c>
      <c r="AT29" s="117" t="str">
        <f t="shared" si="34"/>
        <v>title: "Sanctuary of Our Lady of Valverde"</v>
      </c>
      <c r="AU29" s="117" t="str">
        <f t="shared" si="35"/>
        <v>location: {lat: 45.5236738652071, lng: 10.3142692079531}</v>
      </c>
      <c r="AV29" s="117" t="str">
        <f t="shared" si="36"/>
        <v>interest: global</v>
      </c>
      <c r="AW29" s="117" t="str">
        <f>"- "&amp;VLOOKUP(C29,'Country Tags'!C:E,3,)</f>
        <v>- it</v>
      </c>
      <c r="AX29" s="117" t="str">
        <f t="shared" si="37"/>
        <v/>
      </c>
      <c r="AY29" s="117" t="str">
        <f t="shared" si="38"/>
        <v>- churches</v>
      </c>
      <c r="AZ29" s="117" t="str">
        <f t="shared" si="39"/>
        <v>- marian-sites</v>
      </c>
      <c r="BA29" s="117" t="str">
        <f t="shared" si="40"/>
        <v/>
      </c>
      <c r="BB29" s="117" t="str">
        <f t="shared" si="41"/>
        <v/>
      </c>
      <c r="BC29" s="117" t="str">
        <f t="shared" si="42"/>
        <v/>
      </c>
      <c r="BD29" s="117" t="str">
        <f t="shared" si="43"/>
        <v/>
      </c>
      <c r="BE29" s="117" t="str">
        <f t="shared" si="44"/>
        <v/>
      </c>
      <c r="BF29" s="117" t="str">
        <f t="shared" si="45"/>
        <v/>
      </c>
      <c r="BG29" s="117" t="str">
        <f t="shared" si="46"/>
        <v/>
      </c>
      <c r="BH29" s="117" t="str">
        <f t="shared" si="47"/>
        <v/>
      </c>
      <c r="BI29" s="117" t="str">
        <f t="shared" si="48"/>
        <v/>
      </c>
      <c r="BJ29" s="117" t="str">
        <f t="shared" si="49"/>
        <v/>
      </c>
      <c r="BK29" s="117" t="str">
        <f t="shared" si="50"/>
        <v/>
      </c>
      <c r="BL29" s="117" t="str">
        <f t="shared" si="51"/>
        <v xml:space="preserve">tags:
- it_x000D_
- churches_x000D_
- marian-sites_x000D_
</v>
      </c>
      <c r="BM29" s="120" t="str">
        <f t="shared" si="62"/>
        <v>[Official site](https://www.uprezzatovirle.it/santuario-valverde)</v>
      </c>
      <c r="BN29" s="120" t="str">
        <f t="shared" si="63"/>
        <v/>
      </c>
      <c r="BO29" s="120" t="str">
        <f t="shared" si="64"/>
        <v/>
      </c>
      <c r="BP29" s="120" t="str">
        <f t="shared" si="65"/>
        <v/>
      </c>
      <c r="BQ29" s="120" t="str">
        <f t="shared" si="52"/>
        <v xml:space="preserve">* [Official site](https://www.uprezzatovirle.it/santuario-valverde)
</v>
      </c>
      <c r="BR29" s="120" t="str">
        <f t="shared" si="53"/>
        <v>[Link](http://www.therealpresence.org/eucharst/misc/BVM/13_VALVERDE_60x96.pdf)</v>
      </c>
      <c r="BS29" s="120" t="str">
        <f t="shared" si="54"/>
        <v>[Link](https://www.miraclehunter.com/marian_apparitions/approved_apparitions/apparitions_1700-1799.html) (Search for "Valverde")</v>
      </c>
      <c r="BT29" s="120" t="str">
        <f t="shared" si="55"/>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57"/>
        <v xml:space="preserve">| </v>
      </c>
      <c r="CK29" s="13" t="str">
        <f t="shared" si="58"/>
        <v xml:space="preserve">| [Valverde Di Rezzato](/places/places\it-sanctuary-of-our-lady-of-valverde) </v>
      </c>
      <c r="CL29" s="13" t="str">
        <f>"| "&amp;IF(AS29,GetTagPage(C29,VLOOKUP(C29,'Country Tags'!C:E,3,)),C29)&amp; " "</f>
        <v xml:space="preserve">| [Italy](/tags/it) </v>
      </c>
      <c r="CM29" s="13" t="str">
        <f t="shared" si="59"/>
        <v xml:space="preserve">| 1399, 1711 </v>
      </c>
      <c r="CN29" s="13" t="str">
        <f t="shared" si="60"/>
        <v xml:space="preserve">| [Link](/places/places\it-sanctuary-of-our-lady-of-valverde) </v>
      </c>
      <c r="CO29" s="12" t="str">
        <f t="shared" si="61"/>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4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33"/>
        <v>1</v>
      </c>
      <c r="AT30" s="117" t="str">
        <f t="shared" si="34"/>
        <v>title: "Sant'Andrea delle Fratte (Shrine of Our Lady of the Miracle, Our Lady of Zion)"</v>
      </c>
      <c r="AU30" s="117" t="str">
        <f t="shared" si="35"/>
        <v>location: {lat: 41.9035637, lng: 12.4836739}</v>
      </c>
      <c r="AV30" s="117" t="str">
        <f t="shared" si="36"/>
        <v>interest: global</v>
      </c>
      <c r="AW30" s="117" t="str">
        <f>"- "&amp;VLOOKUP(C30,'Country Tags'!C:E,3,)</f>
        <v>- it</v>
      </c>
      <c r="AX30" s="117" t="str">
        <f t="shared" si="37"/>
        <v>- rome</v>
      </c>
      <c r="AY30" s="117" t="str">
        <f t="shared" si="38"/>
        <v>- churches</v>
      </c>
      <c r="AZ30" s="117" t="str">
        <f t="shared" si="39"/>
        <v>- marian-sites</v>
      </c>
      <c r="BA30" s="117" t="str">
        <f t="shared" si="40"/>
        <v/>
      </c>
      <c r="BB30" s="117" t="str">
        <f t="shared" si="41"/>
        <v>- marie-alphonse-ratisbonne</v>
      </c>
      <c r="BC30" s="117" t="str">
        <f t="shared" si="42"/>
        <v/>
      </c>
      <c r="BD30" s="117" t="str">
        <f t="shared" si="43"/>
        <v/>
      </c>
      <c r="BE30" s="117" t="str">
        <f t="shared" si="44"/>
        <v/>
      </c>
      <c r="BF30" s="117" t="str">
        <f t="shared" si="45"/>
        <v/>
      </c>
      <c r="BG30" s="117" t="str">
        <f t="shared" si="46"/>
        <v/>
      </c>
      <c r="BH30" s="117" t="str">
        <f t="shared" si="47"/>
        <v/>
      </c>
      <c r="BI30" s="117" t="str">
        <f t="shared" si="48"/>
        <v/>
      </c>
      <c r="BJ30" s="117" t="str">
        <f t="shared" si="49"/>
        <v/>
      </c>
      <c r="BK30" s="117" t="str">
        <f t="shared" si="50"/>
        <v/>
      </c>
      <c r="BL30" s="117" t="str">
        <f t="shared" si="51"/>
        <v xml:space="preserve">tags:
- it_x000D_
- rome_x000D_
- churches_x000D_
- marian-sites_x000D_
- marie-alphonse-ratisbonne_x000D_
</v>
      </c>
      <c r="BM30" s="120" t="str">
        <f t="shared" si="62"/>
        <v>[Official site](https://www.madonnadelmiracolo.it/)</v>
      </c>
      <c r="BN30" s="120" t="str">
        <f t="shared" si="63"/>
        <v/>
      </c>
      <c r="BO30" s="120" t="str">
        <f t="shared" si="64"/>
        <v/>
      </c>
      <c r="BP30" s="120" t="str">
        <f t="shared" si="65"/>
        <v/>
      </c>
      <c r="BQ30" s="120" t="str">
        <f t="shared" si="52"/>
        <v xml:space="preserve">* [Official site](https://www.madonnadelmiracolo.it/)
</v>
      </c>
      <c r="BR30" s="120" t="str">
        <f t="shared" si="53"/>
        <v>[Link](http://www.therealpresence.org/eucharst/misc/BVM/23_ROMA_60x96.pdf)</v>
      </c>
      <c r="BS30" s="120" t="str">
        <f t="shared" si="54"/>
        <v>[Link](https://www.miraclehunter.com/marian_apparitions/approved_apparitions/rome1842/index.html)</v>
      </c>
      <c r="BT30" s="120" t="str">
        <f t="shared" si="55"/>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57"/>
        <v>#VALUE!</v>
      </c>
      <c r="CK30" s="13" t="str">
        <f t="shared" si="58"/>
        <v xml:space="preserve">| [Rome](/places/places\it-rome-sant-andrea-delle-fratte) </v>
      </c>
      <c r="CL30" s="13" t="str">
        <f>"| "&amp;IF(AS30,GetTagPage(C30,VLOOKUP(C30,'Country Tags'!C:E,3,)),C30)&amp; " "</f>
        <v xml:space="preserve">| [Italy](/tags/it) </v>
      </c>
      <c r="CM30" s="13" t="str">
        <f t="shared" si="59"/>
        <v xml:space="preserve">| 1842 </v>
      </c>
      <c r="CN30" s="13" t="str">
        <f t="shared" si="60"/>
        <v xml:space="preserve">| [Link](/places/places\it-rome-sant-andrea-delle-fratte) </v>
      </c>
      <c r="CO30" s="12" t="e">
        <f t="shared" si="61"/>
        <v>#VALUE!</v>
      </c>
    </row>
    <row r="31" spans="1:93" ht="153" x14ac:dyDescent="0.4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33"/>
        <v>1</v>
      </c>
      <c r="AT31" s="117" t="str">
        <f t="shared" si="34"/>
        <v>title: "Basilica of Our Lady of Graces and St. Maria Goretti"</v>
      </c>
      <c r="AU31" s="117" t="str">
        <f t="shared" si="35"/>
        <v>location: {lat: 41.457154, lng: 12.668148}</v>
      </c>
      <c r="AV31" s="117" t="str">
        <f t="shared" si="36"/>
        <v>interest: regional</v>
      </c>
      <c r="AW31" s="117" t="str">
        <f>"- "&amp;VLOOKUP(C31,'Country Tags'!C:E,3,)</f>
        <v>- it</v>
      </c>
      <c r="AX31" s="117" t="str">
        <f t="shared" si="37"/>
        <v>- nettuno</v>
      </c>
      <c r="AY31" s="117" t="str">
        <f t="shared" si="38"/>
        <v>- churches</v>
      </c>
      <c r="AZ31" s="117" t="str">
        <f t="shared" si="39"/>
        <v>- marian-sites</v>
      </c>
      <c r="BA31" s="117" t="str">
        <f t="shared" si="40"/>
        <v>- holy-persons</v>
      </c>
      <c r="BB31" s="117" t="str">
        <f t="shared" si="41"/>
        <v>- maria-goretti</v>
      </c>
      <c r="BC31" s="117" t="str">
        <f t="shared" si="42"/>
        <v>- our-lady-grace</v>
      </c>
      <c r="BD31" s="117" t="str">
        <f t="shared" si="43"/>
        <v>- our-lady-ipswich</v>
      </c>
      <c r="BE31" s="117" t="str">
        <f t="shared" si="44"/>
        <v/>
      </c>
      <c r="BF31" s="117" t="str">
        <f t="shared" si="45"/>
        <v/>
      </c>
      <c r="BG31" s="117" t="str">
        <f t="shared" si="46"/>
        <v/>
      </c>
      <c r="BH31" s="117" t="str">
        <f t="shared" si="47"/>
        <v/>
      </c>
      <c r="BI31" s="117" t="str">
        <f t="shared" si="48"/>
        <v/>
      </c>
      <c r="BJ31" s="117" t="str">
        <f t="shared" si="49"/>
        <v/>
      </c>
      <c r="BK31" s="117" t="str">
        <f t="shared" si="50"/>
        <v/>
      </c>
      <c r="BL31" s="117" t="str">
        <f t="shared" si="51"/>
        <v xml:space="preserve">tags:
- it_x000D_
- nettuno_x000D_
- churches_x000D_
- marian-sites_x000D_
- holy-persons_x000D_
- maria-goretti_x000D_
- our-lady-grace_x000D_
- our-lady-ipswich_x000D_
</v>
      </c>
      <c r="BM31" s="120" t="str">
        <f t="shared" si="62"/>
        <v>[Official site](http://www.santuarionettuno.it/) - Note: website not active at time of writing</v>
      </c>
      <c r="BN31" s="120" t="str">
        <f t="shared" si="63"/>
        <v>[Official Facebook page](https://www.facebook.com/profile.php?id=100069705631532)</v>
      </c>
      <c r="BO31" s="120" t="str">
        <f t="shared" si="64"/>
        <v/>
      </c>
      <c r="BP31" s="120" t="str">
        <f t="shared" si="65"/>
        <v/>
      </c>
      <c r="BQ31" s="120" t="str">
        <f t="shared" si="52"/>
        <v xml:space="preserve">* [Official site](http://www.santuarionettuno.it/) - Note: website not active at time of writing
* [Official Facebook page](https://www.facebook.com/profile.php?id=100069705631532)
</v>
      </c>
      <c r="BR31" s="120" t="str">
        <f t="shared" si="53"/>
        <v/>
      </c>
      <c r="BS31" s="120" t="str">
        <f t="shared" si="54"/>
        <v>[Link](https://www.miraclehunter.com/marian_apparitions/approved_apparitions/apparitions_1500-1599.html) (Search "Ipswich")</v>
      </c>
      <c r="BT31" s="120" t="str">
        <f t="shared" si="55"/>
        <v/>
      </c>
      <c r="BU31" s="120" t="str">
        <f>IF(LEN(_xludf.concat(BR31:BT31))&gt;0,_xludf.concat("| ",BR31," | ",BS31," | ",BT31," |"),"")</f>
        <v>|  | [Link](https://www.miraclehunter.com/marian_apparitions/approved_apparitions/apparitions_1500-1599.html) (Search "Ipswich") |  |</v>
      </c>
      <c r="BV31" s="117" t="str">
        <f t="shared" si="56"/>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57"/>
        <v>#VALUE!</v>
      </c>
      <c r="CK31" s="13" t="str">
        <f t="shared" si="58"/>
        <v xml:space="preserve">| [Our Lady of Grace and St. Maria Goretti](/places/places\it-nettuno-basilica-of-our-lady-of-graces) </v>
      </c>
      <c r="CL31" s="13" t="str">
        <f>"| "&amp;IF(AS31,GetTagPage(C31,VLOOKUP(C31,'Country Tags'!C:E,3,)),C31)&amp; " "</f>
        <v xml:space="preserve">| [Italy](/tags/it) </v>
      </c>
      <c r="CM31" s="13" t="str">
        <f t="shared" si="59"/>
        <v xml:space="preserve">|  </v>
      </c>
      <c r="CN31" s="13" t="str">
        <f t="shared" si="60"/>
        <v xml:space="preserve">| [Link](/places/places\it-nettuno-basilica-of-our-lady-of-graces) </v>
      </c>
      <c r="CO31" s="12" t="e">
        <f t="shared" si="61"/>
        <v>#VALUE!</v>
      </c>
    </row>
    <row r="32" spans="1:93" ht="102" x14ac:dyDescent="0.4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33"/>
        <v>1</v>
      </c>
      <c r="AT32" s="117" t="str">
        <f t="shared" si="34"/>
        <v>title: "Sanctuary of Oropa (Black Madonna of Oropa)"</v>
      </c>
      <c r="AU32" s="117" t="str">
        <f t="shared" si="35"/>
        <v>location: {lat: 45.6258893442062, lng: 7.98237638465537}</v>
      </c>
      <c r="AV32" s="117" t="str">
        <f t="shared" si="36"/>
        <v>interest: regional</v>
      </c>
      <c r="AW32" s="117" t="str">
        <f>"- "&amp;VLOOKUP(C32,'Country Tags'!C:E,3,)</f>
        <v>- it</v>
      </c>
      <c r="AX32" s="117" t="str">
        <f t="shared" si="37"/>
        <v/>
      </c>
      <c r="AY32" s="117" t="str">
        <f t="shared" si="38"/>
        <v>- churches</v>
      </c>
      <c r="AZ32" s="117" t="str">
        <f t="shared" si="39"/>
        <v>- marian-sites</v>
      </c>
      <c r="BA32" s="117" t="str">
        <f t="shared" si="40"/>
        <v/>
      </c>
      <c r="BB32" s="117" t="str">
        <f t="shared" si="41"/>
        <v>- pier-giorgio-frassati</v>
      </c>
      <c r="BC32" s="117" t="str">
        <f t="shared" si="42"/>
        <v/>
      </c>
      <c r="BD32" s="117" t="str">
        <f t="shared" si="43"/>
        <v/>
      </c>
      <c r="BE32" s="117" t="str">
        <f t="shared" si="44"/>
        <v/>
      </c>
      <c r="BF32" s="117" t="str">
        <f t="shared" si="45"/>
        <v/>
      </c>
      <c r="BG32" s="117" t="str">
        <f t="shared" si="46"/>
        <v/>
      </c>
      <c r="BH32" s="117" t="str">
        <f t="shared" si="47"/>
        <v/>
      </c>
      <c r="BI32" s="117" t="str">
        <f t="shared" si="48"/>
        <v/>
      </c>
      <c r="BJ32" s="117" t="str">
        <f t="shared" si="49"/>
        <v/>
      </c>
      <c r="BK32" s="117" t="str">
        <f t="shared" si="50"/>
        <v/>
      </c>
      <c r="BL32" s="117" t="str">
        <f t="shared" si="51"/>
        <v xml:space="preserve">tags:
- it_x000D_
- churches_x000D_
- marian-sites_x000D_
- pier-giorgio-frassati_x000D_
</v>
      </c>
      <c r="BM32" s="120" t="str">
        <f t="shared" si="62"/>
        <v>[Official site](https://www.santuariodioropa.it/en/)</v>
      </c>
      <c r="BN32" s="120" t="str">
        <f t="shared" si="63"/>
        <v/>
      </c>
      <c r="BO32" s="120" t="str">
        <f t="shared" si="64"/>
        <v/>
      </c>
      <c r="BP32" s="120" t="str">
        <f t="shared" si="65"/>
        <v/>
      </c>
      <c r="BQ32" s="120" t="str">
        <f t="shared" si="52"/>
        <v xml:space="preserve">* [Official site](https://www.santuariodioropa.it/en/)
</v>
      </c>
      <c r="BR32" s="120" t="str">
        <f t="shared" si="53"/>
        <v/>
      </c>
      <c r="BS32" s="120" t="str">
        <f t="shared" si="54"/>
        <v/>
      </c>
      <c r="BT32" s="120" t="str">
        <f t="shared" si="55"/>
        <v/>
      </c>
      <c r="BU32" s="120" t="str">
        <f>IF(LEN(_xludf.concat(BR32:BT32))&gt;0,_xludf.concat("| ",BR32," | ",BS32," | ",BT32," |"),"")</f>
        <v/>
      </c>
      <c r="BV32" s="117" t="str">
        <f t="shared" si="56"/>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57"/>
        <v>#VALUE!</v>
      </c>
      <c r="CK32" s="13" t="str">
        <f t="shared" si="58"/>
        <v xml:space="preserve">| [Sanctuary of Oropa](/places/places\it-sanctuary-of-oropa) </v>
      </c>
      <c r="CL32" s="13" t="str">
        <f>"| "&amp;IF(AS32,GetTagPage(C32,VLOOKUP(C32,'Country Tags'!C:E,3,)),C32)&amp; " "</f>
        <v xml:space="preserve">| [Italy](/tags/it) </v>
      </c>
      <c r="CM32" s="13" t="str">
        <f t="shared" si="59"/>
        <v xml:space="preserve">|  </v>
      </c>
      <c r="CN32" s="13" t="str">
        <f t="shared" si="60"/>
        <v xml:space="preserve">| [Link](/places/places\it-sanctuary-of-oropa) </v>
      </c>
      <c r="CO32" s="12" t="e">
        <f t="shared" si="61"/>
        <v>#VALUE!</v>
      </c>
    </row>
    <row r="33" spans="1:93" ht="38.25" x14ac:dyDescent="0.4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33"/>
        <v>1</v>
      </c>
      <c r="AT33" s="117" t="str">
        <f t="shared" si="34"/>
        <v>title: "Church of St. Francis, Corinaldo"</v>
      </c>
      <c r="AU33" s="117" t="str">
        <f t="shared" si="35"/>
        <v>location: {lat: 43.650785, lng: 13.047758}</v>
      </c>
      <c r="AV33" s="117" t="str">
        <f t="shared" si="36"/>
        <v>interest: local</v>
      </c>
      <c r="AW33" s="117" t="str">
        <f>"- "&amp;VLOOKUP(C33,'Country Tags'!C:E,3,)</f>
        <v>- it</v>
      </c>
      <c r="AX33" s="117" t="str">
        <f t="shared" si="37"/>
        <v>- corinaldo</v>
      </c>
      <c r="AY33" s="117" t="str">
        <f t="shared" si="38"/>
        <v>- churches</v>
      </c>
      <c r="AZ33" s="117" t="str">
        <f t="shared" si="39"/>
        <v/>
      </c>
      <c r="BA33" s="117" t="str">
        <f t="shared" si="40"/>
        <v>- holy-persons</v>
      </c>
      <c r="BB33" s="117" t="str">
        <f t="shared" si="41"/>
        <v>- maria-goretti</v>
      </c>
      <c r="BC33" s="117" t="str">
        <f t="shared" si="42"/>
        <v/>
      </c>
      <c r="BD33" s="117" t="str">
        <f t="shared" si="43"/>
        <v/>
      </c>
      <c r="BE33" s="117" t="str">
        <f t="shared" si="44"/>
        <v/>
      </c>
      <c r="BF33" s="117" t="str">
        <f t="shared" si="45"/>
        <v/>
      </c>
      <c r="BG33" s="117" t="str">
        <f t="shared" si="46"/>
        <v/>
      </c>
      <c r="BH33" s="117" t="str">
        <f t="shared" si="47"/>
        <v/>
      </c>
      <c r="BI33" s="117" t="str">
        <f t="shared" si="48"/>
        <v/>
      </c>
      <c r="BJ33" s="117" t="str">
        <f t="shared" si="49"/>
        <v/>
      </c>
      <c r="BK33" s="117" t="str">
        <f t="shared" si="50"/>
        <v/>
      </c>
      <c r="BL33" s="117" t="str">
        <f t="shared" si="51"/>
        <v xml:space="preserve">tags:
- it_x000D_
- corinaldo_x000D_
- churches_x000D_
- holy-persons_x000D_
- maria-goretti_x000D_
</v>
      </c>
      <c r="BM33" s="120" t="str">
        <f t="shared" si="62"/>
        <v/>
      </c>
      <c r="BN33" s="120" t="str">
        <f t="shared" si="63"/>
        <v/>
      </c>
      <c r="BO33" s="120" t="str">
        <f t="shared" si="64"/>
        <v/>
      </c>
      <c r="BP33" s="120" t="str">
        <f t="shared" si="65"/>
        <v/>
      </c>
      <c r="BQ33" s="117" t="str">
        <f t="shared" si="52"/>
        <v/>
      </c>
      <c r="BR33" s="117" t="str">
        <f t="shared" si="53"/>
        <v/>
      </c>
      <c r="BS33" s="117" t="str">
        <f t="shared" si="54"/>
        <v/>
      </c>
      <c r="BT33" s="117" t="str">
        <f t="shared" si="55"/>
        <v/>
      </c>
      <c r="BU33" s="117" t="str">
        <f>IF(LEN(_xludf.concat(BR33:BT33))&gt;0,_xludf.concat("| ",BR33," | ",BS33," | ",BT33," |"),"")</f>
        <v/>
      </c>
      <c r="BV33" s="117" t="str">
        <f t="shared" si="56"/>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57"/>
        <v>#VALUE!</v>
      </c>
      <c r="CK33" s="12" t="str">
        <f t="shared" si="58"/>
        <v xml:space="preserve">| [](/places/places\it-corinaldo-church-of-st-francis) </v>
      </c>
      <c r="CL33" s="13" t="str">
        <f>"| "&amp;IF(AS33,GetTagPage(C33,VLOOKUP(C33,'Country Tags'!C:E,3,)),C33)&amp; " "</f>
        <v xml:space="preserve">| [Italy](/tags/it) </v>
      </c>
      <c r="CM33" s="12" t="str">
        <f t="shared" si="59"/>
        <v xml:space="preserve">|  </v>
      </c>
      <c r="CN33" s="12" t="str">
        <f t="shared" si="60"/>
        <v xml:space="preserve">| [Link](/places/places\it-corinaldo-church-of-st-francis) </v>
      </c>
      <c r="CO33" s="12" t="e">
        <f t="shared" si="61"/>
        <v>#VALUE!</v>
      </c>
    </row>
    <row r="34" spans="1:93" x14ac:dyDescent="0.4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33"/>
        <v>1</v>
      </c>
      <c r="AT34" s="117" t="str">
        <f t="shared" si="34"/>
        <v>title: "Birthplace of St. Maria Goretti"</v>
      </c>
      <c r="AU34" s="117" t="str">
        <f t="shared" si="35"/>
        <v>location: {lat: 43.659849, lng: 13.05112}</v>
      </c>
      <c r="AV34" s="117" t="str">
        <f t="shared" si="36"/>
        <v>interest: local</v>
      </c>
      <c r="AW34" s="117" t="str">
        <f>"- "&amp;VLOOKUP(C34,'Country Tags'!C:E,3,)</f>
        <v>- it</v>
      </c>
      <c r="AX34" s="117" t="str">
        <f t="shared" si="37"/>
        <v>- corinaldo</v>
      </c>
      <c r="AY34" s="117" t="str">
        <f t="shared" si="38"/>
        <v/>
      </c>
      <c r="AZ34" s="117" t="str">
        <f t="shared" si="39"/>
        <v/>
      </c>
      <c r="BA34" s="117" t="str">
        <f t="shared" si="40"/>
        <v>- holy-persons</v>
      </c>
      <c r="BB34" s="117" t="str">
        <f t="shared" si="41"/>
        <v>- maria-goretti</v>
      </c>
      <c r="BC34" s="117" t="str">
        <f t="shared" si="42"/>
        <v/>
      </c>
      <c r="BD34" s="117" t="str">
        <f t="shared" si="43"/>
        <v/>
      </c>
      <c r="BE34" s="117" t="str">
        <f t="shared" si="44"/>
        <v/>
      </c>
      <c r="BF34" s="117" t="str">
        <f t="shared" si="45"/>
        <v/>
      </c>
      <c r="BG34" s="117" t="str">
        <f t="shared" si="46"/>
        <v/>
      </c>
      <c r="BH34" s="117" t="str">
        <f t="shared" si="47"/>
        <v/>
      </c>
      <c r="BI34" s="117" t="str">
        <f t="shared" si="48"/>
        <v/>
      </c>
      <c r="BJ34" s="117" t="str">
        <f t="shared" si="49"/>
        <v/>
      </c>
      <c r="BK34" s="117" t="str">
        <f t="shared" si="50"/>
        <v/>
      </c>
      <c r="BL34" s="117" t="str">
        <f t="shared" si="51"/>
        <v xml:space="preserve">tags:
- it_x000D_
- corinaldo_x000D_
- holy-persons_x000D_
- maria-goretti_x000D_
</v>
      </c>
      <c r="BM34" s="120" t="str">
        <f t="shared" si="62"/>
        <v/>
      </c>
      <c r="BN34" s="120" t="str">
        <f t="shared" si="63"/>
        <v/>
      </c>
      <c r="BO34" s="120" t="str">
        <f t="shared" si="64"/>
        <v/>
      </c>
      <c r="BP34" s="120" t="str">
        <f t="shared" si="65"/>
        <v/>
      </c>
      <c r="BQ34" s="117" t="str">
        <f t="shared" si="52"/>
        <v/>
      </c>
      <c r="BR34" s="117" t="str">
        <f t="shared" si="53"/>
        <v/>
      </c>
      <c r="BS34" s="117" t="str">
        <f t="shared" si="54"/>
        <v/>
      </c>
      <c r="BT34" s="117" t="str">
        <f t="shared" si="55"/>
        <v/>
      </c>
      <c r="BU34" s="117" t="str">
        <f>IF(LEN(_xludf.concat(BR34:BT34))&gt;0,_xludf.concat("| ",BR34," | ",BS34," | ",BT34," |"),"")</f>
        <v/>
      </c>
      <c r="BV34" s="117" t="str">
        <f t="shared" si="56"/>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57"/>
        <v>#VALUE!</v>
      </c>
      <c r="CK34" s="12" t="str">
        <f t="shared" si="58"/>
        <v xml:space="preserve">| [](/places/places\it-corinaldo-birthplace-of-st-maria-goretti) </v>
      </c>
      <c r="CL34" s="13" t="str">
        <f>"| "&amp;IF(AS34,GetTagPage(C34,VLOOKUP(C34,'Country Tags'!C:E,3,)),C34)&amp; " "</f>
        <v xml:space="preserve">| [Italy](/tags/it) </v>
      </c>
      <c r="CM34" s="12" t="str">
        <f t="shared" si="59"/>
        <v xml:space="preserve">|  </v>
      </c>
      <c r="CN34" s="12" t="str">
        <f t="shared" si="60"/>
        <v xml:space="preserve">| [Link](/places/places\it-corinaldo-birthplace-of-st-maria-goretti) </v>
      </c>
      <c r="CO34" s="12" t="e">
        <f t="shared" si="61"/>
        <v>#VALUE!</v>
      </c>
    </row>
    <row r="35" spans="1:93" ht="38.25" x14ac:dyDescent="0.4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33"/>
        <v>1</v>
      </c>
      <c r="AT35" s="117" t="str">
        <f t="shared" si="34"/>
        <v>title: "Diocesan Sanctuary of St. Maria Goretti"</v>
      </c>
      <c r="AU35" s="117" t="str">
        <f t="shared" si="35"/>
        <v>location: {lat: 43.6493065, lng: 13.0472097}</v>
      </c>
      <c r="AV35" s="117" t="str">
        <f t="shared" si="36"/>
        <v>interest: regional</v>
      </c>
      <c r="AW35" s="117" t="str">
        <f>"- "&amp;VLOOKUP(C35,'Country Tags'!C:E,3,)</f>
        <v>- it</v>
      </c>
      <c r="AX35" s="117" t="str">
        <f t="shared" si="37"/>
        <v>- corinaldo</v>
      </c>
      <c r="AY35" s="117" t="str">
        <f t="shared" si="38"/>
        <v>- churches</v>
      </c>
      <c r="AZ35" s="117" t="str">
        <f t="shared" si="39"/>
        <v/>
      </c>
      <c r="BA35" s="117" t="str">
        <f t="shared" si="40"/>
        <v>- holy-persons</v>
      </c>
      <c r="BB35" s="117" t="str">
        <f t="shared" si="41"/>
        <v>- maria-goretti</v>
      </c>
      <c r="BC35" s="117" t="str">
        <f t="shared" si="42"/>
        <v/>
      </c>
      <c r="BD35" s="117" t="str">
        <f t="shared" si="43"/>
        <v/>
      </c>
      <c r="BE35" s="117" t="str">
        <f t="shared" si="44"/>
        <v/>
      </c>
      <c r="BF35" s="117" t="str">
        <f t="shared" si="45"/>
        <v/>
      </c>
      <c r="BG35" s="117" t="str">
        <f t="shared" si="46"/>
        <v/>
      </c>
      <c r="BH35" s="117" t="str">
        <f t="shared" si="47"/>
        <v/>
      </c>
      <c r="BI35" s="117" t="str">
        <f t="shared" si="48"/>
        <v/>
      </c>
      <c r="BJ35" s="117" t="str">
        <f t="shared" si="49"/>
        <v/>
      </c>
      <c r="BK35" s="117" t="str">
        <f t="shared" si="50"/>
        <v/>
      </c>
      <c r="BL35" s="117" t="str">
        <f t="shared" si="51"/>
        <v xml:space="preserve">tags:
- it_x000D_
- corinaldo_x000D_
- churches_x000D_
- holy-persons_x000D_
- maria-goretti_x000D_
</v>
      </c>
      <c r="BM35" s="120" t="str">
        <f t="shared" si="62"/>
        <v>[Official site](https://www.santamariagoretti.it/home/)</v>
      </c>
      <c r="BN35" s="120" t="str">
        <f t="shared" si="63"/>
        <v/>
      </c>
      <c r="BO35" s="120" t="str">
        <f t="shared" si="64"/>
        <v/>
      </c>
      <c r="BP35" s="120" t="str">
        <f t="shared" si="65"/>
        <v/>
      </c>
      <c r="BQ35" s="117" t="str">
        <f t="shared" si="52"/>
        <v xml:space="preserve">* [Official site](https://www.santamariagoretti.it/home/)
</v>
      </c>
      <c r="BR35" s="117" t="str">
        <f t="shared" si="53"/>
        <v/>
      </c>
      <c r="BS35" s="117" t="str">
        <f t="shared" si="54"/>
        <v/>
      </c>
      <c r="BT35" s="117" t="str">
        <f t="shared" si="55"/>
        <v/>
      </c>
      <c r="BU35" s="117" t="str">
        <f>IF(LEN(_xludf.concat(BR35:BT35))&gt;0,_xludf.concat("| ",BR35," | ",BS35," | ",BT35," |"),"")</f>
        <v/>
      </c>
      <c r="BV35" s="117" t="str">
        <f t="shared" si="56"/>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57"/>
        <v>#VALUE!</v>
      </c>
      <c r="CK35" s="12" t="str">
        <f t="shared" si="58"/>
        <v xml:space="preserve">| [](/places/places\it-corinaldo-sanctuary-of-st-maria-goretti) </v>
      </c>
      <c r="CL35" s="13" t="str">
        <f>"| "&amp;IF(AS35,GetTagPage(C35,VLOOKUP(C35,'Country Tags'!C:E,3,)),C35)&amp; " "</f>
        <v xml:space="preserve">| [Italy](/tags/it) </v>
      </c>
      <c r="CM35" s="12" t="str">
        <f t="shared" si="59"/>
        <v xml:space="preserve">|  </v>
      </c>
      <c r="CN35" s="12" t="str">
        <f t="shared" si="60"/>
        <v xml:space="preserve">| [Link](/places/places\it-corinaldo-sanctuary-of-st-maria-goretti) </v>
      </c>
      <c r="CO35" s="12" t="e">
        <f t="shared" si="61"/>
        <v>#VALUE!</v>
      </c>
    </row>
    <row r="36" spans="1:93" ht="38.25" x14ac:dyDescent="0.4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33"/>
        <v>1</v>
      </c>
      <c r="AT36" s="117" t="str">
        <f t="shared" si="34"/>
        <v>title: "Goretti House"</v>
      </c>
      <c r="AU36" s="117" t="str">
        <f t="shared" si="35"/>
        <v>location: {lat: 41.5161008, lng: 12.7567}</v>
      </c>
      <c r="AV36" s="117" t="str">
        <f t="shared" si="36"/>
        <v>interest: regional</v>
      </c>
      <c r="AW36" s="117" t="str">
        <f>"- "&amp;VLOOKUP(C36,'Country Tags'!C:E,3,)</f>
        <v>- it</v>
      </c>
      <c r="AX36" s="117" t="str">
        <f t="shared" si="37"/>
        <v>- la-ferriere</v>
      </c>
      <c r="AY36" s="117" t="str">
        <f t="shared" si="38"/>
        <v/>
      </c>
      <c r="AZ36" s="117" t="str">
        <f t="shared" si="39"/>
        <v/>
      </c>
      <c r="BA36" s="117" t="str">
        <f t="shared" si="40"/>
        <v>- holy-persons</v>
      </c>
      <c r="BB36" s="117" t="str">
        <f t="shared" si="41"/>
        <v>- maria-goretti</v>
      </c>
      <c r="BC36" s="117" t="str">
        <f t="shared" si="42"/>
        <v/>
      </c>
      <c r="BD36" s="117" t="str">
        <f t="shared" si="43"/>
        <v/>
      </c>
      <c r="BE36" s="117" t="str">
        <f t="shared" si="44"/>
        <v/>
      </c>
      <c r="BF36" s="117" t="str">
        <f t="shared" si="45"/>
        <v/>
      </c>
      <c r="BG36" s="117" t="str">
        <f t="shared" si="46"/>
        <v/>
      </c>
      <c r="BH36" s="117" t="str">
        <f t="shared" si="47"/>
        <v/>
      </c>
      <c r="BI36" s="117" t="str">
        <f t="shared" si="48"/>
        <v/>
      </c>
      <c r="BJ36" s="117" t="str">
        <f t="shared" si="49"/>
        <v/>
      </c>
      <c r="BK36" s="117" t="str">
        <f t="shared" si="50"/>
        <v/>
      </c>
      <c r="BL36" s="117" t="str">
        <f t="shared" si="51"/>
        <v xml:space="preserve">tags:
- it_x000D_
- la-ferriere_x000D_
- holy-persons_x000D_
- maria-goretti_x000D_
</v>
      </c>
      <c r="BM36" s="120" t="str">
        <f t="shared" si="62"/>
        <v/>
      </c>
      <c r="BN36" s="120" t="str">
        <f t="shared" si="63"/>
        <v/>
      </c>
      <c r="BO36" s="120" t="str">
        <f t="shared" si="64"/>
        <v/>
      </c>
      <c r="BP36" s="120" t="str">
        <f t="shared" si="65"/>
        <v/>
      </c>
      <c r="BQ36" s="117" t="str">
        <f t="shared" si="52"/>
        <v/>
      </c>
      <c r="BR36" s="117" t="str">
        <f t="shared" si="53"/>
        <v/>
      </c>
      <c r="BS36" s="117" t="str">
        <f t="shared" si="54"/>
        <v/>
      </c>
      <c r="BT36" s="117" t="str">
        <f t="shared" si="55"/>
        <v/>
      </c>
      <c r="BU36" s="117" t="str">
        <f>IF(LEN(_xludf.concat(BR36:BT36))&gt;0,_xludf.concat("| ",BR36," | ",BS36," | ",BT36," |"),"")</f>
        <v/>
      </c>
      <c r="BV36" s="117" t="str">
        <f t="shared" si="56"/>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57"/>
        <v>#VALUE!</v>
      </c>
      <c r="CK36" s="12" t="str">
        <f t="shared" si="58"/>
        <v xml:space="preserve">| [](/places/places\it-la-ferriere-goretti-house) </v>
      </c>
      <c r="CL36" s="13" t="str">
        <f>"| "&amp;IF(AS36,GetTagPage(C36,VLOOKUP(C36,'Country Tags'!C:E,3,)),C36)&amp; " "</f>
        <v xml:space="preserve">| [Italy](/tags/it) </v>
      </c>
      <c r="CM36" s="12" t="str">
        <f t="shared" si="59"/>
        <v xml:space="preserve">|  </v>
      </c>
      <c r="CN36" s="12" t="str">
        <f t="shared" si="60"/>
        <v xml:space="preserve">| [Link](/places/places\it-la-ferriere-goretti-house) </v>
      </c>
      <c r="CO36" s="12" t="e">
        <f t="shared" si="61"/>
        <v>#VALUE!</v>
      </c>
    </row>
    <row r="37" spans="1:93" x14ac:dyDescent="0.4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33"/>
        <v>1</v>
      </c>
      <c r="AT37" s="117" t="str">
        <f t="shared" si="34"/>
        <v>title: "Statue of St. Maria Goretti"</v>
      </c>
      <c r="AU37" s="117" t="str">
        <f t="shared" si="35"/>
        <v>location: {lat: 41.45725, lng: 12.65585}</v>
      </c>
      <c r="AV37" s="117" t="str">
        <f t="shared" si="36"/>
        <v>interest: local</v>
      </c>
      <c r="AW37" s="117" t="str">
        <f>"- "&amp;VLOOKUP(C37,'Country Tags'!C:E,3,)</f>
        <v>- it</v>
      </c>
      <c r="AX37" s="117" t="str">
        <f t="shared" si="37"/>
        <v>- nettuno</v>
      </c>
      <c r="AY37" s="117" t="str">
        <f t="shared" si="38"/>
        <v/>
      </c>
      <c r="AZ37" s="117" t="str">
        <f t="shared" si="39"/>
        <v/>
      </c>
      <c r="BA37" s="117" t="str">
        <f t="shared" si="40"/>
        <v>- holy-persons</v>
      </c>
      <c r="BB37" s="117" t="str">
        <f t="shared" si="41"/>
        <v>- maria-goretti</v>
      </c>
      <c r="BC37" s="117" t="str">
        <f t="shared" si="42"/>
        <v/>
      </c>
      <c r="BD37" s="117" t="str">
        <f t="shared" si="43"/>
        <v/>
      </c>
      <c r="BE37" s="117" t="str">
        <f t="shared" si="44"/>
        <v/>
      </c>
      <c r="BF37" s="117" t="str">
        <f t="shared" si="45"/>
        <v/>
      </c>
      <c r="BG37" s="117" t="str">
        <f t="shared" si="46"/>
        <v/>
      </c>
      <c r="BH37" s="117" t="str">
        <f t="shared" si="47"/>
        <v/>
      </c>
      <c r="BI37" s="117" t="str">
        <f t="shared" si="48"/>
        <v/>
      </c>
      <c r="BJ37" s="117" t="str">
        <f t="shared" si="49"/>
        <v/>
      </c>
      <c r="BK37" s="117" t="str">
        <f t="shared" si="50"/>
        <v/>
      </c>
      <c r="BL37" s="117" t="str">
        <f t="shared" si="51"/>
        <v xml:space="preserve">tags:
- it_x000D_
- nettuno_x000D_
- holy-persons_x000D_
- maria-goretti_x000D_
</v>
      </c>
      <c r="BM37" s="120" t="str">
        <f t="shared" si="62"/>
        <v/>
      </c>
      <c r="BN37" s="120" t="str">
        <f t="shared" si="63"/>
        <v/>
      </c>
      <c r="BO37" s="120" t="str">
        <f t="shared" si="64"/>
        <v/>
      </c>
      <c r="BP37" s="120" t="str">
        <f t="shared" si="65"/>
        <v/>
      </c>
      <c r="BQ37" s="117" t="str">
        <f t="shared" si="52"/>
        <v/>
      </c>
      <c r="BR37" s="117" t="str">
        <f t="shared" si="53"/>
        <v/>
      </c>
      <c r="BS37" s="117" t="str">
        <f t="shared" si="54"/>
        <v/>
      </c>
      <c r="BT37" s="117" t="str">
        <f t="shared" si="55"/>
        <v/>
      </c>
      <c r="BU37" s="117" t="str">
        <f>IF(LEN(_xludf.concat(BR37:BT37))&gt;0,_xludf.concat("| ",BR37," | ",BS37," | ",BT37," |"),"")</f>
        <v/>
      </c>
      <c r="BV37" s="117" t="str">
        <f t="shared" si="56"/>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57"/>
        <v>#VALUE!</v>
      </c>
      <c r="CK37" s="12" t="str">
        <f t="shared" si="58"/>
        <v xml:space="preserve">| [](/places/places\it-nettuno-statue-of-st-maria-goretti) </v>
      </c>
      <c r="CL37" s="13" t="str">
        <f>"| "&amp;IF(AS37,GetTagPage(C37,VLOOKUP(C37,'Country Tags'!C:E,3,)),C37)&amp; " "</f>
        <v xml:space="preserve">| [Italy](/tags/it) </v>
      </c>
      <c r="CM37" s="12" t="str">
        <f t="shared" si="59"/>
        <v xml:space="preserve">|  </v>
      </c>
      <c r="CN37" s="12" t="str">
        <f t="shared" si="60"/>
        <v xml:space="preserve">| [Link](/places/places\it-nettuno-statue-of-st-maria-goretti) </v>
      </c>
      <c r="CO37" s="12" t="e">
        <f t="shared" si="61"/>
        <v>#VALUE!</v>
      </c>
    </row>
    <row r="38" spans="1:93" ht="51" x14ac:dyDescent="0.4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66">IF(OR(A38="Done",A38="In Progress"),TRUE)</f>
        <v>1</v>
      </c>
      <c r="AT38" s="117" t="str">
        <f t="shared" ref="AT38:AT69" si="67">"title: """&amp;G38&amp;""""</f>
        <v>title: "St. Maria Goretti Tent of Pardon (Tenda del Perdono)"</v>
      </c>
      <c r="AU38" s="117" t="str">
        <f t="shared" ref="AU38:AU69" si="68">"location: {lat: "&amp;E38&amp;", lng: "&amp;F38&amp;"}"</f>
        <v>location: {lat: 41.456946, lng: 12.64985}</v>
      </c>
      <c r="AV38" s="117" t="str">
        <f t="shared" ref="AV38:AV69" si="69">"interest: "&amp;I38</f>
        <v>interest: local</v>
      </c>
      <c r="AW38" s="117" t="str">
        <f>"- "&amp;VLOOKUP(C38,'Country Tags'!C:E,3,)</f>
        <v>- it</v>
      </c>
      <c r="AX38" s="117" t="str">
        <f t="shared" ref="AX38:AX69" si="70">IF(LEN(D38)&gt;1,"- "&amp;LOWER(SUBSTITUTE(D38," ","-")),"")</f>
        <v>- nettuno</v>
      </c>
      <c r="AY38" s="117" t="str">
        <f t="shared" ref="AY38:AY69" si="71">IF(J38,"- churches","")</f>
        <v/>
      </c>
      <c r="AZ38" s="117" t="str">
        <f t="shared" ref="AZ38:AZ69" si="72">IF(K38,"- marian-sites","")</f>
        <v/>
      </c>
      <c r="BA38" s="117" t="str">
        <f t="shared" ref="BA38:BA69" si="73">IF(L38,"- holy-persons","")</f>
        <v>- holy-persons</v>
      </c>
      <c r="BB38" s="117" t="str">
        <f t="shared" ref="BB38:BB69" si="74">IF(LEN(Z38)&gt;0,"- "&amp;Z38,"")</f>
        <v>- maria-goretti</v>
      </c>
      <c r="BC38" s="117" t="str">
        <f t="shared" ref="BC38:BC69" si="75">IF(LEN(AA38)&gt;0,"- "&amp;AA38,"")</f>
        <v/>
      </c>
      <c r="BD38" s="117" t="str">
        <f t="shared" ref="BD38:BD69" si="76">IF(LEN(AB38)&gt;0,"- "&amp;AB38,"")</f>
        <v/>
      </c>
      <c r="BE38" s="117" t="str">
        <f t="shared" ref="BE38:BE69" si="77">IF(LEN(AC38)&gt;0,"- "&amp;AC38,"")</f>
        <v/>
      </c>
      <c r="BF38" s="117" t="str">
        <f t="shared" ref="BF38:BF69" si="78">IF(LEN(AD38)&gt;0,"- "&amp;AD38,"")</f>
        <v/>
      </c>
      <c r="BG38" s="117" t="str">
        <f t="shared" ref="BG38:BG69" si="79">IF(LEN(AE38)&gt;0,"- "&amp;AE38,"")</f>
        <v/>
      </c>
      <c r="BH38" s="117" t="str">
        <f t="shared" ref="BH38:BH69" si="80">IF(LEN(AF38)&gt;0,"- "&amp;AF38,"")</f>
        <v/>
      </c>
      <c r="BI38" s="117" t="str">
        <f t="shared" ref="BI38:BI69" si="81">IF(LEN(AG38)&gt;0,"- "&amp;AG38,"")</f>
        <v/>
      </c>
      <c r="BJ38" s="117" t="str">
        <f t="shared" ref="BJ38:BJ69" si="82">IF(LEN(AH38)&gt;0,"- "&amp;AH38,"")</f>
        <v/>
      </c>
      <c r="BK38" s="117" t="str">
        <f t="shared" ref="BK38:BK69" si="83">IF(LEN(AI38)&gt;0,"- "&amp;AI38,"")</f>
        <v/>
      </c>
      <c r="BL38" s="117" t="str">
        <f t="shared" ref="BL38:BL69" si="84">"tags:"&amp;CHAR(10)&amp;concatl(AW38:BK38)</f>
        <v xml:space="preserve">tags:
- it_x000D_
- nettuno_x000D_
- holy-persons_x000D_
- maria-goretti_x000D_
</v>
      </c>
      <c r="BM38" s="120" t="str">
        <f t="shared" si="62"/>
        <v/>
      </c>
      <c r="BN38" s="120" t="str">
        <f t="shared" si="63"/>
        <v/>
      </c>
      <c r="BO38" s="120" t="str">
        <f t="shared" si="64"/>
        <v/>
      </c>
      <c r="BP38" s="120" t="str">
        <f t="shared" si="65"/>
        <v/>
      </c>
      <c r="BQ38" s="117" t="str">
        <f t="shared" ref="BQ38:BQ69" si="85">IF(LEN(BM38)&gt;0,"* "&amp;BM38&amp;CHAR(10),"")&amp;
IF(LEN(BN38)&gt;0,"* "&amp;BN38&amp;CHAR(10),"")&amp;
IF(LEN(BO38)&gt;0,"* "&amp;BO38&amp;CHAR(10),"")&amp;
IF(LEN(BP38)&gt;0,"* "&amp;BP38&amp;CHAR(10),"")</f>
        <v/>
      </c>
      <c r="BR38" s="117" t="str">
        <f t="shared" ref="BR38:BR69" si="86">IF(LEN(AL38)&gt;0,TRIM(CONCATENATE("[Link](",AL38,") ",AM38)),"")</f>
        <v/>
      </c>
      <c r="BS38" s="117" t="str">
        <f t="shared" ref="BS38:BS69" si="87">IF(LEN(AN38)&gt;0,TRIM(CONCATENATE("[Link](",AN38,") ",AO38)),"")</f>
        <v/>
      </c>
      <c r="BT38" s="117" t="str">
        <f t="shared" ref="BT38:BT69" si="88">IF(LEN(AP38)&gt;0,TRIM(CONCATENATE("[Link](",AP38,") ",AQ38)),"")</f>
        <v/>
      </c>
      <c r="BU38" s="117" t="str">
        <f>IF(LEN(_xludf.concat(BR38:BT38))&gt;0,_xludf.concat("| ",BR38," | ",BS38," | ",BT38," |"),"")</f>
        <v/>
      </c>
      <c r="BV38" s="117" t="str">
        <f t="shared" ref="BV38:BV69" si="89">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90">"|"&amp;IF(LEN(CG38)&gt;1," "&amp;CG38,"")&amp;IF(LEN(CH38)&gt;1,", "&amp;CH38,"")&amp;IF(LEN(CI38)&gt;1,", "&amp;CI38,"")&amp;" "</f>
        <v>#VALUE!</v>
      </c>
      <c r="CK38" s="12" t="str">
        <f t="shared" ref="CK38:CK69" si="91">"|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92">"| "&amp;AK38&amp;" "</f>
        <v xml:space="preserve">|  </v>
      </c>
      <c r="CN38" s="12" t="str">
        <f t="shared" ref="CN38:CN69" si="93">"|"&amp;IF(AS38," [Link](/places/"&amp;SUBSTITUTE(CB38,".md","")&amp;")","")&amp;" "</f>
        <v xml:space="preserve">| [Link](/places/places\it-nettuno-st-maria-goretti-tent-of-pardon) </v>
      </c>
      <c r="CO38" s="12" t="e">
        <f t="shared" ref="CO38:CO69" si="94">"
"&amp;CK38&amp;CL38&amp;CM38&amp;CN38&amp;BM38&amp;BR38&amp;BS38&amp;BT38&amp;CJ38&amp;"|"</f>
        <v>#VALUE!</v>
      </c>
    </row>
    <row r="39" spans="1:93" ht="38.25" x14ac:dyDescent="0.4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66"/>
        <v>1</v>
      </c>
      <c r="AT39" s="117" t="str">
        <f t="shared" si="67"/>
        <v>title: "Seitai Hoshikai (Our Lady of Akita)"</v>
      </c>
      <c r="AU39" s="117" t="str">
        <f t="shared" si="68"/>
        <v>location: {lat: 39.7592244041621, lng: 140.14975314135}</v>
      </c>
      <c r="AV39" s="117" t="str">
        <f t="shared" si="69"/>
        <v>interest: global</v>
      </c>
      <c r="AW39" s="117" t="str">
        <f>"- "&amp;VLOOKUP(C39,'Country Tags'!C:E,3,)</f>
        <v>- jp</v>
      </c>
      <c r="AX39" s="117" t="str">
        <f t="shared" si="70"/>
        <v/>
      </c>
      <c r="AY39" s="117" t="str">
        <f t="shared" si="71"/>
        <v>- churches</v>
      </c>
      <c r="AZ39" s="117" t="str">
        <f t="shared" si="72"/>
        <v>- marian-sites</v>
      </c>
      <c r="BA39" s="117" t="str">
        <f t="shared" si="73"/>
        <v/>
      </c>
      <c r="BB39" s="117" t="str">
        <f t="shared" si="74"/>
        <v/>
      </c>
      <c r="BC39" s="117" t="str">
        <f t="shared" si="75"/>
        <v/>
      </c>
      <c r="BD39" s="117" t="str">
        <f t="shared" si="76"/>
        <v/>
      </c>
      <c r="BE39" s="117" t="str">
        <f t="shared" si="77"/>
        <v/>
      </c>
      <c r="BF39" s="117" t="str">
        <f t="shared" si="78"/>
        <v/>
      </c>
      <c r="BG39" s="117" t="str">
        <f t="shared" si="79"/>
        <v/>
      </c>
      <c r="BH39" s="117" t="str">
        <f t="shared" si="80"/>
        <v/>
      </c>
      <c r="BI39" s="117" t="str">
        <f t="shared" si="81"/>
        <v/>
      </c>
      <c r="BJ39" s="117" t="str">
        <f t="shared" si="82"/>
        <v/>
      </c>
      <c r="BK39" s="117" t="str">
        <f t="shared" si="83"/>
        <v/>
      </c>
      <c r="BL39" s="117" t="str">
        <f t="shared" si="84"/>
        <v xml:space="preserve">tags:
- jp_x000D_
- churches_x000D_
- marian-sites_x000D_
</v>
      </c>
      <c r="BM39" s="120" t="str">
        <f t="shared" si="62"/>
        <v>[Official site](https://www.seitaihoshikai.com/)</v>
      </c>
      <c r="BN39" s="120" t="str">
        <f t="shared" si="63"/>
        <v/>
      </c>
      <c r="BO39" s="120" t="str">
        <f t="shared" si="64"/>
        <v/>
      </c>
      <c r="BP39" s="120" t="str">
        <f t="shared" si="65"/>
        <v/>
      </c>
      <c r="BQ39" s="120" t="str">
        <f t="shared" si="85"/>
        <v xml:space="preserve">* [Official site](https://www.seitaihoshikai.com/)
</v>
      </c>
      <c r="BR39" s="120" t="str">
        <f t="shared" si="86"/>
        <v>[Link](http://www.therealpresence.org/eucharst/misc/BVM/01_AKITA_60x96.pdf)</v>
      </c>
      <c r="BS39" s="120" t="str">
        <f t="shared" si="87"/>
        <v>[Link](https://www.miraclehunter.com/marian_apparitions/approved_apparitions/akita/index.html)</v>
      </c>
      <c r="BT39" s="120" t="str">
        <f t="shared" si="88"/>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90"/>
        <v xml:space="preserve">| </v>
      </c>
      <c r="CK39" s="13" t="str">
        <f t="shared" si="91"/>
        <v xml:space="preserve">| [Akita](/places/places\jp-seitai-hoshikai) </v>
      </c>
      <c r="CL39" s="13" t="str">
        <f>"| "&amp;IF(AS39,GetTagPage(C39,VLOOKUP(C39,'Country Tags'!C:E,3,)),C39)&amp; " "</f>
        <v xml:space="preserve">| [Japan](/tags/jp) </v>
      </c>
      <c r="CM39" s="13" t="str">
        <f t="shared" si="92"/>
        <v xml:space="preserve">| 1973 </v>
      </c>
      <c r="CN39" s="13" t="str">
        <f t="shared" si="93"/>
        <v xml:space="preserve">| [Link](/places/places\jp-seitai-hoshikai) </v>
      </c>
      <c r="CO39" s="12" t="str">
        <f t="shared" si="94"/>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4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66"/>
        <v>1</v>
      </c>
      <c r="AT40" s="117" t="str">
        <f t="shared" si="67"/>
        <v>title: "Basilica of the Nativity of the Blessed Virgin Mary (Our Lady of Siluva)"</v>
      </c>
      <c r="AU40" s="117" t="str">
        <f t="shared" si="68"/>
        <v>location: {lat: 55.5306126, lng: 23.2199252}</v>
      </c>
      <c r="AV40" s="117" t="str">
        <f t="shared" si="69"/>
        <v>interest: global</v>
      </c>
      <c r="AW40" s="117" t="str">
        <f>"- "&amp;VLOOKUP(C40,'Country Tags'!C:E,3,)</f>
        <v>- lt</v>
      </c>
      <c r="AX40" s="117" t="str">
        <f t="shared" si="70"/>
        <v/>
      </c>
      <c r="AY40" s="117" t="str">
        <f t="shared" si="71"/>
        <v>- churches</v>
      </c>
      <c r="AZ40" s="117" t="str">
        <f t="shared" si="72"/>
        <v>- marian-sites</v>
      </c>
      <c r="BA40" s="117" t="str">
        <f t="shared" si="73"/>
        <v/>
      </c>
      <c r="BB40" s="117" t="str">
        <f t="shared" si="74"/>
        <v/>
      </c>
      <c r="BC40" s="117" t="str">
        <f t="shared" si="75"/>
        <v/>
      </c>
      <c r="BD40" s="117" t="str">
        <f t="shared" si="76"/>
        <v/>
      </c>
      <c r="BE40" s="117" t="str">
        <f t="shared" si="77"/>
        <v/>
      </c>
      <c r="BF40" s="117" t="str">
        <f t="shared" si="78"/>
        <v/>
      </c>
      <c r="BG40" s="117" t="str">
        <f t="shared" si="79"/>
        <v/>
      </c>
      <c r="BH40" s="117" t="str">
        <f t="shared" si="80"/>
        <v/>
      </c>
      <c r="BI40" s="117" t="str">
        <f t="shared" si="81"/>
        <v/>
      </c>
      <c r="BJ40" s="117" t="str">
        <f t="shared" si="82"/>
        <v/>
      </c>
      <c r="BK40" s="117" t="str">
        <f t="shared" si="83"/>
        <v/>
      </c>
      <c r="BL40" s="117" t="str">
        <f t="shared" si="84"/>
        <v xml:space="preserve">tags:
- lt_x000D_
- churches_x000D_
- marian-sites_x000D_
</v>
      </c>
      <c r="BM40" s="120" t="str">
        <f t="shared" si="62"/>
        <v>[Official site](https://siluva.lt/)</v>
      </c>
      <c r="BN40" s="120" t="str">
        <f t="shared" si="63"/>
        <v/>
      </c>
      <c r="BO40" s="120" t="str">
        <f t="shared" si="64"/>
        <v/>
      </c>
      <c r="BP40" s="120" t="str">
        <f t="shared" si="65"/>
        <v/>
      </c>
      <c r="BQ40" s="120" t="str">
        <f t="shared" si="85"/>
        <v xml:space="preserve">* [Official site](https://siluva.lt/)
</v>
      </c>
      <c r="BR40" s="120" t="str">
        <f t="shared" si="86"/>
        <v>[Link](http://www.therealpresence.org/eucharst/misc/BVM/57_SILUVA_96x96.pdf)</v>
      </c>
      <c r="BS40" s="120" t="str">
        <f t="shared" si="87"/>
        <v>[Link](https://www.miraclehunter.com/marian_apparitions/approved_apparitions/siluva/index.html)</v>
      </c>
      <c r="BT40" s="120" t="str">
        <f t="shared" si="88"/>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90"/>
        <v xml:space="preserve">| </v>
      </c>
      <c r="CK40" s="13" t="str">
        <f t="shared" si="91"/>
        <v xml:space="preserve">| [Šiluva](/places/places\lt-basilica-of-the-nativity-of-the-blessed-virgin-mary) </v>
      </c>
      <c r="CL40" s="13" t="str">
        <f>"| "&amp;IF(AS40,GetTagPage(C40,VLOOKUP(C40,'Country Tags'!C:E,3,)),C40)&amp; " "</f>
        <v xml:space="preserve">| [Lithuania](/tags/lt) </v>
      </c>
      <c r="CM40" s="13" t="str">
        <f t="shared" si="92"/>
        <v xml:space="preserve">| 1608 </v>
      </c>
      <c r="CN40" s="13" t="str">
        <f t="shared" si="93"/>
        <v xml:space="preserve">| [Link](/places/places\lt-basilica-of-the-nativity-of-the-blessed-virgin-mary) </v>
      </c>
      <c r="CO40" s="12" t="str">
        <f t="shared" si="94"/>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38.25" x14ac:dyDescent="0.4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66"/>
        <v>1</v>
      </c>
      <c r="AT41" s="117" t="str">
        <f t="shared" si="67"/>
        <v>title: "Basilica of Our Lady of Guadalupe"</v>
      </c>
      <c r="AU41" s="117" t="str">
        <f t="shared" si="68"/>
        <v>location: {lat: 19.4834328, lng: -99.1174103}</v>
      </c>
      <c r="AV41" s="117" t="str">
        <f t="shared" si="69"/>
        <v>interest: global</v>
      </c>
      <c r="AW41" s="117" t="str">
        <f>"- "&amp;VLOOKUP(C41,'Country Tags'!C:E,3,)</f>
        <v>- mx</v>
      </c>
      <c r="AX41" s="117" t="str">
        <f t="shared" si="70"/>
        <v>- mexico-city</v>
      </c>
      <c r="AY41" s="117" t="str">
        <f t="shared" si="71"/>
        <v>- churches</v>
      </c>
      <c r="AZ41" s="117" t="str">
        <f t="shared" si="72"/>
        <v>- marian-sites</v>
      </c>
      <c r="BA41" s="117" t="str">
        <f t="shared" si="73"/>
        <v>- holy-persons</v>
      </c>
      <c r="BB41" s="117" t="str">
        <f t="shared" si="74"/>
        <v>- juan-diego</v>
      </c>
      <c r="BC41" s="117" t="str">
        <f t="shared" si="75"/>
        <v/>
      </c>
      <c r="BD41" s="117" t="str">
        <f t="shared" si="76"/>
        <v/>
      </c>
      <c r="BE41" s="117" t="str">
        <f t="shared" si="77"/>
        <v/>
      </c>
      <c r="BF41" s="117" t="str">
        <f t="shared" si="78"/>
        <v/>
      </c>
      <c r="BG41" s="117" t="str">
        <f t="shared" si="79"/>
        <v/>
      </c>
      <c r="BH41" s="117" t="str">
        <f t="shared" si="80"/>
        <v/>
      </c>
      <c r="BI41" s="117" t="str">
        <f t="shared" si="81"/>
        <v/>
      </c>
      <c r="BJ41" s="117" t="str">
        <f t="shared" si="82"/>
        <v/>
      </c>
      <c r="BK41" s="117" t="str">
        <f t="shared" si="83"/>
        <v/>
      </c>
      <c r="BL41" s="117" t="str">
        <f t="shared" si="84"/>
        <v xml:space="preserve">tags:
- mx_x000D_
- mexico-city_x000D_
- churches_x000D_
- marian-sites_x000D_
- holy-persons_x000D_
- juan-diego_x000D_
</v>
      </c>
      <c r="BM41" s="120" t="str">
        <f t="shared" si="62"/>
        <v>[Official site](https://virgendeguadalupe.org.mx/)</v>
      </c>
      <c r="BN41" s="120" t="str">
        <f t="shared" si="63"/>
        <v/>
      </c>
      <c r="BO41" s="120" t="str">
        <f t="shared" si="64"/>
        <v/>
      </c>
      <c r="BP41" s="120" t="str">
        <f t="shared" si="65"/>
        <v/>
      </c>
      <c r="BQ41" s="120" t="str">
        <f t="shared" si="85"/>
        <v xml:space="preserve">* [Official site](https://virgendeguadalupe.org.mx/)
</v>
      </c>
      <c r="BR41" s="120" t="str">
        <f t="shared" si="86"/>
        <v>[Link](http://www.therealpresence.org/eucharst/misc/BVM/70_GUADALUPE_96x96.pdf)</v>
      </c>
      <c r="BS41" s="120" t="str">
        <f t="shared" si="87"/>
        <v>[Link](https://www.miraclehunter.com/marian_apparitions/approved_apparitions/guadalupe/index.html)</v>
      </c>
      <c r="BT41" s="120" t="str">
        <f t="shared" si="88"/>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90"/>
        <v>#VALUE!</v>
      </c>
      <c r="CK41" s="13" t="str">
        <f t="shared" si="91"/>
        <v xml:space="preserve">| [Guadalupe](/places/places\mx-mexico-city-basilica-of-our-lady-of-guadalupe) </v>
      </c>
      <c r="CL41" s="13" t="str">
        <f>"| "&amp;IF(AS41,GetTagPage(C41,VLOOKUP(C41,'Country Tags'!C:E,3,)),C41)&amp; " "</f>
        <v xml:space="preserve">| [Mexico](/tags/mx) </v>
      </c>
      <c r="CM41" s="13" t="str">
        <f t="shared" si="92"/>
        <v xml:space="preserve">| 1531 </v>
      </c>
      <c r="CN41" s="13" t="str">
        <f t="shared" si="93"/>
        <v xml:space="preserve">| [Link](/places/places\mx-mexico-city-basilica-of-our-lady-of-guadalupe) </v>
      </c>
      <c r="CO41" s="12" t="e">
        <f t="shared" si="94"/>
        <v>#VALUE!</v>
      </c>
    </row>
    <row r="42" spans="1:93" ht="38.25" x14ac:dyDescent="0.4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66"/>
        <v>1</v>
      </c>
      <c r="AT42" s="117" t="str">
        <f t="shared" si="67"/>
        <v>title: "Church of the Holy Family (La Sagrada Familia), Mexico City"</v>
      </c>
      <c r="AU42" s="117" t="str">
        <f t="shared" si="68"/>
        <v>location: {lat: 19.422522, lng: -99.1609427}</v>
      </c>
      <c r="AV42" s="117" t="str">
        <f t="shared" si="69"/>
        <v>interest: regional</v>
      </c>
      <c r="AW42" s="117" t="str">
        <f>"- "&amp;VLOOKUP(C42,'Country Tags'!C:E,3,)</f>
        <v>- mx</v>
      </c>
      <c r="AX42" s="117" t="str">
        <f t="shared" si="70"/>
        <v>- mexico-city</v>
      </c>
      <c r="AY42" s="117" t="str">
        <f t="shared" si="71"/>
        <v>- churches</v>
      </c>
      <c r="AZ42" s="117" t="str">
        <f t="shared" si="72"/>
        <v/>
      </c>
      <c r="BA42" s="117" t="str">
        <f t="shared" si="73"/>
        <v>- holy-persons</v>
      </c>
      <c r="BB42" s="117" t="str">
        <f t="shared" si="74"/>
        <v>- miguel-pro</v>
      </c>
      <c r="BC42" s="117" t="str">
        <f t="shared" si="75"/>
        <v>- jesuits</v>
      </c>
      <c r="BD42" s="117" t="str">
        <f t="shared" si="76"/>
        <v/>
      </c>
      <c r="BE42" s="117" t="str">
        <f t="shared" si="77"/>
        <v/>
      </c>
      <c r="BF42" s="117" t="str">
        <f t="shared" si="78"/>
        <v/>
      </c>
      <c r="BG42" s="117" t="str">
        <f t="shared" si="79"/>
        <v/>
      </c>
      <c r="BH42" s="117" t="str">
        <f t="shared" si="80"/>
        <v/>
      </c>
      <c r="BI42" s="117" t="str">
        <f t="shared" si="81"/>
        <v/>
      </c>
      <c r="BJ42" s="117" t="str">
        <f t="shared" si="82"/>
        <v/>
      </c>
      <c r="BK42" s="117" t="str">
        <f t="shared" si="83"/>
        <v/>
      </c>
      <c r="BL42" s="117" t="str">
        <f t="shared" si="84"/>
        <v xml:space="preserve">tags:
- mx_x000D_
- mexico-city_x000D_
- churches_x000D_
- holy-persons_x000D_
- miguel-pro_x000D_
- jesuits_x000D_
</v>
      </c>
      <c r="BM42" s="120" t="str">
        <f t="shared" si="62"/>
        <v/>
      </c>
      <c r="BN42" s="120" t="str">
        <f t="shared" si="63"/>
        <v/>
      </c>
      <c r="BO42" s="120" t="str">
        <f t="shared" si="64"/>
        <v/>
      </c>
      <c r="BP42" s="120" t="str">
        <f t="shared" si="65"/>
        <v/>
      </c>
      <c r="BQ42" s="117" t="str">
        <f t="shared" si="85"/>
        <v/>
      </c>
      <c r="BR42" s="117" t="str">
        <f t="shared" si="86"/>
        <v/>
      </c>
      <c r="BS42" s="117" t="str">
        <f t="shared" si="87"/>
        <v/>
      </c>
      <c r="BT42" s="117" t="str">
        <f t="shared" si="88"/>
        <v/>
      </c>
      <c r="BU42" s="117" t="str">
        <f>IF(LEN(_xludf.concat(BR42:BT42))&gt;0,_xludf.concat("| ",BR42," | ",BS42," | ",BT42," |"),"")</f>
        <v/>
      </c>
      <c r="BV42" s="117" t="str">
        <f t="shared" si="89"/>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90"/>
        <v>#VALUE!</v>
      </c>
      <c r="CK42" s="12" t="str">
        <f t="shared" si="91"/>
        <v xml:space="preserve">| [](/places/places\mx-mexico-city-la-sagrada-familia) </v>
      </c>
      <c r="CL42" s="13" t="str">
        <f>"| "&amp;IF(AS42,GetTagPage(C42,VLOOKUP(C42,'Country Tags'!C:E,3,)),C42)&amp; " "</f>
        <v xml:space="preserve">| [Mexico](/tags/mx) </v>
      </c>
      <c r="CM42" s="12" t="str">
        <f t="shared" si="92"/>
        <v xml:space="preserve">|  </v>
      </c>
      <c r="CN42" s="12" t="str">
        <f t="shared" si="93"/>
        <v xml:space="preserve">| [Link](/places/places\mx-mexico-city-la-sagrada-familia) </v>
      </c>
      <c r="CO42" s="12" t="e">
        <f t="shared" si="94"/>
        <v>#VALUE!</v>
      </c>
    </row>
    <row r="43" spans="1:93" ht="51" x14ac:dyDescent="0.4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66"/>
        <v>1</v>
      </c>
      <c r="AT43" s="117" t="str">
        <f t="shared" si="67"/>
        <v>title: "Site of Bl. Miguel Pro's Martyrdom"</v>
      </c>
      <c r="AU43" s="117" t="str">
        <f t="shared" si="68"/>
        <v>location: {lat: 19.436178, lng: -99.150291}</v>
      </c>
      <c r="AV43" s="117" t="str">
        <f t="shared" si="69"/>
        <v>interest: regional</v>
      </c>
      <c r="AW43" s="117" t="str">
        <f>"- "&amp;VLOOKUP(C43,'Country Tags'!C:E,3,)</f>
        <v>- mx</v>
      </c>
      <c r="AX43" s="117" t="str">
        <f t="shared" si="70"/>
        <v>- mexico-city</v>
      </c>
      <c r="AY43" s="117" t="str">
        <f t="shared" si="71"/>
        <v/>
      </c>
      <c r="AZ43" s="117" t="str">
        <f t="shared" si="72"/>
        <v/>
      </c>
      <c r="BA43" s="117" t="str">
        <f t="shared" si="73"/>
        <v>- holy-persons</v>
      </c>
      <c r="BB43" s="117" t="str">
        <f t="shared" si="74"/>
        <v>- miguel-pro</v>
      </c>
      <c r="BC43" s="117" t="str">
        <f t="shared" si="75"/>
        <v>- jesuits</v>
      </c>
      <c r="BD43" s="117" t="str">
        <f t="shared" si="76"/>
        <v/>
      </c>
      <c r="BE43" s="117" t="str">
        <f t="shared" si="77"/>
        <v/>
      </c>
      <c r="BF43" s="117" t="str">
        <f t="shared" si="78"/>
        <v/>
      </c>
      <c r="BG43" s="117" t="str">
        <f t="shared" si="79"/>
        <v/>
      </c>
      <c r="BH43" s="117" t="str">
        <f t="shared" si="80"/>
        <v/>
      </c>
      <c r="BI43" s="117" t="str">
        <f t="shared" si="81"/>
        <v/>
      </c>
      <c r="BJ43" s="117" t="str">
        <f t="shared" si="82"/>
        <v/>
      </c>
      <c r="BK43" s="117" t="str">
        <f t="shared" si="83"/>
        <v/>
      </c>
      <c r="BL43" s="117" t="str">
        <f t="shared" si="84"/>
        <v xml:space="preserve">tags:
- mx_x000D_
- mexico-city_x000D_
- holy-persons_x000D_
- miguel-pro_x000D_
- jesuits_x000D_
</v>
      </c>
      <c r="BM43" s="120" t="str">
        <f t="shared" si="62"/>
        <v/>
      </c>
      <c r="BN43" s="120" t="str">
        <f t="shared" si="63"/>
        <v/>
      </c>
      <c r="BO43" s="120" t="str">
        <f t="shared" si="64"/>
        <v/>
      </c>
      <c r="BP43" s="120" t="str">
        <f t="shared" si="65"/>
        <v/>
      </c>
      <c r="BQ43" s="117" t="str">
        <f t="shared" si="85"/>
        <v/>
      </c>
      <c r="BR43" s="117" t="str">
        <f t="shared" si="86"/>
        <v/>
      </c>
      <c r="BS43" s="117" t="str">
        <f t="shared" si="87"/>
        <v/>
      </c>
      <c r="BT43" s="117" t="str">
        <f t="shared" si="88"/>
        <v/>
      </c>
      <c r="BU43" s="117" t="str">
        <f>IF(LEN(_xludf.concat(BR43:BT43))&gt;0,_xludf.concat("| ",BR43," | ",BS43," | ",BT43," |"),"")</f>
        <v/>
      </c>
      <c r="BV43" s="117" t="str">
        <f t="shared" si="89"/>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90"/>
        <v>#VALUE!</v>
      </c>
      <c r="CK43" s="12" t="str">
        <f t="shared" si="91"/>
        <v xml:space="preserve">| [](/places/places\mx-mexico-city-miguel-pro-martyrdom-site) </v>
      </c>
      <c r="CL43" s="13" t="str">
        <f>"| "&amp;IF(AS43,GetTagPage(C43,VLOOKUP(C43,'Country Tags'!C:E,3,)),C43)&amp; " "</f>
        <v xml:space="preserve">| [Mexico](/tags/mx) </v>
      </c>
      <c r="CM43" s="12" t="str">
        <f t="shared" si="92"/>
        <v xml:space="preserve">|  </v>
      </c>
      <c r="CN43" s="12" t="str">
        <f t="shared" si="93"/>
        <v xml:space="preserve">| [Link](/places/places\mx-mexico-city-miguel-pro-martyrdom-site) </v>
      </c>
      <c r="CO43" s="12" t="e">
        <f t="shared" si="94"/>
        <v>#VALUE!</v>
      </c>
    </row>
    <row r="44" spans="1:93" ht="76.5" x14ac:dyDescent="0.4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66"/>
        <v>1</v>
      </c>
      <c r="AT44" s="117" t="str">
        <f t="shared" si="67"/>
        <v>title: "Museum of Bl. Miguel Agustin Pro"</v>
      </c>
      <c r="AU44" s="117" t="str">
        <f t="shared" si="68"/>
        <v>location: {lat: 19.4224, lng: -99.16095}</v>
      </c>
      <c r="AV44" s="117" t="str">
        <f t="shared" si="69"/>
        <v>interest: regional</v>
      </c>
      <c r="AW44" s="117" t="str">
        <f>"- "&amp;VLOOKUP(C44,'Country Tags'!C:E,3,)</f>
        <v>- mx</v>
      </c>
      <c r="AX44" s="117" t="str">
        <f t="shared" si="70"/>
        <v>- mexico-city</v>
      </c>
      <c r="AY44" s="117" t="str">
        <f t="shared" si="71"/>
        <v/>
      </c>
      <c r="AZ44" s="117" t="str">
        <f t="shared" si="72"/>
        <v/>
      </c>
      <c r="BA44" s="117" t="str">
        <f t="shared" si="73"/>
        <v>- holy-persons</v>
      </c>
      <c r="BB44" s="117" t="str">
        <f t="shared" si="74"/>
        <v>- miguel-pro</v>
      </c>
      <c r="BC44" s="117" t="str">
        <f t="shared" si="75"/>
        <v>- jesuits</v>
      </c>
      <c r="BD44" s="117" t="str">
        <f t="shared" si="76"/>
        <v/>
      </c>
      <c r="BE44" s="117" t="str">
        <f t="shared" si="77"/>
        <v/>
      </c>
      <c r="BF44" s="117" t="str">
        <f t="shared" si="78"/>
        <v/>
      </c>
      <c r="BG44" s="117" t="str">
        <f t="shared" si="79"/>
        <v/>
      </c>
      <c r="BH44" s="117" t="str">
        <f t="shared" si="80"/>
        <v/>
      </c>
      <c r="BI44" s="117" t="str">
        <f t="shared" si="81"/>
        <v/>
      </c>
      <c r="BJ44" s="117" t="str">
        <f t="shared" si="82"/>
        <v/>
      </c>
      <c r="BK44" s="117" t="str">
        <f t="shared" si="83"/>
        <v/>
      </c>
      <c r="BL44" s="117" t="str">
        <f t="shared" si="84"/>
        <v xml:space="preserve">tags:
- mx_x000D_
- mexico-city_x000D_
- holy-persons_x000D_
- miguel-pro_x000D_
- jesuits_x000D_
</v>
      </c>
      <c r="BM44" s="120" t="str">
        <f t="shared" si="62"/>
        <v/>
      </c>
      <c r="BN44" s="120" t="str">
        <f t="shared" si="63"/>
        <v/>
      </c>
      <c r="BO44" s="120" t="str">
        <f t="shared" si="64"/>
        <v/>
      </c>
      <c r="BP44" s="120" t="str">
        <f t="shared" si="65"/>
        <v/>
      </c>
      <c r="BQ44" s="117" t="str">
        <f t="shared" si="85"/>
        <v/>
      </c>
      <c r="BR44" s="117" t="str">
        <f t="shared" si="86"/>
        <v/>
      </c>
      <c r="BS44" s="117" t="str">
        <f t="shared" si="87"/>
        <v/>
      </c>
      <c r="BT44" s="117" t="str">
        <f t="shared" si="88"/>
        <v/>
      </c>
      <c r="BU44" s="117" t="str">
        <f>IF(LEN(_xludf.concat(BR44:BT44))&gt;0,_xludf.concat("| ",BR44," | ",BS44," | ",BT44," |"),"")</f>
        <v/>
      </c>
      <c r="BV44" s="117" t="str">
        <f t="shared" si="89"/>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90"/>
        <v>#VALUE!</v>
      </c>
      <c r="CK44" s="12" t="str">
        <f t="shared" si="91"/>
        <v xml:space="preserve">| [](/places/places\mx-mexico-city-miguel-pro-museum) </v>
      </c>
      <c r="CL44" s="13" t="str">
        <f>"| "&amp;IF(AS44,GetTagPage(C44,VLOOKUP(C44,'Country Tags'!C:E,3,)),C44)&amp; " "</f>
        <v xml:space="preserve">| [Mexico](/tags/mx) </v>
      </c>
      <c r="CM44" s="12" t="str">
        <f t="shared" si="92"/>
        <v xml:space="preserve">|  </v>
      </c>
      <c r="CN44" s="12" t="str">
        <f t="shared" si="93"/>
        <v xml:space="preserve">| [Link](/places/places\mx-mexico-city-miguel-pro-museum) </v>
      </c>
      <c r="CO44" s="12" t="e">
        <f t="shared" si="94"/>
        <v>#VALUE!</v>
      </c>
    </row>
    <row r="45" spans="1:93" ht="63.75" x14ac:dyDescent="0.4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66"/>
        <v>1</v>
      </c>
      <c r="AT45" s="117" t="str">
        <f t="shared" si="67"/>
        <v>title: "Minor Basilica of Our Lady of the Rosary of Manaoag"</v>
      </c>
      <c r="AU45" s="117" t="str">
        <f t="shared" si="68"/>
        <v>location: {lat: 16.0440593284094, lng: 120.488325579597}</v>
      </c>
      <c r="AV45" s="117" t="str">
        <f t="shared" si="69"/>
        <v>interest: global</v>
      </c>
      <c r="AW45" s="117" t="str">
        <f>"- "&amp;VLOOKUP(C45,'Country Tags'!C:E,3,)</f>
        <v>- ph</v>
      </c>
      <c r="AX45" s="117" t="str">
        <f t="shared" si="70"/>
        <v/>
      </c>
      <c r="AY45" s="117" t="str">
        <f t="shared" si="71"/>
        <v>- churches</v>
      </c>
      <c r="AZ45" s="117" t="str">
        <f t="shared" si="72"/>
        <v>- marian-sites</v>
      </c>
      <c r="BA45" s="117" t="str">
        <f t="shared" si="73"/>
        <v/>
      </c>
      <c r="BB45" s="117" t="str">
        <f t="shared" si="74"/>
        <v/>
      </c>
      <c r="BC45" s="117" t="str">
        <f t="shared" si="75"/>
        <v/>
      </c>
      <c r="BD45" s="117" t="str">
        <f t="shared" si="76"/>
        <v/>
      </c>
      <c r="BE45" s="117" t="str">
        <f t="shared" si="77"/>
        <v/>
      </c>
      <c r="BF45" s="117" t="str">
        <f t="shared" si="78"/>
        <v/>
      </c>
      <c r="BG45" s="117" t="str">
        <f t="shared" si="79"/>
        <v/>
      </c>
      <c r="BH45" s="117" t="str">
        <f t="shared" si="80"/>
        <v/>
      </c>
      <c r="BI45" s="117" t="str">
        <f t="shared" si="81"/>
        <v/>
      </c>
      <c r="BJ45" s="117" t="str">
        <f t="shared" si="82"/>
        <v/>
      </c>
      <c r="BK45" s="117" t="str">
        <f t="shared" si="83"/>
        <v/>
      </c>
      <c r="BL45" s="117" t="str">
        <f t="shared" si="84"/>
        <v xml:space="preserve">tags:
- ph_x000D_
- churches_x000D_
- marian-sites_x000D_
</v>
      </c>
      <c r="BM45" s="120" t="str">
        <f t="shared" si="62"/>
        <v>[Official site](https://www.manaoagminorbasilica.org/)</v>
      </c>
      <c r="BN45" s="120" t="str">
        <f t="shared" si="63"/>
        <v/>
      </c>
      <c r="BO45" s="120" t="str">
        <f t="shared" si="64"/>
        <v/>
      </c>
      <c r="BP45" s="120" t="str">
        <f t="shared" si="65"/>
        <v/>
      </c>
      <c r="BQ45" s="120" t="str">
        <f t="shared" si="85"/>
        <v xml:space="preserve">* [Official site](https://www.manaoagminorbasilica.org/)
</v>
      </c>
      <c r="BR45" s="120" t="str">
        <f t="shared" si="86"/>
        <v>[Link](http://www.therealpresence.org/eucharst/misc/BVM/88_MANAOAG_60x96.pdf)</v>
      </c>
      <c r="BS45" s="120" t="str">
        <f t="shared" si="87"/>
        <v>[Link](https://www.miraclehunter.com/marian_apparitions/approved_apparitions/manaoag/index.html)</v>
      </c>
      <c r="BT45" s="120" t="str">
        <f t="shared" si="88"/>
        <v/>
      </c>
      <c r="BU45" s="120" t="str">
        <f>IF(LEN(_xludf.concat(BR45:BT45))&gt;0,_xludf.concat("| ",BR45," | ",BS45," | ",BT45," |"),"")</f>
        <v>| [Link](http://www.therealpresence.org/eucharst/misc/BVM/88_MANAOAG_60x96.pdf) | [Link](https://www.miraclehunter.com/marian_apparitions/approved_apparitions/manaoag/index.html) |  |</v>
      </c>
      <c r="BV45" s="117"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90"/>
        <v xml:space="preserve">| </v>
      </c>
      <c r="CK45" s="13" t="str">
        <f t="shared" si="91"/>
        <v xml:space="preserve">| [Manaoag](/places/places\ph-basilica-of-our-lady-of-the-rosary-of-manaoag) </v>
      </c>
      <c r="CL45" s="13" t="str">
        <f>"| "&amp;IF(AS45,GetTagPage(C45,VLOOKUP(C45,'Country Tags'!C:E,3,)),C45)&amp; " "</f>
        <v xml:space="preserve">| [Philippines](/tags/ph) </v>
      </c>
      <c r="CM45" s="13" t="str">
        <f t="shared" si="92"/>
        <v xml:space="preserve">| 1610 </v>
      </c>
      <c r="CN45" s="13" t="str">
        <f t="shared" si="93"/>
        <v xml:space="preserve">| [Link](/places/places\ph-basilica-of-our-lady-of-the-rosary-of-manaoag) </v>
      </c>
      <c r="CO45" s="12" t="str">
        <f t="shared" si="94"/>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4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66"/>
        <v>1</v>
      </c>
      <c r="AT46" s="117" t="str">
        <f t="shared" si="67"/>
        <v>title: "Swieta Lipka Sanctuary"</v>
      </c>
      <c r="AU46" s="117" t="str">
        <f t="shared" si="68"/>
        <v>location: {lat: 54.0246754900946, lng: 21.2177462726687}</v>
      </c>
      <c r="AV46" s="117" t="str">
        <f t="shared" si="69"/>
        <v>interest: global</v>
      </c>
      <c r="AW46" s="117" t="str">
        <f>"- "&amp;VLOOKUP(C46,'Country Tags'!C:E,3,)</f>
        <v>- pl</v>
      </c>
      <c r="AX46" s="117" t="str">
        <f t="shared" si="70"/>
        <v/>
      </c>
      <c r="AY46" s="117" t="str">
        <f t="shared" si="71"/>
        <v>- churches</v>
      </c>
      <c r="AZ46" s="117" t="str">
        <f t="shared" si="72"/>
        <v>- marian-sites</v>
      </c>
      <c r="BA46" s="117" t="str">
        <f t="shared" si="73"/>
        <v/>
      </c>
      <c r="BB46" s="117" t="str">
        <f t="shared" si="74"/>
        <v/>
      </c>
      <c r="BC46" s="117" t="str">
        <f t="shared" si="75"/>
        <v/>
      </c>
      <c r="BD46" s="117" t="str">
        <f t="shared" si="76"/>
        <v/>
      </c>
      <c r="BE46" s="117" t="str">
        <f t="shared" si="77"/>
        <v/>
      </c>
      <c r="BF46" s="117" t="str">
        <f t="shared" si="78"/>
        <v/>
      </c>
      <c r="BG46" s="117" t="str">
        <f t="shared" si="79"/>
        <v/>
      </c>
      <c r="BH46" s="117" t="str">
        <f t="shared" si="80"/>
        <v/>
      </c>
      <c r="BI46" s="117" t="str">
        <f t="shared" si="81"/>
        <v/>
      </c>
      <c r="BJ46" s="117" t="str">
        <f t="shared" si="82"/>
        <v/>
      </c>
      <c r="BK46" s="117" t="str">
        <f t="shared" si="83"/>
        <v/>
      </c>
      <c r="BL46" s="117" t="str">
        <f t="shared" si="84"/>
        <v xml:space="preserve">tags:
- pl_x000D_
- churches_x000D_
- marian-sites_x000D_
</v>
      </c>
      <c r="BM46" s="120" t="str">
        <f t="shared" si="62"/>
        <v>[Official site](https://www.swlipka.pl/)</v>
      </c>
      <c r="BN46" s="120" t="str">
        <f t="shared" si="63"/>
        <v/>
      </c>
      <c r="BO46" s="120" t="str">
        <f t="shared" si="64"/>
        <v/>
      </c>
      <c r="BP46" s="120" t="str">
        <f t="shared" si="65"/>
        <v/>
      </c>
      <c r="BQ46" s="120" t="str">
        <f t="shared" si="85"/>
        <v xml:space="preserve">* [Official site](https://www.swlipka.pl/)
</v>
      </c>
      <c r="BR46" s="120" t="str">
        <f t="shared" si="86"/>
        <v>[Link](http://www.therealpresence.org/eucharst/misc/BVM/138_SWIETA_LIPKA_60x96.pdf)</v>
      </c>
      <c r="BS46" s="120" t="str">
        <f t="shared" si="87"/>
        <v>[Link](http://www.miraclehunter.com/marian_apparitions/approved_apparitions/apparitions_1200-1299.html) (Search for "Swieta Lipka")</v>
      </c>
      <c r="BT46" s="120" t="str">
        <f t="shared" si="88"/>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90"/>
        <v xml:space="preserve">| </v>
      </c>
      <c r="CK46" s="13" t="str">
        <f t="shared" si="91"/>
        <v xml:space="preserve">| [Swieta Lipka](/places/places\pl-swieta-lipka-sanctuary) </v>
      </c>
      <c r="CL46" s="13" t="str">
        <f>"| "&amp;IF(AS46,GetTagPage(C46,VLOOKUP(C46,'Country Tags'!C:E,3,)),C46)&amp; " "</f>
        <v xml:space="preserve">| [Poland](/tags/pl) </v>
      </c>
      <c r="CM46" s="13" t="str">
        <f t="shared" si="92"/>
        <v xml:space="preserve">| 13th Century </v>
      </c>
      <c r="CN46" s="13" t="str">
        <f t="shared" si="93"/>
        <v xml:space="preserve">| [Link](/places/places\pl-swieta-lipka-sanctuary) </v>
      </c>
      <c r="CO46" s="12" t="str">
        <f t="shared" si="94"/>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27.5" x14ac:dyDescent="0.4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66"/>
        <v>1</v>
      </c>
      <c r="AT47" s="117" t="str">
        <f t="shared" si="67"/>
        <v>title: "Sanctuary of Our Lady Queen of Podhale"</v>
      </c>
      <c r="AU47" s="117" t="str">
        <f t="shared" si="68"/>
        <v>location: {lat: 49.4651296551083, lng: 19.9828430570051}</v>
      </c>
      <c r="AV47" s="117" t="str">
        <f t="shared" si="69"/>
        <v>interest: global</v>
      </c>
      <c r="AW47" s="117" t="str">
        <f>"- "&amp;VLOOKUP(C47,'Country Tags'!C:E,3,)</f>
        <v>- pl</v>
      </c>
      <c r="AX47" s="117" t="str">
        <f t="shared" si="70"/>
        <v/>
      </c>
      <c r="AY47" s="117" t="str">
        <f t="shared" si="71"/>
        <v>- churches</v>
      </c>
      <c r="AZ47" s="117" t="str">
        <f t="shared" si="72"/>
        <v>- marian-sites</v>
      </c>
      <c r="BA47" s="117" t="str">
        <f t="shared" si="73"/>
        <v/>
      </c>
      <c r="BB47" s="117" t="str">
        <f t="shared" si="74"/>
        <v>- john-paul-ii</v>
      </c>
      <c r="BC47" s="117" t="str">
        <f t="shared" si="75"/>
        <v/>
      </c>
      <c r="BD47" s="117" t="str">
        <f t="shared" si="76"/>
        <v/>
      </c>
      <c r="BE47" s="117" t="str">
        <f t="shared" si="77"/>
        <v/>
      </c>
      <c r="BF47" s="117" t="str">
        <f t="shared" si="78"/>
        <v/>
      </c>
      <c r="BG47" s="117" t="str">
        <f t="shared" si="79"/>
        <v/>
      </c>
      <c r="BH47" s="117" t="str">
        <f t="shared" si="80"/>
        <v/>
      </c>
      <c r="BI47" s="117" t="str">
        <f t="shared" si="81"/>
        <v/>
      </c>
      <c r="BJ47" s="117" t="str">
        <f t="shared" si="82"/>
        <v/>
      </c>
      <c r="BK47" s="117" t="str">
        <f t="shared" si="83"/>
        <v/>
      </c>
      <c r="BL47" s="117" t="str">
        <f t="shared" si="84"/>
        <v xml:space="preserve">tags:
- pl_x000D_
- churches_x000D_
- marian-sites_x000D_
- john-paul-ii_x000D_
</v>
      </c>
      <c r="BM47" s="120" t="str">
        <f t="shared" si="62"/>
        <v>[Official site](ps://www.mbludzm.pl/)</v>
      </c>
      <c r="BN47" s="120" t="str">
        <f t="shared" si="63"/>
        <v/>
      </c>
      <c r="BO47" s="120" t="str">
        <f t="shared" si="64"/>
        <v/>
      </c>
      <c r="BP47" s="120" t="str">
        <f t="shared" si="65"/>
        <v/>
      </c>
      <c r="BQ47" s="120" t="str">
        <f t="shared" si="85"/>
        <v xml:space="preserve">* [Official site](ps://www.mbludzm.pl/)
</v>
      </c>
      <c r="BR47" s="120" t="str">
        <f t="shared" si="86"/>
        <v/>
      </c>
      <c r="BS47" s="120" t="str">
        <f t="shared" si="87"/>
        <v/>
      </c>
      <c r="BT47" s="120" t="str">
        <f t="shared" si="88"/>
        <v/>
      </c>
      <c r="BU47" s="120" t="str">
        <f>IF(LEN(_xludf.concat(BR47:BT47))&gt;0,_xludf.concat("| ",BR47," | ",BS47," | ",BT47," |"),"")</f>
        <v/>
      </c>
      <c r="BV47" s="117" t="str">
        <f t="shared" si="89"/>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90"/>
        <v>#VALUE!</v>
      </c>
      <c r="CK47" s="13" t="str">
        <f t="shared" si="91"/>
        <v xml:space="preserve">| [Ludzmierz](/places/places\pl-sanctuary-of-our-lady-queen-of-podhale) </v>
      </c>
      <c r="CL47" s="13" t="str">
        <f>"| "&amp;IF(AS47,GetTagPage(C47,VLOOKUP(C47,'Country Tags'!C:E,3,)),C47)&amp; " "</f>
        <v xml:space="preserve">| [Poland](/tags/pl) </v>
      </c>
      <c r="CM47" s="13" t="str">
        <f t="shared" si="92"/>
        <v xml:space="preserve">| c. 1400 </v>
      </c>
      <c r="CN47" s="13" t="str">
        <f t="shared" si="93"/>
        <v xml:space="preserve">| [Link](/places/places\pl-sanctuary-of-our-lady-queen-of-podhale) </v>
      </c>
      <c r="CO47" s="12" t="e">
        <f t="shared" si="94"/>
        <v>#VALUE!</v>
      </c>
    </row>
    <row r="48" spans="1:93" ht="89.25" x14ac:dyDescent="0.4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66"/>
        <v>1</v>
      </c>
      <c r="AT48" s="117" t="str">
        <f t="shared" si="67"/>
        <v>title: "Basilica of the Annunciation of the Blessed Virgin Mary (Our Lady of Lezajsk, Lady of Consolation)"</v>
      </c>
      <c r="AU48" s="117" t="str">
        <f t="shared" si="68"/>
        <v>location: {lat: 50.2704677, lng: 22.4080316}</v>
      </c>
      <c r="AV48" s="117" t="str">
        <f t="shared" si="69"/>
        <v>interest: global</v>
      </c>
      <c r="AW48" s="117" t="str">
        <f>"- "&amp;VLOOKUP(C48,'Country Tags'!C:E,3,)</f>
        <v>- pl</v>
      </c>
      <c r="AX48" s="117" t="str">
        <f t="shared" si="70"/>
        <v/>
      </c>
      <c r="AY48" s="117" t="str">
        <f t="shared" si="71"/>
        <v>- churches</v>
      </c>
      <c r="AZ48" s="117" t="str">
        <f t="shared" si="72"/>
        <v>- marian-sites</v>
      </c>
      <c r="BA48" s="117" t="str">
        <f t="shared" si="73"/>
        <v/>
      </c>
      <c r="BB48" s="117" t="str">
        <f t="shared" si="74"/>
        <v>- communities</v>
      </c>
      <c r="BC48" s="117" t="str">
        <f t="shared" si="75"/>
        <v/>
      </c>
      <c r="BD48" s="117" t="str">
        <f t="shared" si="76"/>
        <v/>
      </c>
      <c r="BE48" s="117" t="str">
        <f t="shared" si="77"/>
        <v/>
      </c>
      <c r="BF48" s="117" t="str">
        <f t="shared" si="78"/>
        <v/>
      </c>
      <c r="BG48" s="117" t="str">
        <f t="shared" si="79"/>
        <v/>
      </c>
      <c r="BH48" s="117" t="str">
        <f t="shared" si="80"/>
        <v/>
      </c>
      <c r="BI48" s="117" t="str">
        <f t="shared" si="81"/>
        <v/>
      </c>
      <c r="BJ48" s="117" t="str">
        <f t="shared" si="82"/>
        <v/>
      </c>
      <c r="BK48" s="117" t="str">
        <f t="shared" si="83"/>
        <v/>
      </c>
      <c r="BL48" s="117" t="str">
        <f t="shared" si="84"/>
        <v xml:space="preserve">tags:
- pl_x000D_
- churches_x000D_
- marian-sites_x000D_
- communities_x000D_
</v>
      </c>
      <c r="BM48" s="120" t="str">
        <f t="shared" si="62"/>
        <v>[Official site](https://lezajsk.bernardyni.pl/)</v>
      </c>
      <c r="BN48" s="120" t="str">
        <f t="shared" si="63"/>
        <v/>
      </c>
      <c r="BO48" s="120" t="str">
        <f t="shared" si="64"/>
        <v/>
      </c>
      <c r="BP48" s="120" t="str">
        <f t="shared" si="65"/>
        <v/>
      </c>
      <c r="BQ48" s="120" t="str">
        <f t="shared" si="85"/>
        <v xml:space="preserve">* [Official site](https://lezajsk.bernardyni.pl/)
</v>
      </c>
      <c r="BR48" s="120" t="str">
        <f t="shared" si="86"/>
        <v/>
      </c>
      <c r="BS48" s="120" t="str">
        <f t="shared" si="87"/>
        <v>[Link](https://www.miraclehunter.com/marian_apparitions/approved_apparitions/lejask/index.html)</v>
      </c>
      <c r="BT48" s="120" t="str">
        <f t="shared" si="88"/>
        <v/>
      </c>
      <c r="BU48" s="120" t="str">
        <f>IF(LEN(_xludf.concat(BR48:BT48))&gt;0,_xludf.concat("| ",BR48," | ",BS48," | ",BT48," |"),"")</f>
        <v>|  | [Link](https://www.miraclehunter.com/marian_apparitions/approved_apparitions/lejask/index.html) |  |</v>
      </c>
      <c r="BV48" s="117" t="str">
        <f t="shared" si="89"/>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90"/>
        <v>#VALUE!</v>
      </c>
      <c r="CK48" s="13" t="str">
        <f t="shared" si="91"/>
        <v xml:space="preserve">| [Leżajsk](/places/places\pl-basilica-of-the-annunciation-of-the-blessed-virgin-mary) </v>
      </c>
      <c r="CL48" s="13" t="str">
        <f>"| "&amp;IF(AS48,GetTagPage(C48,VLOOKUP(C48,'Country Tags'!C:E,3,)),C48)&amp; " "</f>
        <v xml:space="preserve">| [Poland](/tags/pl) </v>
      </c>
      <c r="CM48" s="13" t="str">
        <f t="shared" si="92"/>
        <v xml:space="preserve">| 1578 </v>
      </c>
      <c r="CN48" s="13" t="str">
        <f t="shared" si="93"/>
        <v xml:space="preserve">| [Link](/places/places\pl-basilica-of-the-annunciation-of-the-blessed-virgin-mary) </v>
      </c>
      <c r="CO48" s="12" t="e">
        <f t="shared" si="94"/>
        <v>#VALUE!</v>
      </c>
    </row>
    <row r="49" spans="1:94" ht="63.75" x14ac:dyDescent="0.4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66"/>
        <v>1</v>
      </c>
      <c r="AT49" s="117" t="str">
        <f t="shared" si="67"/>
        <v>title: "Basilica of Our Lady of Licheń (Holy Mother of Sorrows, Queen of Poland)"</v>
      </c>
      <c r="AU49" s="117" t="str">
        <f t="shared" si="68"/>
        <v>location: {lat: 52.323705849375, lng: 18.3584325570281}</v>
      </c>
      <c r="AV49" s="117" t="str">
        <f t="shared" si="69"/>
        <v>interest: global</v>
      </c>
      <c r="AW49" s="117" t="str">
        <f>"- "&amp;VLOOKUP(C49,'Country Tags'!C:E,3,)</f>
        <v>- pl</v>
      </c>
      <c r="AX49" s="117" t="str">
        <f t="shared" si="70"/>
        <v/>
      </c>
      <c r="AY49" s="117" t="str">
        <f t="shared" si="71"/>
        <v>- churches</v>
      </c>
      <c r="AZ49" s="117" t="str">
        <f t="shared" si="72"/>
        <v>- marian-sites</v>
      </c>
      <c r="BA49" s="117" t="str">
        <f t="shared" si="73"/>
        <v/>
      </c>
      <c r="BB49" s="117" t="str">
        <f t="shared" si="74"/>
        <v/>
      </c>
      <c r="BC49" s="117" t="str">
        <f t="shared" si="75"/>
        <v/>
      </c>
      <c r="BD49" s="117" t="str">
        <f t="shared" si="76"/>
        <v/>
      </c>
      <c r="BE49" s="117" t="str">
        <f t="shared" si="77"/>
        <v/>
      </c>
      <c r="BF49" s="117" t="str">
        <f t="shared" si="78"/>
        <v/>
      </c>
      <c r="BG49" s="117" t="str">
        <f t="shared" si="79"/>
        <v/>
      </c>
      <c r="BH49" s="117" t="str">
        <f t="shared" si="80"/>
        <v/>
      </c>
      <c r="BI49" s="117" t="str">
        <f t="shared" si="81"/>
        <v/>
      </c>
      <c r="BJ49" s="117" t="str">
        <f t="shared" si="82"/>
        <v/>
      </c>
      <c r="BK49" s="117" t="str">
        <f t="shared" si="83"/>
        <v/>
      </c>
      <c r="BL49" s="117" t="str">
        <f t="shared" si="84"/>
        <v xml:space="preserve">tags:
- pl_x000D_
- churches_x000D_
- marian-sites_x000D_
</v>
      </c>
      <c r="BM49" s="120" t="str">
        <f t="shared" si="62"/>
        <v>[Official site](https://www.lichen.pl/)</v>
      </c>
      <c r="BN49" s="120" t="str">
        <f t="shared" si="63"/>
        <v/>
      </c>
      <c r="BO49" s="120" t="str">
        <f t="shared" si="64"/>
        <v/>
      </c>
      <c r="BP49" s="120" t="str">
        <f t="shared" si="65"/>
        <v/>
      </c>
      <c r="BQ49" s="120" t="str">
        <f t="shared" si="85"/>
        <v xml:space="preserve">* [Official site](https://www.lichen.pl/)
</v>
      </c>
      <c r="BR49" s="120" t="str">
        <f t="shared" si="86"/>
        <v>[Link](http://www.therealpresence.org/eucharst/misc/BVM/110_LICHEN_96x96.pdf)</v>
      </c>
      <c r="BS49" s="120" t="str">
        <f t="shared" si="87"/>
        <v>[Link](http://www.miraclehunter.com/marian_apparitions/approved_apparitions/gietrzwald/index.html)</v>
      </c>
      <c r="BT49" s="120" t="str">
        <f t="shared" si="88"/>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90"/>
        <v xml:space="preserve">| </v>
      </c>
      <c r="CK49" s="13" t="str">
        <f t="shared" si="91"/>
        <v xml:space="preserve">| [Licheń](/places/places\pl-basilica-of-our-lady-of-lichen) </v>
      </c>
      <c r="CL49" s="13" t="str">
        <f>"| "&amp;IF(AS49,GetTagPage(C49,VLOOKUP(C49,'Country Tags'!C:E,3,)),C49)&amp; " "</f>
        <v xml:space="preserve">| [Poland](/tags/pl) </v>
      </c>
      <c r="CM49" s="13" t="str">
        <f t="shared" si="92"/>
        <v xml:space="preserve">| 1813-1850 </v>
      </c>
      <c r="CN49" s="13" t="str">
        <f t="shared" si="93"/>
        <v xml:space="preserve">| [Link](/places/places\pl-basilica-of-our-lady-of-lichen) </v>
      </c>
      <c r="CO49" s="12" t="str">
        <f t="shared" si="94"/>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4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66"/>
        <v>1</v>
      </c>
      <c r="AT50" s="117" t="str">
        <f t="shared" si="67"/>
        <v>title: "Sanctuary of Our Lady of Gietrzwałd"</v>
      </c>
      <c r="AU50" s="117" t="str">
        <f t="shared" si="68"/>
        <v>location: {lat: 53.7480853, lng: 20.2356024}</v>
      </c>
      <c r="AV50" s="117" t="str">
        <f t="shared" si="69"/>
        <v>interest: global</v>
      </c>
      <c r="AW50" s="117" t="str">
        <f>"- "&amp;VLOOKUP(C50,'Country Tags'!C:E,3,)</f>
        <v>- pl</v>
      </c>
      <c r="AX50" s="117" t="str">
        <f t="shared" si="70"/>
        <v/>
      </c>
      <c r="AY50" s="117" t="str">
        <f t="shared" si="71"/>
        <v>- churches</v>
      </c>
      <c r="AZ50" s="117" t="str">
        <f t="shared" si="72"/>
        <v>- marian-sites</v>
      </c>
      <c r="BA50" s="117" t="str">
        <f t="shared" si="73"/>
        <v/>
      </c>
      <c r="BB50" s="117" t="str">
        <f t="shared" si="74"/>
        <v/>
      </c>
      <c r="BC50" s="117" t="str">
        <f t="shared" si="75"/>
        <v/>
      </c>
      <c r="BD50" s="117" t="str">
        <f t="shared" si="76"/>
        <v/>
      </c>
      <c r="BE50" s="117" t="str">
        <f t="shared" si="77"/>
        <v/>
      </c>
      <c r="BF50" s="117" t="str">
        <f t="shared" si="78"/>
        <v/>
      </c>
      <c r="BG50" s="117" t="str">
        <f t="shared" si="79"/>
        <v/>
      </c>
      <c r="BH50" s="117" t="str">
        <f t="shared" si="80"/>
        <v/>
      </c>
      <c r="BI50" s="117" t="str">
        <f t="shared" si="81"/>
        <v/>
      </c>
      <c r="BJ50" s="117" t="str">
        <f t="shared" si="82"/>
        <v/>
      </c>
      <c r="BK50" s="117" t="str">
        <f t="shared" si="83"/>
        <v/>
      </c>
      <c r="BL50" s="117" t="str">
        <f t="shared" si="84"/>
        <v xml:space="preserve">tags:
- pl_x000D_
- churches_x000D_
- marian-sites_x000D_
</v>
      </c>
      <c r="BM50" s="120" t="str">
        <f t="shared" si="62"/>
        <v>[Official site](https://sanktuariummaryjne.pl/)</v>
      </c>
      <c r="BN50" s="120" t="str">
        <f t="shared" si="63"/>
        <v/>
      </c>
      <c r="BO50" s="120" t="str">
        <f t="shared" si="64"/>
        <v/>
      </c>
      <c r="BP50" s="120" t="str">
        <f t="shared" si="65"/>
        <v/>
      </c>
      <c r="BQ50" s="120" t="str">
        <f t="shared" si="85"/>
        <v xml:space="preserve">* [Official site](https://sanktuariummaryjne.pl/)
</v>
      </c>
      <c r="BR50" s="120" t="str">
        <f t="shared" si="86"/>
        <v>[Link](http://www.therealpresence.org/eucharst/misc/BVM/85_GIETRZALD_96x96.pdf)</v>
      </c>
      <c r="BS50" s="120" t="str">
        <f t="shared" si="87"/>
        <v>[Link](http://www.miraclehunter.com/marian_apparitions/approved_apparitions/gietrzwald/index.html)</v>
      </c>
      <c r="BT50" s="120" t="str">
        <f t="shared" si="88"/>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90"/>
        <v xml:space="preserve">| </v>
      </c>
      <c r="CK50" s="13" t="str">
        <f t="shared" si="91"/>
        <v xml:space="preserve">| [Gietrzwald](/places/places\pl-sanctuary-of-our-lady-of-gietrzwałd) </v>
      </c>
      <c r="CL50" s="13" t="str">
        <f>"| "&amp;IF(AS50,GetTagPage(C50,VLOOKUP(C50,'Country Tags'!C:E,3,)),C50)&amp; " "</f>
        <v xml:space="preserve">| [Poland](/tags/pl) </v>
      </c>
      <c r="CM50" s="13" t="str">
        <f t="shared" si="92"/>
        <v xml:space="preserve">| 1877 </v>
      </c>
      <c r="CN50" s="13" t="str">
        <f t="shared" si="93"/>
        <v xml:space="preserve">| [Link](/places/places\pl-sanctuary-of-our-lady-of-gietrzwałd) </v>
      </c>
      <c r="CO50" s="12" t="str">
        <f t="shared" si="94"/>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4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66"/>
        <v>1</v>
      </c>
      <c r="AT51" s="117" t="str">
        <f t="shared" si="67"/>
        <v>title: "Jasna Gora Monastery (Our Lady of Czestochowa)"</v>
      </c>
      <c r="AU51" s="117" t="str">
        <f t="shared" si="68"/>
        <v>location: {lat: 50.8127516192911, lng: 19.0966517482729}</v>
      </c>
      <c r="AV51" s="117" t="str">
        <f t="shared" si="69"/>
        <v>interest: global</v>
      </c>
      <c r="AW51" s="117" t="str">
        <f>"- "&amp;VLOOKUP(C51,'Country Tags'!C:E,3,)</f>
        <v>- pl</v>
      </c>
      <c r="AX51" s="117" t="str">
        <f t="shared" si="70"/>
        <v/>
      </c>
      <c r="AY51" s="117" t="str">
        <f t="shared" si="71"/>
        <v>- churches</v>
      </c>
      <c r="AZ51" s="117" t="str">
        <f t="shared" si="72"/>
        <v>- marian-sites</v>
      </c>
      <c r="BA51" s="117" t="str">
        <f t="shared" si="73"/>
        <v/>
      </c>
      <c r="BB51" s="117" t="str">
        <f t="shared" si="74"/>
        <v>- communities</v>
      </c>
      <c r="BC51" s="117" t="str">
        <f t="shared" si="75"/>
        <v/>
      </c>
      <c r="BD51" s="117" t="str">
        <f t="shared" si="76"/>
        <v/>
      </c>
      <c r="BE51" s="117" t="str">
        <f t="shared" si="77"/>
        <v/>
      </c>
      <c r="BF51" s="117" t="str">
        <f t="shared" si="78"/>
        <v/>
      </c>
      <c r="BG51" s="117" t="str">
        <f t="shared" si="79"/>
        <v/>
      </c>
      <c r="BH51" s="117" t="str">
        <f t="shared" si="80"/>
        <v/>
      </c>
      <c r="BI51" s="117" t="str">
        <f t="shared" si="81"/>
        <v/>
      </c>
      <c r="BJ51" s="117" t="str">
        <f t="shared" si="82"/>
        <v/>
      </c>
      <c r="BK51" s="117" t="str">
        <f t="shared" si="83"/>
        <v/>
      </c>
      <c r="BL51" s="117" t="str">
        <f t="shared" si="84"/>
        <v xml:space="preserve">tags:
- pl_x000D_
- churches_x000D_
- marian-sites_x000D_
- communities_x000D_
</v>
      </c>
      <c r="BM51" s="120" t="str">
        <f t="shared" si="62"/>
        <v>[Official site](https://jasnagora.pl/)</v>
      </c>
      <c r="BN51" s="120" t="str">
        <f t="shared" si="63"/>
        <v/>
      </c>
      <c r="BO51" s="120" t="str">
        <f t="shared" si="64"/>
        <v/>
      </c>
      <c r="BP51" s="120" t="str">
        <f t="shared" si="65"/>
        <v/>
      </c>
      <c r="BQ51" s="120" t="str">
        <f t="shared" si="85"/>
        <v xml:space="preserve">* [Official site](https://jasnagora.pl/)
</v>
      </c>
      <c r="BR51" s="120" t="str">
        <f t="shared" si="86"/>
        <v/>
      </c>
      <c r="BS51" s="120" t="str">
        <f t="shared" si="87"/>
        <v>[Link](https://www.miraclehunter.com/marian_apparitions/approved_apparitions/czestochowa/)</v>
      </c>
      <c r="BT51" s="120" t="str">
        <f t="shared" si="88"/>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89"/>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90"/>
        <v>#VALUE!</v>
      </c>
      <c r="CK51" s="13" t="str">
        <f t="shared" si="91"/>
        <v xml:space="preserve">| [Czestochowa](/places/places\pl-jasna-gora-monastery) </v>
      </c>
      <c r="CL51" s="13" t="str">
        <f>"| "&amp;IF(AS51,GetTagPage(C51,VLOOKUP(C51,'Country Tags'!C:E,3,)),C51)&amp; " "</f>
        <v xml:space="preserve">| [Poland](/tags/pl) </v>
      </c>
      <c r="CM51" s="13" t="str">
        <f t="shared" si="92"/>
        <v xml:space="preserve">| Unknown </v>
      </c>
      <c r="CN51" s="13" t="str">
        <f t="shared" si="93"/>
        <v xml:space="preserve">| [Link](/places/places\pl-jasna-gora-monastery) </v>
      </c>
      <c r="CO51" s="12" t="e">
        <f t="shared" si="94"/>
        <v>#VALUE!</v>
      </c>
    </row>
    <row r="52" spans="1:94" ht="63.75" x14ac:dyDescent="0.4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66"/>
        <v>1</v>
      </c>
      <c r="AT52" s="117" t="str">
        <f t="shared" si="67"/>
        <v>title: "Sanctuary of Our Lady of the Rosary of Fatima"</v>
      </c>
      <c r="AU52" s="117" t="str">
        <f t="shared" si="68"/>
        <v>location: {lat: 39.6312638, lng: -8.6731571}</v>
      </c>
      <c r="AV52" s="117" t="str">
        <f t="shared" si="69"/>
        <v>interest: global</v>
      </c>
      <c r="AW52" s="117" t="str">
        <f>"- "&amp;VLOOKUP(C52,'Country Tags'!C:E,3,)</f>
        <v>- pt</v>
      </c>
      <c r="AX52" s="117" t="str">
        <f t="shared" si="70"/>
        <v/>
      </c>
      <c r="AY52" s="117" t="str">
        <f t="shared" si="71"/>
        <v>- churches</v>
      </c>
      <c r="AZ52" s="117" t="str">
        <f t="shared" si="72"/>
        <v>- marian-sites</v>
      </c>
      <c r="BA52" s="117" t="str">
        <f t="shared" si="73"/>
        <v>- holy-persons</v>
      </c>
      <c r="BB52" s="117" t="str">
        <f t="shared" si="74"/>
        <v>- lucia-dos-santos</v>
      </c>
      <c r="BC52" s="117" t="str">
        <f t="shared" si="75"/>
        <v>- francisco-and-jacinta-marto</v>
      </c>
      <c r="BD52" s="117" t="str">
        <f t="shared" si="76"/>
        <v/>
      </c>
      <c r="BE52" s="117" t="str">
        <f t="shared" si="77"/>
        <v/>
      </c>
      <c r="BF52" s="117" t="str">
        <f t="shared" si="78"/>
        <v/>
      </c>
      <c r="BG52" s="117" t="str">
        <f t="shared" si="79"/>
        <v/>
      </c>
      <c r="BH52" s="117" t="str">
        <f t="shared" si="80"/>
        <v/>
      </c>
      <c r="BI52" s="117" t="str">
        <f t="shared" si="81"/>
        <v/>
      </c>
      <c r="BJ52" s="117" t="str">
        <f t="shared" si="82"/>
        <v/>
      </c>
      <c r="BK52" s="117" t="str">
        <f t="shared" si="83"/>
        <v/>
      </c>
      <c r="BL52" s="117" t="str">
        <f t="shared" si="84"/>
        <v xml:space="preserve">tags:
- pt_x000D_
- churches_x000D_
- marian-sites_x000D_
- holy-persons_x000D_
- lucia-dos-santos_x000D_
- francisco-and-jacinta-marto_x000D_
</v>
      </c>
      <c r="BM52" s="120" t="str">
        <f t="shared" si="62"/>
        <v>[Official site](https://www.fatima.pt/)</v>
      </c>
      <c r="BN52" s="120" t="str">
        <f t="shared" si="63"/>
        <v/>
      </c>
      <c r="BO52" s="120" t="str">
        <f t="shared" si="64"/>
        <v/>
      </c>
      <c r="BP52" s="120" t="str">
        <f t="shared" si="65"/>
        <v/>
      </c>
      <c r="BQ52" s="120" t="str">
        <f t="shared" si="85"/>
        <v xml:space="preserve">* [Official site](https://www.fatima.pt/)
</v>
      </c>
      <c r="BR52" s="120" t="str">
        <f t="shared" si="86"/>
        <v>[Link](http://www.therealpresence.org/eucharst/misc/BVM/154_FATIMA_96x96_1.pdf) , [Link](http://www.therealpresence.org/eucharst/misc/BVM/154_FATIMA_140x96_2.pdf), [Link](http://www.therealpresence.org/eucharst/misc/BVM/154_FATIMA_96x96_3.pdf)</v>
      </c>
      <c r="BS52" s="120" t="str">
        <f t="shared" si="87"/>
        <v>[Link](https://www.miraclehunter.com/marian_apparitions/approved_apparitions/fatima/index.html)</v>
      </c>
      <c r="BT52" s="120" t="str">
        <f t="shared" si="88"/>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90"/>
        <v>#VALUE!</v>
      </c>
      <c r="CK52" s="13" t="str">
        <f t="shared" si="91"/>
        <v xml:space="preserve">| [Fatima](/places/places\pt-shrine-of-fatima) </v>
      </c>
      <c r="CL52" s="13" t="str">
        <f>"| "&amp;IF(AS52,GetTagPage(C52,VLOOKUP(C52,'Country Tags'!C:E,3,)),C52)&amp; " "</f>
        <v xml:space="preserve">| [Portugal](/tags/pt) </v>
      </c>
      <c r="CM52" s="13" t="str">
        <f t="shared" si="92"/>
        <v xml:space="preserve">| 1916 </v>
      </c>
      <c r="CN52" s="13" t="str">
        <f t="shared" si="93"/>
        <v xml:space="preserve">| [Link](/places/places\pt-shrine-of-fatima) </v>
      </c>
      <c r="CO52" s="12" t="e">
        <f t="shared" si="94"/>
        <v>#VALUE!</v>
      </c>
    </row>
    <row r="53" spans="1:94" ht="76.5" x14ac:dyDescent="0.4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66"/>
        <v>1</v>
      </c>
      <c r="AT53" s="117" t="str">
        <f t="shared" si="67"/>
        <v>title: "Shrine of Our Lady of Kibeho (Mother of the Word)"</v>
      </c>
      <c r="AU53" s="117" t="str">
        <f t="shared" si="68"/>
        <v>location: {lat: -2.6496097, lng: 29.5532812}</v>
      </c>
      <c r="AV53" s="117" t="str">
        <f t="shared" si="69"/>
        <v>interest: global</v>
      </c>
      <c r="AW53" s="117" t="str">
        <f>"- "&amp;VLOOKUP(C53,'Country Tags'!C:E,3,)</f>
        <v>- rw</v>
      </c>
      <c r="AX53" s="117" t="str">
        <f t="shared" si="70"/>
        <v/>
      </c>
      <c r="AY53" s="117" t="str">
        <f t="shared" si="71"/>
        <v>- churches</v>
      </c>
      <c r="AZ53" s="117" t="str">
        <f t="shared" si="72"/>
        <v>- marian-sites</v>
      </c>
      <c r="BA53" s="117" t="str">
        <f t="shared" si="73"/>
        <v/>
      </c>
      <c r="BB53" s="117" t="str">
        <f t="shared" si="74"/>
        <v/>
      </c>
      <c r="BC53" s="117" t="str">
        <f t="shared" si="75"/>
        <v/>
      </c>
      <c r="BD53" s="117" t="str">
        <f t="shared" si="76"/>
        <v/>
      </c>
      <c r="BE53" s="117" t="str">
        <f t="shared" si="77"/>
        <v/>
      </c>
      <c r="BF53" s="117" t="str">
        <f t="shared" si="78"/>
        <v/>
      </c>
      <c r="BG53" s="117" t="str">
        <f t="shared" si="79"/>
        <v/>
      </c>
      <c r="BH53" s="117" t="str">
        <f t="shared" si="80"/>
        <v/>
      </c>
      <c r="BI53" s="117" t="str">
        <f t="shared" si="81"/>
        <v/>
      </c>
      <c r="BJ53" s="117" t="str">
        <f t="shared" si="82"/>
        <v/>
      </c>
      <c r="BK53" s="117" t="str">
        <f t="shared" si="83"/>
        <v/>
      </c>
      <c r="BL53" s="117" t="str">
        <f t="shared" si="84"/>
        <v xml:space="preserve">tags:
- rw_x000D_
- churches_x000D_
- marian-sites_x000D_
</v>
      </c>
      <c r="BM53" s="120" t="str">
        <f t="shared" si="62"/>
        <v>[Official site](https://kibeho-sanctuary.com/)</v>
      </c>
      <c r="BN53" s="120" t="str">
        <f t="shared" si="63"/>
        <v/>
      </c>
      <c r="BO53" s="120" t="str">
        <f t="shared" si="64"/>
        <v/>
      </c>
      <c r="BP53" s="120" t="str">
        <f t="shared" si="65"/>
        <v/>
      </c>
      <c r="BQ53" s="120" t="str">
        <f t="shared" si="85"/>
        <v xml:space="preserve">* [Official site](https://kibeho-sanctuary.com/)
</v>
      </c>
      <c r="BR53" s="120" t="str">
        <f t="shared" si="86"/>
        <v>[Link](http://www.therealpresence.org/eucharst/misc/BVM/20_KIBEHO_96x96.pdf)</v>
      </c>
      <c r="BS53" s="120" t="str">
        <f t="shared" si="87"/>
        <v>[Link](https://www.miraclehunter.com/marian_apparitions/approved_apparitions/kibeho_rwanda/index.html)</v>
      </c>
      <c r="BT53" s="120" t="str">
        <f t="shared" si="88"/>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90"/>
        <v xml:space="preserve">| </v>
      </c>
      <c r="CK53" s="13" t="str">
        <f t="shared" si="91"/>
        <v xml:space="preserve">| [Kibeho](/places/places\rw-shrine-of-our-lady-of-kibeho) </v>
      </c>
      <c r="CL53" s="13" t="str">
        <f>"| "&amp;IF(AS53,GetTagPage(C53,VLOOKUP(C53,'Country Tags'!C:E,3,)),C53)&amp; " "</f>
        <v xml:space="preserve">| [Rwanda](/tags/rw) </v>
      </c>
      <c r="CM53" s="13" t="str">
        <f t="shared" si="92"/>
        <v xml:space="preserve">| 1981 </v>
      </c>
      <c r="CN53" s="13" t="str">
        <f t="shared" si="93"/>
        <v xml:space="preserve">| [Link](/places/places\rw-shrine-of-our-lady-of-kibeho) </v>
      </c>
      <c r="CO53" s="12" t="str">
        <f t="shared" si="94"/>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4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66"/>
        <v>1</v>
      </c>
      <c r="AT54" s="117" t="str">
        <f t="shared" si="67"/>
        <v>title: "Diocesan Shrine of Mary, Help of Christians"</v>
      </c>
      <c r="AU54" s="117" t="str">
        <f t="shared" si="68"/>
        <v>location: {lat: 45.5929764710798, lng: 19.1905119128275}</v>
      </c>
      <c r="AV54" s="117" t="str">
        <f t="shared" si="69"/>
        <v>interest: global</v>
      </c>
      <c r="AW54" s="117" t="str">
        <f>"- "&amp;VLOOKUP(C54,'Country Tags'!C:E,3,)</f>
        <v>- rs</v>
      </c>
      <c r="AX54" s="117" t="str">
        <f t="shared" si="70"/>
        <v/>
      </c>
      <c r="AY54" s="117" t="str">
        <f t="shared" si="71"/>
        <v>- churches</v>
      </c>
      <c r="AZ54" s="117" t="str">
        <f t="shared" si="72"/>
        <v>- marian-sites</v>
      </c>
      <c r="BA54" s="117" t="str">
        <f t="shared" si="73"/>
        <v/>
      </c>
      <c r="BB54" s="117" t="str">
        <f t="shared" si="74"/>
        <v/>
      </c>
      <c r="BC54" s="117" t="str">
        <f t="shared" si="75"/>
        <v/>
      </c>
      <c r="BD54" s="117" t="str">
        <f t="shared" si="76"/>
        <v/>
      </c>
      <c r="BE54" s="117" t="str">
        <f t="shared" si="77"/>
        <v/>
      </c>
      <c r="BF54" s="117" t="str">
        <f t="shared" si="78"/>
        <v/>
      </c>
      <c r="BG54" s="117" t="str">
        <f t="shared" si="79"/>
        <v/>
      </c>
      <c r="BH54" s="117" t="str">
        <f t="shared" si="80"/>
        <v/>
      </c>
      <c r="BI54" s="117" t="str">
        <f t="shared" si="81"/>
        <v/>
      </c>
      <c r="BJ54" s="117" t="str">
        <f t="shared" si="82"/>
        <v/>
      </c>
      <c r="BK54" s="117" t="str">
        <f t="shared" si="83"/>
        <v/>
      </c>
      <c r="BL54" s="117" t="str">
        <f t="shared" si="84"/>
        <v xml:space="preserve">tags:
- rs_x000D_
- churches_x000D_
- marian-sites_x000D_
</v>
      </c>
      <c r="BM54" s="120" t="str">
        <f t="shared" si="62"/>
        <v>[Official site](https://szentkut.eu/)</v>
      </c>
      <c r="BN54" s="120" t="str">
        <f t="shared" si="63"/>
        <v>[Additional site](https://doroszlo.net/)</v>
      </c>
      <c r="BO54" s="120" t="str">
        <f t="shared" si="64"/>
        <v/>
      </c>
      <c r="BP54" s="120" t="str">
        <f t="shared" si="65"/>
        <v/>
      </c>
      <c r="BQ54" s="120" t="str">
        <f t="shared" si="85"/>
        <v xml:space="preserve">* [Official site](https://szentkut.eu/)
* [Additional site](https://doroszlo.net/)
</v>
      </c>
      <c r="BR54" s="120" t="str">
        <f t="shared" si="86"/>
        <v>[Link](http://www.therealpresence.org/eucharst/misc/BVM/104_DOROSZLO_60x96.pdf)</v>
      </c>
      <c r="BS54" s="120" t="str">
        <f t="shared" si="87"/>
        <v>[Link](https://www.miraclehunter.com/marian_apparitions/approved_apparitions/apparitions_1700-1799.html) (Search "Doroszlo")</v>
      </c>
      <c r="BT54" s="120" t="str">
        <f t="shared" si="88"/>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90"/>
        <v xml:space="preserve">| </v>
      </c>
      <c r="CK54" s="13" t="str">
        <f t="shared" si="91"/>
        <v xml:space="preserve">| [Doroszló](/places/places\rs-shrine-of-mary-help-of-christians) </v>
      </c>
      <c r="CL54" s="13" t="str">
        <f>"| "&amp;IF(AS54,GetTagPage(C54,VLOOKUP(C54,'Country Tags'!C:E,3,)),C54)&amp; " "</f>
        <v xml:space="preserve">| [Serbia](/tags/rs) </v>
      </c>
      <c r="CM54" s="13" t="str">
        <f t="shared" si="92"/>
        <v xml:space="preserve">| 1603 </v>
      </c>
      <c r="CN54" s="13" t="str">
        <f t="shared" si="93"/>
        <v xml:space="preserve">| [Link](/places/places\rs-shrine-of-mary-help-of-christians) </v>
      </c>
      <c r="CO54" s="12" t="str">
        <f t="shared" si="94"/>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4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66"/>
        <v>1</v>
      </c>
      <c r="AT55" s="117" t="str">
        <f t="shared" si="67"/>
        <v>title: "Basilica of the Holy Mother of God"</v>
      </c>
      <c r="AU55" s="117" t="str">
        <f t="shared" si="68"/>
        <v>location: {lat: 45.9989430444559, lng: 13.6553373449013}</v>
      </c>
      <c r="AV55" s="117" t="str">
        <f t="shared" si="69"/>
        <v>interest: global</v>
      </c>
      <c r="AW55" s="117" t="str">
        <f>"- "&amp;VLOOKUP(C55,'Country Tags'!C:E,3,)</f>
        <v>- si</v>
      </c>
      <c r="AX55" s="117" t="str">
        <f t="shared" si="70"/>
        <v/>
      </c>
      <c r="AY55" s="117" t="str">
        <f t="shared" si="71"/>
        <v>- churches</v>
      </c>
      <c r="AZ55" s="117" t="str">
        <f t="shared" si="72"/>
        <v>- marian-sites</v>
      </c>
      <c r="BA55" s="117" t="str">
        <f t="shared" si="73"/>
        <v/>
      </c>
      <c r="BB55" s="117" t="str">
        <f t="shared" si="74"/>
        <v/>
      </c>
      <c r="BC55" s="117" t="str">
        <f t="shared" si="75"/>
        <v/>
      </c>
      <c r="BD55" s="117" t="str">
        <f t="shared" si="76"/>
        <v/>
      </c>
      <c r="BE55" s="117" t="str">
        <f t="shared" si="77"/>
        <v/>
      </c>
      <c r="BF55" s="117" t="str">
        <f t="shared" si="78"/>
        <v/>
      </c>
      <c r="BG55" s="117" t="str">
        <f t="shared" si="79"/>
        <v/>
      </c>
      <c r="BH55" s="117" t="str">
        <f t="shared" si="80"/>
        <v/>
      </c>
      <c r="BI55" s="117" t="str">
        <f t="shared" si="81"/>
        <v/>
      </c>
      <c r="BJ55" s="117" t="str">
        <f t="shared" si="82"/>
        <v/>
      </c>
      <c r="BK55" s="117" t="str">
        <f t="shared" si="83"/>
        <v/>
      </c>
      <c r="BL55" s="117" t="str">
        <f t="shared" si="84"/>
        <v xml:space="preserve">tags:
- si_x000D_
- churches_x000D_
- marian-sites_x000D_
</v>
      </c>
      <c r="BM55" s="120" t="str">
        <f t="shared" si="62"/>
        <v>[Official site](https://svetagora.si/)</v>
      </c>
      <c r="BN55" s="120" t="str">
        <f t="shared" si="63"/>
        <v/>
      </c>
      <c r="BO55" s="120" t="str">
        <f t="shared" si="64"/>
        <v/>
      </c>
      <c r="BP55" s="120" t="str">
        <f t="shared" si="65"/>
        <v/>
      </c>
      <c r="BQ55" s="120" t="str">
        <f t="shared" si="85"/>
        <v xml:space="preserve">* [Official site](https://svetagora.si/)
</v>
      </c>
      <c r="BR55" s="120" t="str">
        <f t="shared" si="86"/>
        <v>[Link](http://www.therealpresence.org/eucharst/misc/BVM/137_SVETA_GORA_60x96.pdf)</v>
      </c>
      <c r="BS55" s="120" t="str">
        <f t="shared" si="87"/>
        <v>[Link](https://www.miraclehunter.com/marian_apparitions/approved_apparitions/apparitions_1500-1599.html) (Search "Sveta Gora")</v>
      </c>
      <c r="BT55" s="120" t="str">
        <f t="shared" si="88"/>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90"/>
        <v xml:space="preserve">| </v>
      </c>
      <c r="CK55" s="13" t="str">
        <f t="shared" si="91"/>
        <v xml:space="preserve">| [Sveta Gora](/places/places\si-basilica-of-the-holy-mother-of-god) </v>
      </c>
      <c r="CL55" s="13" t="str">
        <f>"| "&amp;IF(AS55,GetTagPage(C55,VLOOKUP(C55,'Country Tags'!C:E,3,)),C55)&amp; " "</f>
        <v xml:space="preserve">| [Slovenia](/tags/si) </v>
      </c>
      <c r="CM55" s="13" t="str">
        <f t="shared" si="92"/>
        <v xml:space="preserve">| 1539 </v>
      </c>
      <c r="CN55" s="13" t="str">
        <f t="shared" si="93"/>
        <v xml:space="preserve">| [Link](/places/places\si-basilica-of-the-holy-mother-of-god) </v>
      </c>
      <c r="CO55" s="12" t="str">
        <f t="shared" si="94"/>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4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66"/>
        <v>1</v>
      </c>
      <c r="AT56" s="117" t="str">
        <f t="shared" si="67"/>
        <v>title: "Cathedral-Basilica of Our Lady of the Pillar"</v>
      </c>
      <c r="AU56" s="117" t="str">
        <f t="shared" si="68"/>
        <v>location: {lat: 41.6566567693307, lng: -0.878240620546361}</v>
      </c>
      <c r="AV56" s="117" t="str">
        <f t="shared" si="69"/>
        <v>interest: global</v>
      </c>
      <c r="AW56" s="117" t="str">
        <f>"- "&amp;VLOOKUP(C56,'Country Tags'!C:E,3,)</f>
        <v>- es</v>
      </c>
      <c r="AX56" s="117" t="str">
        <f t="shared" si="70"/>
        <v>- zaragoza</v>
      </c>
      <c r="AY56" s="117" t="str">
        <f t="shared" si="71"/>
        <v>- churches</v>
      </c>
      <c r="AZ56" s="117" t="str">
        <f t="shared" si="72"/>
        <v>- marian-sites</v>
      </c>
      <c r="BA56" s="117" t="str">
        <f t="shared" si="73"/>
        <v>- holy-persons</v>
      </c>
      <c r="BB56" s="117" t="str">
        <f t="shared" si="74"/>
        <v>- james-great</v>
      </c>
      <c r="BC56" s="117" t="str">
        <f t="shared" si="75"/>
        <v>- apostles</v>
      </c>
      <c r="BD56" s="117" t="str">
        <f t="shared" si="76"/>
        <v/>
      </c>
      <c r="BE56" s="117" t="str">
        <f t="shared" si="77"/>
        <v/>
      </c>
      <c r="BF56" s="117" t="str">
        <f t="shared" si="78"/>
        <v/>
      </c>
      <c r="BG56" s="117" t="str">
        <f t="shared" si="79"/>
        <v/>
      </c>
      <c r="BH56" s="117" t="str">
        <f t="shared" si="80"/>
        <v/>
      </c>
      <c r="BI56" s="117" t="str">
        <f t="shared" si="81"/>
        <v/>
      </c>
      <c r="BJ56" s="117" t="str">
        <f t="shared" si="82"/>
        <v/>
      </c>
      <c r="BK56" s="117" t="str">
        <f t="shared" si="83"/>
        <v/>
      </c>
      <c r="BL56" s="117" t="str">
        <f t="shared" si="84"/>
        <v xml:space="preserve">tags:
- es_x000D_
- zaragoza_x000D_
- churches_x000D_
- marian-sites_x000D_
- holy-persons_x000D_
- james-great_x000D_
- apostles_x000D_
</v>
      </c>
      <c r="BM56" s="120" t="str">
        <f t="shared" si="62"/>
        <v>[Official site](https://catedraldezaragoza.es/basilica/)</v>
      </c>
      <c r="BN56" s="120" t="str">
        <f t="shared" si="63"/>
        <v/>
      </c>
      <c r="BO56" s="120" t="str">
        <f t="shared" si="64"/>
        <v/>
      </c>
      <c r="BP56" s="120" t="str">
        <f t="shared" si="65"/>
        <v/>
      </c>
      <c r="BQ56" s="120" t="str">
        <f t="shared" si="85"/>
        <v xml:space="preserve">* [Official site](https://catedraldezaragoza.es/basilica/)
</v>
      </c>
      <c r="BR56" s="120" t="str">
        <f t="shared" si="86"/>
        <v>[Link](http://www.therealpresence.org/eucharst/misc/BVM/09_ZARAGOZA_60x96.pdf)</v>
      </c>
      <c r="BS56" s="120" t="str">
        <f t="shared" si="87"/>
        <v>[Link](https://www.miraclehunter.com/marian_apparitions/approved_apparitions/zaragoza/index.html)</v>
      </c>
      <c r="BT56" s="120" t="str">
        <f t="shared" si="88"/>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90"/>
        <v>#VALUE!</v>
      </c>
      <c r="CK56" s="13" t="str">
        <f t="shared" si="91"/>
        <v xml:space="preserve">| [Zaragoza](/places/places\es-zaragoza-cathedral-basilica-of-our-lady-of-the-pillar) </v>
      </c>
      <c r="CL56" s="13" t="str">
        <f>"| "&amp;IF(AS56,GetTagPage(C56,VLOOKUP(C56,'Country Tags'!C:E,3,)),C56)&amp; " "</f>
        <v xml:space="preserve">| [Spain](/tags/es) </v>
      </c>
      <c r="CM56" s="13" t="str">
        <f t="shared" si="92"/>
        <v xml:space="preserve">| 40 </v>
      </c>
      <c r="CN56" s="13" t="str">
        <f t="shared" si="93"/>
        <v xml:space="preserve">| [Link](/places/places\es-zaragoza-cathedral-basilica-of-our-lady-of-the-pillar) </v>
      </c>
      <c r="CO56" s="12" t="e">
        <f t="shared" si="94"/>
        <v>#VALUE!</v>
      </c>
      <c r="CP56" s="29"/>
    </row>
    <row r="57" spans="1:94" ht="38.25" x14ac:dyDescent="0.4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66"/>
        <v>1</v>
      </c>
      <c r="AT57" s="117" t="str">
        <f t="shared" si="67"/>
        <v>title: "Church and birthplace of St. Teresa of Jesus (Casa Natal Santa Teresa de Jesus)"</v>
      </c>
      <c r="AU57" s="117" t="str">
        <f t="shared" si="68"/>
        <v>location: {lat: 40.6554939834928, lng: -4.70275600839255}</v>
      </c>
      <c r="AV57" s="117" t="str">
        <f t="shared" si="69"/>
        <v>interest: local</v>
      </c>
      <c r="AW57" s="117" t="str">
        <f>"- "&amp;VLOOKUP(C57,'Country Tags'!C:E,3,)</f>
        <v>- es</v>
      </c>
      <c r="AX57" s="117" t="str">
        <f t="shared" si="70"/>
        <v>- avila</v>
      </c>
      <c r="AY57" s="117" t="str">
        <f t="shared" si="71"/>
        <v>- churches</v>
      </c>
      <c r="AZ57" s="117" t="str">
        <f t="shared" si="72"/>
        <v/>
      </c>
      <c r="BA57" s="117" t="str">
        <f t="shared" si="73"/>
        <v>- holy-persons</v>
      </c>
      <c r="BB57" s="117" t="str">
        <f t="shared" si="74"/>
        <v>- teresa-avila</v>
      </c>
      <c r="BC57" s="117" t="str">
        <f t="shared" si="75"/>
        <v>- discalced-carmelites</v>
      </c>
      <c r="BD57" s="117" t="str">
        <f t="shared" si="76"/>
        <v>- communities</v>
      </c>
      <c r="BE57" s="117" t="str">
        <f t="shared" si="77"/>
        <v/>
      </c>
      <c r="BF57" s="117" t="str">
        <f t="shared" si="78"/>
        <v/>
      </c>
      <c r="BG57" s="117" t="str">
        <f t="shared" si="79"/>
        <v/>
      </c>
      <c r="BH57" s="117" t="str">
        <f t="shared" si="80"/>
        <v/>
      </c>
      <c r="BI57" s="117" t="str">
        <f t="shared" si="81"/>
        <v/>
      </c>
      <c r="BJ57" s="117" t="str">
        <f t="shared" si="82"/>
        <v/>
      </c>
      <c r="BK57" s="117" t="str">
        <f t="shared" si="83"/>
        <v/>
      </c>
      <c r="BL57" s="117" t="str">
        <f t="shared" si="84"/>
        <v xml:space="preserve">tags:
- es_x000D_
- avila_x000D_
- churches_x000D_
- holy-persons_x000D_
- teresa-avila_x000D_
- discalced-carmelites_x000D_
- communities_x000D_
</v>
      </c>
      <c r="BM57" s="120" t="str">
        <f t="shared" si="62"/>
        <v>[Official site](https://www.teresadejesus.com/)</v>
      </c>
      <c r="BN57" s="120" t="str">
        <f t="shared" si="63"/>
        <v/>
      </c>
      <c r="BO57" s="120" t="str">
        <f t="shared" si="64"/>
        <v/>
      </c>
      <c r="BP57" s="120" t="str">
        <f t="shared" si="65"/>
        <v/>
      </c>
      <c r="BQ57" s="117" t="str">
        <f t="shared" si="85"/>
        <v xml:space="preserve">* [Official site](https://www.teresadejesus.com/)
</v>
      </c>
      <c r="BR57" s="117" t="str">
        <f t="shared" si="86"/>
        <v/>
      </c>
      <c r="BS57" s="117" t="str">
        <f t="shared" si="87"/>
        <v/>
      </c>
      <c r="BT57" s="117" t="str">
        <f t="shared" si="88"/>
        <v/>
      </c>
      <c r="BU57" s="117" t="str">
        <f>IF(LEN(_xludf.concat(BR57:BT57))&gt;0,_xludf.concat("| ",BR57," | ",BS57," | ",BT57," |"),"")</f>
        <v/>
      </c>
      <c r="BV57" s="117" t="str">
        <f t="shared" si="89"/>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90"/>
        <v>#VALUE!</v>
      </c>
      <c r="CK57" s="12" t="str">
        <f t="shared" si="91"/>
        <v xml:space="preserve">| [](/places/places\es-avila-casa-natal-santa-teresa-de-jesus) </v>
      </c>
      <c r="CL57" s="13" t="str">
        <f>"| "&amp;IF(AS57,GetTagPage(C57,VLOOKUP(C57,'Country Tags'!C:E,3,)),C57)&amp; " "</f>
        <v xml:space="preserve">| [Spain](/tags/es) </v>
      </c>
      <c r="CM57" s="12" t="str">
        <f t="shared" si="92"/>
        <v xml:space="preserve">|  </v>
      </c>
      <c r="CN57" s="12" t="str">
        <f t="shared" si="93"/>
        <v xml:space="preserve">| [Link](/places/places\es-avila-casa-natal-santa-teresa-de-jesus) </v>
      </c>
      <c r="CO57" s="12" t="e">
        <f t="shared" si="94"/>
        <v>#VALUE!</v>
      </c>
    </row>
    <row r="58" spans="1:94" ht="102" x14ac:dyDescent="0.4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66"/>
        <v>1</v>
      </c>
      <c r="AT58" s="117" t="str">
        <f t="shared" si="67"/>
        <v>title: "Monastery of the Incarnation (Monasterio de La Encarnacion)"</v>
      </c>
      <c r="AU58" s="117" t="str">
        <f t="shared" si="68"/>
        <v>location: {lat: 40.6628280445414, lng: -4.6997760138996}</v>
      </c>
      <c r="AV58" s="117" t="str">
        <f t="shared" si="69"/>
        <v>interest: local</v>
      </c>
      <c r="AW58" s="117" t="str">
        <f>"- "&amp;VLOOKUP(C58,'Country Tags'!C:E,3,)</f>
        <v>- es</v>
      </c>
      <c r="AX58" s="117" t="str">
        <f t="shared" si="70"/>
        <v>- avila</v>
      </c>
      <c r="AY58" s="117" t="str">
        <f t="shared" si="71"/>
        <v>- churches</v>
      </c>
      <c r="AZ58" s="117" t="str">
        <f t="shared" si="72"/>
        <v/>
      </c>
      <c r="BA58" s="117" t="str">
        <f t="shared" si="73"/>
        <v>- holy-persons</v>
      </c>
      <c r="BB58" s="117" t="str">
        <f t="shared" si="74"/>
        <v>- teresa-avila</v>
      </c>
      <c r="BC58" s="117" t="str">
        <f t="shared" si="75"/>
        <v>- discalced-carmelites</v>
      </c>
      <c r="BD58" s="117" t="str">
        <f t="shared" si="76"/>
        <v>- communities</v>
      </c>
      <c r="BE58" s="117" t="str">
        <f t="shared" si="77"/>
        <v>- john-cross</v>
      </c>
      <c r="BF58" s="117" t="str">
        <f t="shared" si="78"/>
        <v/>
      </c>
      <c r="BG58" s="117" t="str">
        <f t="shared" si="79"/>
        <v/>
      </c>
      <c r="BH58" s="117" t="str">
        <f t="shared" si="80"/>
        <v/>
      </c>
      <c r="BI58" s="117" t="str">
        <f t="shared" si="81"/>
        <v/>
      </c>
      <c r="BJ58" s="117" t="str">
        <f t="shared" si="82"/>
        <v/>
      </c>
      <c r="BK58" s="117" t="str">
        <f t="shared" si="83"/>
        <v/>
      </c>
      <c r="BL58" s="117" t="str">
        <f t="shared" si="84"/>
        <v xml:space="preserve">tags:
- es_x000D_
- avila_x000D_
- churches_x000D_
- holy-persons_x000D_
- teresa-avila_x000D_
- discalced-carmelites_x000D_
- communities_x000D_
- john-cross_x000D_
</v>
      </c>
      <c r="BM58" s="120" t="str">
        <f t="shared" si="62"/>
        <v/>
      </c>
      <c r="BN58" s="120" t="str">
        <f t="shared" si="63"/>
        <v>[Avila tourism site](https://www.avilaturismo.com/en/monatery-of-la-encarnacion)</v>
      </c>
      <c r="BO58" s="120" t="str">
        <f t="shared" si="64"/>
        <v/>
      </c>
      <c r="BP58" s="120" t="str">
        <f t="shared" si="65"/>
        <v/>
      </c>
      <c r="BQ58" s="117" t="str">
        <f t="shared" si="85"/>
        <v xml:space="preserve">* [Avila tourism site](https://www.avilaturismo.com/en/monatery-of-la-encarnacion)
</v>
      </c>
      <c r="BR58" s="117" t="str">
        <f t="shared" si="86"/>
        <v/>
      </c>
      <c r="BS58" s="117" t="str">
        <f t="shared" si="87"/>
        <v/>
      </c>
      <c r="BT58" s="117" t="str">
        <f t="shared" si="88"/>
        <v/>
      </c>
      <c r="BU58" s="117" t="str">
        <f>IF(LEN(_xludf.concat(BR58:BT58))&gt;0,_xludf.concat("| ",BR58," | ",BS58," | ",BT58," |"),"")</f>
        <v/>
      </c>
      <c r="BV58" s="117" t="str">
        <f t="shared" si="89"/>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90"/>
        <v>#VALUE!</v>
      </c>
      <c r="CK58" s="12" t="str">
        <f t="shared" si="91"/>
        <v xml:space="preserve">| [](/places/places\es-avila-monasterio-de-la-encarnacion) </v>
      </c>
      <c r="CL58" s="13" t="str">
        <f>"| "&amp;IF(AS58,GetTagPage(C58,VLOOKUP(C58,'Country Tags'!C:E,3,)),C58)&amp; " "</f>
        <v xml:space="preserve">| [Spain](/tags/es) </v>
      </c>
      <c r="CM58" s="12" t="str">
        <f t="shared" si="92"/>
        <v xml:space="preserve">|  </v>
      </c>
      <c r="CN58" s="12" t="str">
        <f t="shared" si="93"/>
        <v xml:space="preserve">| [Link](/places/places\es-avila-monasterio-de-la-encarnacion) </v>
      </c>
      <c r="CO58" s="12" t="e">
        <f t="shared" si="94"/>
        <v>#VALUE!</v>
      </c>
    </row>
    <row r="59" spans="1:94" ht="38.25" x14ac:dyDescent="0.4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66"/>
        <v>1</v>
      </c>
      <c r="AT59" s="117" t="str">
        <f t="shared" si="67"/>
        <v>title: "Convento de San Jose, Avila"</v>
      </c>
      <c r="AU59" s="117" t="str">
        <f t="shared" si="68"/>
        <v>location: {lat: 40.6550979257916, lng: -4.69193607128771}</v>
      </c>
      <c r="AV59" s="117" t="str">
        <f t="shared" si="69"/>
        <v>interest: local</v>
      </c>
      <c r="AW59" s="117" t="str">
        <f>"- "&amp;VLOOKUP(C59,'Country Tags'!C:E,3,)</f>
        <v>- es</v>
      </c>
      <c r="AX59" s="117" t="str">
        <f t="shared" si="70"/>
        <v>- avila</v>
      </c>
      <c r="AY59" s="117" t="str">
        <f t="shared" si="71"/>
        <v>- churches</v>
      </c>
      <c r="AZ59" s="117" t="str">
        <f t="shared" si="72"/>
        <v/>
      </c>
      <c r="BA59" s="117" t="str">
        <f t="shared" si="73"/>
        <v>- holy-persons</v>
      </c>
      <c r="BB59" s="117" t="str">
        <f t="shared" si="74"/>
        <v>- teresa-avila</v>
      </c>
      <c r="BC59" s="117" t="str">
        <f t="shared" si="75"/>
        <v>- discalced-carmelites</v>
      </c>
      <c r="BD59" s="117" t="str">
        <f t="shared" si="76"/>
        <v>- communities</v>
      </c>
      <c r="BE59" s="117" t="str">
        <f t="shared" si="77"/>
        <v/>
      </c>
      <c r="BF59" s="117" t="str">
        <f t="shared" si="78"/>
        <v/>
      </c>
      <c r="BG59" s="117" t="str">
        <f t="shared" si="79"/>
        <v/>
      </c>
      <c r="BH59" s="117" t="str">
        <f t="shared" si="80"/>
        <v/>
      </c>
      <c r="BI59" s="117" t="str">
        <f t="shared" si="81"/>
        <v/>
      </c>
      <c r="BJ59" s="117" t="str">
        <f t="shared" si="82"/>
        <v/>
      </c>
      <c r="BK59" s="117" t="str">
        <f t="shared" si="83"/>
        <v/>
      </c>
      <c r="BL59" s="117" t="str">
        <f t="shared" si="84"/>
        <v xml:space="preserve">tags:
- es_x000D_
- avila_x000D_
- churches_x000D_
- holy-persons_x000D_
- teresa-avila_x000D_
- discalced-carmelites_x000D_
- communities_x000D_
</v>
      </c>
      <c r="BM59" s="120" t="str">
        <f t="shared" si="62"/>
        <v>[Official site](http://www.sanjosedeavila.es/) - Note: website not active at time of writing</v>
      </c>
      <c r="BN59" s="120" t="str">
        <f t="shared" si="63"/>
        <v>[Avila tourism site](https://www.avilaturismo.com/en/convent-and-church-of-san-jose)</v>
      </c>
      <c r="BO59" s="120" t="str">
        <f t="shared" si="64"/>
        <v/>
      </c>
      <c r="BP59" s="120" t="str">
        <f t="shared" si="65"/>
        <v/>
      </c>
      <c r="BQ59" s="117" t="str">
        <f t="shared" si="85"/>
        <v xml:space="preserve">* [Official site](http://www.sanjosedeavila.es/) - Note: website not active at time of writing
* [Avila tourism site](https://www.avilaturismo.com/en/convent-and-church-of-san-jose)
</v>
      </c>
      <c r="BR59" s="117" t="str">
        <f t="shared" si="86"/>
        <v/>
      </c>
      <c r="BS59" s="117" t="str">
        <f t="shared" si="87"/>
        <v/>
      </c>
      <c r="BT59" s="117" t="str">
        <f t="shared" si="88"/>
        <v/>
      </c>
      <c r="BU59" s="117" t="str">
        <f>IF(LEN(_xludf.concat(BR59:BT59))&gt;0,_xludf.concat("| ",BR59," | ",BS59," | ",BT59," |"),"")</f>
        <v/>
      </c>
      <c r="BV59" s="117" t="str">
        <f t="shared" si="89"/>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90"/>
        <v>#VALUE!</v>
      </c>
      <c r="CK59" s="12" t="str">
        <f t="shared" si="91"/>
        <v xml:space="preserve">| [](/places/places\es-avila-convento-de-san-jose) </v>
      </c>
      <c r="CL59" s="13" t="str">
        <f>"| "&amp;IF(AS59,GetTagPage(C59,VLOOKUP(C59,'Country Tags'!C:E,3,)),C59)&amp; " "</f>
        <v xml:space="preserve">| [Spain](/tags/es) </v>
      </c>
      <c r="CM59" s="12" t="str">
        <f t="shared" si="92"/>
        <v xml:space="preserve">|  </v>
      </c>
      <c r="CN59" s="12" t="str">
        <f t="shared" si="93"/>
        <v xml:space="preserve">| [Link](/places/places\es-avila-convento-de-san-jose) </v>
      </c>
      <c r="CO59" s="12" t="e">
        <f t="shared" si="94"/>
        <v>#VALUE!</v>
      </c>
    </row>
    <row r="60" spans="1:94" ht="51" x14ac:dyDescent="0.4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66"/>
        <v>1</v>
      </c>
      <c r="AT60" s="117" t="str">
        <f t="shared" si="67"/>
        <v>title: "Convento de San Jose, Medina del Campo"</v>
      </c>
      <c r="AU60" s="117" t="str">
        <f t="shared" si="68"/>
        <v>location: {lat: 41.3113998473347, lng: -4.91932488465537}</v>
      </c>
      <c r="AV60" s="117" t="str">
        <f t="shared" si="69"/>
        <v>interest: local</v>
      </c>
      <c r="AW60" s="117" t="str">
        <f>"- "&amp;VLOOKUP(C60,'Country Tags'!C:E,3,)</f>
        <v>- es</v>
      </c>
      <c r="AX60" s="117" t="str">
        <f t="shared" si="70"/>
        <v>- medina-del-campo</v>
      </c>
      <c r="AY60" s="117" t="str">
        <f t="shared" si="71"/>
        <v>- churches</v>
      </c>
      <c r="AZ60" s="117" t="str">
        <f t="shared" si="72"/>
        <v/>
      </c>
      <c r="BA60" s="117" t="str">
        <f t="shared" si="73"/>
        <v>- holy-persons</v>
      </c>
      <c r="BB60" s="117" t="str">
        <f t="shared" si="74"/>
        <v>- teresa-avila</v>
      </c>
      <c r="BC60" s="117" t="str">
        <f t="shared" si="75"/>
        <v>- discalced-carmelites</v>
      </c>
      <c r="BD60" s="117" t="str">
        <f t="shared" si="76"/>
        <v>- communities</v>
      </c>
      <c r="BE60" s="117" t="str">
        <f t="shared" si="77"/>
        <v>- john-cross</v>
      </c>
      <c r="BF60" s="117" t="str">
        <f t="shared" si="78"/>
        <v/>
      </c>
      <c r="BG60" s="117" t="str">
        <f t="shared" si="79"/>
        <v/>
      </c>
      <c r="BH60" s="117" t="str">
        <f t="shared" si="80"/>
        <v/>
      </c>
      <c r="BI60" s="117" t="str">
        <f t="shared" si="81"/>
        <v/>
      </c>
      <c r="BJ60" s="117" t="str">
        <f t="shared" si="82"/>
        <v/>
      </c>
      <c r="BK60" s="117" t="str">
        <f t="shared" si="83"/>
        <v/>
      </c>
      <c r="BL60" s="117" t="str">
        <f t="shared" si="84"/>
        <v xml:space="preserve">tags:
- es_x000D_
- medina-del-campo_x000D_
- churches_x000D_
- holy-persons_x000D_
- teresa-avila_x000D_
- discalced-carmelites_x000D_
- communities_x000D_
- john-cross_x000D_
</v>
      </c>
      <c r="BM60" s="120" t="str">
        <f t="shared" si="62"/>
        <v/>
      </c>
      <c r="BN60" s="120" t="str">
        <f t="shared" si="63"/>
        <v>[Castila y Leon tourism site](https://www.turismocastillayleon.com/en/art-culture-heritage/museums/teresian-museum-san-jose-medina-del-campo-m-m-carmelitas)</v>
      </c>
      <c r="BO60" s="120" t="str">
        <f t="shared" si="64"/>
        <v>[Medina del Campo tourism site](http://medinadelcampo.es/lo-indispensable/donde-la-historia-cobra-vida/23-lo-indispensable/donde-la-historia-cobra-vida/367-convento-san-juan-de-la-cruz-ruta-teresiana) - Note: website not active at time of writing</v>
      </c>
      <c r="BP60" s="120" t="str">
        <f t="shared" si="65"/>
        <v/>
      </c>
      <c r="BQ60" s="117"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86"/>
        <v/>
      </c>
      <c r="BS60" s="117" t="str">
        <f t="shared" si="87"/>
        <v/>
      </c>
      <c r="BT60" s="117" t="str">
        <f t="shared" si="88"/>
        <v/>
      </c>
      <c r="BU60" s="117" t="str">
        <f>IF(LEN(_xludf.concat(BR60:BT60))&gt;0,_xludf.concat("| ",BR60," | ",BS60," | ",BT60," |"),"")</f>
        <v/>
      </c>
      <c r="BV60" s="117" t="str">
        <f t="shared" si="89"/>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90"/>
        <v>#VALUE!</v>
      </c>
      <c r="CK60" s="12" t="str">
        <f t="shared" si="91"/>
        <v xml:space="preserve">| [](/places/places\es-medina-del-campo-convento-de-san-jose) </v>
      </c>
      <c r="CL60" s="13" t="str">
        <f>"| "&amp;IF(AS60,GetTagPage(C60,VLOOKUP(C60,'Country Tags'!C:E,3,)),C60)&amp; " "</f>
        <v xml:space="preserve">| [Spain](/tags/es) </v>
      </c>
      <c r="CM60" s="12" t="str">
        <f t="shared" si="92"/>
        <v xml:space="preserve">|  </v>
      </c>
      <c r="CN60" s="12" t="str">
        <f t="shared" si="93"/>
        <v xml:space="preserve">| [Link](/places/places\es-medina-del-campo-convento-de-san-jose) </v>
      </c>
      <c r="CO60" s="12" t="e">
        <f t="shared" si="94"/>
        <v>#VALUE!</v>
      </c>
    </row>
    <row r="61" spans="1:94" x14ac:dyDescent="0.4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66"/>
        <v>1</v>
      </c>
      <c r="AT61" s="117" t="str">
        <f t="shared" si="67"/>
        <v>title: "Convento de San Jose, Malagon"</v>
      </c>
      <c r="AU61" s="117" t="str">
        <f t="shared" si="68"/>
        <v>location: {lat: 39.1728365063378, lng: -3.85185117116384}</v>
      </c>
      <c r="AV61" s="117" t="str">
        <f t="shared" si="69"/>
        <v>interest: local</v>
      </c>
      <c r="AW61" s="117" t="str">
        <f>"- "&amp;VLOOKUP(C61,'Country Tags'!C:E,3,)</f>
        <v>- es</v>
      </c>
      <c r="AX61" s="117" t="str">
        <f t="shared" si="70"/>
        <v>- malagon</v>
      </c>
      <c r="AY61" s="117" t="str">
        <f t="shared" si="71"/>
        <v>- churches</v>
      </c>
      <c r="AZ61" s="117" t="str">
        <f t="shared" si="72"/>
        <v/>
      </c>
      <c r="BA61" s="117" t="str">
        <f t="shared" si="73"/>
        <v>- holy-persons</v>
      </c>
      <c r="BB61" s="117" t="str">
        <f t="shared" si="74"/>
        <v>- teresa-avila</v>
      </c>
      <c r="BC61" s="117" t="str">
        <f t="shared" si="75"/>
        <v>- discalced-carmelites</v>
      </c>
      <c r="BD61" s="117" t="str">
        <f t="shared" si="76"/>
        <v>- communities</v>
      </c>
      <c r="BE61" s="117" t="str">
        <f t="shared" si="77"/>
        <v/>
      </c>
      <c r="BF61" s="117" t="str">
        <f t="shared" si="78"/>
        <v/>
      </c>
      <c r="BG61" s="117" t="str">
        <f t="shared" si="79"/>
        <v/>
      </c>
      <c r="BH61" s="117" t="str">
        <f t="shared" si="80"/>
        <v/>
      </c>
      <c r="BI61" s="117" t="str">
        <f t="shared" si="81"/>
        <v/>
      </c>
      <c r="BJ61" s="117" t="str">
        <f t="shared" si="82"/>
        <v/>
      </c>
      <c r="BK61" s="117" t="str">
        <f t="shared" si="83"/>
        <v/>
      </c>
      <c r="BL61" s="117" t="str">
        <f t="shared" si="84"/>
        <v xml:space="preserve">tags:
- es_x000D_
- malagon_x000D_
- churches_x000D_
- holy-persons_x000D_
- teresa-avila_x000D_
- discalced-carmelites_x000D_
- communities_x000D_
</v>
      </c>
      <c r="BM61" s="120" t="str">
        <f t="shared" si="62"/>
        <v/>
      </c>
      <c r="BN61" s="120" t="str">
        <f t="shared" si="63"/>
        <v/>
      </c>
      <c r="BO61" s="120" t="str">
        <f t="shared" si="64"/>
        <v/>
      </c>
      <c r="BP61" s="120" t="str">
        <f t="shared" si="65"/>
        <v/>
      </c>
      <c r="BQ61" s="117" t="str">
        <f t="shared" si="85"/>
        <v/>
      </c>
      <c r="BR61" s="117" t="str">
        <f t="shared" si="86"/>
        <v/>
      </c>
      <c r="BS61" s="117" t="str">
        <f t="shared" si="87"/>
        <v/>
      </c>
      <c r="BT61" s="117" t="str">
        <f t="shared" si="88"/>
        <v/>
      </c>
      <c r="BU61" s="117" t="str">
        <f>IF(LEN(_xludf.concat(BR61:BT61))&gt;0,_xludf.concat("| ",BR61," | ",BS61," | ",BT61," |"),"")</f>
        <v/>
      </c>
      <c r="BV61" s="117" t="str">
        <f t="shared" si="89"/>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90"/>
        <v>#VALUE!</v>
      </c>
      <c r="CK61" s="12" t="str">
        <f t="shared" si="91"/>
        <v xml:space="preserve">| [](/places/places\es-malagon-convento-de-san-jose) </v>
      </c>
      <c r="CL61" s="13" t="str">
        <f>"| "&amp;IF(AS61,GetTagPage(C61,VLOOKUP(C61,'Country Tags'!C:E,3,)),C61)&amp; " "</f>
        <v xml:space="preserve">| [Spain](/tags/es) </v>
      </c>
      <c r="CM61" s="12" t="str">
        <f t="shared" si="92"/>
        <v xml:space="preserve">|  </v>
      </c>
      <c r="CN61" s="12" t="str">
        <f t="shared" si="93"/>
        <v xml:space="preserve">| [Link](/places/places\es-malagon-convento-de-san-jose) </v>
      </c>
      <c r="CO61" s="12" t="e">
        <f t="shared" si="94"/>
        <v>#VALUE!</v>
      </c>
    </row>
    <row r="62" spans="1:94" x14ac:dyDescent="0.4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66"/>
        <v>1</v>
      </c>
      <c r="AT62" s="117" t="str">
        <f t="shared" si="67"/>
        <v>title: "Convento de Santa Teresa, Valladolid"</v>
      </c>
      <c r="AU62" s="117" t="str">
        <f t="shared" si="68"/>
        <v>location: {lat: 41.6598863777792, lng: -4.72687771534462}</v>
      </c>
      <c r="AV62" s="117" t="str">
        <f t="shared" si="69"/>
        <v>interest: local</v>
      </c>
      <c r="AW62" s="117" t="str">
        <f>"- "&amp;VLOOKUP(C62,'Country Tags'!C:E,3,)</f>
        <v>- es</v>
      </c>
      <c r="AX62" s="117" t="str">
        <f t="shared" si="70"/>
        <v>- valladolid</v>
      </c>
      <c r="AY62" s="117" t="str">
        <f t="shared" si="71"/>
        <v>- churches</v>
      </c>
      <c r="AZ62" s="117" t="str">
        <f t="shared" si="72"/>
        <v/>
      </c>
      <c r="BA62" s="117" t="str">
        <f t="shared" si="73"/>
        <v>- holy-persons</v>
      </c>
      <c r="BB62" s="117" t="str">
        <f t="shared" si="74"/>
        <v>- teresa-avila</v>
      </c>
      <c r="BC62" s="117" t="str">
        <f t="shared" si="75"/>
        <v>- discalced-carmelites</v>
      </c>
      <c r="BD62" s="117" t="str">
        <f t="shared" si="76"/>
        <v>- communities</v>
      </c>
      <c r="BE62" s="117" t="str">
        <f t="shared" si="77"/>
        <v/>
      </c>
      <c r="BF62" s="117" t="str">
        <f t="shared" si="78"/>
        <v/>
      </c>
      <c r="BG62" s="117" t="str">
        <f t="shared" si="79"/>
        <v/>
      </c>
      <c r="BH62" s="117" t="str">
        <f t="shared" si="80"/>
        <v/>
      </c>
      <c r="BI62" s="117" t="str">
        <f t="shared" si="81"/>
        <v/>
      </c>
      <c r="BJ62" s="117" t="str">
        <f t="shared" si="82"/>
        <v/>
      </c>
      <c r="BK62" s="117" t="str">
        <f t="shared" si="83"/>
        <v/>
      </c>
      <c r="BL62" s="117" t="str">
        <f t="shared" si="84"/>
        <v xml:space="preserve">tags:
- es_x000D_
- valladolid_x000D_
- churches_x000D_
- holy-persons_x000D_
- teresa-avila_x000D_
- discalced-carmelites_x000D_
- communities_x000D_
</v>
      </c>
      <c r="BM62" s="120" t="str">
        <f t="shared" si="62"/>
        <v/>
      </c>
      <c r="BN62" s="120" t="str">
        <f t="shared" si="63"/>
        <v/>
      </c>
      <c r="BO62" s="120" t="str">
        <f t="shared" si="64"/>
        <v/>
      </c>
      <c r="BP62" s="120" t="str">
        <f t="shared" si="65"/>
        <v/>
      </c>
      <c r="BQ62" s="117" t="str">
        <f t="shared" si="85"/>
        <v/>
      </c>
      <c r="BR62" s="117" t="str">
        <f t="shared" si="86"/>
        <v/>
      </c>
      <c r="BS62" s="117" t="str">
        <f t="shared" si="87"/>
        <v/>
      </c>
      <c r="BT62" s="117" t="str">
        <f t="shared" si="88"/>
        <v/>
      </c>
      <c r="BU62" s="117" t="str">
        <f>IF(LEN(_xludf.concat(BR62:BT62))&gt;0,_xludf.concat("| ",BR62," | ",BS62," | ",BT62," |"),"")</f>
        <v/>
      </c>
      <c r="BV62" s="117" t="str">
        <f t="shared" si="89"/>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90"/>
        <v>#VALUE!</v>
      </c>
      <c r="CK62" s="12" t="str">
        <f t="shared" si="91"/>
        <v xml:space="preserve">| [](/places/places\es-valladolid-convento-de-santa-teresa) </v>
      </c>
      <c r="CL62" s="13" t="str">
        <f>"| "&amp;IF(AS62,GetTagPage(C62,VLOOKUP(C62,'Country Tags'!C:E,3,)),C62)&amp; " "</f>
        <v xml:space="preserve">| [Spain](/tags/es) </v>
      </c>
      <c r="CM62" s="12" t="str">
        <f t="shared" si="92"/>
        <v xml:space="preserve">|  </v>
      </c>
      <c r="CN62" s="12" t="str">
        <f t="shared" si="93"/>
        <v xml:space="preserve">| [Link](/places/places\es-valladolid-convento-de-santa-teresa) </v>
      </c>
      <c r="CO62" s="12" t="e">
        <f t="shared" si="94"/>
        <v>#VALUE!</v>
      </c>
    </row>
    <row r="63" spans="1:94" x14ac:dyDescent="0.4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66"/>
        <v>1</v>
      </c>
      <c r="AT63" s="117" t="str">
        <f t="shared" si="67"/>
        <v>title: "Convento de San Jose, Toledo"</v>
      </c>
      <c r="AU63" s="117" t="str">
        <f t="shared" si="68"/>
        <v>location: {lat: 39.8603574994518, lng: -4.02473433549618}</v>
      </c>
      <c r="AV63" s="117" t="str">
        <f t="shared" si="69"/>
        <v>interest: local</v>
      </c>
      <c r="AW63" s="117" t="str">
        <f>"- "&amp;VLOOKUP(C63,'Country Tags'!C:E,3,)</f>
        <v>- es</v>
      </c>
      <c r="AX63" s="117" t="str">
        <f t="shared" si="70"/>
        <v>- toledo</v>
      </c>
      <c r="AY63" s="117" t="str">
        <f t="shared" si="71"/>
        <v>- churches</v>
      </c>
      <c r="AZ63" s="117" t="str">
        <f t="shared" si="72"/>
        <v/>
      </c>
      <c r="BA63" s="117" t="str">
        <f t="shared" si="73"/>
        <v>- holy-persons</v>
      </c>
      <c r="BB63" s="117" t="str">
        <f t="shared" si="74"/>
        <v>- teresa-avila</v>
      </c>
      <c r="BC63" s="117" t="str">
        <f t="shared" si="75"/>
        <v>- discalced-carmelites</v>
      </c>
      <c r="BD63" s="117" t="str">
        <f t="shared" si="76"/>
        <v>- communities</v>
      </c>
      <c r="BE63" s="117" t="str">
        <f t="shared" si="77"/>
        <v/>
      </c>
      <c r="BF63" s="117" t="str">
        <f t="shared" si="78"/>
        <v/>
      </c>
      <c r="BG63" s="117" t="str">
        <f t="shared" si="79"/>
        <v/>
      </c>
      <c r="BH63" s="117" t="str">
        <f t="shared" si="80"/>
        <v/>
      </c>
      <c r="BI63" s="117" t="str">
        <f t="shared" si="81"/>
        <v/>
      </c>
      <c r="BJ63" s="117" t="str">
        <f t="shared" si="82"/>
        <v/>
      </c>
      <c r="BK63" s="117" t="str">
        <f t="shared" si="83"/>
        <v/>
      </c>
      <c r="BL63" s="117" t="str">
        <f t="shared" si="84"/>
        <v xml:space="preserve">tags:
- es_x000D_
- toledo_x000D_
- churches_x000D_
- holy-persons_x000D_
- teresa-avila_x000D_
- discalced-carmelites_x000D_
- communities_x000D_
</v>
      </c>
      <c r="BM63" s="120" t="str">
        <f t="shared" si="62"/>
        <v/>
      </c>
      <c r="BN63" s="120" t="str">
        <f t="shared" si="63"/>
        <v/>
      </c>
      <c r="BO63" s="120" t="str">
        <f t="shared" si="64"/>
        <v/>
      </c>
      <c r="BP63" s="120" t="str">
        <f t="shared" si="65"/>
        <v/>
      </c>
      <c r="BQ63" s="117" t="str">
        <f t="shared" si="85"/>
        <v/>
      </c>
      <c r="BR63" s="117" t="str">
        <f t="shared" si="86"/>
        <v/>
      </c>
      <c r="BS63" s="117" t="str">
        <f t="shared" si="87"/>
        <v/>
      </c>
      <c r="BT63" s="117" t="str">
        <f t="shared" si="88"/>
        <v/>
      </c>
      <c r="BU63" s="117" t="str">
        <f>IF(LEN(_xludf.concat(BR63:BT63))&gt;0,_xludf.concat("| ",BR63," | ",BS63," | ",BT63," |"),"")</f>
        <v/>
      </c>
      <c r="BV63" s="117" t="str">
        <f t="shared" si="89"/>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90"/>
        <v>#VALUE!</v>
      </c>
      <c r="CK63" s="12" t="str">
        <f t="shared" si="91"/>
        <v xml:space="preserve">| [](/places/places\es-toledo-convento-de-san-jose) </v>
      </c>
      <c r="CL63" s="13" t="str">
        <f>"| "&amp;IF(AS63,GetTagPage(C63,VLOOKUP(C63,'Country Tags'!C:E,3,)),C63)&amp; " "</f>
        <v xml:space="preserve">| [Spain](/tags/es) </v>
      </c>
      <c r="CM63" s="12" t="str">
        <f t="shared" si="92"/>
        <v xml:space="preserve">|  </v>
      </c>
      <c r="CN63" s="12" t="str">
        <f t="shared" si="93"/>
        <v xml:space="preserve">| [Link](/places/places\es-toledo-convento-de-san-jose) </v>
      </c>
      <c r="CO63" s="12" t="e">
        <f t="shared" si="94"/>
        <v>#VALUE!</v>
      </c>
    </row>
    <row r="64" spans="1:94" ht="89.25" x14ac:dyDescent="0.4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66"/>
        <v>1</v>
      </c>
      <c r="AT64" s="117" t="str">
        <f t="shared" si="67"/>
        <v>title: "Convento del Carmen, Pastrana"</v>
      </c>
      <c r="AU64" s="117" t="str">
        <f t="shared" si="68"/>
        <v>location: {lat: 40.4050876865406, lng: -2.91725329352686}</v>
      </c>
      <c r="AV64" s="117" t="str">
        <f t="shared" si="69"/>
        <v>interest: local</v>
      </c>
      <c r="AW64" s="117" t="str">
        <f>"- "&amp;VLOOKUP(C64,'Country Tags'!C:E,3,)</f>
        <v>- es</v>
      </c>
      <c r="AX64" s="117" t="str">
        <f t="shared" si="70"/>
        <v>- pastrana</v>
      </c>
      <c r="AY64" s="117" t="str">
        <f t="shared" si="71"/>
        <v>- churches</v>
      </c>
      <c r="AZ64" s="117" t="str">
        <f t="shared" si="72"/>
        <v/>
      </c>
      <c r="BA64" s="117" t="str">
        <f t="shared" si="73"/>
        <v>- holy-persons</v>
      </c>
      <c r="BB64" s="117" t="str">
        <f t="shared" si="74"/>
        <v>- teresa-avila</v>
      </c>
      <c r="BC64" s="117" t="str">
        <f t="shared" si="75"/>
        <v>- discalced-carmelites</v>
      </c>
      <c r="BD64" s="117" t="str">
        <f t="shared" si="76"/>
        <v>- communities</v>
      </c>
      <c r="BE64" s="117" t="str">
        <f t="shared" si="77"/>
        <v>- conceptionists</v>
      </c>
      <c r="BF64" s="117" t="str">
        <f t="shared" si="78"/>
        <v>- john-cross</v>
      </c>
      <c r="BG64" s="117" t="str">
        <f t="shared" si="79"/>
        <v/>
      </c>
      <c r="BH64" s="117" t="str">
        <f t="shared" si="80"/>
        <v/>
      </c>
      <c r="BI64" s="117" t="str">
        <f t="shared" si="81"/>
        <v/>
      </c>
      <c r="BJ64" s="117" t="str">
        <f t="shared" si="82"/>
        <v/>
      </c>
      <c r="BK64" s="117" t="str">
        <f t="shared" si="83"/>
        <v/>
      </c>
      <c r="BL64" s="117" t="str">
        <f t="shared" si="84"/>
        <v xml:space="preserve">tags:
- es_x000D_
- pastrana_x000D_
- churches_x000D_
- holy-persons_x000D_
- teresa-avila_x000D_
- discalced-carmelites_x000D_
- communities_x000D_
- conceptionists_x000D_
- john-cross_x000D_
</v>
      </c>
      <c r="BM64" s="120" t="str">
        <f t="shared" si="62"/>
        <v/>
      </c>
      <c r="BN64" s="120" t="str">
        <f t="shared" si="63"/>
        <v>[Pastrana tourism site](https://turismo.pastrana.org/destino-pastrana/monumentos-pastrana-visitas-culturales/convento-del-carmen/)</v>
      </c>
      <c r="BO64" s="120" t="str">
        <f t="shared" si="64"/>
        <v/>
      </c>
      <c r="BP64" s="120" t="str">
        <f t="shared" si="65"/>
        <v/>
      </c>
      <c r="BQ64" s="117" t="str">
        <f t="shared" si="85"/>
        <v xml:space="preserve">* [Pastrana tourism site](https://turismo.pastrana.org/destino-pastrana/monumentos-pastrana-visitas-culturales/convento-del-carmen/)
</v>
      </c>
      <c r="BR64" s="117" t="str">
        <f t="shared" si="86"/>
        <v/>
      </c>
      <c r="BS64" s="117" t="str">
        <f t="shared" si="87"/>
        <v/>
      </c>
      <c r="BT64" s="117" t="str">
        <f t="shared" si="88"/>
        <v/>
      </c>
      <c r="BU64" s="117" t="str">
        <f>IF(LEN(_xludf.concat(BR64:BT64))&gt;0,_xludf.concat("| ",BR64," | ",BS64," | ",BT64," |"),"")</f>
        <v/>
      </c>
      <c r="BV64" s="117" t="str">
        <f t="shared" si="89"/>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90"/>
        <v>#VALUE!</v>
      </c>
      <c r="CK64" s="12" t="str">
        <f t="shared" si="91"/>
        <v xml:space="preserve">| [](/places/places\es-pastrana-convento-del-carmen) </v>
      </c>
      <c r="CL64" s="13" t="str">
        <f>"| "&amp;IF(AS64,GetTagPage(C64,VLOOKUP(C64,'Country Tags'!C:E,3,)),C64)&amp; " "</f>
        <v xml:space="preserve">| [Spain](/tags/es) </v>
      </c>
      <c r="CM64" s="12" t="str">
        <f t="shared" si="92"/>
        <v xml:space="preserve">|  </v>
      </c>
      <c r="CN64" s="12" t="str">
        <f t="shared" si="93"/>
        <v xml:space="preserve">| [Link](/places/places\es-pastrana-convento-del-carmen) </v>
      </c>
      <c r="CO64" s="12" t="e">
        <f t="shared" si="94"/>
        <v>#VALUE!</v>
      </c>
    </row>
    <row r="65" spans="1:93" ht="89.25" x14ac:dyDescent="0.4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66"/>
        <v>1</v>
      </c>
      <c r="AT65" s="117" t="str">
        <f t="shared" si="67"/>
        <v>title: "Monasterio de las Batuecas"</v>
      </c>
      <c r="AU65" s="117" t="str">
        <f t="shared" si="68"/>
        <v>location: {lat: 40.4611684740194, lng: -6.14685648465537}</v>
      </c>
      <c r="AV65" s="117" t="str">
        <f t="shared" si="69"/>
        <v>interest: local</v>
      </c>
      <c r="AW65" s="117" t="str">
        <f>"- "&amp;VLOOKUP(C65,'Country Tags'!C:E,3,)</f>
        <v>- es</v>
      </c>
      <c r="AX65" s="117" t="str">
        <f t="shared" si="70"/>
        <v/>
      </c>
      <c r="AY65" s="117" t="str">
        <f t="shared" si="71"/>
        <v>- churches</v>
      </c>
      <c r="AZ65" s="117" t="str">
        <f t="shared" si="72"/>
        <v/>
      </c>
      <c r="BA65" s="117" t="str">
        <f t="shared" si="73"/>
        <v>- holy-persons</v>
      </c>
      <c r="BB65" s="117" t="str">
        <f t="shared" si="74"/>
        <v>- teresa-avila</v>
      </c>
      <c r="BC65" s="117" t="str">
        <f t="shared" si="75"/>
        <v>- discalced-carmelites</v>
      </c>
      <c r="BD65" s="117" t="str">
        <f t="shared" si="76"/>
        <v>- communities</v>
      </c>
      <c r="BE65" s="117" t="str">
        <f t="shared" si="77"/>
        <v/>
      </c>
      <c r="BF65" s="117" t="str">
        <f t="shared" si="78"/>
        <v/>
      </c>
      <c r="BG65" s="117" t="str">
        <f t="shared" si="79"/>
        <v/>
      </c>
      <c r="BH65" s="117" t="str">
        <f t="shared" si="80"/>
        <v/>
      </c>
      <c r="BI65" s="117" t="str">
        <f t="shared" si="81"/>
        <v/>
      </c>
      <c r="BJ65" s="117" t="str">
        <f t="shared" si="82"/>
        <v/>
      </c>
      <c r="BK65" s="117" t="str">
        <f t="shared" si="83"/>
        <v/>
      </c>
      <c r="BL65" s="117" t="str">
        <f t="shared" si="84"/>
        <v xml:space="preserve">tags:
- es_x000D_
- churches_x000D_
- holy-persons_x000D_
- teresa-avila_x000D_
- discalced-carmelites_x000D_
- communities_x000D_
</v>
      </c>
      <c r="BM65" s="120" t="str">
        <f t="shared" si="62"/>
        <v>[Official site](https://monasteriodelasbatuecas.wordpress.com/)</v>
      </c>
      <c r="BN65" s="120" t="str">
        <f t="shared" si="63"/>
        <v/>
      </c>
      <c r="BO65" s="120" t="str">
        <f t="shared" si="64"/>
        <v/>
      </c>
      <c r="BP65" s="120" t="str">
        <f t="shared" si="65"/>
        <v/>
      </c>
      <c r="BQ65" s="117" t="str">
        <f t="shared" si="85"/>
        <v xml:space="preserve">* [Official site](https://monasteriodelasbatuecas.wordpress.com/)
</v>
      </c>
      <c r="BR65" s="117" t="str">
        <f t="shared" si="86"/>
        <v/>
      </c>
      <c r="BS65" s="117" t="str">
        <f t="shared" si="87"/>
        <v/>
      </c>
      <c r="BT65" s="117" t="str">
        <f t="shared" si="88"/>
        <v/>
      </c>
      <c r="BU65" s="117" t="str">
        <f>IF(LEN(_xludf.concat(BR65:BT65))&gt;0,_xludf.concat("| ",BR65," | ",BS65," | ",BT65," |"),"")</f>
        <v/>
      </c>
      <c r="BV65" s="117" t="str">
        <f t="shared" si="89"/>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90"/>
        <v>#VALUE!</v>
      </c>
      <c r="CK65" s="12" t="str">
        <f t="shared" si="91"/>
        <v xml:space="preserve">| [](/places/places\es-monasterio-de-las-batuecas) </v>
      </c>
      <c r="CL65" s="13" t="str">
        <f>"| "&amp;IF(AS65,GetTagPage(C65,VLOOKUP(C65,'Country Tags'!C:E,3,)),C65)&amp; " "</f>
        <v xml:space="preserve">| [Spain](/tags/es) </v>
      </c>
      <c r="CM65" s="12" t="str">
        <f t="shared" si="92"/>
        <v xml:space="preserve">|  </v>
      </c>
      <c r="CN65" s="12" t="str">
        <f t="shared" si="93"/>
        <v xml:space="preserve">| [Link](/places/places\es-monasterio-de-las-batuecas) </v>
      </c>
      <c r="CO65" s="12" t="e">
        <f t="shared" si="94"/>
        <v>#VALUE!</v>
      </c>
    </row>
    <row r="66" spans="1:93" ht="38.25" x14ac:dyDescent="0.4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66"/>
        <v>1</v>
      </c>
      <c r="AT66" s="117" t="str">
        <f t="shared" si="67"/>
        <v>title: "Convent of the Anunciation (Convento de La Anunciacion), Alba de Tormes"</v>
      </c>
      <c r="AU66" s="117" t="str">
        <f t="shared" si="68"/>
        <v>location: {lat: 40.8265328359173, lng: -5.51440563553813}</v>
      </c>
      <c r="AV66" s="117" t="str">
        <f t="shared" si="69"/>
        <v>interest: regional</v>
      </c>
      <c r="AW66" s="117" t="str">
        <f>"- "&amp;VLOOKUP(C66,'Country Tags'!C:E,3,)</f>
        <v>- es</v>
      </c>
      <c r="AX66" s="117" t="str">
        <f t="shared" si="70"/>
        <v>- alba-de-tormes</v>
      </c>
      <c r="AY66" s="117" t="str">
        <f t="shared" si="71"/>
        <v>- churches</v>
      </c>
      <c r="AZ66" s="117" t="str">
        <f t="shared" si="72"/>
        <v/>
      </c>
      <c r="BA66" s="117" t="str">
        <f t="shared" si="73"/>
        <v>- holy-persons</v>
      </c>
      <c r="BB66" s="117" t="str">
        <f t="shared" si="74"/>
        <v>- teresa-avila</v>
      </c>
      <c r="BC66" s="117" t="str">
        <f t="shared" si="75"/>
        <v>- discalced-carmelites</v>
      </c>
      <c r="BD66" s="117" t="str">
        <f t="shared" si="76"/>
        <v>- communities</v>
      </c>
      <c r="BE66" s="117" t="str">
        <f t="shared" si="77"/>
        <v/>
      </c>
      <c r="BF66" s="117" t="str">
        <f t="shared" si="78"/>
        <v/>
      </c>
      <c r="BG66" s="117" t="str">
        <f t="shared" si="79"/>
        <v/>
      </c>
      <c r="BH66" s="117" t="str">
        <f t="shared" si="80"/>
        <v/>
      </c>
      <c r="BI66" s="117" t="str">
        <f t="shared" si="81"/>
        <v/>
      </c>
      <c r="BJ66" s="117" t="str">
        <f t="shared" si="82"/>
        <v/>
      </c>
      <c r="BK66" s="117" t="str">
        <f t="shared" si="83"/>
        <v/>
      </c>
      <c r="BL66" s="117" t="str">
        <f t="shared" si="84"/>
        <v xml:space="preserve">tags:
- es_x000D_
- alba-de-tormes_x000D_
- churches_x000D_
- holy-persons_x000D_
- teresa-avila_x000D_
- discalced-carmelites_x000D_
- communities_x000D_
</v>
      </c>
      <c r="BM66" s="120" t="str">
        <f t="shared" si="62"/>
        <v>[Official site](https://carmelitasalba.org/)</v>
      </c>
      <c r="BN66" s="120" t="str">
        <f t="shared" si="63"/>
        <v>[Information in English](https://www.carmelitasalba.org/wp-content/themes/Florida_child_theme/images/carmus-ingles-web.pdf)</v>
      </c>
      <c r="BO66" s="120" t="str">
        <f t="shared" si="64"/>
        <v/>
      </c>
      <c r="BP66" s="120" t="str">
        <f t="shared" si="65"/>
        <v/>
      </c>
      <c r="BQ66" s="117" t="str">
        <f t="shared" si="85"/>
        <v xml:space="preserve">* [Official site](https://carmelitasalba.org/)
* [Information in English](https://www.carmelitasalba.org/wp-content/themes/Florida_child_theme/images/carmus-ingles-web.pdf)
</v>
      </c>
      <c r="BR66" s="117" t="str">
        <f t="shared" si="86"/>
        <v/>
      </c>
      <c r="BS66" s="117" t="str">
        <f t="shared" si="87"/>
        <v/>
      </c>
      <c r="BT66" s="117" t="str">
        <f t="shared" si="88"/>
        <v/>
      </c>
      <c r="BU66" s="117" t="str">
        <f>IF(LEN(_xludf.concat(BR66:BT66))&gt;0,_xludf.concat("| ",BR66," | ",BS66," | ",BT66," |"),"")</f>
        <v/>
      </c>
      <c r="BV66" s="117" t="str">
        <f t="shared" si="89"/>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90"/>
        <v>#VALUE!</v>
      </c>
      <c r="CK66" s="12" t="str">
        <f t="shared" si="91"/>
        <v xml:space="preserve">| [](/places/places\es-alba-de-tormes-convento-de-la-anunciacion) </v>
      </c>
      <c r="CL66" s="13" t="str">
        <f>"| "&amp;IF(AS66,GetTagPage(C66,VLOOKUP(C66,'Country Tags'!C:E,3,)),C66)&amp; " "</f>
        <v xml:space="preserve">| [Spain](/tags/es) </v>
      </c>
      <c r="CM66" s="12" t="str">
        <f t="shared" si="92"/>
        <v xml:space="preserve">|  </v>
      </c>
      <c r="CN66" s="12" t="str">
        <f t="shared" si="93"/>
        <v xml:space="preserve">| [Link](/places/places\es-alba-de-tormes-convento-de-la-anunciacion) </v>
      </c>
      <c r="CO66" s="12" t="e">
        <f t="shared" si="94"/>
        <v>#VALUE!</v>
      </c>
    </row>
    <row r="67" spans="1:93" x14ac:dyDescent="0.4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66"/>
        <v>1</v>
      </c>
      <c r="AT67" s="117" t="str">
        <f t="shared" si="67"/>
        <v>title: "Convento de San Jose, Segovia"</v>
      </c>
      <c r="AU67" s="117" t="str">
        <f t="shared" si="68"/>
        <v>location: {lat: 40.9511969074217, lng: -4.12682272001028}</v>
      </c>
      <c r="AV67" s="117" t="str">
        <f t="shared" si="69"/>
        <v>interest: local</v>
      </c>
      <c r="AW67" s="117" t="str">
        <f>"- "&amp;VLOOKUP(C67,'Country Tags'!C:E,3,)</f>
        <v>- es</v>
      </c>
      <c r="AX67" s="117" t="str">
        <f t="shared" si="70"/>
        <v>- segovia</v>
      </c>
      <c r="AY67" s="117" t="str">
        <f t="shared" si="71"/>
        <v>- churches</v>
      </c>
      <c r="AZ67" s="117" t="str">
        <f t="shared" si="72"/>
        <v/>
      </c>
      <c r="BA67" s="117" t="str">
        <f t="shared" si="73"/>
        <v>- holy-persons</v>
      </c>
      <c r="BB67" s="117" t="str">
        <f t="shared" si="74"/>
        <v>- teresa-avila</v>
      </c>
      <c r="BC67" s="117" t="str">
        <f t="shared" si="75"/>
        <v>- discalced-carmelites</v>
      </c>
      <c r="BD67" s="117" t="str">
        <f t="shared" si="76"/>
        <v>- communities</v>
      </c>
      <c r="BE67" s="117" t="str">
        <f t="shared" si="77"/>
        <v/>
      </c>
      <c r="BF67" s="117" t="str">
        <f t="shared" si="78"/>
        <v/>
      </c>
      <c r="BG67" s="117" t="str">
        <f t="shared" si="79"/>
        <v/>
      </c>
      <c r="BH67" s="117" t="str">
        <f t="shared" si="80"/>
        <v/>
      </c>
      <c r="BI67" s="117" t="str">
        <f t="shared" si="81"/>
        <v/>
      </c>
      <c r="BJ67" s="117" t="str">
        <f t="shared" si="82"/>
        <v/>
      </c>
      <c r="BK67" s="117" t="str">
        <f t="shared" si="83"/>
        <v/>
      </c>
      <c r="BL67" s="117" t="str">
        <f t="shared" si="84"/>
        <v xml:space="preserve">tags:
- es_x000D_
- segovia_x000D_
- churches_x000D_
- holy-persons_x000D_
- teresa-avila_x000D_
- discalced-carmelites_x000D_
- communities_x000D_
</v>
      </c>
      <c r="BM67" s="120" t="str">
        <f t="shared" si="62"/>
        <v/>
      </c>
      <c r="BN67" s="120" t="str">
        <f t="shared" si="63"/>
        <v/>
      </c>
      <c r="BO67" s="120" t="str">
        <f t="shared" si="64"/>
        <v/>
      </c>
      <c r="BP67" s="120" t="str">
        <f t="shared" si="65"/>
        <v/>
      </c>
      <c r="BQ67" s="117" t="str">
        <f t="shared" si="85"/>
        <v/>
      </c>
      <c r="BR67" s="117" t="str">
        <f t="shared" si="86"/>
        <v/>
      </c>
      <c r="BS67" s="117" t="str">
        <f t="shared" si="87"/>
        <v/>
      </c>
      <c r="BT67" s="117" t="str">
        <f t="shared" si="88"/>
        <v/>
      </c>
      <c r="BU67" s="117" t="str">
        <f>IF(LEN(_xludf.concat(BR67:BT67))&gt;0,_xludf.concat("| ",BR67," | ",BS67," | ",BT67," |"),"")</f>
        <v/>
      </c>
      <c r="BV67" s="117" t="str">
        <f t="shared" si="89"/>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90"/>
        <v>#VALUE!</v>
      </c>
      <c r="CK67" s="12" t="str">
        <f t="shared" si="91"/>
        <v xml:space="preserve">| [](/places/places\es-segovia-convento-de-san-jose) </v>
      </c>
      <c r="CL67" s="13" t="str">
        <f>"| "&amp;IF(AS67,GetTagPage(C67,VLOOKUP(C67,'Country Tags'!C:E,3,)),C67)&amp; " "</f>
        <v xml:space="preserve">| [Spain](/tags/es) </v>
      </c>
      <c r="CM67" s="12" t="str">
        <f t="shared" si="92"/>
        <v xml:space="preserve">|  </v>
      </c>
      <c r="CN67" s="12" t="str">
        <f t="shared" si="93"/>
        <v xml:space="preserve">| [Link](/places/places\es-segovia-convento-de-san-jose) </v>
      </c>
      <c r="CO67" s="12" t="e">
        <f t="shared" si="94"/>
        <v>#VALUE!</v>
      </c>
    </row>
    <row r="68" spans="1:93" x14ac:dyDescent="0.4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66"/>
        <v>1</v>
      </c>
      <c r="AT68" s="117" t="str">
        <f t="shared" si="67"/>
        <v>title: "Monasterio de San Jose del Salvador, Beas"</v>
      </c>
      <c r="AU68" s="117" t="str">
        <f t="shared" si="68"/>
        <v>location: {lat: 38.2510429491708, lng: -2.88706618465537}</v>
      </c>
      <c r="AV68" s="117" t="str">
        <f t="shared" si="69"/>
        <v>interest: local</v>
      </c>
      <c r="AW68" s="117" t="str">
        <f>"- "&amp;VLOOKUP(C68,'Country Tags'!C:E,3,)</f>
        <v>- es</v>
      </c>
      <c r="AX68" s="117" t="str">
        <f t="shared" si="70"/>
        <v>- beas-de-segura</v>
      </c>
      <c r="AY68" s="117" t="str">
        <f t="shared" si="71"/>
        <v>- churches</v>
      </c>
      <c r="AZ68" s="117" t="str">
        <f t="shared" si="72"/>
        <v/>
      </c>
      <c r="BA68" s="117" t="str">
        <f t="shared" si="73"/>
        <v>- holy-persons</v>
      </c>
      <c r="BB68" s="117" t="str">
        <f t="shared" si="74"/>
        <v>- teresa-avila</v>
      </c>
      <c r="BC68" s="117" t="str">
        <f t="shared" si="75"/>
        <v>- discalced-carmelites</v>
      </c>
      <c r="BD68" s="117" t="str">
        <f t="shared" si="76"/>
        <v>- communities</v>
      </c>
      <c r="BE68" s="117" t="str">
        <f t="shared" si="77"/>
        <v/>
      </c>
      <c r="BF68" s="117" t="str">
        <f t="shared" si="78"/>
        <v/>
      </c>
      <c r="BG68" s="117" t="str">
        <f t="shared" si="79"/>
        <v/>
      </c>
      <c r="BH68" s="117" t="str">
        <f t="shared" si="80"/>
        <v/>
      </c>
      <c r="BI68" s="117" t="str">
        <f t="shared" si="81"/>
        <v/>
      </c>
      <c r="BJ68" s="117" t="str">
        <f t="shared" si="82"/>
        <v/>
      </c>
      <c r="BK68" s="117" t="str">
        <f t="shared" si="83"/>
        <v/>
      </c>
      <c r="BL68" s="117" t="str">
        <f t="shared" si="84"/>
        <v xml:space="preserve">tags:
- es_x000D_
- beas-de-segura_x000D_
- churches_x000D_
- holy-persons_x000D_
- teresa-avila_x000D_
- discalced-carmelites_x000D_
- communities_x000D_
</v>
      </c>
      <c r="BM68" s="120" t="str">
        <f t="shared" si="62"/>
        <v/>
      </c>
      <c r="BN68" s="120" t="str">
        <f t="shared" si="63"/>
        <v>[Sierra de Segura tourism site](https://lasierradesegura.org/parajes-naturales/convento-de-las-carmelitas-descalzas-de-san-jose-del-salvador/)</v>
      </c>
      <c r="BO68" s="120" t="str">
        <f t="shared" si="64"/>
        <v>[Wikipedia](https://es.wikipedia.org/wiki/Convento_de_Carmelitas_Descalzas_(Beas_de_Segura)) - Significant amounts of information of the associated Wikipedia page</v>
      </c>
      <c r="BP68" s="120" t="str">
        <f t="shared" si="65"/>
        <v/>
      </c>
      <c r="BQ68" s="117"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86"/>
        <v/>
      </c>
      <c r="BS68" s="117" t="str">
        <f t="shared" si="87"/>
        <v/>
      </c>
      <c r="BT68" s="117" t="str">
        <f t="shared" si="88"/>
        <v/>
      </c>
      <c r="BU68" s="117" t="str">
        <f>IF(LEN(_xludf.concat(BR68:BT68))&gt;0,_xludf.concat("| ",BR68," | ",BS68," | ",BT68," |"),"")</f>
        <v/>
      </c>
      <c r="BV68" s="117" t="str">
        <f t="shared" si="89"/>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90"/>
        <v>#VALUE!</v>
      </c>
      <c r="CK68" s="12" t="str">
        <f t="shared" si="91"/>
        <v xml:space="preserve">| [](/places/places\es-beas-de-segura-monasterio-de-san-jose-del-salvador) </v>
      </c>
      <c r="CL68" s="13" t="str">
        <f>"| "&amp;IF(AS68,GetTagPage(C68,VLOOKUP(C68,'Country Tags'!C:E,3,)),C68)&amp; " "</f>
        <v xml:space="preserve">| [Spain](/tags/es) </v>
      </c>
      <c r="CM68" s="12" t="str">
        <f t="shared" si="92"/>
        <v xml:space="preserve">|  </v>
      </c>
      <c r="CN68" s="12" t="str">
        <f t="shared" si="93"/>
        <v xml:space="preserve">| [Link](/places/places\es-beas-de-segura-monasterio-de-san-jose-del-salvador) </v>
      </c>
      <c r="CO68" s="12" t="e">
        <f t="shared" si="94"/>
        <v>#VALUE!</v>
      </c>
    </row>
    <row r="69" spans="1:93" ht="25.5" x14ac:dyDescent="0.4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66"/>
        <v>1</v>
      </c>
      <c r="AT69" s="117" t="str">
        <f t="shared" si="67"/>
        <v>title: "Convento de San Jose del Carmen (Las Teresas), Seville"</v>
      </c>
      <c r="AU69" s="117" t="str">
        <f t="shared" si="68"/>
        <v>location: {lat: 37.3858007514651, lng: -5.98899388465537}</v>
      </c>
      <c r="AV69" s="117" t="str">
        <f t="shared" si="69"/>
        <v>interest: local</v>
      </c>
      <c r="AW69" s="117" t="str">
        <f>"- "&amp;VLOOKUP(C69,'Country Tags'!C:E,3,)</f>
        <v>- es</v>
      </c>
      <c r="AX69" s="117" t="str">
        <f t="shared" si="70"/>
        <v>- seville</v>
      </c>
      <c r="AY69" s="117" t="str">
        <f t="shared" si="71"/>
        <v>- churches</v>
      </c>
      <c r="AZ69" s="117" t="str">
        <f t="shared" si="72"/>
        <v/>
      </c>
      <c r="BA69" s="117" t="str">
        <f t="shared" si="73"/>
        <v>- holy-persons</v>
      </c>
      <c r="BB69" s="117" t="str">
        <f t="shared" si="74"/>
        <v>- teresa-avila</v>
      </c>
      <c r="BC69" s="117" t="str">
        <f t="shared" si="75"/>
        <v>- discalced-carmelites</v>
      </c>
      <c r="BD69" s="117" t="str">
        <f t="shared" si="76"/>
        <v>- communities</v>
      </c>
      <c r="BE69" s="117" t="str">
        <f t="shared" si="77"/>
        <v/>
      </c>
      <c r="BF69" s="117" t="str">
        <f t="shared" si="78"/>
        <v/>
      </c>
      <c r="BG69" s="117" t="str">
        <f t="shared" si="79"/>
        <v/>
      </c>
      <c r="BH69" s="117" t="str">
        <f t="shared" si="80"/>
        <v/>
      </c>
      <c r="BI69" s="117" t="str">
        <f t="shared" si="81"/>
        <v/>
      </c>
      <c r="BJ69" s="117" t="str">
        <f t="shared" si="82"/>
        <v/>
      </c>
      <c r="BK69" s="117" t="str">
        <f t="shared" si="83"/>
        <v/>
      </c>
      <c r="BL69" s="117" t="str">
        <f t="shared" si="84"/>
        <v xml:space="preserve">tags:
- es_x000D_
- seville_x000D_
- churches_x000D_
- holy-persons_x000D_
- teresa-avila_x000D_
- discalced-carmelites_x000D_
- communities_x000D_
</v>
      </c>
      <c r="BM69" s="120" t="str">
        <f t="shared" si="62"/>
        <v/>
      </c>
      <c r="BN69" s="120" t="str">
        <f t="shared" si="63"/>
        <v>[Seville tourism site](https://www.turismosevilla.org/en/what-see-and-do/heritage/monuments/san-jose-conventual-church-las-teresas)</v>
      </c>
      <c r="BO69" s="120" t="str">
        <f t="shared" si="64"/>
        <v/>
      </c>
      <c r="BP69" s="120" t="str">
        <f t="shared" si="65"/>
        <v/>
      </c>
      <c r="BQ69" s="117" t="str">
        <f t="shared" si="85"/>
        <v xml:space="preserve">* [Seville tourism site](https://www.turismosevilla.org/en/what-see-and-do/heritage/monuments/san-jose-conventual-church-las-teresas)
</v>
      </c>
      <c r="BR69" s="117" t="str">
        <f t="shared" si="86"/>
        <v/>
      </c>
      <c r="BS69" s="117" t="str">
        <f t="shared" si="87"/>
        <v/>
      </c>
      <c r="BT69" s="117" t="str">
        <f t="shared" si="88"/>
        <v/>
      </c>
      <c r="BU69" s="117" t="str">
        <f>IF(LEN(_xludf.concat(BR69:BT69))&gt;0,_xludf.concat("| ",BR69," | ",BS69," | ",BT69," |"),"")</f>
        <v/>
      </c>
      <c r="BV69" s="117" t="str">
        <f t="shared" si="89"/>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90"/>
        <v>#VALUE!</v>
      </c>
      <c r="CK69" s="12" t="str">
        <f t="shared" si="91"/>
        <v xml:space="preserve">| [](/places/places\es-seville-convento-de-san-jose-del-carmen) </v>
      </c>
      <c r="CL69" s="13" t="str">
        <f>"| "&amp;IF(AS69,GetTagPage(C69,VLOOKUP(C69,'Country Tags'!C:E,3,)),C69)&amp; " "</f>
        <v xml:space="preserve">| [Spain](/tags/es) </v>
      </c>
      <c r="CM69" s="12" t="str">
        <f t="shared" si="92"/>
        <v xml:space="preserve">|  </v>
      </c>
      <c r="CN69" s="12" t="str">
        <f t="shared" si="93"/>
        <v xml:space="preserve">| [Link](/places/places\es-seville-convento-de-san-jose-del-carmen) </v>
      </c>
      <c r="CO69" s="12" t="e">
        <f t="shared" si="94"/>
        <v>#VALUE!</v>
      </c>
    </row>
    <row r="70" spans="1:93" x14ac:dyDescent="0.4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95">IF(OR(A70="Done",A70="In Progress"),TRUE)</f>
        <v>1</v>
      </c>
      <c r="AT70" s="117" t="str">
        <f t="shared" ref="AT70:AT101" si="96">"title: """&amp;G70&amp;""""</f>
        <v>title: "Convento de San Jose, Caravaca de la Cruz"</v>
      </c>
      <c r="AU70" s="117" t="str">
        <f t="shared" ref="AU70:AU101" si="97">"location: {lat: "&amp;E70&amp;", lng: "&amp;F70&amp;"}"</f>
        <v>location: {lat: 38.1067192842424, lng: -1.8610296}</v>
      </c>
      <c r="AV70" s="117" t="str">
        <f t="shared" ref="AV70:AV101" si="98">"interest: "&amp;I70</f>
        <v>interest: local</v>
      </c>
      <c r="AW70" s="117" t="str">
        <f>"- "&amp;VLOOKUP(C70,'Country Tags'!C:E,3,)</f>
        <v>- es</v>
      </c>
      <c r="AX70" s="117" t="str">
        <f t="shared" ref="AX70:AX101" si="99">IF(LEN(D70)&gt;1,"- "&amp;LOWER(SUBSTITUTE(D70," ","-")),"")</f>
        <v>- caravaca</v>
      </c>
      <c r="AY70" s="117" t="str">
        <f t="shared" ref="AY70:AY101" si="100">IF(J70,"- churches","")</f>
        <v>- churches</v>
      </c>
      <c r="AZ70" s="117" t="str">
        <f t="shared" ref="AZ70:AZ101" si="101">IF(K70,"- marian-sites","")</f>
        <v/>
      </c>
      <c r="BA70" s="117" t="str">
        <f t="shared" ref="BA70:BA101" si="102">IF(L70,"- holy-persons","")</f>
        <v>- holy-persons</v>
      </c>
      <c r="BB70" s="117" t="str">
        <f t="shared" ref="BB70:BB101" si="103">IF(LEN(Z70)&gt;0,"- "&amp;Z70,"")</f>
        <v>- teresa-avila</v>
      </c>
      <c r="BC70" s="117" t="str">
        <f t="shared" ref="BC70:BC101" si="104">IF(LEN(AA70)&gt;0,"- "&amp;AA70,"")</f>
        <v>- discalced-carmelites</v>
      </c>
      <c r="BD70" s="117" t="str">
        <f t="shared" ref="BD70:BD101" si="105">IF(LEN(AB70)&gt;0,"- "&amp;AB70,"")</f>
        <v>- communities</v>
      </c>
      <c r="BE70" s="117" t="str">
        <f t="shared" ref="BE70:BE101" si="106">IF(LEN(AC70)&gt;0,"- "&amp;AC70,"")</f>
        <v/>
      </c>
      <c r="BF70" s="117" t="str">
        <f t="shared" ref="BF70:BF101" si="107">IF(LEN(AD70)&gt;0,"- "&amp;AD70,"")</f>
        <v/>
      </c>
      <c r="BG70" s="117" t="str">
        <f t="shared" ref="BG70:BG101" si="108">IF(LEN(AE70)&gt;0,"- "&amp;AE70,"")</f>
        <v/>
      </c>
      <c r="BH70" s="117" t="str">
        <f t="shared" ref="BH70:BH101" si="109">IF(LEN(AF70)&gt;0,"- "&amp;AF70,"")</f>
        <v/>
      </c>
      <c r="BI70" s="117" t="str">
        <f t="shared" ref="BI70:BI101" si="110">IF(LEN(AG70)&gt;0,"- "&amp;AG70,"")</f>
        <v/>
      </c>
      <c r="BJ70" s="117" t="str">
        <f t="shared" ref="BJ70:BJ101" si="111">IF(LEN(AH70)&gt;0,"- "&amp;AH70,"")</f>
        <v/>
      </c>
      <c r="BK70" s="117" t="str">
        <f t="shared" ref="BK70:BK101" si="112">IF(LEN(AI70)&gt;0,"- "&amp;AI70,"")</f>
        <v/>
      </c>
      <c r="BL70" s="117" t="str">
        <f t="shared" ref="BL70:BL101" si="113">"tags:"&amp;CHAR(10)&amp;concatl(AW70:BK70)</f>
        <v xml:space="preserve">tags:
- es_x000D_
- caravaca_x000D_
- churches_x000D_
- holy-persons_x000D_
- teresa-avila_x000D_
- discalced-carmelites_x000D_
- communities_x000D_
</v>
      </c>
      <c r="BM70" s="120" t="str">
        <f t="shared" si="62"/>
        <v/>
      </c>
      <c r="BN70" s="120" t="str">
        <f t="shared" si="63"/>
        <v>[Caravaca tourism site](https://www.turismocaravaca.com/blog/church-and-convent-san-jose-of-madres-carmelitas/)</v>
      </c>
      <c r="BO70" s="120" t="str">
        <f t="shared" si="64"/>
        <v>[Article from Murcia Today](https://murciatoday.com/the-convent_church-of-san-jose-in-caravaca-de-la-cruz_34175-a.html)</v>
      </c>
      <c r="BP70" s="120" t="str">
        <f t="shared" si="65"/>
        <v/>
      </c>
      <c r="BQ70" s="117"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115">IF(LEN(AL70)&gt;0,TRIM(CONCATENATE("[Link](",AL70,") ",AM70)),"")</f>
        <v/>
      </c>
      <c r="BS70" s="117" t="str">
        <f t="shared" ref="BS70:BS101" si="116">IF(LEN(AN70)&gt;0,TRIM(CONCATENATE("[Link](",AN70,") ",AO70)),"")</f>
        <v/>
      </c>
      <c r="BT70" s="117" t="str">
        <f t="shared" ref="BT70:BT101" si="117">IF(LEN(AP70)&gt;0,TRIM(CONCATENATE("[Link](",AP70,") ",AQ70)),"")</f>
        <v/>
      </c>
      <c r="BU70" s="117" t="str">
        <f>IF(LEN(_xludf.concat(BR70:BT70))&gt;0,_xludf.concat("| ",BR70," | ",BS70," | ",BT70," |"),"")</f>
        <v/>
      </c>
      <c r="BV70" s="117" t="str">
        <f t="shared" ref="BV70:BV101" si="118">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119">"|"&amp;IF(LEN(CG70)&gt;1," "&amp;CG70,"")&amp;IF(LEN(CH70)&gt;1,", "&amp;CH70,"")&amp;IF(LEN(CI70)&gt;1,", "&amp;CI70,"")&amp;" "</f>
        <v>#VALUE!</v>
      </c>
      <c r="CK70" s="12" t="str">
        <f t="shared" ref="CK70:CK101" si="120">"| "&amp;IF(AS70,"["&amp;AJ70&amp;"](/places/"&amp;SUBSTITUTE(CB70,".md","")&amp;")",AJ70)&amp;" "</f>
        <v xml:space="preserve">| [](/places/places\es-caravaca-convento-de-san-jose) </v>
      </c>
      <c r="CL70" s="13" t="str">
        <f>"| "&amp;IF(AS70,GetTagPage(C70,VLOOKUP(C70,'Country Tags'!C:E,3,)),C70)&amp; " "</f>
        <v xml:space="preserve">| [Spain](/tags/es) </v>
      </c>
      <c r="CM70" s="12" t="str">
        <f t="shared" ref="CM70:CM101" si="121">"| "&amp;AK70&amp;" "</f>
        <v xml:space="preserve">|  </v>
      </c>
      <c r="CN70" s="12" t="str">
        <f t="shared" ref="CN70:CN101" si="122">"|"&amp;IF(AS70," [Link](/places/"&amp;SUBSTITUTE(CB70,".md","")&amp;")","")&amp;" "</f>
        <v xml:space="preserve">| [Link](/places/places\es-caravaca-convento-de-san-jose) </v>
      </c>
      <c r="CO70" s="12" t="e">
        <f t="shared" ref="CO70:CO101" si="123">"
"&amp;CK70&amp;CL70&amp;CM70&amp;CN70&amp;BM70&amp;BR70&amp;BS70&amp;BT70&amp;CJ70&amp;"|"</f>
        <v>#VALUE!</v>
      </c>
    </row>
    <row r="71" spans="1:93" ht="25.5" x14ac:dyDescent="0.4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95"/>
        <v>1</v>
      </c>
      <c r="AT71" s="117" t="str">
        <f t="shared" si="96"/>
        <v>title: "Convento de Santa Ana, Villanueva de la Jara"</v>
      </c>
      <c r="AU71" s="117" t="str">
        <f t="shared" si="97"/>
        <v>location: {lat: 39.4396102153669, lng: -1.95650919993269}</v>
      </c>
      <c r="AV71" s="117" t="str">
        <f t="shared" si="98"/>
        <v>interest: local</v>
      </c>
      <c r="AW71" s="117" t="str">
        <f>"- "&amp;VLOOKUP(C71,'Country Tags'!C:E,3,)</f>
        <v>- es</v>
      </c>
      <c r="AX71" s="117" t="str">
        <f t="shared" si="99"/>
        <v>- villanueva-de-la-jara</v>
      </c>
      <c r="AY71" s="117" t="str">
        <f t="shared" si="100"/>
        <v>- churches</v>
      </c>
      <c r="AZ71" s="117" t="str">
        <f t="shared" si="101"/>
        <v/>
      </c>
      <c r="BA71" s="117" t="str">
        <f t="shared" si="102"/>
        <v>- holy-persons</v>
      </c>
      <c r="BB71" s="117" t="str">
        <f t="shared" si="103"/>
        <v>- teresa-avila</v>
      </c>
      <c r="BC71" s="117" t="str">
        <f t="shared" si="104"/>
        <v>- discalced-carmelites</v>
      </c>
      <c r="BD71" s="117" t="str">
        <f t="shared" si="105"/>
        <v>- communities</v>
      </c>
      <c r="BE71" s="117" t="str">
        <f t="shared" si="106"/>
        <v/>
      </c>
      <c r="BF71" s="117" t="str">
        <f t="shared" si="107"/>
        <v/>
      </c>
      <c r="BG71" s="117" t="str">
        <f t="shared" si="108"/>
        <v/>
      </c>
      <c r="BH71" s="117" t="str">
        <f t="shared" si="109"/>
        <v/>
      </c>
      <c r="BI71" s="117" t="str">
        <f t="shared" si="110"/>
        <v/>
      </c>
      <c r="BJ71" s="117" t="str">
        <f t="shared" si="111"/>
        <v/>
      </c>
      <c r="BK71" s="117" t="str">
        <f t="shared" si="112"/>
        <v/>
      </c>
      <c r="BL71" s="117" t="str">
        <f t="shared" si="113"/>
        <v xml:space="preserve">tags:
- es_x000D_
- villanueva-de-la-jara_x000D_
- churches_x000D_
- holy-persons_x000D_
- teresa-avila_x000D_
- discalced-carmelites_x000D_
- communities_x000D_
</v>
      </c>
      <c r="BM71" s="120" t="str">
        <f t="shared" ref="BM71:BM134" si="124">IF(LEN(O71)&gt;0,TRIM(CONCATENATE("[Official site](",O71,") ",IF(LEN(P71)&gt;0,"- "&amp;P71,P71))),"")</f>
        <v/>
      </c>
      <c r="BN71" s="120" t="str">
        <f t="shared" ref="BN71:BN134" si="125">IF(LEN(R71)&gt;0,TRIM(CONCATENATE("["&amp;Q71&amp;"](",R71,") ",IF(LEN(S71)&gt;0,"- "&amp;S71,S71))),"")</f>
        <v>[Villanueva de la Jara offical site](https://www.villanuevadelajara.eu/english/the-footprints-of-st-teresa-of-jesus-in-villanueva-de-la-jara/)</v>
      </c>
      <c r="BO71" s="120" t="str">
        <f t="shared" ref="BO71:BO134" si="126">IF(LEN(U71)&gt;0,TRIM(CONCATENATE("["&amp;T71&amp;"](",U71,") ",IF(LEN(V71)&gt;0,"- "&amp;V71,V71))),"")</f>
        <v/>
      </c>
      <c r="BP71" s="120" t="str">
        <f t="shared" ref="BP71:BP134" si="127">IF(LEN(X71)&gt;0,TRIM(CONCATENATE("["&amp;W71&amp;"](",X71,") ",IF(LEN(Y71)&gt;0,"- "&amp;Y71,Y71))),"")</f>
        <v/>
      </c>
      <c r="BQ71" s="117" t="str">
        <f t="shared" si="114"/>
        <v xml:space="preserve">* [Villanueva de la Jara offical site](https://www.villanuevadelajara.eu/english/the-footprints-of-st-teresa-of-jesus-in-villanueva-de-la-jara/)
</v>
      </c>
      <c r="BR71" s="117" t="str">
        <f t="shared" si="115"/>
        <v/>
      </c>
      <c r="BS71" s="117" t="str">
        <f t="shared" si="116"/>
        <v/>
      </c>
      <c r="BT71" s="117" t="str">
        <f t="shared" si="117"/>
        <v/>
      </c>
      <c r="BU71" s="117" t="str">
        <f>IF(LEN(_xludf.concat(BR71:BT71))&gt;0,_xludf.concat("| ",BR71," | ",BS71," | ",BT71," |"),"")</f>
        <v/>
      </c>
      <c r="BV71" s="117" t="str">
        <f t="shared" si="118"/>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119"/>
        <v>#VALUE!</v>
      </c>
      <c r="CK71" s="12" t="str">
        <f t="shared" si="120"/>
        <v xml:space="preserve">| [](/places/places\es-villanueva-de-la-jara-convento-de-santa-ana) </v>
      </c>
      <c r="CL71" s="13" t="str">
        <f>"| "&amp;IF(AS71,GetTagPage(C71,VLOOKUP(C71,'Country Tags'!C:E,3,)),C71)&amp; " "</f>
        <v xml:space="preserve">| [Spain](/tags/es) </v>
      </c>
      <c r="CM71" s="12" t="str">
        <f t="shared" si="121"/>
        <v xml:space="preserve">|  </v>
      </c>
      <c r="CN71" s="12" t="str">
        <f t="shared" si="122"/>
        <v xml:space="preserve">| [Link](/places/places\es-villanueva-de-la-jara-convento-de-santa-ana) </v>
      </c>
      <c r="CO71" s="12" t="e">
        <f t="shared" si="123"/>
        <v>#VALUE!</v>
      </c>
    </row>
    <row r="72" spans="1:93" ht="25.5" x14ac:dyDescent="0.4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95"/>
        <v>1</v>
      </c>
      <c r="AT72" s="117" t="str">
        <f t="shared" si="96"/>
        <v>title: "St. Bernard Church (Iglesia de San Bernardo), Palencia"</v>
      </c>
      <c r="AU72" s="117" t="str">
        <f t="shared" si="97"/>
        <v>location: {lat: 42.0076724799919, lng: -4.53147064662605}</v>
      </c>
      <c r="AV72" s="117" t="str">
        <f t="shared" si="98"/>
        <v>interest: local</v>
      </c>
      <c r="AW72" s="117" t="str">
        <f>"- "&amp;VLOOKUP(C72,'Country Tags'!C:E,3,)</f>
        <v>- es</v>
      </c>
      <c r="AX72" s="117" t="str">
        <f t="shared" si="99"/>
        <v>- palencia</v>
      </c>
      <c r="AY72" s="117" t="str">
        <f t="shared" si="100"/>
        <v>- churches</v>
      </c>
      <c r="AZ72" s="117" t="str">
        <f t="shared" si="101"/>
        <v/>
      </c>
      <c r="BA72" s="117" t="str">
        <f t="shared" si="102"/>
        <v>- holy-persons</v>
      </c>
      <c r="BB72" s="117" t="str">
        <f t="shared" si="103"/>
        <v>- teresa-avila</v>
      </c>
      <c r="BC72" s="117" t="str">
        <f t="shared" si="104"/>
        <v>- discalced-carmelites</v>
      </c>
      <c r="BD72" s="117" t="str">
        <f t="shared" si="105"/>
        <v/>
      </c>
      <c r="BE72" s="117" t="str">
        <f t="shared" si="106"/>
        <v/>
      </c>
      <c r="BF72" s="117" t="str">
        <f t="shared" si="107"/>
        <v/>
      </c>
      <c r="BG72" s="117" t="str">
        <f t="shared" si="108"/>
        <v/>
      </c>
      <c r="BH72" s="117" t="str">
        <f t="shared" si="109"/>
        <v/>
      </c>
      <c r="BI72" s="117" t="str">
        <f t="shared" si="110"/>
        <v/>
      </c>
      <c r="BJ72" s="117" t="str">
        <f t="shared" si="111"/>
        <v/>
      </c>
      <c r="BK72" s="117" t="str">
        <f t="shared" si="112"/>
        <v/>
      </c>
      <c r="BL72" s="117" t="str">
        <f t="shared" si="113"/>
        <v xml:space="preserve">tags:
- es_x000D_
- palencia_x000D_
- churches_x000D_
- holy-persons_x000D_
- teresa-avila_x000D_
- discalced-carmelites_x000D_
</v>
      </c>
      <c r="BM72" s="120" t="str">
        <f t="shared" si="124"/>
        <v/>
      </c>
      <c r="BN72" s="120" t="str">
        <f t="shared" si="125"/>
        <v>[Palencia tourism site](https://turismo.aytopalencia.es/en/poi/church-san-bernardo)</v>
      </c>
      <c r="BO72" s="120" t="str">
        <f t="shared" si="126"/>
        <v/>
      </c>
      <c r="BP72" s="120" t="str">
        <f t="shared" si="127"/>
        <v/>
      </c>
      <c r="BQ72" s="117" t="str">
        <f t="shared" si="114"/>
        <v xml:space="preserve">* [Palencia tourism site](https://turismo.aytopalencia.es/en/poi/church-san-bernardo)
</v>
      </c>
      <c r="BR72" s="117" t="str">
        <f t="shared" si="115"/>
        <v/>
      </c>
      <c r="BS72" s="117" t="str">
        <f t="shared" si="116"/>
        <v/>
      </c>
      <c r="BT72" s="117" t="str">
        <f t="shared" si="117"/>
        <v/>
      </c>
      <c r="BU72" s="117" t="str">
        <f>IF(LEN(_xludf.concat(BR72:BT72))&gt;0,_xludf.concat("| ",BR72," | ",BS72," | ",BT72," |"),"")</f>
        <v/>
      </c>
      <c r="BV72" s="117" t="str">
        <f t="shared" si="118"/>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119"/>
        <v>#VALUE!</v>
      </c>
      <c r="CK72" s="12" t="str">
        <f t="shared" si="120"/>
        <v xml:space="preserve">| [](/places/places\es-palencia-iglesia-de-san-bernardo) </v>
      </c>
      <c r="CL72" s="13" t="str">
        <f>"| "&amp;IF(AS72,GetTagPage(C72,VLOOKUP(C72,'Country Tags'!C:E,3,)),C72)&amp; " "</f>
        <v xml:space="preserve">| [Spain](/tags/es) </v>
      </c>
      <c r="CM72" s="12" t="str">
        <f t="shared" si="121"/>
        <v xml:space="preserve">|  </v>
      </c>
      <c r="CN72" s="12" t="str">
        <f t="shared" si="122"/>
        <v xml:space="preserve">| [Link](/places/places\es-palencia-iglesia-de-san-bernardo) </v>
      </c>
      <c r="CO72" s="12" t="e">
        <f t="shared" si="123"/>
        <v>#VALUE!</v>
      </c>
    </row>
    <row r="73" spans="1:93" ht="63.75" x14ac:dyDescent="0.4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95"/>
        <v>1</v>
      </c>
      <c r="AT73" s="117" t="str">
        <f t="shared" si="96"/>
        <v>title: "Convent of our Lady of Carmen (Convento de Nuestra Senora del Carmen), Soria"</v>
      </c>
      <c r="AU73" s="117" t="str">
        <f t="shared" si="97"/>
        <v>location: {lat: 41.7646254483495, lng: -2.46296793728833}</v>
      </c>
      <c r="AV73" s="117" t="str">
        <f t="shared" si="98"/>
        <v>interest: local</v>
      </c>
      <c r="AW73" s="117" t="str">
        <f>"- "&amp;VLOOKUP(C73,'Country Tags'!C:E,3,)</f>
        <v>- es</v>
      </c>
      <c r="AX73" s="117" t="str">
        <f t="shared" si="99"/>
        <v>- soria</v>
      </c>
      <c r="AY73" s="117" t="str">
        <f t="shared" si="100"/>
        <v>- churches</v>
      </c>
      <c r="AZ73" s="117" t="str">
        <f t="shared" si="101"/>
        <v/>
      </c>
      <c r="BA73" s="117" t="str">
        <f t="shared" si="102"/>
        <v>- holy-persons</v>
      </c>
      <c r="BB73" s="117" t="str">
        <f t="shared" si="103"/>
        <v>- teresa-avila</v>
      </c>
      <c r="BC73" s="117" t="str">
        <f t="shared" si="104"/>
        <v>- discalced-carmelites</v>
      </c>
      <c r="BD73" s="117" t="str">
        <f t="shared" si="105"/>
        <v>- communities</v>
      </c>
      <c r="BE73" s="117" t="str">
        <f t="shared" si="106"/>
        <v/>
      </c>
      <c r="BF73" s="117" t="str">
        <f t="shared" si="107"/>
        <v/>
      </c>
      <c r="BG73" s="117" t="str">
        <f t="shared" si="108"/>
        <v/>
      </c>
      <c r="BH73" s="117" t="str">
        <f t="shared" si="109"/>
        <v/>
      </c>
      <c r="BI73" s="117" t="str">
        <f t="shared" si="110"/>
        <v/>
      </c>
      <c r="BJ73" s="117" t="str">
        <f t="shared" si="111"/>
        <v/>
      </c>
      <c r="BK73" s="117" t="str">
        <f t="shared" si="112"/>
        <v/>
      </c>
      <c r="BL73" s="117" t="str">
        <f t="shared" si="113"/>
        <v xml:space="preserve">tags:
- es_x000D_
- soria_x000D_
- churches_x000D_
- holy-persons_x000D_
- teresa-avila_x000D_
- discalced-carmelites_x000D_
- communities_x000D_
</v>
      </c>
      <c r="BM73" s="120" t="str">
        <f t="shared" si="124"/>
        <v/>
      </c>
      <c r="BN73" s="120" t="str">
        <f t="shared" si="125"/>
        <v>[Soria tourism site](https://www.turismosoria.es/en/what-to-see/monuments/convent-of-el-carmen/)</v>
      </c>
      <c r="BO73" s="120" t="str">
        <f t="shared" si="126"/>
        <v/>
      </c>
      <c r="BP73" s="120" t="str">
        <f t="shared" si="127"/>
        <v/>
      </c>
      <c r="BQ73" s="117" t="str">
        <f t="shared" si="114"/>
        <v xml:space="preserve">* [Soria tourism site](https://www.turismosoria.es/en/what-to-see/monuments/convent-of-el-carmen/)
</v>
      </c>
      <c r="BR73" s="117" t="str">
        <f t="shared" si="115"/>
        <v/>
      </c>
      <c r="BS73" s="117" t="str">
        <f t="shared" si="116"/>
        <v/>
      </c>
      <c r="BT73" s="117" t="str">
        <f t="shared" si="117"/>
        <v/>
      </c>
      <c r="BU73" s="117" t="str">
        <f>IF(LEN(_xludf.concat(BR73:BT73))&gt;0,_xludf.concat("| ",BR73," | ",BS73," | ",BT73," |"),"")</f>
        <v/>
      </c>
      <c r="BV73" s="117" t="str">
        <f t="shared" si="118"/>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119"/>
        <v>#VALUE!</v>
      </c>
      <c r="CK73" s="12" t="str">
        <f t="shared" si="120"/>
        <v xml:space="preserve">| [](/places/places\es-soria-convento-de-nuestra-senora-del-carmen) </v>
      </c>
      <c r="CL73" s="13" t="str">
        <f>"| "&amp;IF(AS73,GetTagPage(C73,VLOOKUP(C73,'Country Tags'!C:E,3,)),C73)&amp; " "</f>
        <v xml:space="preserve">| [Spain](/tags/es) </v>
      </c>
      <c r="CM73" s="12" t="str">
        <f t="shared" si="121"/>
        <v xml:space="preserve">|  </v>
      </c>
      <c r="CN73" s="12" t="str">
        <f t="shared" si="122"/>
        <v xml:space="preserve">| [Link](/places/places\es-soria-convento-de-nuestra-senora-del-carmen) </v>
      </c>
      <c r="CO73" s="12" t="e">
        <f t="shared" si="123"/>
        <v>#VALUE!</v>
      </c>
    </row>
    <row r="74" spans="1:93" ht="25.5" x14ac:dyDescent="0.4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95"/>
        <v>1</v>
      </c>
      <c r="AT74" s="117" t="str">
        <f t="shared" si="96"/>
        <v>title: "Convento de San Jose, Granada"</v>
      </c>
      <c r="AU74" s="117" t="str">
        <f t="shared" si="97"/>
        <v>location: {lat: 37.1750625813513, lng: -3.5968725}</v>
      </c>
      <c r="AV74" s="117" t="str">
        <f t="shared" si="98"/>
        <v>interest: local</v>
      </c>
      <c r="AW74" s="117" t="str">
        <f>"- "&amp;VLOOKUP(C74,'Country Tags'!C:E,3,)</f>
        <v>- es</v>
      </c>
      <c r="AX74" s="117" t="str">
        <f t="shared" si="99"/>
        <v>- granada</v>
      </c>
      <c r="AY74" s="117" t="str">
        <f t="shared" si="100"/>
        <v>- churches</v>
      </c>
      <c r="AZ74" s="117" t="str">
        <f t="shared" si="101"/>
        <v/>
      </c>
      <c r="BA74" s="117" t="str">
        <f t="shared" si="102"/>
        <v>- holy-persons</v>
      </c>
      <c r="BB74" s="117" t="str">
        <f t="shared" si="103"/>
        <v>- teresa-avila</v>
      </c>
      <c r="BC74" s="117" t="str">
        <f t="shared" si="104"/>
        <v>- discalced-carmelites</v>
      </c>
      <c r="BD74" s="117" t="str">
        <f t="shared" si="105"/>
        <v>- communities</v>
      </c>
      <c r="BE74" s="117" t="str">
        <f t="shared" si="106"/>
        <v>- john-cross</v>
      </c>
      <c r="BF74" s="117" t="str">
        <f t="shared" si="107"/>
        <v/>
      </c>
      <c r="BG74" s="117" t="str">
        <f t="shared" si="108"/>
        <v/>
      </c>
      <c r="BH74" s="117" t="str">
        <f t="shared" si="109"/>
        <v/>
      </c>
      <c r="BI74" s="117" t="str">
        <f t="shared" si="110"/>
        <v/>
      </c>
      <c r="BJ74" s="117" t="str">
        <f t="shared" si="111"/>
        <v/>
      </c>
      <c r="BK74" s="117" t="str">
        <f t="shared" si="112"/>
        <v/>
      </c>
      <c r="BL74" s="117" t="str">
        <f t="shared" si="113"/>
        <v xml:space="preserve">tags:
- es_x000D_
- granada_x000D_
- churches_x000D_
- holy-persons_x000D_
- teresa-avila_x000D_
- discalced-carmelites_x000D_
- communities_x000D_
- john-cross_x000D_
</v>
      </c>
      <c r="BM74" s="120" t="str">
        <f t="shared" si="124"/>
        <v>[Official site](http://www.carmelitasdescalzasgranada.es/) - Note: website not active at time of writing</v>
      </c>
      <c r="BN74" s="120" t="str">
        <f t="shared" si="125"/>
        <v>[Information from the Federacion Virgen del Carmen](https://federacionvirgendelcarmen.wordpress.com/conventos/convento-de-san-jose-granada/)</v>
      </c>
      <c r="BO74" s="120" t="str">
        <f t="shared" si="126"/>
        <v/>
      </c>
      <c r="BP74" s="120" t="str">
        <f t="shared" si="127"/>
        <v/>
      </c>
      <c r="BQ74" s="117" t="str">
        <f t="shared" si="114"/>
        <v xml:space="preserve">* [Official site](http://www.carmelitasdescalzasgranada.es/) - Note: website not active at time of writing
* [Information from the Federacion Virgen del Carmen](https://federacionvirgendelcarmen.wordpress.com/conventos/convento-de-san-jose-granada/)
</v>
      </c>
      <c r="BR74" s="117" t="str">
        <f t="shared" si="115"/>
        <v/>
      </c>
      <c r="BS74" s="117" t="str">
        <f t="shared" si="116"/>
        <v/>
      </c>
      <c r="BT74" s="117" t="str">
        <f t="shared" si="117"/>
        <v/>
      </c>
      <c r="BU74" s="117" t="str">
        <f>IF(LEN(_xludf.concat(BR74:BT74))&gt;0,_xludf.concat("| ",BR74," | ",BS74," | ",BT74," |"),"")</f>
        <v/>
      </c>
      <c r="BV74" s="117" t="str">
        <f t="shared" si="118"/>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119"/>
        <v>#VALUE!</v>
      </c>
      <c r="CK74" s="12" t="str">
        <f t="shared" si="120"/>
        <v xml:space="preserve">| [](/places/places\es-granada-convento-de-san-jose) </v>
      </c>
      <c r="CL74" s="13" t="str">
        <f>"| "&amp;IF(AS74,GetTagPage(C74,VLOOKUP(C74,'Country Tags'!C:E,3,)),C74)&amp; " "</f>
        <v xml:space="preserve">| [Spain](/tags/es) </v>
      </c>
      <c r="CM74" s="12" t="str">
        <f t="shared" si="121"/>
        <v xml:space="preserve">|  </v>
      </c>
      <c r="CN74" s="12" t="str">
        <f t="shared" si="122"/>
        <v xml:space="preserve">| [Link](/places/places\es-granada-convento-de-san-jose) </v>
      </c>
      <c r="CO74" s="12" t="e">
        <f t="shared" si="123"/>
        <v>#VALUE!</v>
      </c>
    </row>
    <row r="75" spans="1:93" ht="25.5" x14ac:dyDescent="0.4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95"/>
        <v>1</v>
      </c>
      <c r="AT75" s="117" t="str">
        <f t="shared" si="96"/>
        <v>title: "Convento de San Jose y Santa Ana, Burgos"</v>
      </c>
      <c r="AU75" s="117" t="str">
        <f t="shared" si="97"/>
        <v>location: {lat: 42.340120675583, lng: -3.6942737}</v>
      </c>
      <c r="AV75" s="117" t="str">
        <f t="shared" si="98"/>
        <v>interest: local</v>
      </c>
      <c r="AW75" s="117" t="str">
        <f>"- "&amp;VLOOKUP(C75,'Country Tags'!C:E,3,)</f>
        <v>- es</v>
      </c>
      <c r="AX75" s="117" t="str">
        <f t="shared" si="99"/>
        <v>- burgos</v>
      </c>
      <c r="AY75" s="117" t="str">
        <f t="shared" si="100"/>
        <v>- churches</v>
      </c>
      <c r="AZ75" s="117" t="str">
        <f t="shared" si="101"/>
        <v/>
      </c>
      <c r="BA75" s="117" t="str">
        <f t="shared" si="102"/>
        <v>- holy-persons</v>
      </c>
      <c r="BB75" s="117" t="str">
        <f t="shared" si="103"/>
        <v>- teresa-avila</v>
      </c>
      <c r="BC75" s="117" t="str">
        <f t="shared" si="104"/>
        <v>- discalced-carmelites</v>
      </c>
      <c r="BD75" s="117" t="str">
        <f t="shared" si="105"/>
        <v>- communities</v>
      </c>
      <c r="BE75" s="117" t="str">
        <f t="shared" si="106"/>
        <v/>
      </c>
      <c r="BF75" s="117" t="str">
        <f t="shared" si="107"/>
        <v/>
      </c>
      <c r="BG75" s="117" t="str">
        <f t="shared" si="108"/>
        <v/>
      </c>
      <c r="BH75" s="117" t="str">
        <f t="shared" si="109"/>
        <v/>
      </c>
      <c r="BI75" s="117" t="str">
        <f t="shared" si="110"/>
        <v/>
      </c>
      <c r="BJ75" s="117" t="str">
        <f t="shared" si="111"/>
        <v/>
      </c>
      <c r="BK75" s="117" t="str">
        <f t="shared" si="112"/>
        <v/>
      </c>
      <c r="BL75" s="117" t="str">
        <f t="shared" si="113"/>
        <v xml:space="preserve">tags:
- es_x000D_
- burgos_x000D_
- churches_x000D_
- holy-persons_x000D_
- teresa-avila_x000D_
- discalced-carmelites_x000D_
- communities_x000D_
</v>
      </c>
      <c r="BM75" s="120" t="str">
        <f t="shared" si="124"/>
        <v/>
      </c>
      <c r="BN75" s="120" t="str">
        <f t="shared" si="125"/>
        <v>[Burgos tourism site](https://turismo.aytoburgos.es/cultura-y-patrimonio1/-/asset_publisher/PMC541iCzJ73/content/convento-de-san-jos%25C3%25A9-y-santa-ana) - Note: website not active at time of writing</v>
      </c>
      <c r="BO75" s="120" t="str">
        <f t="shared" si="126"/>
        <v/>
      </c>
      <c r="BP75" s="120" t="str">
        <f t="shared" si="127"/>
        <v/>
      </c>
      <c r="BQ75" s="117" t="str">
        <f t="shared" si="114"/>
        <v xml:space="preserve">* [Burgos tourism site](https://turismo.aytoburgos.es/cultura-y-patrimonio1/-/asset_publisher/PMC541iCzJ73/content/convento-de-san-jos%25C3%25A9-y-santa-ana) - Note: website not active at time of writing
</v>
      </c>
      <c r="BR75" s="117" t="str">
        <f t="shared" si="115"/>
        <v/>
      </c>
      <c r="BS75" s="117" t="str">
        <f t="shared" si="116"/>
        <v/>
      </c>
      <c r="BT75" s="117" t="str">
        <f t="shared" si="117"/>
        <v/>
      </c>
      <c r="BU75" s="117" t="str">
        <f>IF(LEN(_xludf.concat(BR75:BT75))&gt;0,_xludf.concat("| ",BR75," | ",BS75," | ",BT75," |"),"")</f>
        <v/>
      </c>
      <c r="BV75" s="117" t="str">
        <f t="shared" si="118"/>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119"/>
        <v>#VALUE!</v>
      </c>
      <c r="CK75" s="12" t="str">
        <f t="shared" si="120"/>
        <v xml:space="preserve">| [](/places/places\es-burgos-convento-de-san-jose-y-santa-ana) </v>
      </c>
      <c r="CL75" s="13" t="str">
        <f>"| "&amp;IF(AS75,GetTagPage(C75,VLOOKUP(C75,'Country Tags'!C:E,3,)),C75)&amp; " "</f>
        <v xml:space="preserve">| [Spain](/tags/es) </v>
      </c>
      <c r="CM75" s="12" t="str">
        <f t="shared" si="121"/>
        <v xml:space="preserve">|  </v>
      </c>
      <c r="CN75" s="12" t="str">
        <f t="shared" si="122"/>
        <v xml:space="preserve">| [Link](/places/places\es-burgos-convento-de-san-jose-y-santa-ana) </v>
      </c>
      <c r="CO75" s="12" t="e">
        <f t="shared" si="123"/>
        <v>#VALUE!</v>
      </c>
    </row>
    <row r="76" spans="1:93" ht="38.25" x14ac:dyDescent="0.4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95"/>
        <v>1</v>
      </c>
      <c r="AT76" s="117" t="str">
        <f t="shared" si="96"/>
        <v>title: "Avila Cathedral (Catedral del Salvador)"</v>
      </c>
      <c r="AU76" s="117" t="str">
        <f t="shared" si="97"/>
        <v>location: {lat: 40.6557376338577, lng: -4.69703687109845}</v>
      </c>
      <c r="AV76" s="117" t="str">
        <f t="shared" si="98"/>
        <v>interest: regional</v>
      </c>
      <c r="AW76" s="117" t="str">
        <f>"- "&amp;VLOOKUP(C76,'Country Tags'!C:E,3,)</f>
        <v>- es</v>
      </c>
      <c r="AX76" s="117" t="str">
        <f t="shared" si="99"/>
        <v>- avila</v>
      </c>
      <c r="AY76" s="117" t="str">
        <f t="shared" si="100"/>
        <v>- churches</v>
      </c>
      <c r="AZ76" s="117" t="str">
        <f t="shared" si="101"/>
        <v/>
      </c>
      <c r="BA76" s="117" t="str">
        <f t="shared" si="102"/>
        <v/>
      </c>
      <c r="BB76" s="117" t="str">
        <f t="shared" si="103"/>
        <v/>
      </c>
      <c r="BC76" s="117" t="str">
        <f t="shared" si="104"/>
        <v/>
      </c>
      <c r="BD76" s="117" t="str">
        <f t="shared" si="105"/>
        <v/>
      </c>
      <c r="BE76" s="117" t="str">
        <f t="shared" si="106"/>
        <v/>
      </c>
      <c r="BF76" s="117" t="str">
        <f t="shared" si="107"/>
        <v/>
      </c>
      <c r="BG76" s="117" t="str">
        <f t="shared" si="108"/>
        <v/>
      </c>
      <c r="BH76" s="117" t="str">
        <f t="shared" si="109"/>
        <v/>
      </c>
      <c r="BI76" s="117" t="str">
        <f t="shared" si="110"/>
        <v/>
      </c>
      <c r="BJ76" s="117" t="str">
        <f t="shared" si="111"/>
        <v/>
      </c>
      <c r="BK76" s="117" t="str">
        <f t="shared" si="112"/>
        <v/>
      </c>
      <c r="BL76" s="117" t="str">
        <f t="shared" si="113"/>
        <v xml:space="preserve">tags:
- es_x000D_
- avila_x000D_
- churches_x000D_
</v>
      </c>
      <c r="BM76" s="120" t="str">
        <f t="shared" si="124"/>
        <v>[Official site](https://catedralavila.es/)</v>
      </c>
      <c r="BN76" s="120" t="str">
        <f t="shared" si="125"/>
        <v/>
      </c>
      <c r="BO76" s="120" t="str">
        <f t="shared" si="126"/>
        <v/>
      </c>
      <c r="BP76" s="120" t="str">
        <f t="shared" si="127"/>
        <v/>
      </c>
      <c r="BQ76" s="117" t="str">
        <f t="shared" si="114"/>
        <v xml:space="preserve">* [Official site](https://catedralavila.es/)
</v>
      </c>
      <c r="BR76" s="117" t="str">
        <f t="shared" si="115"/>
        <v/>
      </c>
      <c r="BS76" s="117" t="str">
        <f t="shared" si="116"/>
        <v/>
      </c>
      <c r="BT76" s="117" t="str">
        <f t="shared" si="117"/>
        <v/>
      </c>
      <c r="BU76" s="117" t="str">
        <f>IF(LEN(_xludf.concat(BR76:BT76))&gt;0,_xludf.concat("| ",BR76," | ",BS76," | ",BT76," |"),"")</f>
        <v/>
      </c>
      <c r="BV76" s="117" t="str">
        <f t="shared" si="118"/>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119"/>
        <v xml:space="preserve">| </v>
      </c>
      <c r="CK76" s="12" t="str">
        <f t="shared" si="120"/>
        <v xml:space="preserve">| [](/places/places\es-avila-cathedral) </v>
      </c>
      <c r="CL76" s="13" t="str">
        <f>"| "&amp;IF(AS76,GetTagPage(C76,VLOOKUP(C76,'Country Tags'!C:E,3,)),C76)&amp; " "</f>
        <v xml:space="preserve">| [Spain](/tags/es) </v>
      </c>
      <c r="CM76" s="12" t="str">
        <f t="shared" si="121"/>
        <v xml:space="preserve">|  </v>
      </c>
      <c r="CN76" s="12" t="str">
        <f t="shared" si="122"/>
        <v xml:space="preserve">| [Link](/places/places\es-avila-cathedral) </v>
      </c>
      <c r="CO76" s="12" t="str">
        <f t="shared" si="123"/>
        <v xml:space="preserve">
| [](/places/places\es-avila-cathedral) | [Spain](/tags/es) |  | [Link](/places/places\es-avila-cathedral) [Official site](https://catedralavila.es/)| |</v>
      </c>
    </row>
    <row r="77" spans="1:93" ht="38.25" x14ac:dyDescent="0.4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95"/>
        <v>1</v>
      </c>
      <c r="AT77" s="117" t="str">
        <f t="shared" si="96"/>
        <v>title: "Basilica of Sts. Vincent, Sabina and Cristeta (San Vicente de Avila)"</v>
      </c>
      <c r="AU77" s="117" t="str">
        <f t="shared" si="97"/>
        <v>location: {lat: 40.6579352089861, lng: -4.69603908933598}</v>
      </c>
      <c r="AV77" s="117" t="str">
        <f t="shared" si="98"/>
        <v>interest: regional</v>
      </c>
      <c r="AW77" s="117" t="str">
        <f>"- "&amp;VLOOKUP(C77,'Country Tags'!C:E,3,)</f>
        <v>- es</v>
      </c>
      <c r="AX77" s="117" t="str">
        <f t="shared" si="99"/>
        <v>- avila</v>
      </c>
      <c r="AY77" s="117" t="str">
        <f t="shared" si="100"/>
        <v>- churches</v>
      </c>
      <c r="AZ77" s="117" t="str">
        <f t="shared" si="101"/>
        <v/>
      </c>
      <c r="BA77" s="117" t="str">
        <f t="shared" si="102"/>
        <v>- holy-persons</v>
      </c>
      <c r="BB77" s="117" t="str">
        <f t="shared" si="103"/>
        <v>- vincent</v>
      </c>
      <c r="BC77" s="117" t="str">
        <f t="shared" si="104"/>
        <v>- sabina</v>
      </c>
      <c r="BD77" s="117" t="str">
        <f t="shared" si="105"/>
        <v>- cristeta</v>
      </c>
      <c r="BE77" s="117" t="str">
        <f t="shared" si="106"/>
        <v/>
      </c>
      <c r="BF77" s="117" t="str">
        <f t="shared" si="107"/>
        <v/>
      </c>
      <c r="BG77" s="117" t="str">
        <f t="shared" si="108"/>
        <v/>
      </c>
      <c r="BH77" s="117" t="str">
        <f t="shared" si="109"/>
        <v/>
      </c>
      <c r="BI77" s="117" t="str">
        <f t="shared" si="110"/>
        <v/>
      </c>
      <c r="BJ77" s="117" t="str">
        <f t="shared" si="111"/>
        <v/>
      </c>
      <c r="BK77" s="117" t="str">
        <f t="shared" si="112"/>
        <v/>
      </c>
      <c r="BL77" s="117" t="str">
        <f t="shared" si="113"/>
        <v xml:space="preserve">tags:
- es_x000D_
- avila_x000D_
- churches_x000D_
- holy-persons_x000D_
- vincent_x000D_
- sabina_x000D_
- cristeta_x000D_
</v>
      </c>
      <c r="BM77" s="120" t="str">
        <f t="shared" si="124"/>
        <v>[Official site](https://basilicasanvicente.es/)</v>
      </c>
      <c r="BN77" s="120" t="str">
        <f t="shared" si="125"/>
        <v/>
      </c>
      <c r="BO77" s="120" t="str">
        <f t="shared" si="126"/>
        <v/>
      </c>
      <c r="BP77" s="120" t="str">
        <f t="shared" si="127"/>
        <v/>
      </c>
      <c r="BQ77" s="117" t="str">
        <f t="shared" si="114"/>
        <v xml:space="preserve">* [Official site](https://basilicasanvicente.es/)
</v>
      </c>
      <c r="BR77" s="117" t="str">
        <f t="shared" si="115"/>
        <v/>
      </c>
      <c r="BS77" s="117" t="str">
        <f t="shared" si="116"/>
        <v/>
      </c>
      <c r="BT77" s="117" t="str">
        <f t="shared" si="117"/>
        <v/>
      </c>
      <c r="BU77" s="117" t="str">
        <f>IF(LEN(_xludf.concat(BR77:BT77))&gt;0,_xludf.concat("| ",BR77," | ",BS77," | ",BT77," |"),"")</f>
        <v/>
      </c>
      <c r="BV77" s="117" t="str">
        <f t="shared" si="118"/>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119"/>
        <v>#VALUE!</v>
      </c>
      <c r="CK77" s="12" t="str">
        <f t="shared" si="120"/>
        <v xml:space="preserve">| [](/places/places\es-avila-san-vincente) </v>
      </c>
      <c r="CL77" s="13" t="str">
        <f>"| "&amp;IF(AS77,GetTagPage(C77,VLOOKUP(C77,'Country Tags'!C:E,3,)),C77)&amp; " "</f>
        <v xml:space="preserve">| [Spain](/tags/es) </v>
      </c>
      <c r="CM77" s="12" t="str">
        <f t="shared" si="121"/>
        <v xml:space="preserve">|  </v>
      </c>
      <c r="CN77" s="12" t="str">
        <f t="shared" si="122"/>
        <v xml:space="preserve">| [Link](/places/places\es-avila-san-vincente) </v>
      </c>
      <c r="CO77" s="12" t="e">
        <f t="shared" si="123"/>
        <v>#VALUE!</v>
      </c>
    </row>
    <row r="78" spans="1:93" ht="102" x14ac:dyDescent="0.4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95"/>
        <v>1</v>
      </c>
      <c r="AT78" s="117" t="str">
        <f t="shared" si="96"/>
        <v>title: "Monastery of Duruelo"</v>
      </c>
      <c r="AU78" s="117" t="str">
        <f t="shared" si="97"/>
        <v>location: {lat: 40.8341063720703, lng: -5.13013812791797}</v>
      </c>
      <c r="AV78" s="117" t="str">
        <f t="shared" si="98"/>
        <v>interest: local</v>
      </c>
      <c r="AW78" s="117" t="str">
        <f>"- "&amp;VLOOKUP(C78,'Country Tags'!C:E,3,)</f>
        <v>- es</v>
      </c>
      <c r="AX78" s="117" t="str">
        <f t="shared" si="99"/>
        <v>- duruelo</v>
      </c>
      <c r="AY78" s="117" t="str">
        <f t="shared" si="100"/>
        <v>- churches</v>
      </c>
      <c r="AZ78" s="117" t="str">
        <f t="shared" si="101"/>
        <v/>
      </c>
      <c r="BA78" s="117" t="str">
        <f t="shared" si="102"/>
        <v>- holy-persons</v>
      </c>
      <c r="BB78" s="117" t="str">
        <f t="shared" si="103"/>
        <v>- teresa-avila</v>
      </c>
      <c r="BC78" s="117" t="str">
        <f t="shared" si="104"/>
        <v>- discalced-carmelites</v>
      </c>
      <c r="BD78" s="117" t="str">
        <f t="shared" si="105"/>
        <v>- john-cross</v>
      </c>
      <c r="BE78" s="117" t="str">
        <f t="shared" si="106"/>
        <v/>
      </c>
      <c r="BF78" s="117" t="str">
        <f t="shared" si="107"/>
        <v/>
      </c>
      <c r="BG78" s="117" t="str">
        <f t="shared" si="108"/>
        <v/>
      </c>
      <c r="BH78" s="117" t="str">
        <f t="shared" si="109"/>
        <v/>
      </c>
      <c r="BI78" s="117" t="str">
        <f t="shared" si="110"/>
        <v/>
      </c>
      <c r="BJ78" s="117" t="str">
        <f t="shared" si="111"/>
        <v/>
      </c>
      <c r="BK78" s="117" t="str">
        <f t="shared" si="112"/>
        <v/>
      </c>
      <c r="BL78" s="117" t="str">
        <f t="shared" si="113"/>
        <v xml:space="preserve">tags:
- es_x000D_
- duruelo_x000D_
- churches_x000D_
- holy-persons_x000D_
- teresa-avila_x000D_
- discalced-carmelites_x000D_
- john-cross_x000D_
</v>
      </c>
      <c r="BM78" s="120" t="str">
        <f t="shared" si="124"/>
        <v/>
      </c>
      <c r="BN78" s="120" t="str">
        <f t="shared" si="125"/>
        <v/>
      </c>
      <c r="BO78" s="120" t="str">
        <f t="shared" si="126"/>
        <v/>
      </c>
      <c r="BP78" s="120" t="str">
        <f t="shared" si="127"/>
        <v/>
      </c>
      <c r="BQ78" s="117" t="str">
        <f t="shared" si="114"/>
        <v/>
      </c>
      <c r="BR78" s="117" t="str">
        <f t="shared" si="115"/>
        <v/>
      </c>
      <c r="BS78" s="117" t="str">
        <f t="shared" si="116"/>
        <v/>
      </c>
      <c r="BT78" s="117" t="str">
        <f t="shared" si="117"/>
        <v/>
      </c>
      <c r="BU78" s="117" t="str">
        <f>IF(LEN(_xludf.concat(BR78:BT78))&gt;0,_xludf.concat("| ",BR78," | ",BS78," | ",BT78," |"),"")</f>
        <v/>
      </c>
      <c r="BV78" s="117" t="str">
        <f t="shared" si="118"/>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119"/>
        <v>#VALUE!</v>
      </c>
      <c r="CK78" s="12" t="str">
        <f t="shared" si="120"/>
        <v xml:space="preserve">| [](/places/places\es-duruelo-monastery) </v>
      </c>
      <c r="CL78" s="13" t="str">
        <f>"| "&amp;IF(AS78,GetTagPage(C78,VLOOKUP(C78,'Country Tags'!C:E,3,)),C78)&amp; " "</f>
        <v xml:space="preserve">| [Spain](/tags/es) </v>
      </c>
      <c r="CM78" s="12" t="str">
        <f t="shared" si="121"/>
        <v xml:space="preserve">|  </v>
      </c>
      <c r="CN78" s="12" t="str">
        <f t="shared" si="122"/>
        <v xml:space="preserve">| [Link](/places/places\es-duruelo-monastery) </v>
      </c>
      <c r="CO78" s="12" t="e">
        <f t="shared" si="123"/>
        <v>#VALUE!</v>
      </c>
    </row>
    <row r="79" spans="1:93" ht="63.75" x14ac:dyDescent="0.4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95"/>
        <v>1</v>
      </c>
      <c r="AT79" s="117" t="str">
        <f t="shared" si="96"/>
        <v>title: "Convent of St. John of the Cross (Convento de San Juan de la Cruz)"</v>
      </c>
      <c r="AU79" s="117" t="str">
        <f t="shared" si="97"/>
        <v>location: {lat: 40.955391357159, lng: -4.13347186323157}</v>
      </c>
      <c r="AV79" s="117" t="str">
        <f t="shared" si="98"/>
        <v>interest: regional</v>
      </c>
      <c r="AW79" s="117" t="str">
        <f>"- "&amp;VLOOKUP(C79,'Country Tags'!C:E,3,)</f>
        <v>- es</v>
      </c>
      <c r="AX79" s="117" t="str">
        <f t="shared" si="99"/>
        <v>- segovia</v>
      </c>
      <c r="AY79" s="117" t="str">
        <f t="shared" si="100"/>
        <v>- churches</v>
      </c>
      <c r="AZ79" s="117" t="str">
        <f t="shared" si="101"/>
        <v/>
      </c>
      <c r="BA79" s="117" t="str">
        <f t="shared" si="102"/>
        <v>- holy-persons</v>
      </c>
      <c r="BB79" s="117" t="str">
        <f t="shared" si="103"/>
        <v>- teresa-avila</v>
      </c>
      <c r="BC79" s="117" t="str">
        <f t="shared" si="104"/>
        <v>- discalced-carmelites</v>
      </c>
      <c r="BD79" s="117" t="str">
        <f t="shared" si="105"/>
        <v>- john-cross</v>
      </c>
      <c r="BE79" s="117" t="str">
        <f t="shared" si="106"/>
        <v/>
      </c>
      <c r="BF79" s="117" t="str">
        <f t="shared" si="107"/>
        <v/>
      </c>
      <c r="BG79" s="117" t="str">
        <f t="shared" si="108"/>
        <v/>
      </c>
      <c r="BH79" s="117" t="str">
        <f t="shared" si="109"/>
        <v/>
      </c>
      <c r="BI79" s="117" t="str">
        <f t="shared" si="110"/>
        <v/>
      </c>
      <c r="BJ79" s="117" t="str">
        <f t="shared" si="111"/>
        <v/>
      </c>
      <c r="BK79" s="117" t="str">
        <f t="shared" si="112"/>
        <v/>
      </c>
      <c r="BL79" s="117" t="str">
        <f t="shared" si="113"/>
        <v xml:space="preserve">tags:
- es_x000D_
- segovia_x000D_
- churches_x000D_
- holy-persons_x000D_
- teresa-avila_x000D_
- discalced-carmelites_x000D_
- john-cross_x000D_
</v>
      </c>
      <c r="BM79" s="120" t="str">
        <f t="shared" si="124"/>
        <v>[Official site](https://sanjuandelacruzsegovia.com/)</v>
      </c>
      <c r="BN79" s="120" t="str">
        <f t="shared" si="125"/>
        <v/>
      </c>
      <c r="BO79" s="120" t="str">
        <f t="shared" si="126"/>
        <v/>
      </c>
      <c r="BP79" s="120" t="str">
        <f t="shared" si="127"/>
        <v/>
      </c>
      <c r="BQ79" s="117" t="str">
        <f t="shared" si="114"/>
        <v xml:space="preserve">* [Official site](https://sanjuandelacruzsegovia.com/)
</v>
      </c>
      <c r="BR79" s="117" t="str">
        <f t="shared" si="115"/>
        <v/>
      </c>
      <c r="BS79" s="117" t="str">
        <f t="shared" si="116"/>
        <v/>
      </c>
      <c r="BT79" s="117" t="str">
        <f t="shared" si="117"/>
        <v/>
      </c>
      <c r="BU79" s="117" t="str">
        <f>IF(LEN(_xludf.concat(BR79:BT79))&gt;0,_xludf.concat("| ",BR79," | ",BS79," | ",BT79," |"),"")</f>
        <v/>
      </c>
      <c r="BV79" s="117" t="str">
        <f t="shared" si="118"/>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119"/>
        <v>#VALUE!</v>
      </c>
      <c r="CK79" s="12" t="str">
        <f t="shared" si="120"/>
        <v xml:space="preserve">| [](/places/places\es-segovia-convento-de-san-juan-de-la-cruz) </v>
      </c>
      <c r="CL79" s="13" t="str">
        <f>"| "&amp;IF(AS79,GetTagPage(C79,VLOOKUP(C79,'Country Tags'!C:E,3,)),C79)&amp; " "</f>
        <v xml:space="preserve">| [Spain](/tags/es) </v>
      </c>
      <c r="CM79" s="12" t="str">
        <f t="shared" si="121"/>
        <v xml:space="preserve">|  </v>
      </c>
      <c r="CN79" s="12" t="str">
        <f t="shared" si="122"/>
        <v xml:space="preserve">| [Link](/places/places\es-segovia-convento-de-san-juan-de-la-cruz) </v>
      </c>
      <c r="CO79" s="12" t="e">
        <f t="shared" si="123"/>
        <v>#VALUE!</v>
      </c>
    </row>
    <row r="80" spans="1:93" ht="38.25" x14ac:dyDescent="0.4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95"/>
        <v>1</v>
      </c>
      <c r="AT80" s="117" t="str">
        <f t="shared" si="96"/>
        <v>title: "Oratory of St. John of the Cross (Oratorio de San Juan de la Cruz)"</v>
      </c>
      <c r="AU80" s="117" t="str">
        <f t="shared" si="97"/>
        <v>location: {lat: 38.0097164534484, lng: -3.36573704226182}</v>
      </c>
      <c r="AV80" s="117" t="str">
        <f t="shared" si="98"/>
        <v>interest: regional</v>
      </c>
      <c r="AW80" s="117" t="str">
        <f>"- "&amp;VLOOKUP(C80,'Country Tags'!C:E,3,)</f>
        <v>- es</v>
      </c>
      <c r="AX80" s="117" t="str">
        <f t="shared" si="99"/>
        <v>- ubeda</v>
      </c>
      <c r="AY80" s="117" t="str">
        <f t="shared" si="100"/>
        <v>- churches</v>
      </c>
      <c r="AZ80" s="117" t="str">
        <f t="shared" si="101"/>
        <v/>
      </c>
      <c r="BA80" s="117" t="str">
        <f t="shared" si="102"/>
        <v>- holy-persons</v>
      </c>
      <c r="BB80" s="117" t="str">
        <f t="shared" si="103"/>
        <v>- john-cross</v>
      </c>
      <c r="BC80" s="117" t="str">
        <f t="shared" si="104"/>
        <v>- discalced-carmelites</v>
      </c>
      <c r="BD80" s="117" t="str">
        <f t="shared" si="105"/>
        <v/>
      </c>
      <c r="BE80" s="117" t="str">
        <f t="shared" si="106"/>
        <v/>
      </c>
      <c r="BF80" s="117" t="str">
        <f t="shared" si="107"/>
        <v/>
      </c>
      <c r="BG80" s="117" t="str">
        <f t="shared" si="108"/>
        <v/>
      </c>
      <c r="BH80" s="117" t="str">
        <f t="shared" si="109"/>
        <v/>
      </c>
      <c r="BI80" s="117" t="str">
        <f t="shared" si="110"/>
        <v/>
      </c>
      <c r="BJ80" s="117" t="str">
        <f t="shared" si="111"/>
        <v/>
      </c>
      <c r="BK80" s="117" t="str">
        <f t="shared" si="112"/>
        <v/>
      </c>
      <c r="BL80" s="117" t="str">
        <f t="shared" si="113"/>
        <v xml:space="preserve">tags:
- es_x000D_
- ubeda_x000D_
- churches_x000D_
- holy-persons_x000D_
- john-cross_x000D_
- discalced-carmelites_x000D_
</v>
      </c>
      <c r="BM80" s="120" t="str">
        <f t="shared" si="124"/>
        <v>[Official site](https://www.sanjuandelacruzubeda.com/)</v>
      </c>
      <c r="BN80" s="120" t="str">
        <f t="shared" si="125"/>
        <v/>
      </c>
      <c r="BO80" s="120" t="str">
        <f t="shared" si="126"/>
        <v/>
      </c>
      <c r="BP80" s="120" t="str">
        <f t="shared" si="127"/>
        <v/>
      </c>
      <c r="BQ80" s="117" t="str">
        <f t="shared" si="114"/>
        <v xml:space="preserve">* [Official site](https://www.sanjuandelacruzubeda.com/)
</v>
      </c>
      <c r="BR80" s="117" t="str">
        <f t="shared" si="115"/>
        <v/>
      </c>
      <c r="BS80" s="117" t="str">
        <f t="shared" si="116"/>
        <v/>
      </c>
      <c r="BT80" s="117" t="str">
        <f t="shared" si="117"/>
        <v/>
      </c>
      <c r="BU80" s="117" t="str">
        <f>IF(LEN(_xludf.concat(BR80:BT80))&gt;0,_xludf.concat("| ",BR80," | ",BS80," | ",BT80," |"),"")</f>
        <v/>
      </c>
      <c r="BV80" s="117" t="str">
        <f t="shared" si="118"/>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119"/>
        <v>#VALUE!</v>
      </c>
      <c r="CK80" s="12" t="str">
        <f t="shared" si="120"/>
        <v xml:space="preserve">| [](/places/places\es-ubeda-oratorio-de-san-juan-de-la-cruz) </v>
      </c>
      <c r="CL80" s="13" t="str">
        <f>"| "&amp;IF(AS80,GetTagPage(C80,VLOOKUP(C80,'Country Tags'!C:E,3,)),C80)&amp; " "</f>
        <v xml:space="preserve">| [Spain](/tags/es) </v>
      </c>
      <c r="CM80" s="12" t="str">
        <f t="shared" si="121"/>
        <v xml:space="preserve">|  </v>
      </c>
      <c r="CN80" s="12" t="str">
        <f t="shared" si="122"/>
        <v xml:space="preserve">| [Link](/places/places\es-ubeda-oratorio-de-san-juan-de-la-cruz) </v>
      </c>
      <c r="CO80" s="12" t="e">
        <f t="shared" si="123"/>
        <v>#VALUE!</v>
      </c>
    </row>
    <row r="81" spans="1:93" ht="38.25" x14ac:dyDescent="0.4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95"/>
        <v>1</v>
      </c>
      <c r="AT81" s="117" t="str">
        <f t="shared" si="96"/>
        <v>title: "Church of the Birthplace of St. John of the Cross (Iglesia Casa Natal de San Juan de la Cruz)"</v>
      </c>
      <c r="AU81" s="117" t="str">
        <f t="shared" si="97"/>
        <v>location: {lat: 40.9317870668416, lng: -4.9646371}</v>
      </c>
      <c r="AV81" s="117" t="str">
        <f t="shared" si="98"/>
        <v>interest: local</v>
      </c>
      <c r="AW81" s="117" t="str">
        <f>"- "&amp;VLOOKUP(C81,'Country Tags'!C:E,3,)</f>
        <v>- es</v>
      </c>
      <c r="AX81" s="117" t="str">
        <f t="shared" si="99"/>
        <v>- fontiveros</v>
      </c>
      <c r="AY81" s="117" t="str">
        <f t="shared" si="100"/>
        <v>- churches</v>
      </c>
      <c r="AZ81" s="117" t="str">
        <f t="shared" si="101"/>
        <v/>
      </c>
      <c r="BA81" s="117" t="str">
        <f t="shared" si="102"/>
        <v>- holy-persons</v>
      </c>
      <c r="BB81" s="117" t="str">
        <f t="shared" si="103"/>
        <v>- john-cross</v>
      </c>
      <c r="BC81" s="117" t="str">
        <f t="shared" si="104"/>
        <v>- discalced-carmelites</v>
      </c>
      <c r="BD81" s="117" t="str">
        <f t="shared" si="105"/>
        <v/>
      </c>
      <c r="BE81" s="117" t="str">
        <f t="shared" si="106"/>
        <v/>
      </c>
      <c r="BF81" s="117" t="str">
        <f t="shared" si="107"/>
        <v/>
      </c>
      <c r="BG81" s="117" t="str">
        <f t="shared" si="108"/>
        <v/>
      </c>
      <c r="BH81" s="117" t="str">
        <f t="shared" si="109"/>
        <v/>
      </c>
      <c r="BI81" s="117" t="str">
        <f t="shared" si="110"/>
        <v/>
      </c>
      <c r="BJ81" s="117" t="str">
        <f t="shared" si="111"/>
        <v/>
      </c>
      <c r="BK81" s="117" t="str">
        <f t="shared" si="112"/>
        <v/>
      </c>
      <c r="BL81" s="117" t="str">
        <f t="shared" si="113"/>
        <v xml:space="preserve">tags:
- es_x000D_
- fontiveros_x000D_
- churches_x000D_
- holy-persons_x000D_
- john-cross_x000D_
- discalced-carmelites_x000D_
</v>
      </c>
      <c r="BM81" s="120" t="str">
        <f t="shared" si="124"/>
        <v/>
      </c>
      <c r="BN81" s="120" t="str">
        <f t="shared" si="125"/>
        <v>[Castila y Leon tourism site](https://www.turismocastillayleon.com/en/art-culture-heritage/monuments/churches-chapels/church-san-juan-de-la-cruz-house-natal)</v>
      </c>
      <c r="BO81" s="120" t="str">
        <f t="shared" si="126"/>
        <v/>
      </c>
      <c r="BP81" s="120" t="str">
        <f t="shared" si="127"/>
        <v/>
      </c>
      <c r="BQ81" s="117" t="str">
        <f t="shared" si="114"/>
        <v xml:space="preserve">* [Castila y Leon tourism site](https://www.turismocastillayleon.com/en/art-culture-heritage/monuments/churches-chapels/church-san-juan-de-la-cruz-house-natal)
</v>
      </c>
      <c r="BR81" s="117" t="str">
        <f t="shared" si="115"/>
        <v/>
      </c>
      <c r="BS81" s="117" t="str">
        <f t="shared" si="116"/>
        <v/>
      </c>
      <c r="BT81" s="117" t="str">
        <f t="shared" si="117"/>
        <v/>
      </c>
      <c r="BU81" s="117" t="str">
        <f>IF(LEN(_xludf.concat(BR81:BT81))&gt;0,_xludf.concat("| ",BR81," | ",BS81," | ",BT81," |"),"")</f>
        <v/>
      </c>
      <c r="BV81" s="117" t="str">
        <f t="shared" si="118"/>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119"/>
        <v>#VALUE!</v>
      </c>
      <c r="CK81" s="12" t="str">
        <f t="shared" si="120"/>
        <v xml:space="preserve">| [](/places/places\es-fontiveros-iglesia-casa-natal-de-san-juan-de-la-cruz) </v>
      </c>
      <c r="CL81" s="13" t="str">
        <f>"| "&amp;IF(AS81,GetTagPage(C81,VLOOKUP(C81,'Country Tags'!C:E,3,)),C81)&amp; " "</f>
        <v xml:space="preserve">| [Spain](/tags/es) </v>
      </c>
      <c r="CM81" s="12" t="str">
        <f t="shared" si="121"/>
        <v xml:space="preserve">|  </v>
      </c>
      <c r="CN81" s="12" t="str">
        <f t="shared" si="122"/>
        <v xml:space="preserve">| [Link](/places/places\es-fontiveros-iglesia-casa-natal-de-san-juan-de-la-cruz) </v>
      </c>
      <c r="CO81" s="12" t="e">
        <f t="shared" si="123"/>
        <v>#VALUE!</v>
      </c>
    </row>
    <row r="82" spans="1:93" ht="89.25" x14ac:dyDescent="0.4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95"/>
        <v>1</v>
      </c>
      <c r="AT82" s="117" t="str">
        <f t="shared" si="96"/>
        <v>title: "Metropolitan Archcathedral Basilica of Santiago de Compostela (Catedral de Santiago)"</v>
      </c>
      <c r="AU82" s="117" t="str">
        <f t="shared" si="97"/>
        <v>location: {lat: 42.8806093820127, lng: -8.5443954}</v>
      </c>
      <c r="AV82" s="117" t="str">
        <f t="shared" si="98"/>
        <v>interest: global</v>
      </c>
      <c r="AW82" s="117" t="str">
        <f>"- "&amp;VLOOKUP(C82,'Country Tags'!C:E,3,)</f>
        <v>- es</v>
      </c>
      <c r="AX82" s="117" t="str">
        <f t="shared" si="99"/>
        <v>- santiago-de-compostela</v>
      </c>
      <c r="AY82" s="117" t="str">
        <f t="shared" si="100"/>
        <v>- churches</v>
      </c>
      <c r="AZ82" s="117" t="str">
        <f t="shared" si="101"/>
        <v/>
      </c>
      <c r="BA82" s="117" t="str">
        <f t="shared" si="102"/>
        <v>- holy-persons</v>
      </c>
      <c r="BB82" s="117" t="str">
        <f t="shared" si="103"/>
        <v>- james-great</v>
      </c>
      <c r="BC82" s="117" t="str">
        <f t="shared" si="104"/>
        <v>- camino</v>
      </c>
      <c r="BD82" s="117" t="str">
        <f t="shared" si="105"/>
        <v>- pelagius</v>
      </c>
      <c r="BE82" s="117" t="str">
        <f t="shared" si="106"/>
        <v>- apostles</v>
      </c>
      <c r="BF82" s="117" t="str">
        <f t="shared" si="107"/>
        <v/>
      </c>
      <c r="BG82" s="117" t="str">
        <f t="shared" si="108"/>
        <v/>
      </c>
      <c r="BH82" s="117" t="str">
        <f t="shared" si="109"/>
        <v/>
      </c>
      <c r="BI82" s="117" t="str">
        <f t="shared" si="110"/>
        <v/>
      </c>
      <c r="BJ82" s="117" t="str">
        <f t="shared" si="111"/>
        <v/>
      </c>
      <c r="BK82" s="117" t="str">
        <f t="shared" si="112"/>
        <v/>
      </c>
      <c r="BL82" s="117" t="str">
        <f t="shared" si="113"/>
        <v xml:space="preserve">tags:
- es_x000D_
- santiago-de-compostela_x000D_
- churches_x000D_
- holy-persons_x000D_
- james-great_x000D_
- camino_x000D_
- pelagius_x000D_
- apostles_x000D_
</v>
      </c>
      <c r="BM82" s="120" t="str">
        <f t="shared" si="124"/>
        <v>[Official site](http://catedraldesantiago.es/)</v>
      </c>
      <c r="BN82" s="120" t="str">
        <f t="shared" si="125"/>
        <v/>
      </c>
      <c r="BO82" s="120" t="str">
        <f t="shared" si="126"/>
        <v/>
      </c>
      <c r="BP82" s="120" t="str">
        <f t="shared" si="127"/>
        <v/>
      </c>
      <c r="BQ82" s="117" t="str">
        <f t="shared" si="114"/>
        <v xml:space="preserve">* [Official site](http://catedraldesantiago.es/)
</v>
      </c>
      <c r="BR82" s="117" t="str">
        <f t="shared" si="115"/>
        <v/>
      </c>
      <c r="BS82" s="117" t="str">
        <f t="shared" si="116"/>
        <v/>
      </c>
      <c r="BT82" s="117" t="str">
        <f t="shared" si="117"/>
        <v/>
      </c>
      <c r="BU82" s="117" t="str">
        <f>IF(LEN(_xludf.concat(BR82:BT82))&gt;0,_xludf.concat("| ",BR82," | ",BS82," | ",BT82," |"),"")</f>
        <v/>
      </c>
      <c r="BV82" s="117" t="str">
        <f t="shared" si="118"/>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119"/>
        <v>#VALUE!</v>
      </c>
      <c r="CK82" s="12" t="str">
        <f t="shared" si="120"/>
        <v xml:space="preserve">| [](/places/places\es-santiago-de-compostela-catedral-de-santiago) </v>
      </c>
      <c r="CL82" s="13" t="str">
        <f>"| "&amp;IF(AS82,GetTagPage(C82,VLOOKUP(C82,'Country Tags'!C:E,3,)),C82)&amp; " "</f>
        <v xml:space="preserve">| [Spain](/tags/es) </v>
      </c>
      <c r="CM82" s="12" t="str">
        <f t="shared" si="121"/>
        <v xml:space="preserve">|  </v>
      </c>
      <c r="CN82" s="12" t="str">
        <f t="shared" si="122"/>
        <v xml:space="preserve">| [Link](/places/places\es-santiago-de-compostela-catedral-de-santiago) </v>
      </c>
      <c r="CO82" s="12" t="e">
        <f t="shared" si="123"/>
        <v>#VALUE!</v>
      </c>
    </row>
    <row r="83" spans="1:93" ht="102" x14ac:dyDescent="0.4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95"/>
        <v>1</v>
      </c>
      <c r="AT83" s="117" t="str">
        <f t="shared" si="96"/>
        <v>title: "House of the Virgin Mary"</v>
      </c>
      <c r="AU83" s="117" t="str">
        <f t="shared" si="97"/>
        <v>location: {lat: 37.9115960027711, lng: 27.3341418397482}</v>
      </c>
      <c r="AV83" s="117" t="str">
        <f t="shared" si="98"/>
        <v>interest: global</v>
      </c>
      <c r="AW83" s="117" t="str">
        <f>"- "&amp;VLOOKUP(C83,'Country Tags'!C:E,3,)</f>
        <v>- tr</v>
      </c>
      <c r="AX83" s="117" t="str">
        <f t="shared" si="99"/>
        <v>- ephesus</v>
      </c>
      <c r="AY83" s="117" t="str">
        <f t="shared" si="100"/>
        <v/>
      </c>
      <c r="AZ83" s="117" t="str">
        <f t="shared" si="101"/>
        <v>- marian-sites</v>
      </c>
      <c r="BA83" s="117" t="str">
        <f t="shared" si="102"/>
        <v/>
      </c>
      <c r="BB83" s="117" t="str">
        <f t="shared" si="103"/>
        <v>- anne-catherine-emmerich</v>
      </c>
      <c r="BC83" s="117" t="str">
        <f t="shared" si="104"/>
        <v/>
      </c>
      <c r="BD83" s="117" t="str">
        <f t="shared" si="105"/>
        <v/>
      </c>
      <c r="BE83" s="117" t="str">
        <f t="shared" si="106"/>
        <v/>
      </c>
      <c r="BF83" s="117" t="str">
        <f t="shared" si="107"/>
        <v/>
      </c>
      <c r="BG83" s="117" t="str">
        <f t="shared" si="108"/>
        <v/>
      </c>
      <c r="BH83" s="117" t="str">
        <f t="shared" si="109"/>
        <v/>
      </c>
      <c r="BI83" s="117" t="str">
        <f t="shared" si="110"/>
        <v/>
      </c>
      <c r="BJ83" s="117" t="str">
        <f t="shared" si="111"/>
        <v/>
      </c>
      <c r="BK83" s="117" t="str">
        <f t="shared" si="112"/>
        <v/>
      </c>
      <c r="BL83" s="117" t="str">
        <f t="shared" si="113"/>
        <v xml:space="preserve">tags:
- tr_x000D_
- ephesus_x000D_
- marian-sites_x000D_
- anne-catherine-emmerich_x000D_
</v>
      </c>
      <c r="BM83" s="120" t="str">
        <f t="shared" si="124"/>
        <v/>
      </c>
      <c r="BN83" s="120" t="str">
        <f t="shared" si="125"/>
        <v/>
      </c>
      <c r="BO83" s="120" t="str">
        <f t="shared" si="126"/>
        <v/>
      </c>
      <c r="BP83" s="120" t="str">
        <f t="shared" si="127"/>
        <v/>
      </c>
      <c r="BQ83" s="117" t="str">
        <f t="shared" si="114"/>
        <v/>
      </c>
      <c r="BR83" s="117" t="str">
        <f t="shared" si="115"/>
        <v/>
      </c>
      <c r="BS83" s="117" t="str">
        <f t="shared" si="116"/>
        <v/>
      </c>
      <c r="BT83" s="117" t="str">
        <f t="shared" si="117"/>
        <v/>
      </c>
      <c r="BU83" s="117" t="str">
        <f>IF(LEN(_xludf.concat(BR83:BT83))&gt;0,_xludf.concat("| ",BR83," | ",BS83," | ",BT83," |"),"")</f>
        <v/>
      </c>
      <c r="BV83" s="117" t="str">
        <f t="shared" si="118"/>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119"/>
        <v>#VALUE!</v>
      </c>
      <c r="CK83" s="12" t="str">
        <f t="shared" si="120"/>
        <v xml:space="preserve">| [](/places/places\tr-ephesus-house-of-the-virgin-mary) </v>
      </c>
      <c r="CL83" s="13" t="str">
        <f>"| "&amp;IF(AS83,GetTagPage(C83,VLOOKUP(C83,'Country Tags'!C:E,3,)),C83)&amp; " "</f>
        <v xml:space="preserve">| [Turkey](/tags/tr) </v>
      </c>
      <c r="CM83" s="12" t="str">
        <f t="shared" si="121"/>
        <v xml:space="preserve">|  </v>
      </c>
      <c r="CN83" s="12" t="str">
        <f t="shared" si="122"/>
        <v xml:space="preserve">| [Link](/places/places\tr-ephesus-house-of-the-virgin-mary) </v>
      </c>
      <c r="CO83" s="12" t="e">
        <f t="shared" si="123"/>
        <v>#VALUE!</v>
      </c>
    </row>
    <row r="84" spans="1:93" ht="38.25" x14ac:dyDescent="0.4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95"/>
        <v>1</v>
      </c>
      <c r="AT84" s="117" t="str">
        <f t="shared" si="96"/>
        <v>title: "Church of Mary"</v>
      </c>
      <c r="AU84" s="117" t="str">
        <f t="shared" si="97"/>
        <v>location: {lat: 37.9446059640859, lng: 27.3391947153403}</v>
      </c>
      <c r="AV84" s="117" t="str">
        <f t="shared" si="98"/>
        <v>interest: local</v>
      </c>
      <c r="AW84" s="117" t="str">
        <f>"- "&amp;VLOOKUP(C84,'Country Tags'!C:E,3,)</f>
        <v>- tr</v>
      </c>
      <c r="AX84" s="117" t="str">
        <f t="shared" si="99"/>
        <v>- ephesus</v>
      </c>
      <c r="AY84" s="117" t="str">
        <f t="shared" si="100"/>
        <v/>
      </c>
      <c r="AZ84" s="117" t="str">
        <f t="shared" si="101"/>
        <v/>
      </c>
      <c r="BA84" s="117" t="str">
        <f t="shared" si="102"/>
        <v/>
      </c>
      <c r="BB84" s="117" t="str">
        <f t="shared" si="103"/>
        <v>- closed</v>
      </c>
      <c r="BC84" s="117" t="str">
        <f t="shared" si="104"/>
        <v/>
      </c>
      <c r="BD84" s="117" t="str">
        <f t="shared" si="105"/>
        <v/>
      </c>
      <c r="BE84" s="117" t="str">
        <f t="shared" si="106"/>
        <v/>
      </c>
      <c r="BF84" s="117" t="str">
        <f t="shared" si="107"/>
        <v/>
      </c>
      <c r="BG84" s="117" t="str">
        <f t="shared" si="108"/>
        <v/>
      </c>
      <c r="BH84" s="117" t="str">
        <f t="shared" si="109"/>
        <v/>
      </c>
      <c r="BI84" s="117" t="str">
        <f t="shared" si="110"/>
        <v/>
      </c>
      <c r="BJ84" s="117" t="str">
        <f t="shared" si="111"/>
        <v/>
      </c>
      <c r="BK84" s="117" t="str">
        <f t="shared" si="112"/>
        <v/>
      </c>
      <c r="BL84" s="117" t="str">
        <f t="shared" si="113"/>
        <v xml:space="preserve">tags:
- tr_x000D_
- ephesus_x000D_
- closed_x000D_
</v>
      </c>
      <c r="BM84" s="120" t="str">
        <f t="shared" si="124"/>
        <v/>
      </c>
      <c r="BN84" s="120" t="str">
        <f t="shared" si="125"/>
        <v/>
      </c>
      <c r="BO84" s="120" t="str">
        <f t="shared" si="126"/>
        <v/>
      </c>
      <c r="BP84" s="120" t="str">
        <f t="shared" si="127"/>
        <v/>
      </c>
      <c r="BQ84" s="117" t="str">
        <f t="shared" si="114"/>
        <v/>
      </c>
      <c r="BR84" s="117" t="str">
        <f t="shared" si="115"/>
        <v/>
      </c>
      <c r="BS84" s="117" t="str">
        <f t="shared" si="116"/>
        <v/>
      </c>
      <c r="BT84" s="117" t="str">
        <f t="shared" si="117"/>
        <v/>
      </c>
      <c r="BU84" s="117" t="str">
        <f>IF(LEN(_xludf.concat(BR84:BT84))&gt;0,_xludf.concat("| ",BR84," | ",BS84," | ",BT84," |"),"")</f>
        <v/>
      </c>
      <c r="BV84" s="117" t="str">
        <f t="shared" si="118"/>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119"/>
        <v>#VALUE!</v>
      </c>
      <c r="CK84" s="12" t="str">
        <f t="shared" si="120"/>
        <v xml:space="preserve">| [](/places/places\tr-ephesus-church-of-mary) </v>
      </c>
      <c r="CL84" s="13" t="str">
        <f>"| "&amp;IF(AS84,GetTagPage(C84,VLOOKUP(C84,'Country Tags'!C:E,3,)),C84)&amp; " "</f>
        <v xml:space="preserve">| [Turkey](/tags/tr) </v>
      </c>
      <c r="CM84" s="12" t="str">
        <f t="shared" si="121"/>
        <v xml:space="preserve">|  </v>
      </c>
      <c r="CN84" s="12" t="str">
        <f t="shared" si="122"/>
        <v xml:space="preserve">| [Link](/places/places\tr-ephesus-church-of-mary) </v>
      </c>
      <c r="CO84" s="12" t="e">
        <f t="shared" si="123"/>
        <v>#VALUE!</v>
      </c>
    </row>
    <row r="85" spans="1:93" ht="76.5" x14ac:dyDescent="0.4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95"/>
        <v>1</v>
      </c>
      <c r="AT85" s="117" t="str">
        <f t="shared" si="96"/>
        <v>title: "Basilica of St. John"</v>
      </c>
      <c r="AU85" s="117" t="str">
        <f t="shared" si="97"/>
        <v>location: {lat: 37.9524398007025, lng: 27.3679113460381}</v>
      </c>
      <c r="AV85" s="117" t="str">
        <f t="shared" si="98"/>
        <v>interest: global</v>
      </c>
      <c r="AW85" s="117" t="str">
        <f>"- "&amp;VLOOKUP(C85,'Country Tags'!C:E,3,)</f>
        <v>- tr</v>
      </c>
      <c r="AX85" s="117" t="str">
        <f t="shared" si="99"/>
        <v>- ephesus</v>
      </c>
      <c r="AY85" s="117" t="str">
        <f t="shared" si="100"/>
        <v/>
      </c>
      <c r="AZ85" s="117" t="str">
        <f t="shared" si="101"/>
        <v/>
      </c>
      <c r="BA85" s="117" t="str">
        <f t="shared" si="102"/>
        <v>- holy-persons</v>
      </c>
      <c r="BB85" s="117" t="str">
        <f t="shared" si="103"/>
        <v>- john-apostle</v>
      </c>
      <c r="BC85" s="117" t="str">
        <f t="shared" si="104"/>
        <v>- apostles</v>
      </c>
      <c r="BD85" s="117" t="str">
        <f t="shared" si="105"/>
        <v>- closed</v>
      </c>
      <c r="BE85" s="117" t="str">
        <f t="shared" si="106"/>
        <v/>
      </c>
      <c r="BF85" s="117" t="str">
        <f t="shared" si="107"/>
        <v/>
      </c>
      <c r="BG85" s="117" t="str">
        <f t="shared" si="108"/>
        <v/>
      </c>
      <c r="BH85" s="117" t="str">
        <f t="shared" si="109"/>
        <v/>
      </c>
      <c r="BI85" s="117" t="str">
        <f t="shared" si="110"/>
        <v/>
      </c>
      <c r="BJ85" s="117" t="str">
        <f t="shared" si="111"/>
        <v/>
      </c>
      <c r="BK85" s="117" t="str">
        <f t="shared" si="112"/>
        <v/>
      </c>
      <c r="BL85" s="117" t="str">
        <f t="shared" si="113"/>
        <v xml:space="preserve">tags:
- tr_x000D_
- ephesus_x000D_
- holy-persons_x000D_
- john-apostle_x000D_
- apostles_x000D_
- closed_x000D_
</v>
      </c>
      <c r="BM85" s="120" t="str">
        <f t="shared" si="124"/>
        <v/>
      </c>
      <c r="BN85" s="120" t="str">
        <f t="shared" si="125"/>
        <v/>
      </c>
      <c r="BO85" s="120" t="str">
        <f t="shared" si="126"/>
        <v/>
      </c>
      <c r="BP85" s="120" t="str">
        <f t="shared" si="127"/>
        <v/>
      </c>
      <c r="BQ85" s="117" t="str">
        <f t="shared" si="114"/>
        <v/>
      </c>
      <c r="BR85" s="117" t="str">
        <f t="shared" si="115"/>
        <v/>
      </c>
      <c r="BS85" s="117" t="str">
        <f t="shared" si="116"/>
        <v/>
      </c>
      <c r="BT85" s="117" t="str">
        <f t="shared" si="117"/>
        <v/>
      </c>
      <c r="BU85" s="117" t="str">
        <f>IF(LEN(_xludf.concat(BR85:BT85))&gt;0,_xludf.concat("| ",BR85," | ",BS85," | ",BT85," |"),"")</f>
        <v/>
      </c>
      <c r="BV85" s="117" t="str">
        <f t="shared" si="118"/>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119"/>
        <v>#VALUE!</v>
      </c>
      <c r="CK85" s="12" t="str">
        <f t="shared" si="120"/>
        <v xml:space="preserve">| [](/places/places\tr-ephesus-basilica-of-st-john) </v>
      </c>
      <c r="CL85" s="13" t="str">
        <f>"| "&amp;IF(AS85,GetTagPage(C85,VLOOKUP(C85,'Country Tags'!C:E,3,)),C85)&amp; " "</f>
        <v xml:space="preserve">| [Turkey](/tags/tr) </v>
      </c>
      <c r="CM85" s="12" t="str">
        <f t="shared" si="121"/>
        <v xml:space="preserve">|  </v>
      </c>
      <c r="CN85" s="12" t="str">
        <f t="shared" si="122"/>
        <v xml:space="preserve">| [Link](/places/places\tr-ephesus-basilica-of-st-john) </v>
      </c>
      <c r="CO85" s="12" t="e">
        <f t="shared" si="123"/>
        <v>#VALUE!</v>
      </c>
    </row>
    <row r="86" spans="1:93" ht="178.5" x14ac:dyDescent="0.4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95"/>
        <v>1</v>
      </c>
      <c r="AT86" s="117" t="str">
        <f t="shared" si="96"/>
        <v>title: "Site of Tyburn Tree"</v>
      </c>
      <c r="AU86" s="117" t="str">
        <f t="shared" si="97"/>
        <v>location: {lat: 51.5133260560522, lng: -0.160381452351621}</v>
      </c>
      <c r="AV86" s="117" t="str">
        <f t="shared" si="98"/>
        <v>interest: regional</v>
      </c>
      <c r="AW86" s="117" t="str">
        <f>"- "&amp;VLOOKUP(C86,'Country Tags'!C:E,3,)</f>
        <v>- gb</v>
      </c>
      <c r="AX86" s="117" t="str">
        <f t="shared" si="99"/>
        <v>- london</v>
      </c>
      <c r="AY86" s="117" t="str">
        <f t="shared" si="100"/>
        <v/>
      </c>
      <c r="AZ86" s="117" t="str">
        <f t="shared" si="101"/>
        <v/>
      </c>
      <c r="BA86" s="117" t="str">
        <f t="shared" si="102"/>
        <v>- holy-persons</v>
      </c>
      <c r="BB86" s="117" t="str">
        <f t="shared" si="103"/>
        <v>- english-martyrs</v>
      </c>
      <c r="BC86" s="117" t="str">
        <f t="shared" si="104"/>
        <v/>
      </c>
      <c r="BD86" s="117" t="str">
        <f t="shared" si="105"/>
        <v/>
      </c>
      <c r="BE86" s="117" t="str">
        <f t="shared" si="106"/>
        <v/>
      </c>
      <c r="BF86" s="117" t="str">
        <f t="shared" si="107"/>
        <v/>
      </c>
      <c r="BG86" s="117" t="str">
        <f t="shared" si="108"/>
        <v/>
      </c>
      <c r="BH86" s="117" t="str">
        <f t="shared" si="109"/>
        <v/>
      </c>
      <c r="BI86" s="117" t="str">
        <f t="shared" si="110"/>
        <v/>
      </c>
      <c r="BJ86" s="117" t="str">
        <f t="shared" si="111"/>
        <v/>
      </c>
      <c r="BK86" s="117" t="str">
        <f t="shared" si="112"/>
        <v/>
      </c>
      <c r="BL86" s="117" t="str">
        <f t="shared" si="113"/>
        <v xml:space="preserve">tags:
- gb_x000D_
- london_x000D_
- holy-persons_x000D_
- english-martyrs_x000D_
</v>
      </c>
      <c r="BM86" s="120" t="str">
        <f t="shared" si="124"/>
        <v/>
      </c>
      <c r="BN86" s="120" t="str">
        <f t="shared" si="125"/>
        <v/>
      </c>
      <c r="BO86" s="120" t="str">
        <f t="shared" si="126"/>
        <v/>
      </c>
      <c r="BP86" s="120" t="str">
        <f t="shared" si="127"/>
        <v/>
      </c>
      <c r="BQ86" s="117" t="str">
        <f t="shared" si="114"/>
        <v/>
      </c>
      <c r="BR86" s="117" t="str">
        <f t="shared" si="115"/>
        <v/>
      </c>
      <c r="BS86" s="117" t="str">
        <f t="shared" si="116"/>
        <v/>
      </c>
      <c r="BT86" s="117" t="str">
        <f t="shared" si="117"/>
        <v/>
      </c>
      <c r="BU86" s="117" t="str">
        <f>IF(LEN(_xludf.concat(BR86:BT86))&gt;0,_xludf.concat("| ",BR86," | ",BS86," | ",BT86," |"),"")</f>
        <v/>
      </c>
      <c r="BV86" s="117" t="str">
        <f t="shared" si="118"/>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119"/>
        <v>#VALUE!</v>
      </c>
      <c r="CK86" s="12" t="str">
        <f t="shared" si="120"/>
        <v xml:space="preserve">| [](/places/places\gb-london-site-of-tyburn-tree) </v>
      </c>
      <c r="CL86" s="13" t="str">
        <f>"| "&amp;IF(AS86,GetTagPage(C86,VLOOKUP(C86,'Country Tags'!C:E,3,)),C86)&amp; " "</f>
        <v xml:space="preserve">| [United Kingdom](/tags/gb) </v>
      </c>
      <c r="CM86" s="12" t="str">
        <f t="shared" si="121"/>
        <v xml:space="preserve">|  </v>
      </c>
      <c r="CN86" s="12" t="str">
        <f t="shared" si="122"/>
        <v xml:space="preserve">| [Link](/places/places\gb-london-site-of-tyburn-tree) </v>
      </c>
      <c r="CO86" s="12" t="e">
        <f t="shared" si="123"/>
        <v>#VALUE!</v>
      </c>
    </row>
    <row r="87" spans="1:93" ht="51" x14ac:dyDescent="0.4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95"/>
        <v>1</v>
      </c>
      <c r="AT87" s="117" t="str">
        <f t="shared" si="96"/>
        <v>title: "St. Mary Catholic Church, Pine Bluff, AR"</v>
      </c>
      <c r="AU87" s="117" t="str">
        <f t="shared" si="97"/>
        <v>location: {lat: 34.3246561, lng: -91.9426947}</v>
      </c>
      <c r="AV87" s="117" t="str">
        <f t="shared" si="98"/>
        <v>interest: regional</v>
      </c>
      <c r="AW87" s="117" t="str">
        <f>"- "&amp;VLOOKUP(C87,'Country Tags'!C:E,3,)</f>
        <v>- us
- us-ar</v>
      </c>
      <c r="AX87" s="117" t="str">
        <f t="shared" si="99"/>
        <v>- pine-bluff</v>
      </c>
      <c r="AY87" s="117" t="str">
        <f t="shared" si="100"/>
        <v>- churches</v>
      </c>
      <c r="AZ87" s="117" t="str">
        <f t="shared" si="101"/>
        <v/>
      </c>
      <c r="BA87" s="117" t="str">
        <f t="shared" si="102"/>
        <v>- holy-persons</v>
      </c>
      <c r="BB87" s="117" t="str">
        <f t="shared" si="103"/>
        <v>- agnes-hart</v>
      </c>
      <c r="BC87" s="117" t="str">
        <f t="shared" si="104"/>
        <v/>
      </c>
      <c r="BD87" s="117" t="str">
        <f t="shared" si="105"/>
        <v/>
      </c>
      <c r="BE87" s="117" t="str">
        <f t="shared" si="106"/>
        <v/>
      </c>
      <c r="BF87" s="117" t="str">
        <f t="shared" si="107"/>
        <v/>
      </c>
      <c r="BG87" s="117" t="str">
        <f t="shared" si="108"/>
        <v/>
      </c>
      <c r="BH87" s="117" t="str">
        <f t="shared" si="109"/>
        <v/>
      </c>
      <c r="BI87" s="117" t="str">
        <f t="shared" si="110"/>
        <v/>
      </c>
      <c r="BJ87" s="117" t="str">
        <f t="shared" si="111"/>
        <v/>
      </c>
      <c r="BK87" s="117" t="str">
        <f t="shared" si="112"/>
        <v/>
      </c>
      <c r="BL87" s="117" t="str">
        <f t="shared" si="113"/>
        <v xml:space="preserve">tags:
- us
- us-ar_x000D_
- pine-bluff_x000D_
- churches_x000D_
- holy-persons_x000D_
- agnes-hart_x000D_
</v>
      </c>
      <c r="BM87" s="120" t="str">
        <f t="shared" si="124"/>
        <v>[Official site](https://www.stjosephpinebluff.org/st-mary-catholic-church.html) - Now under the care of nearby St. Joseph Parish</v>
      </c>
      <c r="BN87" s="120" t="str">
        <f t="shared" si="125"/>
        <v>[*American Catholic History* podcast episode on St. Mary](https://americancatholichistory.org/old-st-mary-pine-bluff-arkansas/)</v>
      </c>
      <c r="BO87" s="120" t="str">
        <f t="shared" si="126"/>
        <v/>
      </c>
      <c r="BP87" s="120" t="str">
        <f t="shared" si="127"/>
        <v/>
      </c>
      <c r="BQ87" s="117"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7" t="str">
        <f t="shared" si="115"/>
        <v/>
      </c>
      <c r="BS87" s="117" t="str">
        <f t="shared" si="116"/>
        <v/>
      </c>
      <c r="BT87" s="117" t="str">
        <f t="shared" si="117"/>
        <v/>
      </c>
      <c r="BU87" s="117" t="str">
        <f>IF(LEN(_xludf.concat(BR87:BT87))&gt;0,_xludf.concat("| ",BR87," | ",BS87," | ",BT87," |"),"")</f>
        <v/>
      </c>
      <c r="BV87" s="117" t="str">
        <f t="shared" si="118"/>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119"/>
        <v>#VALUE!</v>
      </c>
      <c r="CK87" s="12" t="str">
        <f t="shared" si="120"/>
        <v xml:space="preserve">| [](/places/places\us_ar-pine-bluff-st-mary) </v>
      </c>
      <c r="CL87" s="13" t="str">
        <f>"| "&amp;IF(AS87,GetTagPage(C87,VLOOKUP(C87,'Country Tags'!C:E,3,)),C87)&amp; " "</f>
        <v xml:space="preserve">| [US Arkansas](/tags/us
- us-ar) </v>
      </c>
      <c r="CM87" s="12" t="str">
        <f t="shared" si="121"/>
        <v xml:space="preserve">|  </v>
      </c>
      <c r="CN87" s="12" t="str">
        <f t="shared" si="122"/>
        <v xml:space="preserve">| [Link](/places/places\us_ar-pine-bluff-st-mary) </v>
      </c>
      <c r="CO87" s="12" t="e">
        <f t="shared" si="123"/>
        <v>#VALUE!</v>
      </c>
    </row>
    <row r="88" spans="1:93" ht="25.5" x14ac:dyDescent="0.4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95"/>
        <v>1</v>
      </c>
      <c r="AT88" s="117" t="str">
        <f t="shared" si="96"/>
        <v>title: "Mission San Diego de Alcala"</v>
      </c>
      <c r="AU88" s="117" t="str">
        <f t="shared" si="97"/>
        <v>location: {lat: 32.7844544140364, lng: -117.106379960395}</v>
      </c>
      <c r="AV88" s="117" t="str">
        <f t="shared" si="98"/>
        <v>interest: local</v>
      </c>
      <c r="AW88" s="117" t="str">
        <f>"- "&amp;VLOOKUP(C88,'Country Tags'!C:E,3,)</f>
        <v>- us
- us-ca</v>
      </c>
      <c r="AX88" s="117" t="str">
        <f t="shared" si="99"/>
        <v>- san-diego</v>
      </c>
      <c r="AY88" s="117" t="str">
        <f t="shared" si="100"/>
        <v>- churches</v>
      </c>
      <c r="AZ88" s="117" t="str">
        <f t="shared" si="101"/>
        <v/>
      </c>
      <c r="BA88" s="117" t="str">
        <f t="shared" si="102"/>
        <v>- holy-persons</v>
      </c>
      <c r="BB88" s="117" t="str">
        <f t="shared" si="103"/>
        <v>- california-missions</v>
      </c>
      <c r="BC88" s="117" t="str">
        <f t="shared" si="104"/>
        <v>- franciscans</v>
      </c>
      <c r="BD88" s="117" t="str">
        <f t="shared" si="105"/>
        <v>- junipero-serra</v>
      </c>
      <c r="BE88" s="117" t="str">
        <f t="shared" si="106"/>
        <v/>
      </c>
      <c r="BF88" s="117" t="str">
        <f t="shared" si="107"/>
        <v/>
      </c>
      <c r="BG88" s="117" t="str">
        <f t="shared" si="108"/>
        <v/>
      </c>
      <c r="BH88" s="117" t="str">
        <f t="shared" si="109"/>
        <v/>
      </c>
      <c r="BI88" s="117" t="str">
        <f t="shared" si="110"/>
        <v/>
      </c>
      <c r="BJ88" s="117" t="str">
        <f t="shared" si="111"/>
        <v/>
      </c>
      <c r="BK88" s="117" t="str">
        <f t="shared" si="112"/>
        <v/>
      </c>
      <c r="BL88" s="117" t="str">
        <f t="shared" si="113"/>
        <v xml:space="preserve">tags:
- us
- us-ca_x000D_
- san-diego_x000D_
- churches_x000D_
- holy-persons_x000D_
- california-missions_x000D_
- franciscans_x000D_
- junipero-serra_x000D_
</v>
      </c>
      <c r="BM88" s="120" t="str">
        <f t="shared" si="124"/>
        <v>[Official site](https://www.missionsandiego.org/)</v>
      </c>
      <c r="BN88" s="120" t="str">
        <f t="shared" si="125"/>
        <v>[California Missions Foundation page](https://californiamissionsfoundation.org/mission-san-diego-de-alcala/)</v>
      </c>
      <c r="BO88" s="120" t="str">
        <f t="shared" si="126"/>
        <v>[Missions California page](https://www.missionscalifornia.com/missions/san-diego-de-alcala/)</v>
      </c>
      <c r="BP88" s="120" t="str">
        <f t="shared" si="127"/>
        <v/>
      </c>
      <c r="BQ88" s="117" t="str">
        <f t="shared" si="114"/>
        <v xml:space="preserve">* [Official site](https://www.missionsandiego.org/)
* [California Missions Foundation page](https://californiamissionsfoundation.org/mission-san-diego-de-alcala/)
* [Missions California page](https://www.missionscalifornia.com/missions/san-diego-de-alcala/)
</v>
      </c>
      <c r="BR88" s="117" t="str">
        <f t="shared" si="115"/>
        <v/>
      </c>
      <c r="BS88" s="117" t="str">
        <f t="shared" si="116"/>
        <v/>
      </c>
      <c r="BT88" s="117" t="str">
        <f t="shared" si="117"/>
        <v/>
      </c>
      <c r="BU88" s="117" t="str">
        <f>IF(LEN(_xludf.concat(BR88:BT88))&gt;0,_xludf.concat("| ",BR88," | ",BS88," | ",BT88," |"),"")</f>
        <v/>
      </c>
      <c r="BV88" s="117" t="str">
        <f t="shared" si="118"/>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119"/>
        <v>#VALUE!</v>
      </c>
      <c r="CK88" s="12" t="str">
        <f t="shared" si="120"/>
        <v xml:space="preserve">| [](/places/places\us_ca-san-diego-mission-san-diego) </v>
      </c>
      <c r="CL88" s="13" t="str">
        <f>"| "&amp;IF(AS88,GetTagPage(C88,VLOOKUP(C88,'Country Tags'!C:E,3,)),C88)&amp; " "</f>
        <v xml:space="preserve">| [US California](/tags/us
- us-ca) </v>
      </c>
      <c r="CM88" s="12" t="str">
        <f t="shared" si="121"/>
        <v xml:space="preserve">|  </v>
      </c>
      <c r="CN88" s="12" t="str">
        <f t="shared" si="122"/>
        <v xml:space="preserve">| [Link](/places/places\us_ca-san-diego-mission-san-diego) </v>
      </c>
      <c r="CO88" s="12" t="e">
        <f t="shared" si="123"/>
        <v>#VALUE!</v>
      </c>
    </row>
    <row r="89" spans="1:93" ht="25.5" x14ac:dyDescent="0.4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95"/>
        <v>1</v>
      </c>
      <c r="AT89" s="117" t="str">
        <f t="shared" si="96"/>
        <v>title: "Mission San Carlos Borromeo de Carmelo"</v>
      </c>
      <c r="AU89" s="117" t="str">
        <f t="shared" si="97"/>
        <v>location: {lat: 36.5425423059041, lng: -121.919856929485}</v>
      </c>
      <c r="AV89" s="117" t="str">
        <f t="shared" si="98"/>
        <v>interest: regional</v>
      </c>
      <c r="AW89" s="117" t="str">
        <f>"- "&amp;VLOOKUP(C89,'Country Tags'!C:E,3,)</f>
        <v>- us
- us-ca</v>
      </c>
      <c r="AX89" s="117" t="str">
        <f t="shared" si="99"/>
        <v>- monterey</v>
      </c>
      <c r="AY89" s="117" t="str">
        <f t="shared" si="100"/>
        <v>- churches</v>
      </c>
      <c r="AZ89" s="117" t="str">
        <f t="shared" si="101"/>
        <v/>
      </c>
      <c r="BA89" s="117" t="str">
        <f t="shared" si="102"/>
        <v>- holy-persons</v>
      </c>
      <c r="BB89" s="117" t="str">
        <f t="shared" si="103"/>
        <v>- california-missions</v>
      </c>
      <c r="BC89" s="117" t="str">
        <f t="shared" si="104"/>
        <v>- franciscans</v>
      </c>
      <c r="BD89" s="117" t="str">
        <f t="shared" si="105"/>
        <v>- junipero-serra</v>
      </c>
      <c r="BE89" s="117" t="str">
        <f t="shared" si="106"/>
        <v/>
      </c>
      <c r="BF89" s="117" t="str">
        <f t="shared" si="107"/>
        <v/>
      </c>
      <c r="BG89" s="117" t="str">
        <f t="shared" si="108"/>
        <v/>
      </c>
      <c r="BH89" s="117" t="str">
        <f t="shared" si="109"/>
        <v/>
      </c>
      <c r="BI89" s="117" t="str">
        <f t="shared" si="110"/>
        <v/>
      </c>
      <c r="BJ89" s="117" t="str">
        <f t="shared" si="111"/>
        <v/>
      </c>
      <c r="BK89" s="117" t="str">
        <f t="shared" si="112"/>
        <v/>
      </c>
      <c r="BL89" s="117" t="str">
        <f t="shared" si="113"/>
        <v xml:space="preserve">tags:
- us
- us-ca_x000D_
- monterey_x000D_
- churches_x000D_
- holy-persons_x000D_
- california-missions_x000D_
- franciscans_x000D_
- junipero-serra_x000D_
</v>
      </c>
      <c r="BM89" s="120" t="str">
        <f t="shared" si="124"/>
        <v>[Official site](http://www.carmelmission.org/)</v>
      </c>
      <c r="BN89" s="120" t="str">
        <f t="shared" si="125"/>
        <v>[California Missions Foundation page](https://californiamissionsfoundation.org/mission-san-carlos-borromeo/)</v>
      </c>
      <c r="BO89" s="120" t="str">
        <f t="shared" si="126"/>
        <v>[Missions California page](https://www.missionscalifornia.com/missions/san-carlos-borromeo-de-carmelo/)</v>
      </c>
      <c r="BP89" s="120" t="str">
        <f t="shared" si="127"/>
        <v/>
      </c>
      <c r="BQ89" s="117" t="str">
        <f t="shared" si="114"/>
        <v xml:space="preserve">* [Official site](http://www.carmelmission.org/)
* [California Missions Foundation page](https://californiamissionsfoundation.org/mission-san-carlos-borromeo/)
* [Missions California page](https://www.missionscalifornia.com/missions/san-carlos-borromeo-de-carmelo/)
</v>
      </c>
      <c r="BR89" s="117" t="str">
        <f t="shared" si="115"/>
        <v/>
      </c>
      <c r="BS89" s="117" t="str">
        <f t="shared" si="116"/>
        <v/>
      </c>
      <c r="BT89" s="117" t="str">
        <f t="shared" si="117"/>
        <v/>
      </c>
      <c r="BU89" s="117" t="str">
        <f>IF(LEN(_xludf.concat(BR89:BT89))&gt;0,_xludf.concat("| ",BR89," | ",BS89," | ",BT89," |"),"")</f>
        <v/>
      </c>
      <c r="BV89" s="117" t="str">
        <f t="shared" si="118"/>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119"/>
        <v>#VALUE!</v>
      </c>
      <c r="CK89" s="12" t="str">
        <f t="shared" si="120"/>
        <v xml:space="preserve">| [](/places/places\us_ca-monterey-mission-san-carlos) </v>
      </c>
      <c r="CL89" s="13" t="str">
        <f>"| "&amp;IF(AS89,GetTagPage(C89,VLOOKUP(C89,'Country Tags'!C:E,3,)),C89)&amp; " "</f>
        <v xml:space="preserve">| [US California](/tags/us
- us-ca) </v>
      </c>
      <c r="CM89" s="12" t="str">
        <f t="shared" si="121"/>
        <v xml:space="preserve">|  </v>
      </c>
      <c r="CN89" s="12" t="str">
        <f t="shared" si="122"/>
        <v xml:space="preserve">| [Link](/places/places\us_ca-monterey-mission-san-carlos) </v>
      </c>
      <c r="CO89" s="12" t="e">
        <f t="shared" si="123"/>
        <v>#VALUE!</v>
      </c>
    </row>
    <row r="90" spans="1:93" ht="25.5" x14ac:dyDescent="0.4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95"/>
        <v>1</v>
      </c>
      <c r="AT90" s="117" t="str">
        <f t="shared" si="96"/>
        <v>title: "Mission San Antonio de Padua"</v>
      </c>
      <c r="AU90" s="117" t="str">
        <f t="shared" si="97"/>
        <v>location: {lat: 36.0153800162529, lng: -121.250314673798}</v>
      </c>
      <c r="AV90" s="117" t="str">
        <f t="shared" si="98"/>
        <v>interest: local</v>
      </c>
      <c r="AW90" s="117" t="str">
        <f>"- "&amp;VLOOKUP(C90,'Country Tags'!C:E,3,)</f>
        <v>- us
- us-ca</v>
      </c>
      <c r="AX90" s="117" t="str">
        <f t="shared" si="99"/>
        <v>- monterey</v>
      </c>
      <c r="AY90" s="117" t="str">
        <f t="shared" si="100"/>
        <v>- churches</v>
      </c>
      <c r="AZ90" s="117" t="str">
        <f t="shared" si="101"/>
        <v/>
      </c>
      <c r="BA90" s="117" t="str">
        <f t="shared" si="102"/>
        <v>- holy-persons</v>
      </c>
      <c r="BB90" s="117" t="str">
        <f t="shared" si="103"/>
        <v>- california-missions</v>
      </c>
      <c r="BC90" s="117" t="str">
        <f t="shared" si="104"/>
        <v>- franciscans</v>
      </c>
      <c r="BD90" s="117" t="str">
        <f t="shared" si="105"/>
        <v>- junipero-serra</v>
      </c>
      <c r="BE90" s="117" t="str">
        <f t="shared" si="106"/>
        <v/>
      </c>
      <c r="BF90" s="117" t="str">
        <f t="shared" si="107"/>
        <v/>
      </c>
      <c r="BG90" s="117" t="str">
        <f t="shared" si="108"/>
        <v/>
      </c>
      <c r="BH90" s="117" t="str">
        <f t="shared" si="109"/>
        <v/>
      </c>
      <c r="BI90" s="117" t="str">
        <f t="shared" si="110"/>
        <v/>
      </c>
      <c r="BJ90" s="117" t="str">
        <f t="shared" si="111"/>
        <v/>
      </c>
      <c r="BK90" s="117" t="str">
        <f t="shared" si="112"/>
        <v/>
      </c>
      <c r="BL90" s="117" t="str">
        <f t="shared" si="113"/>
        <v xml:space="preserve">tags:
- us
- us-ca_x000D_
- monterey_x000D_
- churches_x000D_
- holy-persons_x000D_
- california-missions_x000D_
- franciscans_x000D_
- junipero-serra_x000D_
</v>
      </c>
      <c r="BM90" s="120" t="str">
        <f t="shared" si="124"/>
        <v>[Official site](http://www.missionsanantonio.net/)</v>
      </c>
      <c r="BN90" s="120" t="str">
        <f t="shared" si="125"/>
        <v>[California Missions Foundation page](https://californiamissionsfoundation.org/mission-san-antonio/)</v>
      </c>
      <c r="BO90" s="120" t="str">
        <f t="shared" si="126"/>
        <v>[Missions California page](https://www.missionscalifornia.com/missions/san-antonio-de-padua/)</v>
      </c>
      <c r="BP90" s="120" t="str">
        <f t="shared" si="127"/>
        <v/>
      </c>
      <c r="BQ90" s="117" t="str">
        <f t="shared" si="114"/>
        <v xml:space="preserve">* [Official site](http://www.missionsanantonio.net/)
* [California Missions Foundation page](https://californiamissionsfoundation.org/mission-san-antonio/)
* [Missions California page](https://www.missionscalifornia.com/missions/san-antonio-de-padua/)
</v>
      </c>
      <c r="BR90" s="117" t="str">
        <f t="shared" si="115"/>
        <v/>
      </c>
      <c r="BS90" s="117" t="str">
        <f t="shared" si="116"/>
        <v/>
      </c>
      <c r="BT90" s="117" t="str">
        <f t="shared" si="117"/>
        <v/>
      </c>
      <c r="BU90" s="117" t="str">
        <f>IF(LEN(_xludf.concat(BR90:BT90))&gt;0,_xludf.concat("| ",BR90," | ",BS90," | ",BT90," |"),"")</f>
        <v/>
      </c>
      <c r="BV90" s="117" t="str">
        <f t="shared" si="118"/>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119"/>
        <v>#VALUE!</v>
      </c>
      <c r="CK90" s="12" t="str">
        <f t="shared" si="120"/>
        <v xml:space="preserve">| [](/places/places\us_ca-monterey-mission-san-antonio) </v>
      </c>
      <c r="CL90" s="13" t="str">
        <f>"| "&amp;IF(AS90,GetTagPage(C90,VLOOKUP(C90,'Country Tags'!C:E,3,)),C90)&amp; " "</f>
        <v xml:space="preserve">| [US California](/tags/us
- us-ca) </v>
      </c>
      <c r="CM90" s="12" t="str">
        <f t="shared" si="121"/>
        <v xml:space="preserve">|  </v>
      </c>
      <c r="CN90" s="12" t="str">
        <f t="shared" si="122"/>
        <v xml:space="preserve">| [Link](/places/places\us_ca-monterey-mission-san-antonio) </v>
      </c>
      <c r="CO90" s="12" t="e">
        <f t="shared" si="123"/>
        <v>#VALUE!</v>
      </c>
    </row>
    <row r="91" spans="1:93" ht="25.5" x14ac:dyDescent="0.4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95"/>
        <v>1</v>
      </c>
      <c r="AT91" s="117" t="str">
        <f t="shared" si="96"/>
        <v>title: "Mission San Gabriel Arcangel"</v>
      </c>
      <c r="AU91" s="117" t="str">
        <f t="shared" si="97"/>
        <v>location: {lat: 34.0966596731449, lng: -118.106841102688}</v>
      </c>
      <c r="AV91" s="117" t="str">
        <f t="shared" si="98"/>
        <v>interest: local</v>
      </c>
      <c r="AW91" s="117" t="str">
        <f>"- "&amp;VLOOKUP(C91,'Country Tags'!C:E,3,)</f>
        <v>- us
- us-ca</v>
      </c>
      <c r="AX91" s="117" t="str">
        <f t="shared" si="99"/>
        <v>- los-angeles</v>
      </c>
      <c r="AY91" s="117" t="str">
        <f t="shared" si="100"/>
        <v>- churches</v>
      </c>
      <c r="AZ91" s="117" t="str">
        <f t="shared" si="101"/>
        <v/>
      </c>
      <c r="BA91" s="117" t="str">
        <f t="shared" si="102"/>
        <v>- holy-persons</v>
      </c>
      <c r="BB91" s="117" t="str">
        <f t="shared" si="103"/>
        <v>- california-missions</v>
      </c>
      <c r="BC91" s="117" t="str">
        <f t="shared" si="104"/>
        <v>- franciscans</v>
      </c>
      <c r="BD91" s="117" t="str">
        <f t="shared" si="105"/>
        <v>- junipero-serra</v>
      </c>
      <c r="BE91" s="117" t="str">
        <f t="shared" si="106"/>
        <v/>
      </c>
      <c r="BF91" s="117" t="str">
        <f t="shared" si="107"/>
        <v/>
      </c>
      <c r="BG91" s="117" t="str">
        <f t="shared" si="108"/>
        <v/>
      </c>
      <c r="BH91" s="117" t="str">
        <f t="shared" si="109"/>
        <v/>
      </c>
      <c r="BI91" s="117" t="str">
        <f t="shared" si="110"/>
        <v/>
      </c>
      <c r="BJ91" s="117" t="str">
        <f t="shared" si="111"/>
        <v/>
      </c>
      <c r="BK91" s="117" t="str">
        <f t="shared" si="112"/>
        <v/>
      </c>
      <c r="BL91" s="117" t="str">
        <f t="shared" si="113"/>
        <v xml:space="preserve">tags:
- us
- us-ca_x000D_
- los-angeles_x000D_
- churches_x000D_
- holy-persons_x000D_
- california-missions_x000D_
- franciscans_x000D_
- junipero-serra_x000D_
</v>
      </c>
      <c r="BM91" s="120" t="str">
        <f t="shared" si="124"/>
        <v>[Official site](http://www.missionsangabriel.org/)</v>
      </c>
      <c r="BN91" s="120" t="str">
        <f t="shared" si="125"/>
        <v>[California Missions Foundation page](https://californiamissionsfoundation.org/mission-san-gabriel/)</v>
      </c>
      <c r="BO91" s="120" t="str">
        <f t="shared" si="126"/>
        <v>[Missions California page](https://www.missionscalifornia.com/missions/san-gabriel-arcangel/)</v>
      </c>
      <c r="BP91" s="120" t="str">
        <f t="shared" si="127"/>
        <v/>
      </c>
      <c r="BQ91" s="117" t="str">
        <f t="shared" si="114"/>
        <v xml:space="preserve">* [Official site](http://www.missionsangabriel.org/)
* [California Missions Foundation page](https://californiamissionsfoundation.org/mission-san-gabriel/)
* [Missions California page](https://www.missionscalifornia.com/missions/san-gabriel-arcangel/)
</v>
      </c>
      <c r="BR91" s="117" t="str">
        <f t="shared" si="115"/>
        <v/>
      </c>
      <c r="BS91" s="117" t="str">
        <f t="shared" si="116"/>
        <v/>
      </c>
      <c r="BT91" s="117" t="str">
        <f t="shared" si="117"/>
        <v/>
      </c>
      <c r="BU91" s="117" t="str">
        <f>IF(LEN(_xludf.concat(BR91:BT91))&gt;0,_xludf.concat("| ",BR91," | ",BS91," | ",BT91," |"),"")</f>
        <v/>
      </c>
      <c r="BV91" s="117" t="str">
        <f t="shared" si="118"/>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119"/>
        <v>#VALUE!</v>
      </c>
      <c r="CK91" s="12" t="str">
        <f t="shared" si="120"/>
        <v xml:space="preserve">| [](/places/places\us_ca-los-angeles-mission-san-gabriel) </v>
      </c>
      <c r="CL91" s="13" t="str">
        <f>"| "&amp;IF(AS91,GetTagPage(C91,VLOOKUP(C91,'Country Tags'!C:E,3,)),C91)&amp; " "</f>
        <v xml:space="preserve">| [US California](/tags/us
- us-ca) </v>
      </c>
      <c r="CM91" s="12" t="str">
        <f t="shared" si="121"/>
        <v xml:space="preserve">|  </v>
      </c>
      <c r="CN91" s="12" t="str">
        <f t="shared" si="122"/>
        <v xml:space="preserve">| [Link](/places/places\us_ca-los-angeles-mission-san-gabriel) </v>
      </c>
      <c r="CO91" s="12" t="e">
        <f t="shared" si="123"/>
        <v>#VALUE!</v>
      </c>
    </row>
    <row r="92" spans="1:93" ht="25.5" x14ac:dyDescent="0.4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95"/>
        <v>1</v>
      </c>
      <c r="AT92" s="117" t="str">
        <f t="shared" si="96"/>
        <v>title: "Mission San Luis Obispo de Tolosa"</v>
      </c>
      <c r="AU92" s="117" t="str">
        <f t="shared" si="97"/>
        <v>location: {lat: 35.2809991057781, lng: -120.664704058475}</v>
      </c>
      <c r="AV92" s="117" t="str">
        <f t="shared" si="98"/>
        <v>interest: local</v>
      </c>
      <c r="AW92" s="117" t="str">
        <f>"- "&amp;VLOOKUP(C92,'Country Tags'!C:E,3,)</f>
        <v>- us
- us-ca</v>
      </c>
      <c r="AX92" s="117" t="str">
        <f t="shared" si="99"/>
        <v>- monterey</v>
      </c>
      <c r="AY92" s="117" t="str">
        <f t="shared" si="100"/>
        <v>- churches</v>
      </c>
      <c r="AZ92" s="117" t="str">
        <f t="shared" si="101"/>
        <v/>
      </c>
      <c r="BA92" s="117" t="str">
        <f t="shared" si="102"/>
        <v>- holy-persons</v>
      </c>
      <c r="BB92" s="117" t="str">
        <f t="shared" si="103"/>
        <v>- california-missions</v>
      </c>
      <c r="BC92" s="117" t="str">
        <f t="shared" si="104"/>
        <v>- franciscans</v>
      </c>
      <c r="BD92" s="117" t="str">
        <f t="shared" si="105"/>
        <v>- junipero-serra</v>
      </c>
      <c r="BE92" s="117" t="str">
        <f t="shared" si="106"/>
        <v/>
      </c>
      <c r="BF92" s="117" t="str">
        <f t="shared" si="107"/>
        <v/>
      </c>
      <c r="BG92" s="117" t="str">
        <f t="shared" si="108"/>
        <v/>
      </c>
      <c r="BH92" s="117" t="str">
        <f t="shared" si="109"/>
        <v/>
      </c>
      <c r="BI92" s="117" t="str">
        <f t="shared" si="110"/>
        <v/>
      </c>
      <c r="BJ92" s="117" t="str">
        <f t="shared" si="111"/>
        <v/>
      </c>
      <c r="BK92" s="117" t="str">
        <f t="shared" si="112"/>
        <v/>
      </c>
      <c r="BL92" s="117" t="str">
        <f t="shared" si="113"/>
        <v xml:space="preserve">tags:
- us
- us-ca_x000D_
- monterey_x000D_
- churches_x000D_
- holy-persons_x000D_
- california-missions_x000D_
- franciscans_x000D_
- junipero-serra_x000D_
</v>
      </c>
      <c r="BM92" s="120" t="str">
        <f t="shared" si="124"/>
        <v>[Official site](https://www.missionsanluisobispo.org/)</v>
      </c>
      <c r="BN92" s="120" t="str">
        <f t="shared" si="125"/>
        <v>[California Missions Foundation page](https://californiamissionsfoundation.org/mission-san-luis-obispo/)</v>
      </c>
      <c r="BO92" s="120" t="str">
        <f t="shared" si="126"/>
        <v>[Missions California page](https://www.missionscalifornia.com/missions/san-luis-obispo-de-tolosa/)</v>
      </c>
      <c r="BP92" s="120" t="str">
        <f t="shared" si="127"/>
        <v/>
      </c>
      <c r="BQ92" s="117" t="str">
        <f t="shared" si="114"/>
        <v xml:space="preserve">* [Official site](https://www.missionsanluisobispo.org/)
* [California Missions Foundation page](https://californiamissionsfoundation.org/mission-san-luis-obispo/)
* [Missions California page](https://www.missionscalifornia.com/missions/san-luis-obispo-de-tolosa/)
</v>
      </c>
      <c r="BR92" s="117" t="str">
        <f t="shared" si="115"/>
        <v/>
      </c>
      <c r="BS92" s="117" t="str">
        <f t="shared" si="116"/>
        <v/>
      </c>
      <c r="BT92" s="117" t="str">
        <f t="shared" si="117"/>
        <v/>
      </c>
      <c r="BU92" s="117" t="str">
        <f>IF(LEN(_xludf.concat(BR92:BT92))&gt;0,_xludf.concat("| ",BR92," | ",BS92," | ",BT92," |"),"")</f>
        <v/>
      </c>
      <c r="BV92" s="117" t="str">
        <f t="shared" si="118"/>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119"/>
        <v>#VALUE!</v>
      </c>
      <c r="CK92" s="12" t="str">
        <f t="shared" si="120"/>
        <v xml:space="preserve">| [](/places/places\us_ca-monterey-mission-san-luis-obispo) </v>
      </c>
      <c r="CL92" s="13" t="str">
        <f>"| "&amp;IF(AS92,GetTagPage(C92,VLOOKUP(C92,'Country Tags'!C:E,3,)),C92)&amp; " "</f>
        <v xml:space="preserve">| [US California](/tags/us
- us-ca) </v>
      </c>
      <c r="CM92" s="12" t="str">
        <f t="shared" si="121"/>
        <v xml:space="preserve">|  </v>
      </c>
      <c r="CN92" s="12" t="str">
        <f t="shared" si="122"/>
        <v xml:space="preserve">| [Link](/places/places\us_ca-monterey-mission-san-luis-obispo) </v>
      </c>
      <c r="CO92" s="12" t="e">
        <f t="shared" si="123"/>
        <v>#VALUE!</v>
      </c>
    </row>
    <row r="93" spans="1:93" ht="25.5" x14ac:dyDescent="0.4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95"/>
        <v>1</v>
      </c>
      <c r="AT93" s="117" t="str">
        <f t="shared" si="96"/>
        <v>title: "Mission San Francisco de Asis (Mission Dolores)"</v>
      </c>
      <c r="AU93" s="117" t="str">
        <f t="shared" si="97"/>
        <v>location: {lat: 37.7643787904628, lng: -122.426918360256}</v>
      </c>
      <c r="AV93" s="117" t="str">
        <f t="shared" si="98"/>
        <v>interest: local</v>
      </c>
      <c r="AW93" s="117" t="str">
        <f>"- "&amp;VLOOKUP(C93,'Country Tags'!C:E,3,)</f>
        <v>- us
- us-ca</v>
      </c>
      <c r="AX93" s="117" t="str">
        <f t="shared" si="99"/>
        <v>- san-francisco</v>
      </c>
      <c r="AY93" s="117" t="str">
        <f t="shared" si="100"/>
        <v>- churches</v>
      </c>
      <c r="AZ93" s="117" t="str">
        <f t="shared" si="101"/>
        <v/>
      </c>
      <c r="BA93" s="117" t="str">
        <f t="shared" si="102"/>
        <v>- holy-persons</v>
      </c>
      <c r="BB93" s="117" t="str">
        <f t="shared" si="103"/>
        <v>- california-missions</v>
      </c>
      <c r="BC93" s="117" t="str">
        <f t="shared" si="104"/>
        <v>- franciscans</v>
      </c>
      <c r="BD93" s="117" t="str">
        <f t="shared" si="105"/>
        <v>- junipero-serra</v>
      </c>
      <c r="BE93" s="117" t="str">
        <f t="shared" si="106"/>
        <v/>
      </c>
      <c r="BF93" s="117" t="str">
        <f t="shared" si="107"/>
        <v/>
      </c>
      <c r="BG93" s="117" t="str">
        <f t="shared" si="108"/>
        <v/>
      </c>
      <c r="BH93" s="117" t="str">
        <f t="shared" si="109"/>
        <v/>
      </c>
      <c r="BI93" s="117" t="str">
        <f t="shared" si="110"/>
        <v/>
      </c>
      <c r="BJ93" s="117" t="str">
        <f t="shared" si="111"/>
        <v/>
      </c>
      <c r="BK93" s="117" t="str">
        <f t="shared" si="112"/>
        <v/>
      </c>
      <c r="BL93" s="117" t="str">
        <f t="shared" si="113"/>
        <v xml:space="preserve">tags:
- us
- us-ca_x000D_
- san-francisco_x000D_
- churches_x000D_
- holy-persons_x000D_
- california-missions_x000D_
- franciscans_x000D_
- junipero-serra_x000D_
</v>
      </c>
      <c r="BM93" s="120" t="str">
        <f t="shared" si="124"/>
        <v>[Official site](https://www.missiondolores.org/old-mission)</v>
      </c>
      <c r="BN93" s="120" t="str">
        <f t="shared" si="125"/>
        <v>[California Missions Foundation page](https://californiamissionsfoundation.org/mission-san-francisco-de-asis/)</v>
      </c>
      <c r="BO93" s="120" t="str">
        <f t="shared" si="126"/>
        <v>[Missions California page](https://www.missionscalifornia.com/missions/san-francisco-de-asis/)</v>
      </c>
      <c r="BP93" s="120" t="str">
        <f t="shared" si="127"/>
        <v/>
      </c>
      <c r="BQ93" s="117"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115"/>
        <v/>
      </c>
      <c r="BS93" s="117" t="str">
        <f t="shared" si="116"/>
        <v/>
      </c>
      <c r="BT93" s="117" t="str">
        <f t="shared" si="117"/>
        <v/>
      </c>
      <c r="BU93" s="117" t="str">
        <f>IF(LEN(_xludf.concat(BR93:BT93))&gt;0,_xludf.concat("| ",BR93," | ",BS93," | ",BT93," |"),"")</f>
        <v/>
      </c>
      <c r="BV93" s="117" t="str">
        <f t="shared" si="118"/>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119"/>
        <v>#VALUE!</v>
      </c>
      <c r="CK93" s="12" t="str">
        <f t="shared" si="120"/>
        <v xml:space="preserve">| [](/places/places\us_ca-san-francisco-mission-dolores) </v>
      </c>
      <c r="CL93" s="13" t="str">
        <f>"| "&amp;IF(AS93,GetTagPage(C93,VLOOKUP(C93,'Country Tags'!C:E,3,)),C93)&amp; " "</f>
        <v xml:space="preserve">| [US California](/tags/us
- us-ca) </v>
      </c>
      <c r="CM93" s="12" t="str">
        <f t="shared" si="121"/>
        <v xml:space="preserve">|  </v>
      </c>
      <c r="CN93" s="12" t="str">
        <f t="shared" si="122"/>
        <v xml:space="preserve">| [Link](/places/places\us_ca-san-francisco-mission-dolores) </v>
      </c>
      <c r="CO93" s="12" t="e">
        <f t="shared" si="123"/>
        <v>#VALUE!</v>
      </c>
    </row>
    <row r="94" spans="1:93" ht="25.5" x14ac:dyDescent="0.4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95"/>
        <v>1</v>
      </c>
      <c r="AT94" s="117" t="str">
        <f t="shared" si="96"/>
        <v>title: "Mission San Juan Capistrano"</v>
      </c>
      <c r="AU94" s="117" t="str">
        <f t="shared" si="97"/>
        <v>location: {lat: 33.5020282662047, lng: -117.662690902704}</v>
      </c>
      <c r="AV94" s="117" t="str">
        <f t="shared" si="98"/>
        <v>interest: local</v>
      </c>
      <c r="AW94" s="117" t="str">
        <f>"- "&amp;VLOOKUP(C94,'Country Tags'!C:E,3,)</f>
        <v>- us
- us-ca</v>
      </c>
      <c r="AX94" s="117" t="str">
        <f t="shared" si="99"/>
        <v>- orange</v>
      </c>
      <c r="AY94" s="117" t="str">
        <f t="shared" si="100"/>
        <v>- churches</v>
      </c>
      <c r="AZ94" s="117" t="str">
        <f t="shared" si="101"/>
        <v/>
      </c>
      <c r="BA94" s="117" t="str">
        <f t="shared" si="102"/>
        <v>- holy-persons</v>
      </c>
      <c r="BB94" s="117" t="str">
        <f t="shared" si="103"/>
        <v>- california-missions</v>
      </c>
      <c r="BC94" s="117" t="str">
        <f t="shared" si="104"/>
        <v>- franciscans</v>
      </c>
      <c r="BD94" s="117" t="str">
        <f t="shared" si="105"/>
        <v>- junipero-serra</v>
      </c>
      <c r="BE94" s="117" t="str">
        <f t="shared" si="106"/>
        <v/>
      </c>
      <c r="BF94" s="117" t="str">
        <f t="shared" si="107"/>
        <v/>
      </c>
      <c r="BG94" s="117" t="str">
        <f t="shared" si="108"/>
        <v/>
      </c>
      <c r="BH94" s="117" t="str">
        <f t="shared" si="109"/>
        <v/>
      </c>
      <c r="BI94" s="117" t="str">
        <f t="shared" si="110"/>
        <v/>
      </c>
      <c r="BJ94" s="117" t="str">
        <f t="shared" si="111"/>
        <v/>
      </c>
      <c r="BK94" s="117" t="str">
        <f t="shared" si="112"/>
        <v/>
      </c>
      <c r="BL94" s="117" t="str">
        <f t="shared" si="113"/>
        <v xml:space="preserve">tags:
- us
- us-ca_x000D_
- orange_x000D_
- churches_x000D_
- holy-persons_x000D_
- california-missions_x000D_
- franciscans_x000D_
- junipero-serra_x000D_
</v>
      </c>
      <c r="BM94" s="120" t="str">
        <f t="shared" si="124"/>
        <v>[Official site](http://www.missionsjc.com/)</v>
      </c>
      <c r="BN94" s="120" t="str">
        <f t="shared" si="125"/>
        <v>[California Missions Foundation page](https://californiamissionsfoundation.org/mission-san-juan-capistrano/)</v>
      </c>
      <c r="BO94" s="120" t="str">
        <f t="shared" si="126"/>
        <v>[Missions California page](https://www.missionscalifornia.com/missions/san-juan-capistrano/)</v>
      </c>
      <c r="BP94" s="120" t="str">
        <f t="shared" si="127"/>
        <v/>
      </c>
      <c r="BQ94" s="117" t="str">
        <f t="shared" si="114"/>
        <v xml:space="preserve">* [Official site](http://www.missionsjc.com/)
* [California Missions Foundation page](https://californiamissionsfoundation.org/mission-san-juan-capistrano/)
* [Missions California page](https://www.missionscalifornia.com/missions/san-juan-capistrano/)
</v>
      </c>
      <c r="BR94" s="117" t="str">
        <f t="shared" si="115"/>
        <v/>
      </c>
      <c r="BS94" s="117" t="str">
        <f t="shared" si="116"/>
        <v/>
      </c>
      <c r="BT94" s="117" t="str">
        <f t="shared" si="117"/>
        <v/>
      </c>
      <c r="BU94" s="117" t="str">
        <f>IF(LEN(_xludf.concat(BR94:BT94))&gt;0,_xludf.concat("| ",BR94," | ",BS94," | ",BT94," |"),"")</f>
        <v/>
      </c>
      <c r="BV94" s="117" t="str">
        <f t="shared" si="118"/>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119"/>
        <v>#VALUE!</v>
      </c>
      <c r="CK94" s="12" t="str">
        <f t="shared" si="120"/>
        <v xml:space="preserve">| [](/places/places\us_ca-orange-mission-san-juan-capistrano) </v>
      </c>
      <c r="CL94" s="13" t="str">
        <f>"| "&amp;IF(AS94,GetTagPage(C94,VLOOKUP(C94,'Country Tags'!C:E,3,)),C94)&amp; " "</f>
        <v xml:space="preserve">| [US California](/tags/us
- us-ca) </v>
      </c>
      <c r="CM94" s="12" t="str">
        <f t="shared" si="121"/>
        <v xml:space="preserve">|  </v>
      </c>
      <c r="CN94" s="12" t="str">
        <f t="shared" si="122"/>
        <v xml:space="preserve">| [Link](/places/places\us_ca-orange-mission-san-juan-capistrano) </v>
      </c>
      <c r="CO94" s="12" t="e">
        <f t="shared" si="123"/>
        <v>#VALUE!</v>
      </c>
    </row>
    <row r="95" spans="1:93" ht="25.5" x14ac:dyDescent="0.4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95"/>
        <v>1</v>
      </c>
      <c r="AT95" s="117" t="str">
        <f t="shared" si="96"/>
        <v>title: "Mission Santa Clara de Asis"</v>
      </c>
      <c r="AU95" s="117" t="str">
        <f t="shared" si="97"/>
        <v>location: {lat: 37.3491892853456, lng: -121.941511544924}</v>
      </c>
      <c r="AV95" s="117" t="str">
        <f t="shared" si="98"/>
        <v>interest: local</v>
      </c>
      <c r="AW95" s="117" t="str">
        <f>"- "&amp;VLOOKUP(C95,'Country Tags'!C:E,3,)</f>
        <v>- us
- us-ca</v>
      </c>
      <c r="AX95" s="117" t="str">
        <f t="shared" si="99"/>
        <v>- san-jose</v>
      </c>
      <c r="AY95" s="117" t="str">
        <f t="shared" si="100"/>
        <v>- churches</v>
      </c>
      <c r="AZ95" s="117" t="str">
        <f t="shared" si="101"/>
        <v/>
      </c>
      <c r="BA95" s="117" t="str">
        <f t="shared" si="102"/>
        <v>- holy-persons</v>
      </c>
      <c r="BB95" s="117" t="str">
        <f t="shared" si="103"/>
        <v>- california-missions</v>
      </c>
      <c r="BC95" s="117" t="str">
        <f t="shared" si="104"/>
        <v>- franciscans</v>
      </c>
      <c r="BD95" s="117" t="str">
        <f t="shared" si="105"/>
        <v>- junipero-serra</v>
      </c>
      <c r="BE95" s="117" t="str">
        <f t="shared" si="106"/>
        <v>- schools</v>
      </c>
      <c r="BF95" s="117" t="str">
        <f t="shared" si="107"/>
        <v/>
      </c>
      <c r="BG95" s="117" t="str">
        <f t="shared" si="108"/>
        <v/>
      </c>
      <c r="BH95" s="117" t="str">
        <f t="shared" si="109"/>
        <v/>
      </c>
      <c r="BI95" s="117" t="str">
        <f t="shared" si="110"/>
        <v/>
      </c>
      <c r="BJ95" s="117" t="str">
        <f t="shared" si="111"/>
        <v/>
      </c>
      <c r="BK95" s="117" t="str">
        <f t="shared" si="112"/>
        <v/>
      </c>
      <c r="BL95" s="117" t="str">
        <f t="shared" si="113"/>
        <v xml:space="preserve">tags:
- us
- us-ca_x000D_
- san-jose_x000D_
- churches_x000D_
- holy-persons_x000D_
- california-missions_x000D_
- franciscans_x000D_
- junipero-serra_x000D_
- schools_x000D_
</v>
      </c>
      <c r="BM95" s="120" t="str">
        <f t="shared" si="124"/>
        <v>[Official site](https://www.scu.edu/missionchurch/)</v>
      </c>
      <c r="BN95" s="120" t="str">
        <f t="shared" si="125"/>
        <v>[California Missions Foundation page](https://californiamissionsfoundation.org/mission-santa-clara/)</v>
      </c>
      <c r="BO95" s="120" t="str">
        <f t="shared" si="126"/>
        <v>[Missions California page](https://www.missionscalifornia.com/missions/santa-clara-de-asis/)</v>
      </c>
      <c r="BP95" s="120" t="str">
        <f t="shared" si="127"/>
        <v/>
      </c>
      <c r="BQ95" s="117" t="str">
        <f t="shared" si="114"/>
        <v xml:space="preserve">* [Official site](https://www.scu.edu/missionchurch/)
* [California Missions Foundation page](https://californiamissionsfoundation.org/mission-santa-clara/)
* [Missions California page](https://www.missionscalifornia.com/missions/santa-clara-de-asis/)
</v>
      </c>
      <c r="BR95" s="117" t="str">
        <f t="shared" si="115"/>
        <v/>
      </c>
      <c r="BS95" s="117" t="str">
        <f t="shared" si="116"/>
        <v/>
      </c>
      <c r="BT95" s="117" t="str">
        <f t="shared" si="117"/>
        <v/>
      </c>
      <c r="BU95" s="117" t="str">
        <f>IF(LEN(_xludf.concat(BR95:BT95))&gt;0,_xludf.concat("| ",BR95," | ",BS95," | ",BT95," |"),"")</f>
        <v/>
      </c>
      <c r="BV95" s="117" t="str">
        <f t="shared" si="118"/>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119"/>
        <v>#VALUE!</v>
      </c>
      <c r="CK95" s="12" t="str">
        <f t="shared" si="120"/>
        <v xml:space="preserve">| [](/places/places\us_ca-san-jose-mission-santa-clara) </v>
      </c>
      <c r="CL95" s="13" t="str">
        <f>"| "&amp;IF(AS95,GetTagPage(C95,VLOOKUP(C95,'Country Tags'!C:E,3,)),C95)&amp; " "</f>
        <v xml:space="preserve">| [US California](/tags/us
- us-ca) </v>
      </c>
      <c r="CM95" s="12" t="str">
        <f t="shared" si="121"/>
        <v xml:space="preserve">|  </v>
      </c>
      <c r="CN95" s="12" t="str">
        <f t="shared" si="122"/>
        <v xml:space="preserve">| [Link](/places/places\us_ca-san-jose-mission-santa-clara) </v>
      </c>
      <c r="CO95" s="12" t="e">
        <f t="shared" si="123"/>
        <v>#VALUE!</v>
      </c>
    </row>
    <row r="96" spans="1:93" ht="25.5" x14ac:dyDescent="0.4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95"/>
        <v>1</v>
      </c>
      <c r="AT96" s="117" t="str">
        <f t="shared" si="96"/>
        <v>title: "Mission San Buenaventura"</v>
      </c>
      <c r="AU96" s="117" t="str">
        <f t="shared" si="97"/>
        <v>location: {lat: 34.281052108005, lng: -119.298020331519}</v>
      </c>
      <c r="AV96" s="117" t="str">
        <f t="shared" si="98"/>
        <v>interest: local</v>
      </c>
      <c r="AW96" s="117" t="str">
        <f>"- "&amp;VLOOKUP(C96,'Country Tags'!C:E,3,)</f>
        <v>- us
- us-ca</v>
      </c>
      <c r="AX96" s="117" t="str">
        <f t="shared" si="99"/>
        <v>- ventura</v>
      </c>
      <c r="AY96" s="117" t="str">
        <f t="shared" si="100"/>
        <v>- churches</v>
      </c>
      <c r="AZ96" s="117" t="str">
        <f t="shared" si="101"/>
        <v/>
      </c>
      <c r="BA96" s="117" t="str">
        <f t="shared" si="102"/>
        <v>- holy-persons</v>
      </c>
      <c r="BB96" s="117" t="str">
        <f t="shared" si="103"/>
        <v>- california-missions</v>
      </c>
      <c r="BC96" s="117" t="str">
        <f t="shared" si="104"/>
        <v>- franciscans</v>
      </c>
      <c r="BD96" s="117" t="str">
        <f t="shared" si="105"/>
        <v>- junipero-serra</v>
      </c>
      <c r="BE96" s="117" t="str">
        <f t="shared" si="106"/>
        <v/>
      </c>
      <c r="BF96" s="117" t="str">
        <f t="shared" si="107"/>
        <v/>
      </c>
      <c r="BG96" s="117" t="str">
        <f t="shared" si="108"/>
        <v/>
      </c>
      <c r="BH96" s="117" t="str">
        <f t="shared" si="109"/>
        <v/>
      </c>
      <c r="BI96" s="117" t="str">
        <f t="shared" si="110"/>
        <v/>
      </c>
      <c r="BJ96" s="117" t="str">
        <f t="shared" si="111"/>
        <v/>
      </c>
      <c r="BK96" s="117" t="str">
        <f t="shared" si="112"/>
        <v/>
      </c>
      <c r="BL96" s="117" t="str">
        <f t="shared" si="113"/>
        <v xml:space="preserve">tags:
- us
- us-ca_x000D_
- ventura_x000D_
- churches_x000D_
- holy-persons_x000D_
- california-missions_x000D_
- franciscans_x000D_
- junipero-serra_x000D_
</v>
      </c>
      <c r="BM96" s="120" t="str">
        <f t="shared" si="124"/>
        <v>[Official site](http://www.sanbuenaventuramission.org/)</v>
      </c>
      <c r="BN96" s="120" t="str">
        <f t="shared" si="125"/>
        <v>[California Missions Foundation page](https://californiamissionsfoundation.org/mission-san-buenaventura/)</v>
      </c>
      <c r="BO96" s="120" t="str">
        <f t="shared" si="126"/>
        <v>[Missions California page](https://www.missionscalifornia.com/missions/san-buenaventura/)</v>
      </c>
      <c r="BP96" s="120" t="str">
        <f t="shared" si="127"/>
        <v/>
      </c>
      <c r="BQ96" s="117" t="str">
        <f t="shared" si="114"/>
        <v xml:space="preserve">* [Official site](http://www.sanbuenaventuramission.org/)
* [California Missions Foundation page](https://californiamissionsfoundation.org/mission-san-buenaventura/)
* [Missions California page](https://www.missionscalifornia.com/missions/san-buenaventura/)
</v>
      </c>
      <c r="BR96" s="117" t="str">
        <f t="shared" si="115"/>
        <v/>
      </c>
      <c r="BS96" s="117" t="str">
        <f t="shared" si="116"/>
        <v/>
      </c>
      <c r="BT96" s="117" t="str">
        <f t="shared" si="117"/>
        <v/>
      </c>
      <c r="BU96" s="117" t="str">
        <f>IF(LEN(_xludf.concat(BR96:BT96))&gt;0,_xludf.concat("| ",BR96," | ",BS96," | ",BT96," |"),"")</f>
        <v/>
      </c>
      <c r="BV96" s="117" t="str">
        <f t="shared" si="118"/>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119"/>
        <v>#VALUE!</v>
      </c>
      <c r="CK96" s="12" t="str">
        <f t="shared" si="120"/>
        <v xml:space="preserve">| [](/places/places\us_ca-ventura-mission-san-buenaventura) </v>
      </c>
      <c r="CL96" s="13" t="str">
        <f>"| "&amp;IF(AS96,GetTagPage(C96,VLOOKUP(C96,'Country Tags'!C:E,3,)),C96)&amp; " "</f>
        <v xml:space="preserve">| [US California](/tags/us
- us-ca) </v>
      </c>
      <c r="CM96" s="12" t="str">
        <f t="shared" si="121"/>
        <v xml:space="preserve">|  </v>
      </c>
      <c r="CN96" s="12" t="str">
        <f t="shared" si="122"/>
        <v xml:space="preserve">| [Link](/places/places\us_ca-ventura-mission-san-buenaventura) </v>
      </c>
      <c r="CO96" s="12" t="e">
        <f t="shared" si="123"/>
        <v>#VALUE!</v>
      </c>
    </row>
    <row r="97" spans="1:93" ht="25.5" x14ac:dyDescent="0.4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95"/>
        <v>1</v>
      </c>
      <c r="AT97" s="117" t="str">
        <f t="shared" si="96"/>
        <v>title: "Mission Santa Barbara"</v>
      </c>
      <c r="AU97" s="117" t="str">
        <f t="shared" si="97"/>
        <v>location: {lat: 34.4382907792083, lng: -119.714078531515}</v>
      </c>
      <c r="AV97" s="117" t="str">
        <f t="shared" si="98"/>
        <v>interest: local</v>
      </c>
      <c r="AW97" s="117" t="str">
        <f>"- "&amp;VLOOKUP(C97,'Country Tags'!C:E,3,)</f>
        <v>- us
- us-ca</v>
      </c>
      <c r="AX97" s="117" t="str">
        <f t="shared" si="99"/>
        <v>- los-angeles</v>
      </c>
      <c r="AY97" s="117" t="str">
        <f t="shared" si="100"/>
        <v>- churches</v>
      </c>
      <c r="AZ97" s="117" t="str">
        <f t="shared" si="101"/>
        <v/>
      </c>
      <c r="BA97" s="117" t="str">
        <f t="shared" si="102"/>
        <v>- holy-persons</v>
      </c>
      <c r="BB97" s="117" t="str">
        <f t="shared" si="103"/>
        <v>- california-missions</v>
      </c>
      <c r="BC97" s="117" t="str">
        <f t="shared" si="104"/>
        <v>- franciscans</v>
      </c>
      <c r="BD97" s="117" t="str">
        <f t="shared" si="105"/>
        <v>- communities</v>
      </c>
      <c r="BE97" s="117" t="str">
        <f t="shared" si="106"/>
        <v/>
      </c>
      <c r="BF97" s="117" t="str">
        <f t="shared" si="107"/>
        <v/>
      </c>
      <c r="BG97" s="117" t="str">
        <f t="shared" si="108"/>
        <v/>
      </c>
      <c r="BH97" s="117" t="str">
        <f t="shared" si="109"/>
        <v/>
      </c>
      <c r="BI97" s="117" t="str">
        <f t="shared" si="110"/>
        <v/>
      </c>
      <c r="BJ97" s="117" t="str">
        <f t="shared" si="111"/>
        <v/>
      </c>
      <c r="BK97" s="117" t="str">
        <f t="shared" si="112"/>
        <v/>
      </c>
      <c r="BL97" s="117" t="str">
        <f t="shared" si="113"/>
        <v xml:space="preserve">tags:
- us
- us-ca_x000D_
- los-angeles_x000D_
- churches_x000D_
- holy-persons_x000D_
- california-missions_x000D_
- franciscans_x000D_
- communities_x000D_
</v>
      </c>
      <c r="BM97" s="120" t="str">
        <f t="shared" si="124"/>
        <v>[Official site](http://www.santabarbaramission.org/)</v>
      </c>
      <c r="BN97" s="120" t="str">
        <f t="shared" si="125"/>
        <v>[California Missions Foundation page](https://californiamissionsfoundation.org/mission-santa-barbara/)</v>
      </c>
      <c r="BO97" s="120" t="str">
        <f t="shared" si="126"/>
        <v>[Missions California page](https://www.missionscalifornia.com/missions/santa-barbara/)</v>
      </c>
      <c r="BP97" s="120" t="str">
        <f t="shared" si="127"/>
        <v/>
      </c>
      <c r="BQ97" s="117" t="str">
        <f t="shared" si="114"/>
        <v xml:space="preserve">* [Official site](http://www.santabarbaramission.org/)
* [California Missions Foundation page](https://californiamissionsfoundation.org/mission-santa-barbara/)
* [Missions California page](https://www.missionscalifornia.com/missions/santa-barbara/)
</v>
      </c>
      <c r="BR97" s="117" t="str">
        <f t="shared" si="115"/>
        <v/>
      </c>
      <c r="BS97" s="117" t="str">
        <f t="shared" si="116"/>
        <v/>
      </c>
      <c r="BT97" s="117" t="str">
        <f t="shared" si="117"/>
        <v/>
      </c>
      <c r="BU97" s="117" t="str">
        <f>IF(LEN(_xludf.concat(BR97:BT97))&gt;0,_xludf.concat("| ",BR97," | ",BS97," | ",BT97," |"),"")</f>
        <v/>
      </c>
      <c r="BV97" s="117" t="str">
        <f t="shared" si="118"/>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119"/>
        <v>#VALUE!</v>
      </c>
      <c r="CK97" s="12" t="str">
        <f t="shared" si="120"/>
        <v xml:space="preserve">| [](/places/places\us_ca-los-angeles-mission-santa-barbara) </v>
      </c>
      <c r="CL97" s="13" t="str">
        <f>"| "&amp;IF(AS97,GetTagPage(C97,VLOOKUP(C97,'Country Tags'!C:E,3,)),C97)&amp; " "</f>
        <v xml:space="preserve">| [US California](/tags/us
- us-ca) </v>
      </c>
      <c r="CM97" s="12" t="str">
        <f t="shared" si="121"/>
        <v xml:space="preserve">|  </v>
      </c>
      <c r="CN97" s="12" t="str">
        <f t="shared" si="122"/>
        <v xml:space="preserve">| [Link](/places/places\us_ca-los-angeles-mission-santa-barbara) </v>
      </c>
      <c r="CO97" s="12" t="e">
        <f t="shared" si="123"/>
        <v>#VALUE!</v>
      </c>
    </row>
    <row r="98" spans="1:93" ht="38.25" x14ac:dyDescent="0.4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95"/>
        <v>1</v>
      </c>
      <c r="AT98" s="117" t="str">
        <f t="shared" si="96"/>
        <v>title: "Mission La Purisima Concepcion"</v>
      </c>
      <c r="AU98" s="117" t="str">
        <f t="shared" si="97"/>
        <v>location: {lat: 34.6697435013219, lng: -120.420619002672}</v>
      </c>
      <c r="AV98" s="117" t="str">
        <f t="shared" si="98"/>
        <v>interest: local</v>
      </c>
      <c r="AW98" s="117" t="str">
        <f>"- "&amp;VLOOKUP(C98,'Country Tags'!C:E,3,)</f>
        <v>- us
- us-ca</v>
      </c>
      <c r="AX98" s="117" t="str">
        <f t="shared" si="99"/>
        <v>- monterey</v>
      </c>
      <c r="AY98" s="117" t="str">
        <f t="shared" si="100"/>
        <v/>
      </c>
      <c r="AZ98" s="117" t="str">
        <f t="shared" si="101"/>
        <v/>
      </c>
      <c r="BA98" s="117" t="str">
        <f t="shared" si="102"/>
        <v>- holy-persons</v>
      </c>
      <c r="BB98" s="117" t="str">
        <f t="shared" si="103"/>
        <v>- california-missions</v>
      </c>
      <c r="BC98" s="117" t="str">
        <f t="shared" si="104"/>
        <v>- franciscans</v>
      </c>
      <c r="BD98" s="117" t="str">
        <f t="shared" si="105"/>
        <v>- closed</v>
      </c>
      <c r="BE98" s="117" t="str">
        <f t="shared" si="106"/>
        <v/>
      </c>
      <c r="BF98" s="117" t="str">
        <f t="shared" si="107"/>
        <v/>
      </c>
      <c r="BG98" s="117" t="str">
        <f t="shared" si="108"/>
        <v/>
      </c>
      <c r="BH98" s="117" t="str">
        <f t="shared" si="109"/>
        <v/>
      </c>
      <c r="BI98" s="117" t="str">
        <f t="shared" si="110"/>
        <v/>
      </c>
      <c r="BJ98" s="117" t="str">
        <f t="shared" si="111"/>
        <v/>
      </c>
      <c r="BK98" s="117" t="str">
        <f t="shared" si="112"/>
        <v/>
      </c>
      <c r="BL98" s="117" t="str">
        <f t="shared" si="113"/>
        <v xml:space="preserve">tags:
- us
- us-ca_x000D_
- monterey_x000D_
- holy-persons_x000D_
- california-missions_x000D_
- franciscans_x000D_
- closed_x000D_
</v>
      </c>
      <c r="BM98" s="120" t="str">
        <f t="shared" si="124"/>
        <v>[Official site](http://www.lapurisimamission.org/)</v>
      </c>
      <c r="BN98" s="120" t="str">
        <f t="shared" si="125"/>
        <v>[California Missions Foundation page](https://californiamissionsfoundation.org/mission-la-purisima/)</v>
      </c>
      <c r="BO98" s="120" t="str">
        <f t="shared" si="126"/>
        <v>[Missions California page](https://www.missionscalifornia.com/missions/la-purisima-concepcion/)</v>
      </c>
      <c r="BP98" s="120" t="str">
        <f t="shared" si="127"/>
        <v/>
      </c>
      <c r="BQ98" s="117" t="str">
        <f t="shared" si="114"/>
        <v xml:space="preserve">* [Official site](http://www.lapurisimamission.org/)
* [California Missions Foundation page](https://californiamissionsfoundation.org/mission-la-purisima/)
* [Missions California page](https://www.missionscalifornia.com/missions/la-purisima-concepcion/)
</v>
      </c>
      <c r="BR98" s="117" t="str">
        <f t="shared" si="115"/>
        <v/>
      </c>
      <c r="BS98" s="117" t="str">
        <f t="shared" si="116"/>
        <v/>
      </c>
      <c r="BT98" s="117" t="str">
        <f t="shared" si="117"/>
        <v/>
      </c>
      <c r="BU98" s="117" t="str">
        <f>IF(LEN(_xludf.concat(BR98:BT98))&gt;0,_xludf.concat("| ",BR98," | ",BS98," | ",BT98," |"),"")</f>
        <v/>
      </c>
      <c r="BV98" s="117" t="str">
        <f t="shared" si="118"/>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119"/>
        <v>#VALUE!</v>
      </c>
      <c r="CK98" s="12" t="str">
        <f t="shared" si="120"/>
        <v xml:space="preserve">| [](/places/places\us_ca-monterey-mission-la-purisima) </v>
      </c>
      <c r="CL98" s="13" t="str">
        <f>"| "&amp;IF(AS98,GetTagPage(C98,VLOOKUP(C98,'Country Tags'!C:E,3,)),C98)&amp; " "</f>
        <v xml:space="preserve">| [US California](/tags/us
- us-ca) </v>
      </c>
      <c r="CM98" s="12" t="str">
        <f t="shared" si="121"/>
        <v xml:space="preserve">|  </v>
      </c>
      <c r="CN98" s="12" t="str">
        <f t="shared" si="122"/>
        <v xml:space="preserve">| [Link](/places/places\us_ca-monterey-mission-la-purisima) </v>
      </c>
      <c r="CO98" s="12" t="e">
        <f t="shared" si="123"/>
        <v>#VALUE!</v>
      </c>
    </row>
    <row r="99" spans="1:93" ht="25.5" x14ac:dyDescent="0.4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95"/>
        <v>1</v>
      </c>
      <c r="AT99" s="117" t="str">
        <f t="shared" si="96"/>
        <v>title: "Mission Santa Cruz"</v>
      </c>
      <c r="AU99" s="117" t="str">
        <f t="shared" si="97"/>
        <v>location: {lat: 36.9781412595296, lng: -122.029494075624}</v>
      </c>
      <c r="AV99" s="117" t="str">
        <f t="shared" si="98"/>
        <v>interest: local</v>
      </c>
      <c r="AW99" s="117" t="str">
        <f>"- "&amp;VLOOKUP(C99,'Country Tags'!C:E,3,)</f>
        <v>- us
- us-ca</v>
      </c>
      <c r="AX99" s="117" t="str">
        <f t="shared" si="99"/>
        <v>- monterey</v>
      </c>
      <c r="AY99" s="117" t="str">
        <f t="shared" si="100"/>
        <v>- churches</v>
      </c>
      <c r="AZ99" s="117" t="str">
        <f t="shared" si="101"/>
        <v/>
      </c>
      <c r="BA99" s="117" t="str">
        <f t="shared" si="102"/>
        <v>- holy-persons</v>
      </c>
      <c r="BB99" s="117" t="str">
        <f t="shared" si="103"/>
        <v>- california-missions</v>
      </c>
      <c r="BC99" s="117" t="str">
        <f t="shared" si="104"/>
        <v>- franciscans</v>
      </c>
      <c r="BD99" s="117" t="str">
        <f t="shared" si="105"/>
        <v/>
      </c>
      <c r="BE99" s="117" t="str">
        <f t="shared" si="106"/>
        <v/>
      </c>
      <c r="BF99" s="117" t="str">
        <f t="shared" si="107"/>
        <v/>
      </c>
      <c r="BG99" s="117" t="str">
        <f t="shared" si="108"/>
        <v/>
      </c>
      <c r="BH99" s="117" t="str">
        <f t="shared" si="109"/>
        <v/>
      </c>
      <c r="BI99" s="117" t="str">
        <f t="shared" si="110"/>
        <v/>
      </c>
      <c r="BJ99" s="117" t="str">
        <f t="shared" si="111"/>
        <v/>
      </c>
      <c r="BK99" s="117" t="str">
        <f t="shared" si="112"/>
        <v/>
      </c>
      <c r="BL99" s="117" t="str">
        <f t="shared" si="113"/>
        <v xml:space="preserve">tags:
- us
- us-ca_x000D_
- monterey_x000D_
- churches_x000D_
- holy-persons_x000D_
- california-missions_x000D_
- franciscans_x000D_
</v>
      </c>
      <c r="BM99" s="120" t="str">
        <f t="shared" si="124"/>
        <v>[Official site](http://www.holycrosssantacruz.com/mission-santa-cruz/)</v>
      </c>
      <c r="BN99" s="120" t="str">
        <f t="shared" si="125"/>
        <v>[California Missions Foundation page](https://californiamissionsfoundation.org/mission-santa-cruz/)</v>
      </c>
      <c r="BO99" s="120" t="str">
        <f t="shared" si="126"/>
        <v>[Missions California page](https://www.missionscalifornia.com/missions/santa-cruz/)</v>
      </c>
      <c r="BP99" s="120" t="str">
        <f t="shared" si="127"/>
        <v/>
      </c>
      <c r="BQ99" s="117" t="str">
        <f t="shared" si="114"/>
        <v xml:space="preserve">* [Official site](http://www.holycrosssantacruz.com/mission-santa-cruz/)
* [California Missions Foundation page](https://californiamissionsfoundation.org/mission-santa-cruz/)
* [Missions California page](https://www.missionscalifornia.com/missions/santa-cruz/)
</v>
      </c>
      <c r="BR99" s="117" t="str">
        <f t="shared" si="115"/>
        <v/>
      </c>
      <c r="BS99" s="117" t="str">
        <f t="shared" si="116"/>
        <v/>
      </c>
      <c r="BT99" s="117" t="str">
        <f t="shared" si="117"/>
        <v/>
      </c>
      <c r="BU99" s="117" t="str">
        <f>IF(LEN(_xludf.concat(BR99:BT99))&gt;0,_xludf.concat("| ",BR99," | ",BS99," | ",BT99," |"),"")</f>
        <v/>
      </c>
      <c r="BV99" s="117" t="str">
        <f t="shared" si="118"/>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119"/>
        <v>#VALUE!</v>
      </c>
      <c r="CK99" s="12" t="str">
        <f t="shared" si="120"/>
        <v xml:space="preserve">| [](/places/places\us_ca-monterey-mission-santa-cruz) </v>
      </c>
      <c r="CL99" s="13" t="str">
        <f>"| "&amp;IF(AS99,GetTagPage(C99,VLOOKUP(C99,'Country Tags'!C:E,3,)),C99)&amp; " "</f>
        <v xml:space="preserve">| [US California](/tags/us
- us-ca) </v>
      </c>
      <c r="CM99" s="12" t="str">
        <f t="shared" si="121"/>
        <v xml:space="preserve">|  </v>
      </c>
      <c r="CN99" s="12" t="str">
        <f t="shared" si="122"/>
        <v xml:space="preserve">| [Link](/places/places\us_ca-monterey-mission-santa-cruz) </v>
      </c>
      <c r="CO99" s="12" t="e">
        <f t="shared" si="123"/>
        <v>#VALUE!</v>
      </c>
    </row>
    <row r="100" spans="1:93" ht="25.5" x14ac:dyDescent="0.4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95"/>
        <v>1</v>
      </c>
      <c r="AT100" s="117" t="str">
        <f t="shared" si="96"/>
        <v>title: "Mission Nuestra Senora de la Soledad (Mission Soledad)"</v>
      </c>
      <c r="AU100" s="117" t="str">
        <f t="shared" si="97"/>
        <v>location: {lat: 36.4048390825981, lng: -121.355761573787}</v>
      </c>
      <c r="AV100" s="117" t="str">
        <f t="shared" si="98"/>
        <v>interest: local</v>
      </c>
      <c r="AW100" s="117" t="str">
        <f>"- "&amp;VLOOKUP(C100,'Country Tags'!C:E,3,)</f>
        <v>- us
- us-ca</v>
      </c>
      <c r="AX100" s="117" t="str">
        <f t="shared" si="99"/>
        <v>- monterey</v>
      </c>
      <c r="AY100" s="117" t="str">
        <f t="shared" si="100"/>
        <v>- churches</v>
      </c>
      <c r="AZ100" s="117" t="str">
        <f t="shared" si="101"/>
        <v/>
      </c>
      <c r="BA100" s="117" t="str">
        <f t="shared" si="102"/>
        <v>- holy-persons</v>
      </c>
      <c r="BB100" s="117" t="str">
        <f t="shared" si="103"/>
        <v>- california-missions</v>
      </c>
      <c r="BC100" s="117" t="str">
        <f t="shared" si="104"/>
        <v>- franciscans</v>
      </c>
      <c r="BD100" s="117" t="str">
        <f t="shared" si="105"/>
        <v/>
      </c>
      <c r="BE100" s="117" t="str">
        <f t="shared" si="106"/>
        <v/>
      </c>
      <c r="BF100" s="117" t="str">
        <f t="shared" si="107"/>
        <v/>
      </c>
      <c r="BG100" s="117" t="str">
        <f t="shared" si="108"/>
        <v/>
      </c>
      <c r="BH100" s="117" t="str">
        <f t="shared" si="109"/>
        <v/>
      </c>
      <c r="BI100" s="117" t="str">
        <f t="shared" si="110"/>
        <v/>
      </c>
      <c r="BJ100" s="117" t="str">
        <f t="shared" si="111"/>
        <v/>
      </c>
      <c r="BK100" s="117" t="str">
        <f t="shared" si="112"/>
        <v/>
      </c>
      <c r="BL100" s="117" t="str">
        <f t="shared" si="113"/>
        <v xml:space="preserve">tags:
- us
- us-ca_x000D_
- monterey_x000D_
- churches_x000D_
- holy-persons_x000D_
- california-missions_x000D_
- franciscans_x000D_
</v>
      </c>
      <c r="BM100" s="120" t="str">
        <f t="shared" si="124"/>
        <v>[Official site](http://missionsoledad.com/)</v>
      </c>
      <c r="BN100" s="120" t="str">
        <f t="shared" si="125"/>
        <v>[California Missions Foundation page](https://californiamissionsfoundation.org/mission-la-soledad/)</v>
      </c>
      <c r="BO100" s="120" t="str">
        <f t="shared" si="126"/>
        <v>[Missions California page](https://www.missionscalifornia.com/missions/nuestra-senora-de-la-soledad/)</v>
      </c>
      <c r="BP100" s="120" t="str">
        <f t="shared" si="127"/>
        <v/>
      </c>
      <c r="BQ100" s="117" t="str">
        <f t="shared" si="114"/>
        <v xml:space="preserve">* [Official site](http://missionsoledad.com/)
* [California Missions Foundation page](https://californiamissionsfoundation.org/mission-la-soledad/)
* [Missions California page](https://www.missionscalifornia.com/missions/nuestra-senora-de-la-soledad/)
</v>
      </c>
      <c r="BR100" s="117" t="str">
        <f t="shared" si="115"/>
        <v/>
      </c>
      <c r="BS100" s="117" t="str">
        <f t="shared" si="116"/>
        <v/>
      </c>
      <c r="BT100" s="117" t="str">
        <f t="shared" si="117"/>
        <v/>
      </c>
      <c r="BU100" s="117" t="str">
        <f>IF(LEN(_xludf.concat(BR100:BT100))&gt;0,_xludf.concat("| ",BR100," | ",BS100," | ",BT100," |"),"")</f>
        <v/>
      </c>
      <c r="BV100" s="117" t="str">
        <f t="shared" si="118"/>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119"/>
        <v>#VALUE!</v>
      </c>
      <c r="CK100" s="12" t="str">
        <f t="shared" si="120"/>
        <v xml:space="preserve">| [](/places/places\us_ca-monterey-mission-soledad) </v>
      </c>
      <c r="CL100" s="13" t="str">
        <f>"| "&amp;IF(AS100,GetTagPage(C100,VLOOKUP(C100,'Country Tags'!C:E,3,)),C100)&amp; " "</f>
        <v xml:space="preserve">| [US California](/tags/us
- us-ca) </v>
      </c>
      <c r="CM100" s="12" t="str">
        <f t="shared" si="121"/>
        <v xml:space="preserve">|  </v>
      </c>
      <c r="CN100" s="12" t="str">
        <f t="shared" si="122"/>
        <v xml:space="preserve">| [Link](/places/places\us_ca-monterey-mission-soledad) </v>
      </c>
      <c r="CO100" s="12" t="e">
        <f t="shared" si="123"/>
        <v>#VALUE!</v>
      </c>
    </row>
    <row r="101" spans="1:93" ht="25.5" x14ac:dyDescent="0.4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95"/>
        <v>1</v>
      </c>
      <c r="AT101" s="117" t="str">
        <f t="shared" si="96"/>
        <v>title: "Mission San Jose"</v>
      </c>
      <c r="AU101" s="117" t="str">
        <f t="shared" si="97"/>
        <v>location: {lat: 37.5334036374493, lng: -121.919695300919}</v>
      </c>
      <c r="AV101" s="117" t="str">
        <f t="shared" si="98"/>
        <v>interest: local</v>
      </c>
      <c r="AW101" s="117" t="str">
        <f>"- "&amp;VLOOKUP(C101,'Country Tags'!C:E,3,)</f>
        <v>- us
- us-ca</v>
      </c>
      <c r="AX101" s="117" t="str">
        <f t="shared" si="99"/>
        <v>- oakland</v>
      </c>
      <c r="AY101" s="117" t="str">
        <f t="shared" si="100"/>
        <v>- churches</v>
      </c>
      <c r="AZ101" s="117" t="str">
        <f t="shared" si="101"/>
        <v/>
      </c>
      <c r="BA101" s="117" t="str">
        <f t="shared" si="102"/>
        <v>- holy-persons</v>
      </c>
      <c r="BB101" s="117" t="str">
        <f t="shared" si="103"/>
        <v>- california-missions</v>
      </c>
      <c r="BC101" s="117" t="str">
        <f t="shared" si="104"/>
        <v>- franciscans</v>
      </c>
      <c r="BD101" s="117" t="str">
        <f t="shared" si="105"/>
        <v/>
      </c>
      <c r="BE101" s="117" t="str">
        <f t="shared" si="106"/>
        <v/>
      </c>
      <c r="BF101" s="117" t="str">
        <f t="shared" si="107"/>
        <v/>
      </c>
      <c r="BG101" s="117" t="str">
        <f t="shared" si="108"/>
        <v/>
      </c>
      <c r="BH101" s="117" t="str">
        <f t="shared" si="109"/>
        <v/>
      </c>
      <c r="BI101" s="117" t="str">
        <f t="shared" si="110"/>
        <v/>
      </c>
      <c r="BJ101" s="117" t="str">
        <f t="shared" si="111"/>
        <v/>
      </c>
      <c r="BK101" s="117" t="str">
        <f t="shared" si="112"/>
        <v/>
      </c>
      <c r="BL101" s="117" t="str">
        <f t="shared" si="113"/>
        <v xml:space="preserve">tags:
- us
- us-ca_x000D_
- oakland_x000D_
- churches_x000D_
- holy-persons_x000D_
- california-missions_x000D_
- franciscans_x000D_
</v>
      </c>
      <c r="BM101" s="120" t="str">
        <f t="shared" si="124"/>
        <v>[Official site](http://www.missionsanjose.org/)</v>
      </c>
      <c r="BN101" s="120" t="str">
        <f t="shared" si="125"/>
        <v>[California Missions Foundation page](https://californiamissionsfoundation.org/mission-san-jose/)</v>
      </c>
      <c r="BO101" s="120" t="str">
        <f t="shared" si="126"/>
        <v>[Missions California page](https://www.missionscalifornia.com/missions/san-jose/)</v>
      </c>
      <c r="BP101" s="120" t="str">
        <f t="shared" si="127"/>
        <v/>
      </c>
      <c r="BQ101" s="117" t="str">
        <f t="shared" si="114"/>
        <v xml:space="preserve">* [Official site](http://www.missionsanjose.org/)
* [California Missions Foundation page](https://californiamissionsfoundation.org/mission-san-jose/)
* [Missions California page](https://www.missionscalifornia.com/missions/san-jose/)
</v>
      </c>
      <c r="BR101" s="117" t="str">
        <f t="shared" si="115"/>
        <v/>
      </c>
      <c r="BS101" s="117" t="str">
        <f t="shared" si="116"/>
        <v/>
      </c>
      <c r="BT101" s="117" t="str">
        <f t="shared" si="117"/>
        <v/>
      </c>
      <c r="BU101" s="117" t="str">
        <f>IF(LEN(_xludf.concat(BR101:BT101))&gt;0,_xludf.concat("| ",BR101," | ",BS101," | ",BT101," |"),"")</f>
        <v/>
      </c>
      <c r="BV101" s="117" t="str">
        <f t="shared" si="118"/>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119"/>
        <v>#VALUE!</v>
      </c>
      <c r="CK101" s="12" t="str">
        <f t="shared" si="120"/>
        <v xml:space="preserve">| [](/places/places\us_ca-oakland-mission-san-jose) </v>
      </c>
      <c r="CL101" s="13" t="str">
        <f>"| "&amp;IF(AS101,GetTagPage(C101,VLOOKUP(C101,'Country Tags'!C:E,3,)),C101)&amp; " "</f>
        <v xml:space="preserve">| [US California](/tags/us
- us-ca) </v>
      </c>
      <c r="CM101" s="12" t="str">
        <f t="shared" si="121"/>
        <v xml:space="preserve">|  </v>
      </c>
      <c r="CN101" s="12" t="str">
        <f t="shared" si="122"/>
        <v xml:space="preserve">| [Link](/places/places\us_ca-oakland-mission-san-jose) </v>
      </c>
      <c r="CO101" s="12" t="e">
        <f t="shared" si="123"/>
        <v>#VALUE!</v>
      </c>
    </row>
    <row r="102" spans="1:93" ht="25.5" x14ac:dyDescent="0.4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28">IF(OR(A102="Done",A102="In Progress"),TRUE)</f>
        <v>1</v>
      </c>
      <c r="AT102" s="117" t="str">
        <f t="shared" ref="AT102:AT133" si="129">"title: """&amp;G102&amp;""""</f>
        <v>title: "Mission San Juan Bautista"</v>
      </c>
      <c r="AU102" s="117" t="str">
        <f t="shared" ref="AU102:AU133" si="130">"location: {lat: "&amp;E102&amp;", lng: "&amp;F102&amp;"}"</f>
        <v>location: {lat: 36.8458910149476, lng: -121.535752689119}</v>
      </c>
      <c r="AV102" s="117" t="str">
        <f t="shared" ref="AV102:AV133" si="131">"interest: "&amp;I102</f>
        <v>interest: local</v>
      </c>
      <c r="AW102" s="117" t="str">
        <f>"- "&amp;VLOOKUP(C102,'Country Tags'!C:E,3,)</f>
        <v>- us
- us-ca</v>
      </c>
      <c r="AX102" s="117" t="str">
        <f t="shared" ref="AX102:AX133" si="132">IF(LEN(D102)&gt;1,"- "&amp;LOWER(SUBSTITUTE(D102," ","-")),"")</f>
        <v>- monterey</v>
      </c>
      <c r="AY102" s="117" t="str">
        <f t="shared" ref="AY102:AY133" si="133">IF(J102,"- churches","")</f>
        <v>- churches</v>
      </c>
      <c r="AZ102" s="117" t="str">
        <f t="shared" ref="AZ102:AZ133" si="134">IF(K102,"- marian-sites","")</f>
        <v/>
      </c>
      <c r="BA102" s="117" t="str">
        <f t="shared" ref="BA102:BA133" si="135">IF(L102,"- holy-persons","")</f>
        <v>- holy-persons</v>
      </c>
      <c r="BB102" s="117" t="str">
        <f t="shared" ref="BB102:BB133" si="136">IF(LEN(Z102)&gt;0,"- "&amp;Z102,"")</f>
        <v>- california-missions</v>
      </c>
      <c r="BC102" s="117" t="str">
        <f t="shared" ref="BC102:BC133" si="137">IF(LEN(AA102)&gt;0,"- "&amp;AA102,"")</f>
        <v>- franciscans</v>
      </c>
      <c r="BD102" s="117" t="str">
        <f t="shared" ref="BD102:BD133" si="138">IF(LEN(AB102)&gt;0,"- "&amp;AB102,"")</f>
        <v/>
      </c>
      <c r="BE102" s="117" t="str">
        <f t="shared" ref="BE102:BE133" si="139">IF(LEN(AC102)&gt;0,"- "&amp;AC102,"")</f>
        <v/>
      </c>
      <c r="BF102" s="117" t="str">
        <f t="shared" ref="BF102:BF133" si="140">IF(LEN(AD102)&gt;0,"- "&amp;AD102,"")</f>
        <v/>
      </c>
      <c r="BG102" s="117" t="str">
        <f t="shared" ref="BG102:BG133" si="141">IF(LEN(AE102)&gt;0,"- "&amp;AE102,"")</f>
        <v/>
      </c>
      <c r="BH102" s="117" t="str">
        <f t="shared" ref="BH102:BH133" si="142">IF(LEN(AF102)&gt;0,"- "&amp;AF102,"")</f>
        <v/>
      </c>
      <c r="BI102" s="117" t="str">
        <f t="shared" ref="BI102:BI133" si="143">IF(LEN(AG102)&gt;0,"- "&amp;AG102,"")</f>
        <v/>
      </c>
      <c r="BJ102" s="117" t="str">
        <f t="shared" ref="BJ102:BJ133" si="144">IF(LEN(AH102)&gt;0,"- "&amp;AH102,"")</f>
        <v/>
      </c>
      <c r="BK102" s="117" t="str">
        <f t="shared" ref="BK102:BK133" si="145">IF(LEN(AI102)&gt;0,"- "&amp;AI102,"")</f>
        <v/>
      </c>
      <c r="BL102" s="117" t="str">
        <f t="shared" ref="BL102:BL133" si="146">"tags:"&amp;CHAR(10)&amp;concatl(AW102:BK102)</f>
        <v xml:space="preserve">tags:
- us
- us-ca_x000D_
- monterey_x000D_
- churches_x000D_
- holy-persons_x000D_
- california-missions_x000D_
- franciscans_x000D_
</v>
      </c>
      <c r="BM102" s="120" t="str">
        <f t="shared" si="124"/>
        <v>[Official site](http://www.oldmissionsjb.org/)</v>
      </c>
      <c r="BN102" s="120" t="str">
        <f t="shared" si="125"/>
        <v>[California Missions Foundation page](https://californiamissionsfoundation.org/mission-san-juan-bautista/)</v>
      </c>
      <c r="BO102" s="120" t="str">
        <f t="shared" si="126"/>
        <v>[Missions California page](https://www.missionscalifornia.com/missions/san-juan-bautista/)</v>
      </c>
      <c r="BP102" s="120" t="str">
        <f t="shared" si="127"/>
        <v/>
      </c>
      <c r="BQ102" s="117"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48">IF(LEN(AL102)&gt;0,TRIM(CONCATENATE("[Link](",AL102,") ",AM102)),"")</f>
        <v/>
      </c>
      <c r="BS102" s="117" t="str">
        <f t="shared" ref="BS102:BS133" si="149">IF(LEN(AN102)&gt;0,TRIM(CONCATENATE("[Link](",AN102,") ",AO102)),"")</f>
        <v/>
      </c>
      <c r="BT102" s="117" t="str">
        <f t="shared" ref="BT102:BT133" si="150">IF(LEN(AP102)&gt;0,TRIM(CONCATENATE("[Link](",AP102,") ",AQ102)),"")</f>
        <v/>
      </c>
      <c r="BU102" s="117" t="str">
        <f>IF(LEN(_xludf.concat(BR102:BT102))&gt;0,_xludf.concat("| ",BR102," | ",BS102," | ",BT102," |"),"")</f>
        <v/>
      </c>
      <c r="BV102" s="117" t="str">
        <f t="shared" ref="BV102:BV133" si="151">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52">"|"&amp;IF(LEN(CG102)&gt;1," "&amp;CG102,"")&amp;IF(LEN(CH102)&gt;1,", "&amp;CH102,"")&amp;IF(LEN(CI102)&gt;1,", "&amp;CI102,"")&amp;" "</f>
        <v>#VALUE!</v>
      </c>
      <c r="CK102" s="12" t="str">
        <f t="shared" ref="CK102:CK133" si="153">"|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54">"| "&amp;AK102&amp;" "</f>
        <v xml:space="preserve">|  </v>
      </c>
      <c r="CN102" s="12" t="str">
        <f t="shared" ref="CN102:CN133" si="155">"|"&amp;IF(AS102," [Link](/places/"&amp;SUBSTITUTE(CB102,".md","")&amp;")","")&amp;" "</f>
        <v xml:space="preserve">| [Link](/places/places\us_ca-monterey-mission-san-juan-bautista) </v>
      </c>
      <c r="CO102" s="12" t="e">
        <f t="shared" ref="CO102:CO133" si="156">"
"&amp;CK102&amp;CL102&amp;CM102&amp;CN102&amp;BM102&amp;BR102&amp;BS102&amp;BT102&amp;CJ102&amp;"|"</f>
        <v>#VALUE!</v>
      </c>
    </row>
    <row r="103" spans="1:93" ht="25.5" x14ac:dyDescent="0.4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28"/>
        <v>1</v>
      </c>
      <c r="AT103" s="117" t="str">
        <f t="shared" si="129"/>
        <v>title: "Mission San Miguel Arcangel"</v>
      </c>
      <c r="AU103" s="117" t="str">
        <f t="shared" si="130"/>
        <v>location: {lat: 35.7449345413861, lng: -120.69716204497}</v>
      </c>
      <c r="AV103" s="117" t="str">
        <f t="shared" si="131"/>
        <v>interest: local</v>
      </c>
      <c r="AW103" s="117" t="str">
        <f>"- "&amp;VLOOKUP(C103,'Country Tags'!C:E,3,)</f>
        <v>- us
- us-ca</v>
      </c>
      <c r="AX103" s="117" t="str">
        <f t="shared" si="132"/>
        <v>- monterey</v>
      </c>
      <c r="AY103" s="117" t="str">
        <f t="shared" si="133"/>
        <v>- churches</v>
      </c>
      <c r="AZ103" s="117" t="str">
        <f t="shared" si="134"/>
        <v/>
      </c>
      <c r="BA103" s="117" t="str">
        <f t="shared" si="135"/>
        <v>- holy-persons</v>
      </c>
      <c r="BB103" s="117" t="str">
        <f t="shared" si="136"/>
        <v>- california-missions</v>
      </c>
      <c r="BC103" s="117" t="str">
        <f t="shared" si="137"/>
        <v>- franciscans</v>
      </c>
      <c r="BD103" s="117" t="str">
        <f t="shared" si="138"/>
        <v/>
      </c>
      <c r="BE103" s="117" t="str">
        <f t="shared" si="139"/>
        <v/>
      </c>
      <c r="BF103" s="117" t="str">
        <f t="shared" si="140"/>
        <v/>
      </c>
      <c r="BG103" s="117" t="str">
        <f t="shared" si="141"/>
        <v/>
      </c>
      <c r="BH103" s="117" t="str">
        <f t="shared" si="142"/>
        <v/>
      </c>
      <c r="BI103" s="117" t="str">
        <f t="shared" si="143"/>
        <v/>
      </c>
      <c r="BJ103" s="117" t="str">
        <f t="shared" si="144"/>
        <v/>
      </c>
      <c r="BK103" s="117" t="str">
        <f t="shared" si="145"/>
        <v/>
      </c>
      <c r="BL103" s="117" t="str">
        <f t="shared" si="146"/>
        <v xml:space="preserve">tags:
- us
- us-ca_x000D_
- monterey_x000D_
- churches_x000D_
- holy-persons_x000D_
- california-missions_x000D_
- franciscans_x000D_
</v>
      </c>
      <c r="BM103" s="120" t="str">
        <f t="shared" si="124"/>
        <v>[Official site](http://www.missionsanmiguel.org/)</v>
      </c>
      <c r="BN103" s="120" t="str">
        <f t="shared" si="125"/>
        <v>[California Missions Foundation page](https://californiamissionsfoundation.org/mission-san-miguel/)</v>
      </c>
      <c r="BO103" s="120" t="str">
        <f t="shared" si="126"/>
        <v>[Missions California page](https://www.missionscalifornia.com/missions/san-miguel-arcangel/)</v>
      </c>
      <c r="BP103" s="120" t="str">
        <f t="shared" si="127"/>
        <v/>
      </c>
      <c r="BQ103" s="117" t="str">
        <f t="shared" si="147"/>
        <v xml:space="preserve">* [Official site](http://www.missionsanmiguel.org/)
* [California Missions Foundation page](https://californiamissionsfoundation.org/mission-san-miguel/)
* [Missions California page](https://www.missionscalifornia.com/missions/san-miguel-arcangel/)
</v>
      </c>
      <c r="BR103" s="117" t="str">
        <f t="shared" si="148"/>
        <v/>
      </c>
      <c r="BS103" s="117" t="str">
        <f t="shared" si="149"/>
        <v/>
      </c>
      <c r="BT103" s="117" t="str">
        <f t="shared" si="150"/>
        <v/>
      </c>
      <c r="BU103" s="117" t="str">
        <f>IF(LEN(_xludf.concat(BR103:BT103))&gt;0,_xludf.concat("| ",BR103," | ",BS103," | ",BT103," |"),"")</f>
        <v/>
      </c>
      <c r="BV103" s="117" t="str">
        <f t="shared" si="151"/>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52"/>
        <v>#VALUE!</v>
      </c>
      <c r="CK103" s="12" t="str">
        <f t="shared" si="153"/>
        <v xml:space="preserve">| [](/places/places\us_ca-monterey-mission-san-miguel) </v>
      </c>
      <c r="CL103" s="13" t="str">
        <f>"| "&amp;IF(AS103,GetTagPage(C103,VLOOKUP(C103,'Country Tags'!C:E,3,)),C103)&amp; " "</f>
        <v xml:space="preserve">| [US California](/tags/us
- us-ca) </v>
      </c>
      <c r="CM103" s="12" t="str">
        <f t="shared" si="154"/>
        <v xml:space="preserve">|  </v>
      </c>
      <c r="CN103" s="12" t="str">
        <f t="shared" si="155"/>
        <v xml:space="preserve">| [Link](/places/places\us_ca-monterey-mission-san-miguel) </v>
      </c>
      <c r="CO103" s="12" t="e">
        <f t="shared" si="156"/>
        <v>#VALUE!</v>
      </c>
    </row>
    <row r="104" spans="1:93" ht="25.5" x14ac:dyDescent="0.4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28"/>
        <v>1</v>
      </c>
      <c r="AT104" s="117" t="str">
        <f t="shared" si="129"/>
        <v>title: "Mission San Fernando Rey de Espana"</v>
      </c>
      <c r="AU104" s="117" t="str">
        <f t="shared" si="130"/>
        <v>location: {lat: 34.2728717819309, lng: -118.461632373847}</v>
      </c>
      <c r="AV104" s="117" t="str">
        <f t="shared" si="131"/>
        <v>interest: local</v>
      </c>
      <c r="AW104" s="117" t="str">
        <f>"- "&amp;VLOOKUP(C104,'Country Tags'!C:E,3,)</f>
        <v>- us
- us-ca</v>
      </c>
      <c r="AX104" s="117" t="str">
        <f t="shared" si="132"/>
        <v>- los-angeles</v>
      </c>
      <c r="AY104" s="117" t="str">
        <f t="shared" si="133"/>
        <v>- churches</v>
      </c>
      <c r="AZ104" s="117" t="str">
        <f t="shared" si="134"/>
        <v/>
      </c>
      <c r="BA104" s="117" t="str">
        <f t="shared" si="135"/>
        <v>- holy-persons</v>
      </c>
      <c r="BB104" s="117" t="str">
        <f t="shared" si="136"/>
        <v>- california-missions</v>
      </c>
      <c r="BC104" s="117" t="str">
        <f t="shared" si="137"/>
        <v>- franciscans</v>
      </c>
      <c r="BD104" s="117" t="str">
        <f t="shared" si="138"/>
        <v/>
      </c>
      <c r="BE104" s="117" t="str">
        <f t="shared" si="139"/>
        <v/>
      </c>
      <c r="BF104" s="117" t="str">
        <f t="shared" si="140"/>
        <v/>
      </c>
      <c r="BG104" s="117" t="str">
        <f t="shared" si="141"/>
        <v/>
      </c>
      <c r="BH104" s="117" t="str">
        <f t="shared" si="142"/>
        <v/>
      </c>
      <c r="BI104" s="117" t="str">
        <f t="shared" si="143"/>
        <v/>
      </c>
      <c r="BJ104" s="117" t="str">
        <f t="shared" si="144"/>
        <v/>
      </c>
      <c r="BK104" s="117" t="str">
        <f t="shared" si="145"/>
        <v/>
      </c>
      <c r="BL104" s="117" t="str">
        <f t="shared" si="146"/>
        <v xml:space="preserve">tags:
- us
- us-ca_x000D_
- los-angeles_x000D_
- churches_x000D_
- holy-persons_x000D_
- california-missions_x000D_
- franciscans_x000D_
</v>
      </c>
      <c r="BM104" s="120" t="str">
        <f t="shared" si="124"/>
        <v/>
      </c>
      <c r="BN104" s="120" t="str">
        <f t="shared" si="125"/>
        <v>[California Missions Foundation page](https://californiamissionsfoundation.org/mission-san-fernando/)</v>
      </c>
      <c r="BO104" s="120" t="str">
        <f t="shared" si="126"/>
        <v>[Missions California page](https://www.missionscalifornia.com/missions/san-fernando-rey-de-espana/)</v>
      </c>
      <c r="BP104" s="120" t="str">
        <f t="shared" si="127"/>
        <v/>
      </c>
      <c r="BQ104" s="117" t="str">
        <f t="shared" si="147"/>
        <v xml:space="preserve">* [California Missions Foundation page](https://californiamissionsfoundation.org/mission-san-fernando/)
* [Missions California page](https://www.missionscalifornia.com/missions/san-fernando-rey-de-espana/)
</v>
      </c>
      <c r="BR104" s="117" t="str">
        <f t="shared" si="148"/>
        <v/>
      </c>
      <c r="BS104" s="117" t="str">
        <f t="shared" si="149"/>
        <v/>
      </c>
      <c r="BT104" s="117" t="str">
        <f t="shared" si="150"/>
        <v/>
      </c>
      <c r="BU104" s="117" t="str">
        <f>IF(LEN(_xludf.concat(BR104:BT104))&gt;0,_xludf.concat("| ",BR104," | ",BS104," | ",BT104," |"),"")</f>
        <v/>
      </c>
      <c r="BV104" s="117" t="str">
        <f t="shared" si="151"/>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52"/>
        <v>#VALUE!</v>
      </c>
      <c r="CK104" s="12" t="str">
        <f t="shared" si="153"/>
        <v xml:space="preserve">| [](/places/places\us_ca-los-angeles-mission-san-fernando) </v>
      </c>
      <c r="CL104" s="13" t="str">
        <f>"| "&amp;IF(AS104,GetTagPage(C104,VLOOKUP(C104,'Country Tags'!C:E,3,)),C104)&amp; " "</f>
        <v xml:space="preserve">| [US California](/tags/us
- us-ca) </v>
      </c>
      <c r="CM104" s="12" t="str">
        <f t="shared" si="154"/>
        <v xml:space="preserve">|  </v>
      </c>
      <c r="CN104" s="12" t="str">
        <f t="shared" si="155"/>
        <v xml:space="preserve">| [Link](/places/places\us_ca-los-angeles-mission-san-fernando) </v>
      </c>
      <c r="CO104" s="12" t="e">
        <f t="shared" si="156"/>
        <v>#VALUE!</v>
      </c>
    </row>
    <row r="105" spans="1:93" ht="25.5" x14ac:dyDescent="0.4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28"/>
        <v>1</v>
      </c>
      <c r="AT105" s="117" t="str">
        <f t="shared" si="129"/>
        <v>title: "Mission San Luis Rey de Francia"</v>
      </c>
      <c r="AU105" s="117" t="str">
        <f t="shared" si="130"/>
        <v>location: {lat: 33.2321695508642, lng: -117.319756402711}</v>
      </c>
      <c r="AV105" s="117" t="str">
        <f t="shared" si="131"/>
        <v>interest: local</v>
      </c>
      <c r="AW105" s="117" t="str">
        <f>"- "&amp;VLOOKUP(C105,'Country Tags'!C:E,3,)</f>
        <v>- us
- us-ca</v>
      </c>
      <c r="AX105" s="117" t="str">
        <f t="shared" si="132"/>
        <v>- san-diego</v>
      </c>
      <c r="AY105" s="117" t="str">
        <f t="shared" si="133"/>
        <v>- churches</v>
      </c>
      <c r="AZ105" s="117" t="str">
        <f t="shared" si="134"/>
        <v/>
      </c>
      <c r="BA105" s="117" t="str">
        <f t="shared" si="135"/>
        <v>- holy-persons</v>
      </c>
      <c r="BB105" s="117" t="str">
        <f t="shared" si="136"/>
        <v>- california-missions</v>
      </c>
      <c r="BC105" s="117" t="str">
        <f t="shared" si="137"/>
        <v>- franciscans</v>
      </c>
      <c r="BD105" s="117" t="str">
        <f t="shared" si="138"/>
        <v>- communities</v>
      </c>
      <c r="BE105" s="117" t="str">
        <f t="shared" si="139"/>
        <v/>
      </c>
      <c r="BF105" s="117" t="str">
        <f t="shared" si="140"/>
        <v/>
      </c>
      <c r="BG105" s="117" t="str">
        <f t="shared" si="141"/>
        <v/>
      </c>
      <c r="BH105" s="117" t="str">
        <f t="shared" si="142"/>
        <v/>
      </c>
      <c r="BI105" s="117" t="str">
        <f t="shared" si="143"/>
        <v/>
      </c>
      <c r="BJ105" s="117" t="str">
        <f t="shared" si="144"/>
        <v/>
      </c>
      <c r="BK105" s="117" t="str">
        <f t="shared" si="145"/>
        <v/>
      </c>
      <c r="BL105" s="117" t="str">
        <f t="shared" si="146"/>
        <v xml:space="preserve">tags:
- us
- us-ca_x000D_
- san-diego_x000D_
- churches_x000D_
- holy-persons_x000D_
- california-missions_x000D_
- franciscans_x000D_
- communities_x000D_
</v>
      </c>
      <c r="BM105" s="120" t="str">
        <f t="shared" si="124"/>
        <v>[Official site](https://www.sanluisrey.org/)</v>
      </c>
      <c r="BN105" s="120" t="str">
        <f t="shared" si="125"/>
        <v>[California Missions Foundation page](https://californiamissionsfoundation.org/mission-san-luis-rey/)</v>
      </c>
      <c r="BO105" s="120" t="str">
        <f t="shared" si="126"/>
        <v>[Missions California page](https://www.missionscalifornia.com/missions/san-luis-rey-francia/)</v>
      </c>
      <c r="BP105" s="120" t="str">
        <f t="shared" si="127"/>
        <v/>
      </c>
      <c r="BQ105" s="117" t="str">
        <f t="shared" si="147"/>
        <v xml:space="preserve">* [Official site](https://www.sanluisrey.org/)
* [California Missions Foundation page](https://californiamissionsfoundation.org/mission-san-luis-rey/)
* [Missions California page](https://www.missionscalifornia.com/missions/san-luis-rey-francia/)
</v>
      </c>
      <c r="BR105" s="117" t="str">
        <f t="shared" si="148"/>
        <v/>
      </c>
      <c r="BS105" s="117" t="str">
        <f t="shared" si="149"/>
        <v/>
      </c>
      <c r="BT105" s="117" t="str">
        <f t="shared" si="150"/>
        <v/>
      </c>
      <c r="BU105" s="117" t="str">
        <f>IF(LEN(_xludf.concat(BR105:BT105))&gt;0,_xludf.concat("| ",BR105," | ",BS105," | ",BT105," |"),"")</f>
        <v/>
      </c>
      <c r="BV105" s="117" t="str">
        <f t="shared" si="151"/>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52"/>
        <v>#VALUE!</v>
      </c>
      <c r="CK105" s="12" t="str">
        <f t="shared" si="153"/>
        <v xml:space="preserve">| [](/places/places\us_ca-san-diego-mission-san-luis) </v>
      </c>
      <c r="CL105" s="13" t="str">
        <f>"| "&amp;IF(AS105,GetTagPage(C105,VLOOKUP(C105,'Country Tags'!C:E,3,)),C105)&amp; " "</f>
        <v xml:space="preserve">| [US California](/tags/us
- us-ca) </v>
      </c>
      <c r="CM105" s="12" t="str">
        <f t="shared" si="154"/>
        <v xml:space="preserve">|  </v>
      </c>
      <c r="CN105" s="12" t="str">
        <f t="shared" si="155"/>
        <v xml:space="preserve">| [Link](/places/places\us_ca-san-diego-mission-san-luis) </v>
      </c>
      <c r="CO105" s="12" t="e">
        <f t="shared" si="156"/>
        <v>#VALUE!</v>
      </c>
    </row>
    <row r="106" spans="1:93" ht="25.5" x14ac:dyDescent="0.4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28"/>
        <v>1</v>
      </c>
      <c r="AT106" s="117" t="str">
        <f t="shared" si="129"/>
        <v>title: "Mission Santa Ines"</v>
      </c>
      <c r="AU106" s="117" t="str">
        <f t="shared" si="130"/>
        <v>location: {lat: 34.5947305774003, lng: -120.136405258494}</v>
      </c>
      <c r="AV106" s="117" t="str">
        <f t="shared" si="131"/>
        <v>interest: local</v>
      </c>
      <c r="AW106" s="117" t="str">
        <f>"- "&amp;VLOOKUP(C106,'Country Tags'!C:E,3,)</f>
        <v>- us
- us-ca</v>
      </c>
      <c r="AX106" s="117" t="str">
        <f t="shared" si="132"/>
        <v>- los-angeles</v>
      </c>
      <c r="AY106" s="117" t="str">
        <f t="shared" si="133"/>
        <v>- churches</v>
      </c>
      <c r="AZ106" s="117" t="str">
        <f t="shared" si="134"/>
        <v/>
      </c>
      <c r="BA106" s="117" t="str">
        <f t="shared" si="135"/>
        <v>- holy-persons</v>
      </c>
      <c r="BB106" s="117" t="str">
        <f t="shared" si="136"/>
        <v>- california-missions</v>
      </c>
      <c r="BC106" s="117" t="str">
        <f t="shared" si="137"/>
        <v>- franciscans</v>
      </c>
      <c r="BD106" s="117" t="str">
        <f t="shared" si="138"/>
        <v>- capuchins</v>
      </c>
      <c r="BE106" s="117" t="str">
        <f t="shared" si="139"/>
        <v/>
      </c>
      <c r="BF106" s="117" t="str">
        <f t="shared" si="140"/>
        <v/>
      </c>
      <c r="BG106" s="117" t="str">
        <f t="shared" si="141"/>
        <v/>
      </c>
      <c r="BH106" s="117" t="str">
        <f t="shared" si="142"/>
        <v/>
      </c>
      <c r="BI106" s="117" t="str">
        <f t="shared" si="143"/>
        <v/>
      </c>
      <c r="BJ106" s="117" t="str">
        <f t="shared" si="144"/>
        <v/>
      </c>
      <c r="BK106" s="117" t="str">
        <f t="shared" si="145"/>
        <v/>
      </c>
      <c r="BL106" s="117" t="str">
        <f t="shared" si="146"/>
        <v xml:space="preserve">tags:
- us
- us-ca_x000D_
- los-angeles_x000D_
- churches_x000D_
- holy-persons_x000D_
- california-missions_x000D_
- franciscans_x000D_
- capuchins_x000D_
</v>
      </c>
      <c r="BM106" s="120" t="str">
        <f t="shared" si="124"/>
        <v>[Official site](https://missionsantaines.org/)</v>
      </c>
      <c r="BN106" s="120" t="str">
        <f t="shared" si="125"/>
        <v>[California Missions Foundation page](https://californiamissionsfoundation.org/mission-santa-ines/)</v>
      </c>
      <c r="BO106" s="120" t="str">
        <f t="shared" si="126"/>
        <v>[Missions California page](https://www.missionscalifornia.com/missions/santa-ines-virgen-y-martir/)</v>
      </c>
      <c r="BP106" s="120" t="str">
        <f t="shared" si="127"/>
        <v/>
      </c>
      <c r="BQ106" s="117" t="str">
        <f t="shared" si="147"/>
        <v xml:space="preserve">* [Official site](https://missionsantaines.org/)
* [California Missions Foundation page](https://californiamissionsfoundation.org/mission-santa-ines/)
* [Missions California page](https://www.missionscalifornia.com/missions/santa-ines-virgen-y-martir/)
</v>
      </c>
      <c r="BR106" s="117" t="str">
        <f t="shared" si="148"/>
        <v/>
      </c>
      <c r="BS106" s="117" t="str">
        <f t="shared" si="149"/>
        <v/>
      </c>
      <c r="BT106" s="117" t="str">
        <f t="shared" si="150"/>
        <v/>
      </c>
      <c r="BU106" s="117" t="str">
        <f>IF(LEN(_xludf.concat(BR106:BT106))&gt;0,_xludf.concat("| ",BR106," | ",BS106," | ",BT106," |"),"")</f>
        <v/>
      </c>
      <c r="BV106" s="117" t="str">
        <f t="shared" si="151"/>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52"/>
        <v>#VALUE!</v>
      </c>
      <c r="CK106" s="12" t="str">
        <f t="shared" si="153"/>
        <v xml:space="preserve">| [](/places/places\us_ca-los-angeles-mission-santa-ines) </v>
      </c>
      <c r="CL106" s="13" t="str">
        <f>"| "&amp;IF(AS106,GetTagPage(C106,VLOOKUP(C106,'Country Tags'!C:E,3,)),C106)&amp; " "</f>
        <v xml:space="preserve">| [US California](/tags/us
- us-ca) </v>
      </c>
      <c r="CM106" s="12" t="str">
        <f t="shared" si="154"/>
        <v xml:space="preserve">|  </v>
      </c>
      <c r="CN106" s="12" t="str">
        <f t="shared" si="155"/>
        <v xml:space="preserve">| [Link](/places/places\us_ca-los-angeles-mission-santa-ines) </v>
      </c>
      <c r="CO106" s="12" t="e">
        <f t="shared" si="156"/>
        <v>#VALUE!</v>
      </c>
    </row>
    <row r="107" spans="1:93" ht="25.5" x14ac:dyDescent="0.4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28"/>
        <v>1</v>
      </c>
      <c r="AT107" s="117" t="str">
        <f t="shared" si="129"/>
        <v>title: "Mission San Rafael Arcangel"</v>
      </c>
      <c r="AU107" s="117" t="str">
        <f t="shared" si="130"/>
        <v>location: {lat: 37.974237142319, lng: -122.527974573741}</v>
      </c>
      <c r="AV107" s="117" t="str">
        <f t="shared" si="131"/>
        <v>interest: local</v>
      </c>
      <c r="AW107" s="117" t="str">
        <f>"- "&amp;VLOOKUP(C107,'Country Tags'!C:E,3,)</f>
        <v>- us
- us-ca</v>
      </c>
      <c r="AX107" s="117" t="str">
        <f t="shared" si="132"/>
        <v>- san-francisco</v>
      </c>
      <c r="AY107" s="117" t="str">
        <f t="shared" si="133"/>
        <v>- churches</v>
      </c>
      <c r="AZ107" s="117" t="str">
        <f t="shared" si="134"/>
        <v/>
      </c>
      <c r="BA107" s="117" t="str">
        <f t="shared" si="135"/>
        <v>- holy-persons</v>
      </c>
      <c r="BB107" s="117" t="str">
        <f t="shared" si="136"/>
        <v>- california-missions</v>
      </c>
      <c r="BC107" s="117" t="str">
        <f t="shared" si="137"/>
        <v>- franciscans</v>
      </c>
      <c r="BD107" s="117" t="str">
        <f t="shared" si="138"/>
        <v/>
      </c>
      <c r="BE107" s="117" t="str">
        <f t="shared" si="139"/>
        <v/>
      </c>
      <c r="BF107" s="117" t="str">
        <f t="shared" si="140"/>
        <v/>
      </c>
      <c r="BG107" s="117" t="str">
        <f t="shared" si="141"/>
        <v/>
      </c>
      <c r="BH107" s="117" t="str">
        <f t="shared" si="142"/>
        <v/>
      </c>
      <c r="BI107" s="117" t="str">
        <f t="shared" si="143"/>
        <v/>
      </c>
      <c r="BJ107" s="117" t="str">
        <f t="shared" si="144"/>
        <v/>
      </c>
      <c r="BK107" s="117" t="str">
        <f t="shared" si="145"/>
        <v/>
      </c>
      <c r="BL107" s="117" t="str">
        <f t="shared" si="146"/>
        <v xml:space="preserve">tags:
- us
- us-ca_x000D_
- san-francisco_x000D_
- churches_x000D_
- holy-persons_x000D_
- california-missions_x000D_
- franciscans_x000D_
</v>
      </c>
      <c r="BM107" s="120" t="str">
        <f t="shared" si="124"/>
        <v>[Official site](http://saintraphael.com/)</v>
      </c>
      <c r="BN107" s="120" t="str">
        <f t="shared" si="125"/>
        <v>[California Missions Foundation page](https://californiamissionsfoundation.org/mission-san-rafael/)</v>
      </c>
      <c r="BO107" s="120" t="str">
        <f t="shared" si="126"/>
        <v>[Missions California page](https://www.missionscalifornia.com/missions/san-rafael-arcangel/)</v>
      </c>
      <c r="BP107" s="120" t="str">
        <f t="shared" si="127"/>
        <v/>
      </c>
      <c r="BQ107" s="117" t="str">
        <f t="shared" si="147"/>
        <v xml:space="preserve">* [Official site](http://saintraphael.com/)
* [California Missions Foundation page](https://californiamissionsfoundation.org/mission-san-rafael/)
* [Missions California page](https://www.missionscalifornia.com/missions/san-rafael-arcangel/)
</v>
      </c>
      <c r="BR107" s="117" t="str">
        <f t="shared" si="148"/>
        <v/>
      </c>
      <c r="BS107" s="117" t="str">
        <f t="shared" si="149"/>
        <v/>
      </c>
      <c r="BT107" s="117" t="str">
        <f t="shared" si="150"/>
        <v/>
      </c>
      <c r="BU107" s="117" t="str">
        <f>IF(LEN(_xludf.concat(BR107:BT107))&gt;0,_xludf.concat("| ",BR107," | ",BS107," | ",BT107," |"),"")</f>
        <v/>
      </c>
      <c r="BV107" s="117" t="str">
        <f t="shared" si="151"/>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52"/>
        <v>#VALUE!</v>
      </c>
      <c r="CK107" s="12" t="str">
        <f t="shared" si="153"/>
        <v xml:space="preserve">| [](/places/places\us_ca-san-francisco-mission-san-rafael) </v>
      </c>
      <c r="CL107" s="13" t="str">
        <f>"| "&amp;IF(AS107,GetTagPage(C107,VLOOKUP(C107,'Country Tags'!C:E,3,)),C107)&amp; " "</f>
        <v xml:space="preserve">| [US California](/tags/us
- us-ca) </v>
      </c>
      <c r="CM107" s="12" t="str">
        <f t="shared" si="154"/>
        <v xml:space="preserve">|  </v>
      </c>
      <c r="CN107" s="12" t="str">
        <f t="shared" si="155"/>
        <v xml:space="preserve">| [Link](/places/places\us_ca-san-francisco-mission-san-rafael) </v>
      </c>
      <c r="CO107" s="12" t="e">
        <f t="shared" si="156"/>
        <v>#VALUE!</v>
      </c>
    </row>
    <row r="108" spans="1:93" ht="51" x14ac:dyDescent="0.4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28"/>
        <v>1</v>
      </c>
      <c r="AT108" s="117" t="str">
        <f t="shared" si="129"/>
        <v>title: "Mission San Francisco Solano"</v>
      </c>
      <c r="AU108" s="117" t="str">
        <f t="shared" si="130"/>
        <v>location: {lat: 38.2936930309277, lng: -122.455888502567}</v>
      </c>
      <c r="AV108" s="117" t="str">
        <f t="shared" si="131"/>
        <v>interest: local</v>
      </c>
      <c r="AW108" s="117" t="str">
        <f>"- "&amp;VLOOKUP(C108,'Country Tags'!C:E,3,)</f>
        <v>- us
- us-ca</v>
      </c>
      <c r="AX108" s="117" t="str">
        <f t="shared" si="132"/>
        <v>- san-francisco</v>
      </c>
      <c r="AY108" s="117" t="str">
        <f t="shared" si="133"/>
        <v/>
      </c>
      <c r="AZ108" s="117" t="str">
        <f t="shared" si="134"/>
        <v/>
      </c>
      <c r="BA108" s="117" t="str">
        <f t="shared" si="135"/>
        <v>- holy-persons</v>
      </c>
      <c r="BB108" s="117" t="str">
        <f t="shared" si="136"/>
        <v>- california-missions</v>
      </c>
      <c r="BC108" s="117" t="str">
        <f t="shared" si="137"/>
        <v>- franciscans</v>
      </c>
      <c r="BD108" s="117" t="str">
        <f t="shared" si="138"/>
        <v>- closed</v>
      </c>
      <c r="BE108" s="117" t="str">
        <f t="shared" si="139"/>
        <v/>
      </c>
      <c r="BF108" s="117" t="str">
        <f t="shared" si="140"/>
        <v/>
      </c>
      <c r="BG108" s="117" t="str">
        <f t="shared" si="141"/>
        <v/>
      </c>
      <c r="BH108" s="117" t="str">
        <f t="shared" si="142"/>
        <v/>
      </c>
      <c r="BI108" s="117" t="str">
        <f t="shared" si="143"/>
        <v/>
      </c>
      <c r="BJ108" s="117" t="str">
        <f t="shared" si="144"/>
        <v/>
      </c>
      <c r="BK108" s="117" t="str">
        <f t="shared" si="145"/>
        <v/>
      </c>
      <c r="BL108" s="117" t="str">
        <f t="shared" si="146"/>
        <v xml:space="preserve">tags:
- us
- us-ca_x000D_
- san-francisco_x000D_
- holy-persons_x000D_
- california-missions_x000D_
- franciscans_x000D_
- closed_x000D_
</v>
      </c>
      <c r="BM108" s="120" t="str">
        <f t="shared" si="124"/>
        <v>[Official site](https://www.parks.ca.gov/?page_id=479)</v>
      </c>
      <c r="BN108" s="120" t="str">
        <f t="shared" si="125"/>
        <v>[California Missions Foundation page](https://californiamissionsfoundation.org/mission-san-francisco-solano/)</v>
      </c>
      <c r="BO108" s="120" t="str">
        <f t="shared" si="126"/>
        <v>[Missions California page](https://www.missionscalifornia.com/missions/san-francisco-solano/)</v>
      </c>
      <c r="BP108" s="120" t="str">
        <f t="shared" si="127"/>
        <v/>
      </c>
      <c r="BQ108" s="117" t="str">
        <f t="shared" si="147"/>
        <v xml:space="preserve">* [Official site](https://www.parks.ca.gov/?page_id=479)
* [California Missions Foundation page](https://californiamissionsfoundation.org/mission-san-francisco-solano/)
* [Missions California page](https://www.missionscalifornia.com/missions/san-francisco-solano/)
</v>
      </c>
      <c r="BR108" s="117" t="str">
        <f t="shared" si="148"/>
        <v/>
      </c>
      <c r="BS108" s="117" t="str">
        <f t="shared" si="149"/>
        <v/>
      </c>
      <c r="BT108" s="117" t="str">
        <f t="shared" si="150"/>
        <v/>
      </c>
      <c r="BU108" s="117" t="str">
        <f>IF(LEN(_xludf.concat(BR108:BT108))&gt;0,_xludf.concat("| ",BR108," | ",BS108," | ",BT108," |"),"")</f>
        <v/>
      </c>
      <c r="BV108" s="117" t="str">
        <f t="shared" si="151"/>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52"/>
        <v>#VALUE!</v>
      </c>
      <c r="CK108" s="12" t="str">
        <f t="shared" si="153"/>
        <v xml:space="preserve">| [](/places/places\us_ca-san-francisco-mission-san-francisco-solano) </v>
      </c>
      <c r="CL108" s="13" t="str">
        <f>"| "&amp;IF(AS108,GetTagPage(C108,VLOOKUP(C108,'Country Tags'!C:E,3,)),C108)&amp; " "</f>
        <v xml:space="preserve">| [US California](/tags/us
- us-ca) </v>
      </c>
      <c r="CM108" s="12" t="str">
        <f t="shared" si="154"/>
        <v xml:space="preserve">|  </v>
      </c>
      <c r="CN108" s="12" t="str">
        <f t="shared" si="155"/>
        <v xml:space="preserve">| [Link](/places/places\us_ca-san-francisco-mission-san-francisco-solano) </v>
      </c>
      <c r="CO108" s="12" t="e">
        <f t="shared" si="156"/>
        <v>#VALUE!</v>
      </c>
    </row>
    <row r="109" spans="1:93" ht="25.5" x14ac:dyDescent="0.4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28"/>
        <v>1</v>
      </c>
      <c r="AT109" s="117" t="str">
        <f t="shared" si="129"/>
        <v>title: "Mount St. Mary's Seminary"</v>
      </c>
      <c r="AU109" s="117" t="str">
        <f t="shared" si="130"/>
        <v>location: {lat: 39.6799879929785, lng: -77.3549241077855}</v>
      </c>
      <c r="AV109" s="117" t="str">
        <f t="shared" si="131"/>
        <v>interest: local</v>
      </c>
      <c r="AW109" s="117" t="str">
        <f>"- "&amp;VLOOKUP(C109,'Country Tags'!C:E,3,)</f>
        <v>- us
- us-md</v>
      </c>
      <c r="AX109" s="117" t="str">
        <f t="shared" si="132"/>
        <v>- baltimore</v>
      </c>
      <c r="AY109" s="117" t="str">
        <f t="shared" si="133"/>
        <v>- churches</v>
      </c>
      <c r="AZ109" s="117" t="str">
        <f t="shared" si="134"/>
        <v/>
      </c>
      <c r="BA109" s="117" t="str">
        <f t="shared" si="135"/>
        <v>- holy-persons</v>
      </c>
      <c r="BB109" s="117" t="str">
        <f t="shared" si="136"/>
        <v>- stanley-rother</v>
      </c>
      <c r="BC109" s="117" t="str">
        <f t="shared" si="137"/>
        <v/>
      </c>
      <c r="BD109" s="117" t="str">
        <f t="shared" si="138"/>
        <v/>
      </c>
      <c r="BE109" s="117" t="str">
        <f t="shared" si="139"/>
        <v/>
      </c>
      <c r="BF109" s="117" t="str">
        <f t="shared" si="140"/>
        <v/>
      </c>
      <c r="BG109" s="117" t="str">
        <f t="shared" si="141"/>
        <v/>
      </c>
      <c r="BH109" s="117" t="str">
        <f t="shared" si="142"/>
        <v/>
      </c>
      <c r="BI109" s="117" t="str">
        <f t="shared" si="143"/>
        <v/>
      </c>
      <c r="BJ109" s="117" t="str">
        <f t="shared" si="144"/>
        <v/>
      </c>
      <c r="BK109" s="117" t="str">
        <f t="shared" si="145"/>
        <v/>
      </c>
      <c r="BL109" s="117" t="str">
        <f t="shared" si="146"/>
        <v xml:space="preserve">tags:
- us
- us-md_x000D_
- baltimore_x000D_
- churches_x000D_
- holy-persons_x000D_
- stanley-rother_x000D_
</v>
      </c>
      <c r="BM109" s="120" t="str">
        <f t="shared" si="124"/>
        <v>[Official site](https://seminary.msmary.edu/)</v>
      </c>
      <c r="BN109" s="120" t="str">
        <f t="shared" si="125"/>
        <v/>
      </c>
      <c r="BO109" s="120" t="str">
        <f t="shared" si="126"/>
        <v/>
      </c>
      <c r="BP109" s="120" t="str">
        <f t="shared" si="127"/>
        <v/>
      </c>
      <c r="BQ109" s="117" t="str">
        <f t="shared" si="147"/>
        <v xml:space="preserve">* [Official site](https://seminary.msmary.edu/)
</v>
      </c>
      <c r="BR109" s="117" t="str">
        <f t="shared" si="148"/>
        <v/>
      </c>
      <c r="BS109" s="117" t="str">
        <f t="shared" si="149"/>
        <v/>
      </c>
      <c r="BT109" s="117" t="str">
        <f t="shared" si="150"/>
        <v/>
      </c>
      <c r="BU109" s="117" t="str">
        <f>IF(LEN(_xludf.concat(BR109:BT109))&gt;0,_xludf.concat("| ",BR109," | ",BS109," | ",BT109," |"),"")</f>
        <v/>
      </c>
      <c r="BV109" s="117" t="str">
        <f t="shared" si="151"/>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52"/>
        <v>#VALUE!</v>
      </c>
      <c r="CK109" s="12" t="str">
        <f t="shared" si="153"/>
        <v xml:space="preserve">| [](/places/places\us_md-baltimore-mount-st-marys-seminary) </v>
      </c>
      <c r="CL109" s="13" t="str">
        <f>"| "&amp;IF(AS109,GetTagPage(C109,VLOOKUP(C109,'Country Tags'!C:E,3,)),C109)&amp; " "</f>
        <v xml:space="preserve">| [US Maryland](/tags/us
- us-md) </v>
      </c>
      <c r="CM109" s="12" t="str">
        <f t="shared" si="154"/>
        <v xml:space="preserve">|  </v>
      </c>
      <c r="CN109" s="12" t="str">
        <f t="shared" si="155"/>
        <v xml:space="preserve">| [Link](/places/places\us_md-baltimore-mount-st-marys-seminary) </v>
      </c>
      <c r="CO109" s="12" t="e">
        <f t="shared" si="156"/>
        <v>#VALUE!</v>
      </c>
    </row>
    <row r="110" spans="1:93" ht="38.25" x14ac:dyDescent="0.4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28"/>
        <v>1</v>
      </c>
      <c r="AT110" s="117" t="str">
        <f t="shared" si="129"/>
        <v>title: "Loretto Chapel, Santa Fe, NM"</v>
      </c>
      <c r="AU110" s="117" t="str">
        <f t="shared" si="130"/>
        <v>location: {lat: 35.6856315, lng: -105.9376593}</v>
      </c>
      <c r="AV110" s="117" t="str">
        <f t="shared" si="131"/>
        <v>interest: regional</v>
      </c>
      <c r="AW110" s="117" t="str">
        <f>"- "&amp;VLOOKUP(C110,'Country Tags'!C:E,3,)</f>
        <v>- us
- us-nm</v>
      </c>
      <c r="AX110" s="117" t="str">
        <f t="shared" si="132"/>
        <v>- santa-fe</v>
      </c>
      <c r="AY110" s="117" t="str">
        <f t="shared" si="133"/>
        <v>- churches</v>
      </c>
      <c r="AZ110" s="117" t="str">
        <f t="shared" si="134"/>
        <v/>
      </c>
      <c r="BA110" s="117" t="str">
        <f t="shared" si="135"/>
        <v>- holy-persons</v>
      </c>
      <c r="BB110" s="117" t="str">
        <f t="shared" si="136"/>
        <v>- joseph</v>
      </c>
      <c r="BC110" s="117" t="str">
        <f t="shared" si="137"/>
        <v/>
      </c>
      <c r="BD110" s="117" t="str">
        <f t="shared" si="138"/>
        <v/>
      </c>
      <c r="BE110" s="117" t="str">
        <f t="shared" si="139"/>
        <v/>
      </c>
      <c r="BF110" s="117" t="str">
        <f t="shared" si="140"/>
        <v/>
      </c>
      <c r="BG110" s="117" t="str">
        <f t="shared" si="141"/>
        <v/>
      </c>
      <c r="BH110" s="117" t="str">
        <f t="shared" si="142"/>
        <v/>
      </c>
      <c r="BI110" s="117" t="str">
        <f t="shared" si="143"/>
        <v/>
      </c>
      <c r="BJ110" s="117" t="str">
        <f t="shared" si="144"/>
        <v/>
      </c>
      <c r="BK110" s="117" t="str">
        <f t="shared" si="145"/>
        <v/>
      </c>
      <c r="BL110" s="117" t="str">
        <f t="shared" si="146"/>
        <v xml:space="preserve">tags:
- us
- us-nm_x000D_
- santa-fe_x000D_
- churches_x000D_
- holy-persons_x000D_
- joseph_x000D_
</v>
      </c>
      <c r="BM110" s="120" t="str">
        <f t="shared" si="124"/>
        <v>[Official site](https://www.lorettochapel.com)</v>
      </c>
      <c r="BN110" s="120" t="str">
        <f t="shared" si="125"/>
        <v>[Story of the staircase on the podcast *That's the Word*](https://thunderrock.org/story-extras/the-spiral-architect)</v>
      </c>
      <c r="BO110" s="120" t="str">
        <f t="shared" si="126"/>
        <v/>
      </c>
      <c r="BP110" s="120" t="str">
        <f t="shared" si="127"/>
        <v/>
      </c>
      <c r="BQ110" s="117" t="str">
        <f t="shared" si="147"/>
        <v xml:space="preserve">* [Official site](https://www.lorettochapel.com)
* [Story of the staircase on the podcast *That's the Word*](https://thunderrock.org/story-extras/the-spiral-architect)
</v>
      </c>
      <c r="BR110" s="117" t="str">
        <f t="shared" si="148"/>
        <v/>
      </c>
      <c r="BS110" s="117" t="str">
        <f t="shared" si="149"/>
        <v/>
      </c>
      <c r="BT110" s="117" t="str">
        <f t="shared" si="150"/>
        <v/>
      </c>
      <c r="BU110" s="117" t="str">
        <f>IF(LEN(_xludf.concat(BR110:BT110))&gt;0,_xludf.concat("| ",BR110," | ",BS110," | ",BT110," |"),"")</f>
        <v/>
      </c>
      <c r="BV110" s="117" t="str">
        <f t="shared" si="151"/>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52"/>
        <v>#VALUE!</v>
      </c>
      <c r="CK110" s="12" t="str">
        <f t="shared" si="153"/>
        <v xml:space="preserve">| [](/places/places\us_nm-santa-fe-loretto-chapel) </v>
      </c>
      <c r="CL110" s="13" t="str">
        <f>"| "&amp;IF(AS110,GetTagPage(C110,VLOOKUP(C110,'Country Tags'!C:E,3,)),C110)&amp; " "</f>
        <v xml:space="preserve">| [US New Mexico](/tags/us
- us-nm) </v>
      </c>
      <c r="CM110" s="12" t="str">
        <f t="shared" si="154"/>
        <v xml:space="preserve">|  </v>
      </c>
      <c r="CN110" s="12" t="str">
        <f t="shared" si="155"/>
        <v xml:space="preserve">| [Link](/places/places\us_nm-santa-fe-loretto-chapel) </v>
      </c>
      <c r="CO110" s="12" t="e">
        <f t="shared" si="156"/>
        <v>#VALUE!</v>
      </c>
    </row>
    <row r="111" spans="1:93" ht="63.75" x14ac:dyDescent="0.4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28"/>
        <v>1</v>
      </c>
      <c r="AT111" s="117" t="str">
        <f t="shared" si="129"/>
        <v>title: "Sanctuary of Chimayo (Santuario de Chimayo)"</v>
      </c>
      <c r="AU111" s="117" t="str">
        <f t="shared" si="130"/>
        <v>location: {lat: 35.989201, lng: -105.9318022}</v>
      </c>
      <c r="AV111" s="117" t="str">
        <f t="shared" si="131"/>
        <v>interest: regional</v>
      </c>
      <c r="AW111" s="117" t="str">
        <f>"- "&amp;VLOOKUP(C111,'Country Tags'!C:E,3,)</f>
        <v>- us
- us-nm</v>
      </c>
      <c r="AX111" s="117" t="str">
        <f t="shared" si="132"/>
        <v>- santa-fe</v>
      </c>
      <c r="AY111" s="117" t="str">
        <f t="shared" si="133"/>
        <v>- churches</v>
      </c>
      <c r="AZ111" s="117" t="str">
        <f t="shared" si="134"/>
        <v/>
      </c>
      <c r="BA111" s="117" t="str">
        <f t="shared" si="135"/>
        <v/>
      </c>
      <c r="BB111" s="117" t="str">
        <f t="shared" si="136"/>
        <v/>
      </c>
      <c r="BC111" s="117" t="str">
        <f t="shared" si="137"/>
        <v/>
      </c>
      <c r="BD111" s="117" t="str">
        <f t="shared" si="138"/>
        <v/>
      </c>
      <c r="BE111" s="117" t="str">
        <f t="shared" si="139"/>
        <v/>
      </c>
      <c r="BF111" s="117" t="str">
        <f t="shared" si="140"/>
        <v/>
      </c>
      <c r="BG111" s="117" t="str">
        <f t="shared" si="141"/>
        <v/>
      </c>
      <c r="BH111" s="117" t="str">
        <f t="shared" si="142"/>
        <v/>
      </c>
      <c r="BI111" s="117" t="str">
        <f t="shared" si="143"/>
        <v/>
      </c>
      <c r="BJ111" s="117" t="str">
        <f t="shared" si="144"/>
        <v/>
      </c>
      <c r="BK111" s="117" t="str">
        <f t="shared" si="145"/>
        <v/>
      </c>
      <c r="BL111" s="117" t="str">
        <f t="shared" si="146"/>
        <v xml:space="preserve">tags:
- us
- us-nm_x000D_
- santa-fe_x000D_
- churches_x000D_
</v>
      </c>
      <c r="BM111" s="120" t="str">
        <f t="shared" si="124"/>
        <v/>
      </c>
      <c r="BN111" s="120" t="str">
        <f t="shared" si="125"/>
        <v>[Article from Catholic World Report](https://www.catholicworldreport.com/2023/04/07/visiting-el-santuario-de-chimayo-the-most-popular-pilgrimage-site-in-america/)</v>
      </c>
      <c r="BO111" s="120" t="str">
        <f t="shared" si="126"/>
        <v>[Story of the shrine on the podcast *That's the Word*](https://thunderrock.org/story-extras/take-the-hint)</v>
      </c>
      <c r="BP111" s="120" t="str">
        <f t="shared" si="127"/>
        <v/>
      </c>
      <c r="BQ111" s="117"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48"/>
        <v/>
      </c>
      <c r="BS111" s="117" t="str">
        <f t="shared" si="149"/>
        <v/>
      </c>
      <c r="BT111" s="117" t="str">
        <f t="shared" si="150"/>
        <v/>
      </c>
      <c r="BU111" s="117" t="str">
        <f>IF(LEN(_xludf.concat(BR111:BT111))&gt;0,_xludf.concat("| ",BR111," | ",BS111," | ",BT111," |"),"")</f>
        <v/>
      </c>
      <c r="BV111" s="117" t="str">
        <f t="shared" si="151"/>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52"/>
        <v xml:space="preserve">| </v>
      </c>
      <c r="CK111" s="12" t="str">
        <f t="shared" si="153"/>
        <v xml:space="preserve">| [](/places/places\us_nm-santa-fe-santuario-de-chimayo) </v>
      </c>
      <c r="CL111" s="13" t="str">
        <f>"| "&amp;IF(AS111,GetTagPage(C111,VLOOKUP(C111,'Country Tags'!C:E,3,)),C111)&amp; " "</f>
        <v xml:space="preserve">| [US New Mexico](/tags/us
- us-nm) </v>
      </c>
      <c r="CM111" s="12" t="str">
        <f t="shared" si="154"/>
        <v xml:space="preserve">|  </v>
      </c>
      <c r="CN111" s="12" t="str">
        <f t="shared" si="155"/>
        <v xml:space="preserve">| [Link](/places/places\us_nm-santa-fe-santuario-de-chimayo) </v>
      </c>
      <c r="CO111" s="12" t="str">
        <f t="shared" si="156"/>
        <v xml:space="preserve">
| [](/places/places\us_nm-santa-fe-santuario-de-chimayo) | [US New Mexico](/tags/us
- us-nm) |  | [Link](/places/places\us_nm-santa-fe-santuario-de-chimayo) | |</v>
      </c>
    </row>
    <row r="112" spans="1:93" ht="38.25" x14ac:dyDescent="0.4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28"/>
        <v>1</v>
      </c>
      <c r="AT112" s="117" t="str">
        <f t="shared" si="129"/>
        <v>title: "Shrine of Our Lady of Martyrs (National Shrine of the North American Martyrs)"</v>
      </c>
      <c r="AU112" s="117" t="str">
        <f t="shared" si="130"/>
        <v>location: {lat: 42.9249911, lng: -74.3022492}</v>
      </c>
      <c r="AV112" s="117" t="str">
        <f t="shared" si="131"/>
        <v>interest: regional</v>
      </c>
      <c r="AW112" s="117" t="str">
        <f>"- "&amp;VLOOKUP(C112,'Country Tags'!C:E,3,)</f>
        <v>- us
- us-ny</v>
      </c>
      <c r="AX112" s="117" t="str">
        <f t="shared" si="132"/>
        <v/>
      </c>
      <c r="AY112" s="117" t="str">
        <f t="shared" si="133"/>
        <v>- churches</v>
      </c>
      <c r="AZ112" s="117" t="str">
        <f t="shared" si="134"/>
        <v/>
      </c>
      <c r="BA112" s="117" t="str">
        <f t="shared" si="135"/>
        <v>- holy-persons</v>
      </c>
      <c r="BB112" s="117" t="str">
        <f t="shared" si="136"/>
        <v>- canadian-martyrs</v>
      </c>
      <c r="BC112" s="117" t="str">
        <f t="shared" si="137"/>
        <v>- kateri-tekakwitha</v>
      </c>
      <c r="BD112" s="117" t="str">
        <f t="shared" si="138"/>
        <v>- isaac-jogues</v>
      </c>
      <c r="BE112" s="117" t="str">
        <f t="shared" si="139"/>
        <v>- rene-goupil</v>
      </c>
      <c r="BF112" s="117" t="str">
        <f t="shared" si="140"/>
        <v>- jean-de-lalande</v>
      </c>
      <c r="BG112" s="117" t="str">
        <f t="shared" si="141"/>
        <v>- jesuits</v>
      </c>
      <c r="BH112" s="117" t="str">
        <f t="shared" si="142"/>
        <v/>
      </c>
      <c r="BI112" s="117" t="str">
        <f t="shared" si="143"/>
        <v/>
      </c>
      <c r="BJ112" s="117" t="str">
        <f t="shared" si="144"/>
        <v/>
      </c>
      <c r="BK112" s="117" t="str">
        <f t="shared" si="145"/>
        <v/>
      </c>
      <c r="BL112" s="117" t="str">
        <f t="shared" si="146"/>
        <v xml:space="preserve">tags:
- us
- us-ny_x000D_
- churches_x000D_
- holy-persons_x000D_
- canadian-martyrs_x000D_
- kateri-tekakwitha_x000D_
- isaac-jogues_x000D_
- rene-goupil_x000D_
- jean-de-lalande_x000D_
- jesuits_x000D_
</v>
      </c>
      <c r="BM112" s="120" t="str">
        <f t="shared" si="124"/>
        <v>[Official site](https://www.ourladyofmartyrsshrine.org/)</v>
      </c>
      <c r="BN112" s="120" t="str">
        <f t="shared" si="125"/>
        <v>[Article from Catholic World Report](https://www.catholicworldreport.com/2023/04/07/visiting-el-santuario-de-chimayo-the-most-popular-pilgrimage-site-in-america/)</v>
      </c>
      <c r="BO112" s="120" t="str">
        <f t="shared" si="126"/>
        <v>[Story of the shrine on the podcast *That's the Word*](https://thunderrock.org/story-extras/take-the-hint)</v>
      </c>
      <c r="BP112" s="120" t="str">
        <f t="shared" si="127"/>
        <v/>
      </c>
      <c r="BQ112" s="117"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48"/>
        <v/>
      </c>
      <c r="BS112" s="117" t="str">
        <f t="shared" si="149"/>
        <v/>
      </c>
      <c r="BT112" s="117" t="str">
        <f t="shared" si="150"/>
        <v/>
      </c>
      <c r="BU112" s="117" t="str">
        <f>IF(LEN(_xludf.concat(BR112:BT112))&gt;0,_xludf.concat("| ",BR112," | ",BS112," | ",BT112," |"),"")</f>
        <v/>
      </c>
      <c r="BV112" s="117" t="str">
        <f t="shared" si="151"/>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52"/>
        <v>#VALUE!</v>
      </c>
      <c r="CK112" s="12" t="str">
        <f t="shared" si="153"/>
        <v xml:space="preserve">| [](/places/places\us_ny-shrine-of-our-lady-of-martyrs) </v>
      </c>
      <c r="CL112" s="13" t="str">
        <f>"| "&amp;IF(AS112,GetTagPage(C112,VLOOKUP(C112,'Country Tags'!C:E,3,)),C112)&amp; " "</f>
        <v xml:space="preserve">| [US New York](/tags/us
- us-ny) </v>
      </c>
      <c r="CM112" s="12" t="str">
        <f t="shared" si="154"/>
        <v xml:space="preserve">|  </v>
      </c>
      <c r="CN112" s="12" t="str">
        <f t="shared" si="155"/>
        <v xml:space="preserve">| [Link](/places/places\us_ny-shrine-of-our-lady-of-martyrs) </v>
      </c>
      <c r="CO112" s="12" t="e">
        <f t="shared" si="156"/>
        <v>#VALUE!</v>
      </c>
    </row>
    <row r="113" spans="1:93" ht="25.5" x14ac:dyDescent="0.4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28"/>
        <v>1</v>
      </c>
      <c r="AT113" s="117" t="str">
        <f t="shared" si="129"/>
        <v>title: "Holy Trinity Catholic Church, Okarche, OK"</v>
      </c>
      <c r="AU113" s="117" t="str">
        <f t="shared" si="130"/>
        <v>location: {lat: 35.7284903, lng: -97.975802}</v>
      </c>
      <c r="AV113" s="117" t="str">
        <f t="shared" si="131"/>
        <v>interest: local</v>
      </c>
      <c r="AW113" s="117" t="str">
        <f>"- "&amp;VLOOKUP(C113,'Country Tags'!C:E,3,)</f>
        <v>- us
- us-ok</v>
      </c>
      <c r="AX113" s="117" t="str">
        <f t="shared" si="132"/>
        <v>- oklahoma-city</v>
      </c>
      <c r="AY113" s="117" t="str">
        <f t="shared" si="133"/>
        <v>- churches</v>
      </c>
      <c r="AZ113" s="117" t="str">
        <f t="shared" si="134"/>
        <v/>
      </c>
      <c r="BA113" s="117" t="str">
        <f t="shared" si="135"/>
        <v>- holy-persons</v>
      </c>
      <c r="BB113" s="117" t="str">
        <f t="shared" si="136"/>
        <v>- stanley-rother</v>
      </c>
      <c r="BC113" s="117" t="str">
        <f t="shared" si="137"/>
        <v/>
      </c>
      <c r="BD113" s="117" t="str">
        <f t="shared" si="138"/>
        <v/>
      </c>
      <c r="BE113" s="117" t="str">
        <f t="shared" si="139"/>
        <v/>
      </c>
      <c r="BF113" s="117" t="str">
        <f t="shared" si="140"/>
        <v/>
      </c>
      <c r="BG113" s="117" t="str">
        <f t="shared" si="141"/>
        <v/>
      </c>
      <c r="BH113" s="117" t="str">
        <f t="shared" si="142"/>
        <v/>
      </c>
      <c r="BI113" s="117" t="str">
        <f t="shared" si="143"/>
        <v/>
      </c>
      <c r="BJ113" s="117" t="str">
        <f t="shared" si="144"/>
        <v/>
      </c>
      <c r="BK113" s="117" t="str">
        <f t="shared" si="145"/>
        <v/>
      </c>
      <c r="BL113" s="117" t="str">
        <f t="shared" si="146"/>
        <v xml:space="preserve">tags:
- us
- us-ok_x000D_
- oklahoma-city_x000D_
- churches_x000D_
- holy-persons_x000D_
- stanley-rother_x000D_
</v>
      </c>
      <c r="BM113" s="120" t="str">
        <f t="shared" si="124"/>
        <v>[Official site](https://www.holytrinityok.org/)</v>
      </c>
      <c r="BN113" s="120" t="str">
        <f t="shared" si="125"/>
        <v/>
      </c>
      <c r="BO113" s="120" t="str">
        <f t="shared" si="126"/>
        <v/>
      </c>
      <c r="BP113" s="120" t="str">
        <f t="shared" si="127"/>
        <v/>
      </c>
      <c r="BQ113" s="117" t="str">
        <f t="shared" si="147"/>
        <v xml:space="preserve">* [Official site](https://www.holytrinityok.org/)
</v>
      </c>
      <c r="BR113" s="117" t="str">
        <f t="shared" si="148"/>
        <v/>
      </c>
      <c r="BS113" s="117" t="str">
        <f t="shared" si="149"/>
        <v/>
      </c>
      <c r="BT113" s="117" t="str">
        <f t="shared" si="150"/>
        <v/>
      </c>
      <c r="BU113" s="117" t="str">
        <f>IF(LEN(_xludf.concat(BR113:BT113))&gt;0,_xludf.concat("| ",BR113," | ",BS113," | ",BT113," |"),"")</f>
        <v/>
      </c>
      <c r="BV113" s="117" t="str">
        <f t="shared" si="151"/>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52"/>
        <v>#VALUE!</v>
      </c>
      <c r="CK113" s="12" t="str">
        <f t="shared" si="153"/>
        <v xml:space="preserve">| [](/places/places\us_ok-oklahoma-city-holy-trinity) </v>
      </c>
      <c r="CL113" s="13" t="str">
        <f>"| "&amp;IF(AS113,GetTagPage(C113,VLOOKUP(C113,'Country Tags'!C:E,3,)),C113)&amp; " "</f>
        <v xml:space="preserve">| [US Oklahoma](/tags/us
- us-ok) </v>
      </c>
      <c r="CM113" s="12" t="str">
        <f t="shared" si="154"/>
        <v xml:space="preserve">|  </v>
      </c>
      <c r="CN113" s="12" t="str">
        <f t="shared" si="155"/>
        <v xml:space="preserve">| [Link](/places/places\us_ok-oklahoma-city-holy-trinity) </v>
      </c>
      <c r="CO113" s="12" t="e">
        <f t="shared" si="156"/>
        <v>#VALUE!</v>
      </c>
    </row>
    <row r="114" spans="1:93" ht="38.25" x14ac:dyDescent="0.4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28"/>
        <v>1</v>
      </c>
      <c r="AT114" s="117" t="str">
        <f t="shared" si="129"/>
        <v>title: "Blessed Stanley Rother Shrine"</v>
      </c>
      <c r="AU114" s="117" t="str">
        <f t="shared" si="130"/>
        <v>location: {lat: 35.3758, lng: -97.4975}</v>
      </c>
      <c r="AV114" s="117" t="str">
        <f t="shared" si="131"/>
        <v>interest: local</v>
      </c>
      <c r="AW114" s="117" t="str">
        <f>"- "&amp;VLOOKUP(C114,'Country Tags'!C:E,3,)</f>
        <v>- us
- us-ok</v>
      </c>
      <c r="AX114" s="117" t="str">
        <f t="shared" si="132"/>
        <v>- oklahoma-city</v>
      </c>
      <c r="AY114" s="117" t="str">
        <f t="shared" si="133"/>
        <v>- churches</v>
      </c>
      <c r="AZ114" s="117" t="str">
        <f t="shared" si="134"/>
        <v/>
      </c>
      <c r="BA114" s="117" t="str">
        <f t="shared" si="135"/>
        <v>- holy-persons</v>
      </c>
      <c r="BB114" s="117" t="str">
        <f t="shared" si="136"/>
        <v>- stanley-rother</v>
      </c>
      <c r="BC114" s="117" t="str">
        <f t="shared" si="137"/>
        <v/>
      </c>
      <c r="BD114" s="117" t="str">
        <f t="shared" si="138"/>
        <v/>
      </c>
      <c r="BE114" s="117" t="str">
        <f t="shared" si="139"/>
        <v/>
      </c>
      <c r="BF114" s="117" t="str">
        <f t="shared" si="140"/>
        <v/>
      </c>
      <c r="BG114" s="117" t="str">
        <f t="shared" si="141"/>
        <v/>
      </c>
      <c r="BH114" s="117" t="str">
        <f t="shared" si="142"/>
        <v/>
      </c>
      <c r="BI114" s="117" t="str">
        <f t="shared" si="143"/>
        <v/>
      </c>
      <c r="BJ114" s="117" t="str">
        <f t="shared" si="144"/>
        <v/>
      </c>
      <c r="BK114" s="117" t="str">
        <f t="shared" si="145"/>
        <v/>
      </c>
      <c r="BL114" s="117" t="str">
        <f t="shared" si="146"/>
        <v xml:space="preserve">tags:
- us
- us-ok_x000D_
- oklahoma-city_x000D_
- churches_x000D_
- holy-persons_x000D_
- stanley-rother_x000D_
</v>
      </c>
      <c r="BM114" s="120" t="str">
        <f t="shared" si="124"/>
        <v>[Official site](https://www.rothershrine.org/)</v>
      </c>
      <c r="BN114" s="120" t="str">
        <f t="shared" si="125"/>
        <v/>
      </c>
      <c r="BO114" s="120" t="str">
        <f t="shared" si="126"/>
        <v/>
      </c>
      <c r="BP114" s="120" t="str">
        <f t="shared" si="127"/>
        <v/>
      </c>
      <c r="BQ114" s="117" t="str">
        <f t="shared" si="147"/>
        <v xml:space="preserve">* [Official site](https://www.rothershrine.org/)
</v>
      </c>
      <c r="BR114" s="117" t="str">
        <f t="shared" si="148"/>
        <v/>
      </c>
      <c r="BS114" s="117" t="str">
        <f t="shared" si="149"/>
        <v/>
      </c>
      <c r="BT114" s="117" t="str">
        <f t="shared" si="150"/>
        <v/>
      </c>
      <c r="BU114" s="117" t="str">
        <f>IF(LEN(_xludf.concat(BR114:BT114))&gt;0,_xludf.concat("| ",BR114," | ",BS114," | ",BT114," |"),"")</f>
        <v/>
      </c>
      <c r="BV114" s="117" t="str">
        <f t="shared" si="151"/>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52"/>
        <v>#VALUE!</v>
      </c>
      <c r="CK114" s="12" t="str">
        <f t="shared" si="153"/>
        <v xml:space="preserve">| [](/places/places\us_ok-oklahoma-city-stanley-rother-shrine) </v>
      </c>
      <c r="CL114" s="13" t="str">
        <f>"| "&amp;IF(AS114,GetTagPage(C114,VLOOKUP(C114,'Country Tags'!C:E,3,)),C114)&amp; " "</f>
        <v xml:space="preserve">| [US Oklahoma](/tags/us
- us-ok) </v>
      </c>
      <c r="CM114" s="12" t="str">
        <f t="shared" si="154"/>
        <v xml:space="preserve">|  </v>
      </c>
      <c r="CN114" s="12" t="str">
        <f t="shared" si="155"/>
        <v xml:space="preserve">| [Link](/places/places\us_ok-oklahoma-city-stanley-rother-shrine) </v>
      </c>
      <c r="CO114" s="12" t="e">
        <f t="shared" si="156"/>
        <v>#VALUE!</v>
      </c>
    </row>
    <row r="115" spans="1:93" ht="25.5" x14ac:dyDescent="0.4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28"/>
        <v>1</v>
      </c>
      <c r="AT115" s="117" t="str">
        <f t="shared" si="129"/>
        <v>title: "Assumption Seminary"</v>
      </c>
      <c r="AU115" s="117" t="str">
        <f t="shared" si="130"/>
        <v>location: {lat: 29.454204, lng: -98.54519}</v>
      </c>
      <c r="AV115" s="117" t="str">
        <f t="shared" si="131"/>
        <v>interest: local</v>
      </c>
      <c r="AW115" s="117" t="str">
        <f>"- "&amp;VLOOKUP(C115,'Country Tags'!C:E,3,)</f>
        <v>- us
- us-tx</v>
      </c>
      <c r="AX115" s="117" t="str">
        <f t="shared" si="132"/>
        <v>- san-antonio</v>
      </c>
      <c r="AY115" s="117" t="str">
        <f t="shared" si="133"/>
        <v>- churches</v>
      </c>
      <c r="AZ115" s="117" t="str">
        <f t="shared" si="134"/>
        <v/>
      </c>
      <c r="BA115" s="117" t="str">
        <f t="shared" si="135"/>
        <v>- holy-persons</v>
      </c>
      <c r="BB115" s="117" t="str">
        <f t="shared" si="136"/>
        <v>- stanley-rother</v>
      </c>
      <c r="BC115" s="117" t="str">
        <f t="shared" si="137"/>
        <v/>
      </c>
      <c r="BD115" s="117" t="str">
        <f t="shared" si="138"/>
        <v/>
      </c>
      <c r="BE115" s="117" t="str">
        <f t="shared" si="139"/>
        <v/>
      </c>
      <c r="BF115" s="117" t="str">
        <f t="shared" si="140"/>
        <v/>
      </c>
      <c r="BG115" s="117" t="str">
        <f t="shared" si="141"/>
        <v/>
      </c>
      <c r="BH115" s="117" t="str">
        <f t="shared" si="142"/>
        <v/>
      </c>
      <c r="BI115" s="117" t="str">
        <f t="shared" si="143"/>
        <v/>
      </c>
      <c r="BJ115" s="117" t="str">
        <f t="shared" si="144"/>
        <v/>
      </c>
      <c r="BK115" s="117" t="str">
        <f t="shared" si="145"/>
        <v/>
      </c>
      <c r="BL115" s="117" t="str">
        <f t="shared" si="146"/>
        <v xml:space="preserve">tags:
- us
- us-tx_x000D_
- san-antonio_x000D_
- churches_x000D_
- holy-persons_x000D_
- stanley-rother_x000D_
</v>
      </c>
      <c r="BM115" s="120" t="str">
        <f t="shared" si="124"/>
        <v>[Official site](https://assumptionseminary.org/)</v>
      </c>
      <c r="BN115" s="120" t="str">
        <f t="shared" si="125"/>
        <v/>
      </c>
      <c r="BO115" s="120" t="str">
        <f t="shared" si="126"/>
        <v/>
      </c>
      <c r="BP115" s="120" t="str">
        <f t="shared" si="127"/>
        <v/>
      </c>
      <c r="BQ115" s="117" t="str">
        <f t="shared" si="147"/>
        <v xml:space="preserve">* [Official site](https://assumptionseminary.org/)
</v>
      </c>
      <c r="BR115" s="117" t="str">
        <f t="shared" si="148"/>
        <v/>
      </c>
      <c r="BS115" s="117" t="str">
        <f t="shared" si="149"/>
        <v/>
      </c>
      <c r="BT115" s="117" t="str">
        <f t="shared" si="150"/>
        <v/>
      </c>
      <c r="BU115" s="117" t="str">
        <f>IF(LEN(_xludf.concat(BR115:BT115))&gt;0,_xludf.concat("| ",BR115," | ",BS115," | ",BT115," |"),"")</f>
        <v/>
      </c>
      <c r="BV115" s="117" t="str">
        <f t="shared" si="151"/>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52"/>
        <v>#VALUE!</v>
      </c>
      <c r="CK115" s="12" t="str">
        <f t="shared" si="153"/>
        <v xml:space="preserve">| [](/places/places\us_tx-san-antonio-assumption-seminary) </v>
      </c>
      <c r="CL115" s="13" t="str">
        <f>"| "&amp;IF(AS115,GetTagPage(C115,VLOOKUP(C115,'Country Tags'!C:E,3,)),C115)&amp; " "</f>
        <v xml:space="preserve">| [US Texas](/tags/us
- us-tx) </v>
      </c>
      <c r="CM115" s="12" t="str">
        <f t="shared" si="154"/>
        <v xml:space="preserve">|  </v>
      </c>
      <c r="CN115" s="12" t="str">
        <f t="shared" si="155"/>
        <v xml:space="preserve">| [Link](/places/places\us_tx-san-antonio-assumption-seminary) </v>
      </c>
      <c r="CO115" s="12" t="e">
        <f t="shared" si="156"/>
        <v>#VALUE!</v>
      </c>
    </row>
    <row r="116" spans="1:93" ht="25.5" x14ac:dyDescent="0.4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28"/>
        <v>1</v>
      </c>
      <c r="AT116" s="117" t="str">
        <f t="shared" si="129"/>
        <v>title: "Blessed Sacrament Catholic Church, Dallas, TX"</v>
      </c>
      <c r="AU116" s="117" t="str">
        <f t="shared" si="130"/>
        <v>location: {lat: 32.751, lng: -96.8159986}</v>
      </c>
      <c r="AV116" s="117" t="str">
        <f t="shared" si="131"/>
        <v>interest: local</v>
      </c>
      <c r="AW116" s="117" t="str">
        <f>"- "&amp;VLOOKUP(C116,'Country Tags'!C:E,3,)</f>
        <v>- us
- us-tx</v>
      </c>
      <c r="AX116" s="117" t="str">
        <f t="shared" si="132"/>
        <v>- dallas</v>
      </c>
      <c r="AY116" s="117" t="str">
        <f t="shared" si="133"/>
        <v>- churches</v>
      </c>
      <c r="AZ116" s="117" t="str">
        <f t="shared" si="134"/>
        <v/>
      </c>
      <c r="BA116" s="117" t="str">
        <f t="shared" si="135"/>
        <v/>
      </c>
      <c r="BB116" s="117" t="str">
        <f t="shared" si="136"/>
        <v/>
      </c>
      <c r="BC116" s="117" t="str">
        <f t="shared" si="137"/>
        <v/>
      </c>
      <c r="BD116" s="117" t="str">
        <f t="shared" si="138"/>
        <v/>
      </c>
      <c r="BE116" s="117" t="str">
        <f t="shared" si="139"/>
        <v/>
      </c>
      <c r="BF116" s="117" t="str">
        <f t="shared" si="140"/>
        <v/>
      </c>
      <c r="BG116" s="117" t="str">
        <f t="shared" si="141"/>
        <v/>
      </c>
      <c r="BH116" s="117" t="str">
        <f t="shared" si="142"/>
        <v/>
      </c>
      <c r="BI116" s="117" t="str">
        <f t="shared" si="143"/>
        <v/>
      </c>
      <c r="BJ116" s="117" t="str">
        <f t="shared" si="144"/>
        <v/>
      </c>
      <c r="BK116" s="117" t="str">
        <f t="shared" si="145"/>
        <v/>
      </c>
      <c r="BL116" s="117" t="str">
        <f t="shared" si="146"/>
        <v xml:space="preserve">tags:
- us
- us-tx_x000D_
- dallas_x000D_
- churches_x000D_
</v>
      </c>
      <c r="BM116" s="120" t="str">
        <f t="shared" si="124"/>
        <v>[Official site](https://www.bsdallas.org/)</v>
      </c>
      <c r="BN116" s="120" t="str">
        <f t="shared" si="125"/>
        <v>[Parish history](https://www.bsdallas.org/about-our-parish)</v>
      </c>
      <c r="BO116" s="120" t="str">
        <f t="shared" si="126"/>
        <v/>
      </c>
      <c r="BP116" s="120" t="str">
        <f t="shared" si="127"/>
        <v/>
      </c>
      <c r="BQ116" s="117" t="str">
        <f t="shared" si="147"/>
        <v xml:space="preserve">* [Official site](https://www.bsdallas.org/)
* [Parish history](https://www.bsdallas.org/about-our-parish)
</v>
      </c>
      <c r="BR116" s="117" t="str">
        <f t="shared" si="148"/>
        <v/>
      </c>
      <c r="BS116" s="117" t="str">
        <f t="shared" si="149"/>
        <v/>
      </c>
      <c r="BT116" s="117" t="str">
        <f t="shared" si="150"/>
        <v/>
      </c>
      <c r="BU116" s="117" t="str">
        <f>IF(LEN(_xludf.concat(BR116:BT116))&gt;0,_xludf.concat("| ",BR116," | ",BS116," | ",BT116," |"),"")</f>
        <v/>
      </c>
      <c r="BV116" s="117" t="str">
        <f t="shared" si="151"/>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52"/>
        <v xml:space="preserve">| </v>
      </c>
      <c r="CK116" s="12" t="str">
        <f t="shared" si="153"/>
        <v xml:space="preserve">| [](/places/places\us_tx-dallas-blessed-sacrament) </v>
      </c>
      <c r="CL116" s="13" t="str">
        <f>"| "&amp;IF(AS116,GetTagPage(C116,VLOOKUP(C116,'Country Tags'!C:E,3,)),C116)&amp; " "</f>
        <v xml:space="preserve">| [US Texas](/tags/us
- us-tx) </v>
      </c>
      <c r="CM116" s="12" t="str">
        <f t="shared" si="154"/>
        <v xml:space="preserve">|  </v>
      </c>
      <c r="CN116" s="12" t="str">
        <f t="shared" si="155"/>
        <v xml:space="preserve">| [Link](/places/places\us_tx-dallas-blessed-sacrament) </v>
      </c>
      <c r="CO116" s="12" t="str">
        <f t="shared" si="156"/>
        <v xml:space="preserve">
| [](/places/places\us_tx-dallas-blessed-sacrament) | [US Texas](/tags/us
- us-tx) |  | [Link](/places/places\us_tx-dallas-blessed-sacrament) [Official site](https://www.bsdallas.org/)| |</v>
      </c>
    </row>
    <row r="117" spans="1:93" ht="89.25" x14ac:dyDescent="0.4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28"/>
        <v>1</v>
      </c>
      <c r="AT117" s="117" t="str">
        <f t="shared" si="129"/>
        <v>title: "National Shrine Cathedral of Our Lady of Guadalupe, Dallas, TX"</v>
      </c>
      <c r="AU117" s="117" t="str">
        <f t="shared" si="130"/>
        <v>location: {lat: 32.7885152, lng: -96.7977807}</v>
      </c>
      <c r="AV117" s="117" t="str">
        <f t="shared" si="131"/>
        <v>interest: local</v>
      </c>
      <c r="AW117" s="117" t="str">
        <f>"- "&amp;VLOOKUP(C117,'Country Tags'!C:E,3,)</f>
        <v>- us
- us-tx</v>
      </c>
      <c r="AX117" s="117" t="str">
        <f t="shared" si="132"/>
        <v>- dallas</v>
      </c>
      <c r="AY117" s="117" t="str">
        <f t="shared" si="133"/>
        <v>- churches</v>
      </c>
      <c r="AZ117" s="117" t="str">
        <f t="shared" si="134"/>
        <v/>
      </c>
      <c r="BA117" s="117" t="str">
        <f t="shared" si="135"/>
        <v/>
      </c>
      <c r="BB117" s="117" t="str">
        <f t="shared" si="136"/>
        <v/>
      </c>
      <c r="BC117" s="117" t="str">
        <f t="shared" si="137"/>
        <v/>
      </c>
      <c r="BD117" s="117" t="str">
        <f t="shared" si="138"/>
        <v/>
      </c>
      <c r="BE117" s="117" t="str">
        <f t="shared" si="139"/>
        <v/>
      </c>
      <c r="BF117" s="117" t="str">
        <f t="shared" si="140"/>
        <v/>
      </c>
      <c r="BG117" s="117" t="str">
        <f t="shared" si="141"/>
        <v/>
      </c>
      <c r="BH117" s="117" t="str">
        <f t="shared" si="142"/>
        <v/>
      </c>
      <c r="BI117" s="117" t="str">
        <f t="shared" si="143"/>
        <v/>
      </c>
      <c r="BJ117" s="117" t="str">
        <f t="shared" si="144"/>
        <v/>
      </c>
      <c r="BK117" s="117" t="str">
        <f t="shared" si="145"/>
        <v/>
      </c>
      <c r="BL117" s="117" t="str">
        <f t="shared" si="146"/>
        <v xml:space="preserve">tags:
- us
- us-tx_x000D_
- dallas_x000D_
- churches_x000D_
</v>
      </c>
      <c r="BM117" s="120" t="str">
        <f t="shared" si="124"/>
        <v>[Official site](https://www.cathdal.org/cathedral)</v>
      </c>
      <c r="BN117" s="120" t="str">
        <f t="shared" si="125"/>
        <v/>
      </c>
      <c r="BO117" s="120" t="str">
        <f t="shared" si="126"/>
        <v/>
      </c>
      <c r="BP117" s="120" t="str">
        <f t="shared" si="127"/>
        <v/>
      </c>
      <c r="BQ117" s="117" t="str">
        <f t="shared" si="147"/>
        <v xml:space="preserve">* [Official site](https://www.cathdal.org/cathedral)
</v>
      </c>
      <c r="BR117" s="117" t="str">
        <f t="shared" si="148"/>
        <v/>
      </c>
      <c r="BS117" s="117" t="str">
        <f t="shared" si="149"/>
        <v/>
      </c>
      <c r="BT117" s="117" t="str">
        <f t="shared" si="150"/>
        <v/>
      </c>
      <c r="BU117" s="117" t="str">
        <f>IF(LEN(_xludf.concat(BR117:BT117))&gt;0,_xludf.concat("| ",BR117," | ",BS117," | ",BT117," |"),"")</f>
        <v/>
      </c>
      <c r="BV117" s="117" t="str">
        <f t="shared" si="151"/>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52"/>
        <v xml:space="preserve">| </v>
      </c>
      <c r="CK117" s="12" t="str">
        <f t="shared" si="153"/>
        <v xml:space="preserve">| [](/places/places\us_tx-dallas-guadalupe-cathedral) </v>
      </c>
      <c r="CL117" s="13" t="str">
        <f>"| "&amp;IF(AS117,GetTagPage(C117,VLOOKUP(C117,'Country Tags'!C:E,3,)),C117)&amp; " "</f>
        <v xml:space="preserve">| [US Texas](/tags/us
- us-tx) </v>
      </c>
      <c r="CM117" s="12" t="str">
        <f t="shared" si="154"/>
        <v xml:space="preserve">|  </v>
      </c>
      <c r="CN117" s="12" t="str">
        <f t="shared" si="155"/>
        <v xml:space="preserve">| [Link](/places/places\us_tx-dallas-guadalupe-cathedral) </v>
      </c>
      <c r="CO117" s="12" t="str">
        <f t="shared" si="156"/>
        <v xml:space="preserve">
| [](/places/places\us_tx-dallas-guadalupe-cathedral) | [US Texas](/tags/us
- us-tx) |  | [Link](/places/places\us_tx-dallas-guadalupe-cathedral) [Official site](https://www.cathdal.org/cathedral)| |</v>
      </c>
    </row>
    <row r="118" spans="1:93" ht="25.5" x14ac:dyDescent="0.4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28"/>
        <v>1</v>
      </c>
      <c r="AT118" s="117" t="str">
        <f t="shared" si="129"/>
        <v>title: "Holy Trinity Catholic Church, Dallas, TX"</v>
      </c>
      <c r="AU118" s="117" t="str">
        <f t="shared" si="130"/>
        <v>location: {lat: 32.8145708, lng: -96.8028428}</v>
      </c>
      <c r="AV118" s="117" t="str">
        <f t="shared" si="131"/>
        <v>interest: local</v>
      </c>
      <c r="AW118" s="117" t="str">
        <f>"- "&amp;VLOOKUP(C118,'Country Tags'!C:E,3,)</f>
        <v>- us
- us-tx</v>
      </c>
      <c r="AX118" s="117" t="str">
        <f t="shared" si="132"/>
        <v>- dallas</v>
      </c>
      <c r="AY118" s="117" t="str">
        <f t="shared" si="133"/>
        <v>- churches</v>
      </c>
      <c r="AZ118" s="117" t="str">
        <f t="shared" si="134"/>
        <v/>
      </c>
      <c r="BA118" s="117" t="str">
        <f t="shared" si="135"/>
        <v/>
      </c>
      <c r="BB118" s="117" t="str">
        <f t="shared" si="136"/>
        <v>- vincentians</v>
      </c>
      <c r="BC118" s="117" t="str">
        <f t="shared" si="137"/>
        <v/>
      </c>
      <c r="BD118" s="117" t="str">
        <f t="shared" si="138"/>
        <v/>
      </c>
      <c r="BE118" s="117" t="str">
        <f t="shared" si="139"/>
        <v/>
      </c>
      <c r="BF118" s="117" t="str">
        <f t="shared" si="140"/>
        <v/>
      </c>
      <c r="BG118" s="117" t="str">
        <f t="shared" si="141"/>
        <v/>
      </c>
      <c r="BH118" s="117" t="str">
        <f t="shared" si="142"/>
        <v/>
      </c>
      <c r="BI118" s="117" t="str">
        <f t="shared" si="143"/>
        <v/>
      </c>
      <c r="BJ118" s="117" t="str">
        <f t="shared" si="144"/>
        <v/>
      </c>
      <c r="BK118" s="117" t="str">
        <f t="shared" si="145"/>
        <v/>
      </c>
      <c r="BL118" s="117" t="str">
        <f t="shared" si="146"/>
        <v xml:space="preserve">tags:
- us
- us-tx_x000D_
- dallas_x000D_
- churches_x000D_
- vincentians_x000D_
</v>
      </c>
      <c r="BM118" s="120" t="str">
        <f t="shared" si="124"/>
        <v>[Official site](https://htccd.org/)</v>
      </c>
      <c r="BN118" s="120" t="str">
        <f t="shared" si="125"/>
        <v>[Parish history](https://htccd.org/history)</v>
      </c>
      <c r="BO118" s="120" t="str">
        <f t="shared" si="126"/>
        <v/>
      </c>
      <c r="BP118" s="120" t="str">
        <f t="shared" si="127"/>
        <v/>
      </c>
      <c r="BQ118" s="117" t="str">
        <f t="shared" si="147"/>
        <v xml:space="preserve">* [Official site](https://htccd.org/)
* [Parish history](https://htccd.org/history)
</v>
      </c>
      <c r="BR118" s="117" t="str">
        <f t="shared" si="148"/>
        <v/>
      </c>
      <c r="BS118" s="117" t="str">
        <f t="shared" si="149"/>
        <v/>
      </c>
      <c r="BT118" s="117" t="str">
        <f t="shared" si="150"/>
        <v/>
      </c>
      <c r="BU118" s="117" t="str">
        <f>IF(LEN(_xludf.concat(BR118:BT118))&gt;0,_xludf.concat("| ",BR118," | ",BS118," | ",BT118," |"),"")</f>
        <v/>
      </c>
      <c r="BV118" s="117" t="str">
        <f t="shared" si="151"/>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52"/>
        <v>#VALUE!</v>
      </c>
      <c r="CK118" s="12" t="str">
        <f t="shared" si="153"/>
        <v xml:space="preserve">| [](/places/places\us_tx-dallas-holy-trinity) </v>
      </c>
      <c r="CL118" s="13" t="str">
        <f>"| "&amp;IF(AS118,GetTagPage(C118,VLOOKUP(C118,'Country Tags'!C:E,3,)),C118)&amp; " "</f>
        <v xml:space="preserve">| [US Texas](/tags/us
- us-tx) </v>
      </c>
      <c r="CM118" s="12" t="str">
        <f t="shared" si="154"/>
        <v xml:space="preserve">|  </v>
      </c>
      <c r="CN118" s="12" t="str">
        <f t="shared" si="155"/>
        <v xml:space="preserve">| [Link](/places/places\us_tx-dallas-holy-trinity) </v>
      </c>
      <c r="CO118" s="12" t="e">
        <f t="shared" si="156"/>
        <v>#VALUE!</v>
      </c>
    </row>
    <row r="119" spans="1:93" ht="127.5" x14ac:dyDescent="0.4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28"/>
        <v>1</v>
      </c>
      <c r="AT119" s="117" t="str">
        <f t="shared" si="129"/>
        <v>title: "Old Our Lady of Guadalupe Catholic Church, Dallas, TX"</v>
      </c>
      <c r="AU119" s="117" t="str">
        <f t="shared" si="130"/>
        <v>location: {lat: 32.792159, lng: -96.8064572}</v>
      </c>
      <c r="AV119" s="117" t="str">
        <f t="shared" si="131"/>
        <v>interest: local</v>
      </c>
      <c r="AW119" s="117" t="str">
        <f>"- "&amp;VLOOKUP(C119,'Country Tags'!C:E,3,)</f>
        <v>- us
- us-tx</v>
      </c>
      <c r="AX119" s="117" t="str">
        <f t="shared" si="132"/>
        <v>- dallas</v>
      </c>
      <c r="AY119" s="117" t="str">
        <f t="shared" si="133"/>
        <v/>
      </c>
      <c r="AZ119" s="117" t="str">
        <f t="shared" si="134"/>
        <v/>
      </c>
      <c r="BA119" s="117" t="str">
        <f t="shared" si="135"/>
        <v/>
      </c>
      <c r="BB119" s="117" t="str">
        <f t="shared" si="136"/>
        <v>- closed</v>
      </c>
      <c r="BC119" s="117" t="str">
        <f t="shared" si="137"/>
        <v/>
      </c>
      <c r="BD119" s="117" t="str">
        <f t="shared" si="138"/>
        <v/>
      </c>
      <c r="BE119" s="117" t="str">
        <f t="shared" si="139"/>
        <v/>
      </c>
      <c r="BF119" s="117" t="str">
        <f t="shared" si="140"/>
        <v/>
      </c>
      <c r="BG119" s="117" t="str">
        <f t="shared" si="141"/>
        <v/>
      </c>
      <c r="BH119" s="117" t="str">
        <f t="shared" si="142"/>
        <v/>
      </c>
      <c r="BI119" s="117" t="str">
        <f t="shared" si="143"/>
        <v/>
      </c>
      <c r="BJ119" s="117" t="str">
        <f t="shared" si="144"/>
        <v/>
      </c>
      <c r="BK119" s="117" t="str">
        <f t="shared" si="145"/>
        <v/>
      </c>
      <c r="BL119" s="117" t="str">
        <f t="shared" si="146"/>
        <v xml:space="preserve">tags:
- us
- us-tx_x000D_
- dallas_x000D_
- closed_x000D_
</v>
      </c>
      <c r="BM119" s="120" t="str">
        <f t="shared" si="124"/>
        <v/>
      </c>
      <c r="BN119" s="120" t="str">
        <f t="shared" si="125"/>
        <v>[St. Ann preservation application](https://dallascityhall.com/departments/sustainabledevelopment/historicpreservation/HP%20Documents/Landmark%20Structures/St.%20Anns%20School%20Landmark%20Nomination.pdf) - Includes section on the church's history</v>
      </c>
      <c r="BO119" s="120" t="str">
        <f t="shared" si="126"/>
        <v>[About St. Ann restauraunt](https://www.saintanndallas.com/restaurant)</v>
      </c>
      <c r="BP119" s="120" t="str">
        <f t="shared" si="127"/>
        <v/>
      </c>
      <c r="BQ119" s="117"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48"/>
        <v/>
      </c>
      <c r="BS119" s="117" t="str">
        <f t="shared" si="149"/>
        <v/>
      </c>
      <c r="BT119" s="117" t="str">
        <f t="shared" si="150"/>
        <v/>
      </c>
      <c r="BU119" s="117" t="str">
        <f>IF(LEN(_xludf.concat(BR119:BT119))&gt;0,_xludf.concat("| ",BR119," | ",BS119," | ",BT119," |"),"")</f>
        <v/>
      </c>
      <c r="BV119" s="117" t="str">
        <f t="shared" si="151"/>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52"/>
        <v>#VALUE!</v>
      </c>
      <c r="CK119" s="12" t="str">
        <f t="shared" si="153"/>
        <v xml:space="preserve">| [](/places/places\us_tx-dallas-old-guadalupe) </v>
      </c>
      <c r="CL119" s="13" t="str">
        <f>"| "&amp;IF(AS119,GetTagPage(C119,VLOOKUP(C119,'Country Tags'!C:E,3,)),C119)&amp; " "</f>
        <v xml:space="preserve">| [US Texas](/tags/us
- us-tx) </v>
      </c>
      <c r="CM119" s="12" t="str">
        <f t="shared" si="154"/>
        <v xml:space="preserve">|  </v>
      </c>
      <c r="CN119" s="12" t="str">
        <f t="shared" si="155"/>
        <v xml:space="preserve">| [Link](/places/places\us_tx-dallas-old-guadalupe) </v>
      </c>
      <c r="CO119" s="12" t="e">
        <f t="shared" si="156"/>
        <v>#VALUE!</v>
      </c>
    </row>
    <row r="120" spans="1:93" ht="63.75" x14ac:dyDescent="0.4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28"/>
        <v>1</v>
      </c>
      <c r="AT120" s="117" t="str">
        <f t="shared" si="129"/>
        <v>title: "Old St. Patrick Catholic Church, Dallas, TX"</v>
      </c>
      <c r="AU120" s="117" t="str">
        <f t="shared" si="130"/>
        <v>location: {lat: 32.775131, lng: -96.787789}</v>
      </c>
      <c r="AV120" s="117" t="str">
        <f t="shared" si="131"/>
        <v>interest: local</v>
      </c>
      <c r="AW120" s="117" t="str">
        <f>"- "&amp;VLOOKUP(C120,'Country Tags'!C:E,3,)</f>
        <v>- us
- us-tx</v>
      </c>
      <c r="AX120" s="117" t="str">
        <f t="shared" si="132"/>
        <v>- dallas</v>
      </c>
      <c r="AY120" s="117" t="str">
        <f t="shared" si="133"/>
        <v/>
      </c>
      <c r="AZ120" s="117" t="str">
        <f t="shared" si="134"/>
        <v/>
      </c>
      <c r="BA120" s="117" t="str">
        <f t="shared" si="135"/>
        <v/>
      </c>
      <c r="BB120" s="117" t="str">
        <f t="shared" si="136"/>
        <v>- closed</v>
      </c>
      <c r="BC120" s="117" t="str">
        <f t="shared" si="137"/>
        <v/>
      </c>
      <c r="BD120" s="117" t="str">
        <f t="shared" si="138"/>
        <v/>
      </c>
      <c r="BE120" s="117" t="str">
        <f t="shared" si="139"/>
        <v/>
      </c>
      <c r="BF120" s="117" t="str">
        <f t="shared" si="140"/>
        <v/>
      </c>
      <c r="BG120" s="117" t="str">
        <f t="shared" si="141"/>
        <v/>
      </c>
      <c r="BH120" s="117" t="str">
        <f t="shared" si="142"/>
        <v/>
      </c>
      <c r="BI120" s="117" t="str">
        <f t="shared" si="143"/>
        <v/>
      </c>
      <c r="BJ120" s="117" t="str">
        <f t="shared" si="144"/>
        <v/>
      </c>
      <c r="BK120" s="117" t="str">
        <f t="shared" si="145"/>
        <v/>
      </c>
      <c r="BL120" s="117" t="str">
        <f t="shared" si="146"/>
        <v xml:space="preserve">tags:
- us
- us-tx_x000D_
- dallas_x000D_
- closed_x000D_
</v>
      </c>
      <c r="BM120" s="120" t="str">
        <f t="shared" si="124"/>
        <v/>
      </c>
      <c r="BN120" s="120" t="str">
        <f t="shared" si="125"/>
        <v>[Article about St. Patrick](https://cityofdallaspreservation.wordpress.com/2018/03/16/the-old-st-patrick-roman-catholic-church-in-dallas-gone-but-not-forgotten)</v>
      </c>
      <c r="BO120" s="120" t="str">
        <f t="shared" si="126"/>
        <v/>
      </c>
      <c r="BP120" s="120" t="str">
        <f t="shared" si="127"/>
        <v/>
      </c>
      <c r="BQ120" s="117" t="str">
        <f t="shared" si="147"/>
        <v xml:space="preserve">* [Article about St. Patrick](https://cityofdallaspreservation.wordpress.com/2018/03/16/the-old-st-patrick-roman-catholic-church-in-dallas-gone-but-not-forgotten)
</v>
      </c>
      <c r="BR120" s="117" t="str">
        <f t="shared" si="148"/>
        <v/>
      </c>
      <c r="BS120" s="117" t="str">
        <f t="shared" si="149"/>
        <v/>
      </c>
      <c r="BT120" s="117" t="str">
        <f t="shared" si="150"/>
        <v/>
      </c>
      <c r="BU120" s="117" t="str">
        <f>IF(LEN(_xludf.concat(BR120:BT120))&gt;0,_xludf.concat("| ",BR120," | ",BS120," | ",BT120," |"),"")</f>
        <v/>
      </c>
      <c r="BV120" s="117" t="str">
        <f t="shared" si="151"/>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52"/>
        <v>#VALUE!</v>
      </c>
      <c r="CK120" s="12" t="str">
        <f t="shared" si="153"/>
        <v xml:space="preserve">| [](/places/places\us_tx-dallas-old-st-patrick) </v>
      </c>
      <c r="CL120" s="13" t="str">
        <f>"| "&amp;IF(AS120,GetTagPage(C120,VLOOKUP(C120,'Country Tags'!C:E,3,)),C120)&amp; " "</f>
        <v xml:space="preserve">| [US Texas](/tags/us
- us-tx) </v>
      </c>
      <c r="CM120" s="12" t="str">
        <f t="shared" si="154"/>
        <v xml:space="preserve">|  </v>
      </c>
      <c r="CN120" s="12" t="str">
        <f t="shared" si="155"/>
        <v xml:space="preserve">| [Link](/places/places\us_tx-dallas-old-st-patrick) </v>
      </c>
      <c r="CO120" s="12" t="e">
        <f t="shared" si="156"/>
        <v>#VALUE!</v>
      </c>
    </row>
    <row r="121" spans="1:93" ht="127.5" x14ac:dyDescent="0.4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28"/>
        <v>1</v>
      </c>
      <c r="AT121" s="117" t="str">
        <f t="shared" si="129"/>
        <v>title: "Old Ursuline Academy, Dallas, TX"</v>
      </c>
      <c r="AU121" s="117" t="str">
        <f t="shared" si="130"/>
        <v>location: {lat: 32.795627, lng: -96.782279}</v>
      </c>
      <c r="AV121" s="117" t="str">
        <f t="shared" si="131"/>
        <v>interest: local</v>
      </c>
      <c r="AW121" s="117" t="str">
        <f>"- "&amp;VLOOKUP(C121,'Country Tags'!C:E,3,)</f>
        <v>- us
- us-tx</v>
      </c>
      <c r="AX121" s="117" t="str">
        <f t="shared" si="132"/>
        <v>- dallas</v>
      </c>
      <c r="AY121" s="117" t="str">
        <f t="shared" si="133"/>
        <v/>
      </c>
      <c r="AZ121" s="117" t="str">
        <f t="shared" si="134"/>
        <v/>
      </c>
      <c r="BA121" s="117" t="str">
        <f t="shared" si="135"/>
        <v/>
      </c>
      <c r="BB121" s="117" t="str">
        <f t="shared" si="136"/>
        <v>- closed</v>
      </c>
      <c r="BC121" s="117" t="str">
        <f t="shared" si="137"/>
        <v/>
      </c>
      <c r="BD121" s="117" t="str">
        <f t="shared" si="138"/>
        <v/>
      </c>
      <c r="BE121" s="117" t="str">
        <f t="shared" si="139"/>
        <v/>
      </c>
      <c r="BF121" s="117" t="str">
        <f t="shared" si="140"/>
        <v/>
      </c>
      <c r="BG121" s="117" t="str">
        <f t="shared" si="141"/>
        <v/>
      </c>
      <c r="BH121" s="117" t="str">
        <f t="shared" si="142"/>
        <v/>
      </c>
      <c r="BI121" s="117" t="str">
        <f t="shared" si="143"/>
        <v/>
      </c>
      <c r="BJ121" s="117" t="str">
        <f t="shared" si="144"/>
        <v/>
      </c>
      <c r="BK121" s="117" t="str">
        <f t="shared" si="145"/>
        <v/>
      </c>
      <c r="BL121" s="117" t="str">
        <f t="shared" si="146"/>
        <v xml:space="preserve">tags:
- us
- us-tx_x000D_
- dallas_x000D_
- closed_x000D_
</v>
      </c>
      <c r="BM121" s="120" t="str">
        <f t="shared" si="124"/>
        <v/>
      </c>
      <c r="BN121" s="120" t="str">
        <f t="shared" si="125"/>
        <v>[Ursuline history article](https://www.ursulinedallas.org/mission/heritage) - Includes pictures of this convent</v>
      </c>
      <c r="BO121" s="120" t="str">
        <f t="shared" si="126"/>
        <v>[Additional Ursuline history article](https://www.tshaonline.org/handbook/entries/ursuline-academy-dallas) - Includes pictures</v>
      </c>
      <c r="BP121" s="120" t="str">
        <f t="shared" si="127"/>
        <v>[Convent in the 1922 Sanborn map](https://maps.lib.utexas.edu/maps/sanborn/d-f/txu-sanborn-dallas-1922-315.jpg)</v>
      </c>
      <c r="BQ121" s="117"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48"/>
        <v/>
      </c>
      <c r="BS121" s="117" t="str">
        <f t="shared" si="149"/>
        <v/>
      </c>
      <c r="BT121" s="117" t="str">
        <f t="shared" si="150"/>
        <v/>
      </c>
      <c r="BU121" s="117" t="str">
        <f>IF(LEN(_xludf.concat(BR121:BT121))&gt;0,_xludf.concat("| ",BR121," | ",BS121," | ",BT121," |"),"")</f>
        <v/>
      </c>
      <c r="BV121" s="117" t="str">
        <f t="shared" si="151"/>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52"/>
        <v>#VALUE!</v>
      </c>
      <c r="CK121" s="12" t="str">
        <f t="shared" si="153"/>
        <v xml:space="preserve">| [](/places/places\us_tx-dallas-old-ursuline) </v>
      </c>
      <c r="CL121" s="13" t="str">
        <f>"| "&amp;IF(AS121,GetTagPage(C121,VLOOKUP(C121,'Country Tags'!C:E,3,)),C121)&amp; " "</f>
        <v xml:space="preserve">| [US Texas](/tags/us
- us-tx) </v>
      </c>
      <c r="CM121" s="12" t="str">
        <f t="shared" si="154"/>
        <v xml:space="preserve">|  </v>
      </c>
      <c r="CN121" s="12" t="str">
        <f t="shared" si="155"/>
        <v xml:space="preserve">| [Link](/places/places\us_tx-dallas-old-ursuline) </v>
      </c>
      <c r="CO121" s="12" t="e">
        <f t="shared" si="156"/>
        <v>#VALUE!</v>
      </c>
    </row>
    <row r="122" spans="1:93" ht="102" x14ac:dyDescent="0.4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28"/>
        <v>1</v>
      </c>
      <c r="AT122" s="117" t="str">
        <f t="shared" si="129"/>
        <v>title: "Old St. Paul Sanitarium, Dallas, TX"</v>
      </c>
      <c r="AU122" s="117" t="str">
        <f t="shared" si="130"/>
        <v>location: {lat: 32.7942111, lng: -96.7889278}</v>
      </c>
      <c r="AV122" s="117" t="str">
        <f t="shared" si="131"/>
        <v>interest: local</v>
      </c>
      <c r="AW122" s="117" t="str">
        <f>"- "&amp;VLOOKUP(C122,'Country Tags'!C:E,3,)</f>
        <v>- us
- us-tx</v>
      </c>
      <c r="AX122" s="117" t="str">
        <f t="shared" si="132"/>
        <v>- dallas</v>
      </c>
      <c r="AY122" s="117" t="str">
        <f t="shared" si="133"/>
        <v/>
      </c>
      <c r="AZ122" s="117" t="str">
        <f t="shared" si="134"/>
        <v/>
      </c>
      <c r="BA122" s="117" t="str">
        <f t="shared" si="135"/>
        <v/>
      </c>
      <c r="BB122" s="117" t="str">
        <f t="shared" si="136"/>
        <v>- closed</v>
      </c>
      <c r="BC122" s="117" t="str">
        <f t="shared" si="137"/>
        <v/>
      </c>
      <c r="BD122" s="117" t="str">
        <f t="shared" si="138"/>
        <v/>
      </c>
      <c r="BE122" s="117" t="str">
        <f t="shared" si="139"/>
        <v/>
      </c>
      <c r="BF122" s="117" t="str">
        <f t="shared" si="140"/>
        <v/>
      </c>
      <c r="BG122" s="117" t="str">
        <f t="shared" si="141"/>
        <v/>
      </c>
      <c r="BH122" s="117" t="str">
        <f t="shared" si="142"/>
        <v/>
      </c>
      <c r="BI122" s="117" t="str">
        <f t="shared" si="143"/>
        <v/>
      </c>
      <c r="BJ122" s="117" t="str">
        <f t="shared" si="144"/>
        <v/>
      </c>
      <c r="BK122" s="117" t="str">
        <f t="shared" si="145"/>
        <v/>
      </c>
      <c r="BL122" s="117" t="str">
        <f t="shared" si="146"/>
        <v xml:space="preserve">tags:
- us
- us-tx_x000D_
- dallas_x000D_
- closed_x000D_
</v>
      </c>
      <c r="BM122" s="120" t="str">
        <f t="shared" si="124"/>
        <v/>
      </c>
      <c r="BN122" s="120" t="str">
        <f t="shared" si="125"/>
        <v>[History of St. Paul Sanitarium](https://cityofdallaspreservation.wordpress.com/2020/04/01/st-pauls-sanitarium-in-dallas-tx/)</v>
      </c>
      <c r="BO122" s="120" t="str">
        <f t="shared" si="126"/>
        <v>[UT Southwestern pamphlet on St. Paul's history](https://www.utsouthwestern.edu/edumedia/edufiles/about_us/Giving/st-paul-mag-2015.pdf)</v>
      </c>
      <c r="BP122" s="120" t="str">
        <f t="shared" si="127"/>
        <v>[Sanitarium in the 1921 Sanborn map](https://maps.lib.utexas.edu/maps/sanborn/d-f/txu-sanborn-dallas-1921-38.jpg)</v>
      </c>
      <c r="BQ122" s="117"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48"/>
        <v/>
      </c>
      <c r="BS122" s="117" t="str">
        <f t="shared" si="149"/>
        <v/>
      </c>
      <c r="BT122" s="117" t="str">
        <f t="shared" si="150"/>
        <v/>
      </c>
      <c r="BU122" s="117" t="str">
        <f>IF(LEN(_xludf.concat(BR122:BT122))&gt;0,_xludf.concat("| ",BR122," | ",BS122," | ",BT122," |"),"")</f>
        <v/>
      </c>
      <c r="BV122" s="117" t="str">
        <f t="shared" si="151"/>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52"/>
        <v>#VALUE!</v>
      </c>
      <c r="CK122" s="12" t="str">
        <f t="shared" si="153"/>
        <v xml:space="preserve">| [](/places/places\us_tx-dallas-old-st-paul) </v>
      </c>
      <c r="CL122" s="13" t="str">
        <f>"| "&amp;IF(AS122,GetTagPage(C122,VLOOKUP(C122,'Country Tags'!C:E,3,)),C122)&amp; " "</f>
        <v xml:space="preserve">| [US Texas](/tags/us
- us-tx) </v>
      </c>
      <c r="CM122" s="12" t="str">
        <f t="shared" si="154"/>
        <v xml:space="preserve">|  </v>
      </c>
      <c r="CN122" s="12" t="str">
        <f t="shared" si="155"/>
        <v xml:space="preserve">| [Link](/places/places\us_tx-dallas-old-st-paul) </v>
      </c>
      <c r="CO122" s="12" t="e">
        <f t="shared" si="156"/>
        <v>#VALUE!</v>
      </c>
    </row>
    <row r="123" spans="1:93" ht="178.5" x14ac:dyDescent="0.4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28"/>
        <v>1</v>
      </c>
      <c r="AT123" s="117" t="str">
        <f t="shared" si="129"/>
        <v>title: "Old Trinity College / Dallas University / Jesuit Dallas"</v>
      </c>
      <c r="AU123" s="117" t="str">
        <f t="shared" si="130"/>
        <v>location: {lat: 32.814343, lng: -96.8018151}</v>
      </c>
      <c r="AV123" s="117" t="str">
        <f t="shared" si="131"/>
        <v>interest: local</v>
      </c>
      <c r="AW123" s="117" t="str">
        <f>"- "&amp;VLOOKUP(C123,'Country Tags'!C:E,3,)</f>
        <v>- us
- us-tx</v>
      </c>
      <c r="AX123" s="117" t="str">
        <f t="shared" si="132"/>
        <v>- dallas</v>
      </c>
      <c r="AY123" s="117" t="str">
        <f t="shared" si="133"/>
        <v/>
      </c>
      <c r="AZ123" s="117" t="str">
        <f t="shared" si="134"/>
        <v/>
      </c>
      <c r="BA123" s="117" t="str">
        <f t="shared" si="135"/>
        <v/>
      </c>
      <c r="BB123" s="117" t="str">
        <f t="shared" si="136"/>
        <v>- closed</v>
      </c>
      <c r="BC123" s="117" t="str">
        <f t="shared" si="137"/>
        <v/>
      </c>
      <c r="BD123" s="117" t="str">
        <f t="shared" si="138"/>
        <v/>
      </c>
      <c r="BE123" s="117" t="str">
        <f t="shared" si="139"/>
        <v/>
      </c>
      <c r="BF123" s="117" t="str">
        <f t="shared" si="140"/>
        <v/>
      </c>
      <c r="BG123" s="117" t="str">
        <f t="shared" si="141"/>
        <v/>
      </c>
      <c r="BH123" s="117" t="str">
        <f t="shared" si="142"/>
        <v/>
      </c>
      <c r="BI123" s="117" t="str">
        <f t="shared" si="143"/>
        <v/>
      </c>
      <c r="BJ123" s="117" t="str">
        <f t="shared" si="144"/>
        <v/>
      </c>
      <c r="BK123" s="117" t="str">
        <f t="shared" si="145"/>
        <v/>
      </c>
      <c r="BL123" s="117" t="str">
        <f t="shared" si="146"/>
        <v xml:space="preserve">tags:
- us
- us-tx_x000D_
- dallas_x000D_
- closed_x000D_
</v>
      </c>
      <c r="BM123" s="120" t="str">
        <f t="shared" si="124"/>
        <v/>
      </c>
      <c r="BN123" s="120" t="str">
        <f t="shared" si="125"/>
        <v>[School in the 1922 Sanborn map](https://maps.lib.utexas.edu/maps/sanborn/d-f/txu-sanborn-dallas-1921-287.jpg)</v>
      </c>
      <c r="BO123" s="120" t="str">
        <f t="shared" si="126"/>
        <v/>
      </c>
      <c r="BP123" s="120" t="str">
        <f t="shared" si="127"/>
        <v/>
      </c>
      <c r="BQ123" s="117" t="str">
        <f t="shared" si="147"/>
        <v xml:space="preserve">* [School in the 1922 Sanborn map](https://maps.lib.utexas.edu/maps/sanborn/d-f/txu-sanborn-dallas-1921-287.jpg)
</v>
      </c>
      <c r="BR123" s="117" t="str">
        <f t="shared" si="148"/>
        <v/>
      </c>
      <c r="BS123" s="117" t="str">
        <f t="shared" si="149"/>
        <v/>
      </c>
      <c r="BT123" s="117" t="str">
        <f t="shared" si="150"/>
        <v/>
      </c>
      <c r="BU123" s="117" t="str">
        <f>IF(LEN(_xludf.concat(BR123:BT123))&gt;0,_xludf.concat("| ",BR123," | ",BS123," | ",BT123," |"),"")</f>
        <v/>
      </c>
      <c r="BV123" s="117" t="str">
        <f t="shared" si="151"/>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52"/>
        <v>#VALUE!</v>
      </c>
      <c r="CK123" s="12" t="str">
        <f t="shared" si="153"/>
        <v xml:space="preserve">| [](/places/places\us_tx-dallas-old-trinity-college) </v>
      </c>
      <c r="CL123" s="13" t="str">
        <f>"| "&amp;IF(AS123,GetTagPage(C123,VLOOKUP(C123,'Country Tags'!C:E,3,)),C123)&amp; " "</f>
        <v xml:space="preserve">| [US Texas](/tags/us
- us-tx) </v>
      </c>
      <c r="CM123" s="12" t="str">
        <f t="shared" si="154"/>
        <v xml:space="preserve">|  </v>
      </c>
      <c r="CN123" s="12" t="str">
        <f t="shared" si="155"/>
        <v xml:space="preserve">| [Link](/places/places\us_tx-dallas-old-trinity-college) </v>
      </c>
      <c r="CO123" s="12" t="e">
        <f t="shared" si="156"/>
        <v>#VALUE!</v>
      </c>
    </row>
    <row r="124" spans="1:93" ht="127.5" x14ac:dyDescent="0.4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28"/>
        <v>1</v>
      </c>
      <c r="AT124" s="117" t="str">
        <f t="shared" si="129"/>
        <v>title: "Old St. Joseph Catholic Church, Dallas, TX"</v>
      </c>
      <c r="AU124" s="117" t="str">
        <f t="shared" si="130"/>
        <v>location: {lat: 32.7876037, lng: -96.7870118}</v>
      </c>
      <c r="AV124" s="117" t="str">
        <f t="shared" si="131"/>
        <v>interest: local</v>
      </c>
      <c r="AW124" s="117" t="str">
        <f>"- "&amp;VLOOKUP(C124,'Country Tags'!C:E,3,)</f>
        <v>- us
- us-tx</v>
      </c>
      <c r="AX124" s="117" t="str">
        <f t="shared" si="132"/>
        <v>- dallas</v>
      </c>
      <c r="AY124" s="117" t="str">
        <f t="shared" si="133"/>
        <v/>
      </c>
      <c r="AZ124" s="117" t="str">
        <f t="shared" si="134"/>
        <v/>
      </c>
      <c r="BA124" s="117" t="str">
        <f t="shared" si="135"/>
        <v/>
      </c>
      <c r="BB124" s="117" t="str">
        <f t="shared" si="136"/>
        <v>- closed</v>
      </c>
      <c r="BC124" s="117" t="str">
        <f t="shared" si="137"/>
        <v/>
      </c>
      <c r="BD124" s="117" t="str">
        <f t="shared" si="138"/>
        <v/>
      </c>
      <c r="BE124" s="117" t="str">
        <f t="shared" si="139"/>
        <v/>
      </c>
      <c r="BF124" s="117" t="str">
        <f t="shared" si="140"/>
        <v/>
      </c>
      <c r="BG124" s="117" t="str">
        <f t="shared" si="141"/>
        <v/>
      </c>
      <c r="BH124" s="117" t="str">
        <f t="shared" si="142"/>
        <v/>
      </c>
      <c r="BI124" s="117" t="str">
        <f t="shared" si="143"/>
        <v/>
      </c>
      <c r="BJ124" s="117" t="str">
        <f t="shared" si="144"/>
        <v/>
      </c>
      <c r="BK124" s="117" t="str">
        <f t="shared" si="145"/>
        <v/>
      </c>
      <c r="BL124" s="117" t="str">
        <f t="shared" si="146"/>
        <v xml:space="preserve">tags:
- us
- us-tx_x000D_
- dallas_x000D_
- closed_x000D_
</v>
      </c>
      <c r="BM124" s="120" t="str">
        <f t="shared" si="124"/>
        <v/>
      </c>
      <c r="BN124" s="120" t="str">
        <f t="shared" si="125"/>
        <v>[Historical site nomination form](https://dallascityhall.com/departments/sustainabledevelopment/historicpreservation/HP%20Documents/Landmark%20Structures/St%20Josephs%20Catholic%20Church%20Landmark%20Nomination.pdf)</v>
      </c>
      <c r="BO124" s="120" t="str">
        <f t="shared" si="126"/>
        <v>[Historical site page](https://dallascityhall.com/departments/sustainabledevelopment/historicpreservation/Pages/St-Josephs-Catholic-Church-.aspx)</v>
      </c>
      <c r="BP124" s="120" t="str">
        <f t="shared" si="127"/>
        <v/>
      </c>
      <c r="BQ124" s="117"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48"/>
        <v/>
      </c>
      <c r="BS124" s="117" t="str">
        <f t="shared" si="149"/>
        <v/>
      </c>
      <c r="BT124" s="117" t="str">
        <f t="shared" si="150"/>
        <v/>
      </c>
      <c r="BU124" s="117" t="str">
        <f>IF(LEN(_xludf.concat(BR124:BT124))&gt;0,_xludf.concat("| ",BR124," | ",BS124," | ",BT124," |"),"")</f>
        <v/>
      </c>
      <c r="BV124" s="117" t="str">
        <f t="shared" si="151"/>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52"/>
        <v>#VALUE!</v>
      </c>
      <c r="CK124" s="12" t="str">
        <f t="shared" si="153"/>
        <v xml:space="preserve">| [](/places/places\us_tx-dallas-old-st-joseph) </v>
      </c>
      <c r="CL124" s="13" t="str">
        <f>"| "&amp;IF(AS124,GetTagPage(C124,VLOOKUP(C124,'Country Tags'!C:E,3,)),C124)&amp; " "</f>
        <v xml:space="preserve">| [US Texas](/tags/us
- us-tx) </v>
      </c>
      <c r="CM124" s="12" t="str">
        <f t="shared" si="154"/>
        <v xml:space="preserve">|  </v>
      </c>
      <c r="CN124" s="12" t="str">
        <f t="shared" si="155"/>
        <v xml:space="preserve">| [Link](/places/places\us_tx-dallas-old-st-joseph) </v>
      </c>
      <c r="CO124" s="12" t="e">
        <f t="shared" si="156"/>
        <v>#VALUE!</v>
      </c>
    </row>
    <row r="125" spans="1:93" ht="89.25" x14ac:dyDescent="0.4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28"/>
        <v>1</v>
      </c>
      <c r="AT125" s="117" t="str">
        <f t="shared" si="129"/>
        <v>title: "St. Edward the Confessor Catholic Church, Dallas, TX"</v>
      </c>
      <c r="AU125" s="117" t="str">
        <f t="shared" si="130"/>
        <v>location: {lat: 32.788721, lng: -96.7726526}</v>
      </c>
      <c r="AV125" s="117" t="str">
        <f t="shared" si="131"/>
        <v>interest: local</v>
      </c>
      <c r="AW125" s="117" t="str">
        <f>"- "&amp;VLOOKUP(C125,'Country Tags'!C:E,3,)</f>
        <v>- us
- us-tx</v>
      </c>
      <c r="AX125" s="117" t="str">
        <f t="shared" si="132"/>
        <v>- dallas</v>
      </c>
      <c r="AY125" s="117" t="str">
        <f t="shared" si="133"/>
        <v>- churches</v>
      </c>
      <c r="AZ125" s="117" t="str">
        <f t="shared" si="134"/>
        <v/>
      </c>
      <c r="BA125" s="117" t="str">
        <f t="shared" si="135"/>
        <v/>
      </c>
      <c r="BB125" s="117" t="str">
        <f t="shared" si="136"/>
        <v/>
      </c>
      <c r="BC125" s="117" t="str">
        <f t="shared" si="137"/>
        <v/>
      </c>
      <c r="BD125" s="117" t="str">
        <f t="shared" si="138"/>
        <v/>
      </c>
      <c r="BE125" s="117" t="str">
        <f t="shared" si="139"/>
        <v/>
      </c>
      <c r="BF125" s="117" t="str">
        <f t="shared" si="140"/>
        <v/>
      </c>
      <c r="BG125" s="117" t="str">
        <f t="shared" si="141"/>
        <v/>
      </c>
      <c r="BH125" s="117" t="str">
        <f t="shared" si="142"/>
        <v/>
      </c>
      <c r="BI125" s="117" t="str">
        <f t="shared" si="143"/>
        <v/>
      </c>
      <c r="BJ125" s="117" t="str">
        <f t="shared" si="144"/>
        <v/>
      </c>
      <c r="BK125" s="117" t="str">
        <f t="shared" si="145"/>
        <v/>
      </c>
      <c r="BL125" s="117" t="str">
        <f t="shared" si="146"/>
        <v xml:space="preserve">tags:
- us
- us-tx_x000D_
- dallas_x000D_
- churches_x000D_
</v>
      </c>
      <c r="BM125" s="120" t="str">
        <f t="shared" si="124"/>
        <v>[Official site](https://stedwardparish.org/)</v>
      </c>
      <c r="BN125" s="120" t="str">
        <f t="shared" si="125"/>
        <v>[Parish history](https://stedwardparish.org/history-)</v>
      </c>
      <c r="BO125" s="120" t="str">
        <f t="shared" si="126"/>
        <v/>
      </c>
      <c r="BP125" s="120" t="str">
        <f t="shared" si="127"/>
        <v/>
      </c>
      <c r="BQ125" s="117" t="str">
        <f t="shared" si="147"/>
        <v xml:space="preserve">* [Official site](https://stedwardparish.org/)
* [Parish history](https://stedwardparish.org/history-)
</v>
      </c>
      <c r="BR125" s="117" t="str">
        <f t="shared" si="148"/>
        <v/>
      </c>
      <c r="BS125" s="117" t="str">
        <f t="shared" si="149"/>
        <v/>
      </c>
      <c r="BT125" s="117" t="str">
        <f t="shared" si="150"/>
        <v/>
      </c>
      <c r="BU125" s="117" t="str">
        <f>IF(LEN(_xludf.concat(BR125:BT125))&gt;0,_xludf.concat("| ",BR125," | ",BS125," | ",BT125," |"),"")</f>
        <v/>
      </c>
      <c r="BV125" s="117" t="str">
        <f t="shared" si="151"/>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52"/>
        <v xml:space="preserve">| </v>
      </c>
      <c r="CK125" s="12" t="str">
        <f t="shared" si="153"/>
        <v xml:space="preserve">| [](/places/places\us_tx-dallas-st-edward) </v>
      </c>
      <c r="CL125" s="13" t="str">
        <f>"| "&amp;IF(AS125,GetTagPage(C125,VLOOKUP(C125,'Country Tags'!C:E,3,)),C125)&amp; " "</f>
        <v xml:space="preserve">| [US Texas](/tags/us
- us-tx) </v>
      </c>
      <c r="CM125" s="12" t="str">
        <f t="shared" si="154"/>
        <v xml:space="preserve">|  </v>
      </c>
      <c r="CN125" s="12" t="str">
        <f t="shared" si="155"/>
        <v xml:space="preserve">| [Link](/places/places\us_tx-dallas-st-edward) </v>
      </c>
      <c r="CO125" s="12" t="str">
        <f t="shared" si="156"/>
        <v xml:space="preserve">
| [](/places/places\us_tx-dallas-st-edward) | [US Texas](/tags/us
- us-tx) |  | [Link](/places/places\us_tx-dallas-st-edward) [Official site](https://stedwardparish.org/)| |</v>
      </c>
    </row>
    <row r="126" spans="1:93" ht="25.5" x14ac:dyDescent="0.4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28"/>
        <v>1</v>
      </c>
      <c r="AT126" s="117" t="str">
        <f t="shared" si="129"/>
        <v>title: "St. Peter Catholic Church, Dallas, TX"</v>
      </c>
      <c r="AU126" s="117" t="str">
        <f t="shared" si="130"/>
        <v>location: {lat: 32.7950372, lng: -96.7950317}</v>
      </c>
      <c r="AV126" s="117" t="str">
        <f t="shared" si="131"/>
        <v>interest: local</v>
      </c>
      <c r="AW126" s="117" t="str">
        <f>"- "&amp;VLOOKUP(C126,'Country Tags'!C:E,3,)</f>
        <v>- us
- us-tx</v>
      </c>
      <c r="AX126" s="117" t="str">
        <f t="shared" si="132"/>
        <v>- dallas</v>
      </c>
      <c r="AY126" s="117" t="str">
        <f t="shared" si="133"/>
        <v>- churches</v>
      </c>
      <c r="AZ126" s="117" t="str">
        <f t="shared" si="134"/>
        <v/>
      </c>
      <c r="BA126" s="117" t="str">
        <f t="shared" si="135"/>
        <v/>
      </c>
      <c r="BB126" s="117" t="str">
        <f t="shared" si="136"/>
        <v/>
      </c>
      <c r="BC126" s="117" t="str">
        <f t="shared" si="137"/>
        <v/>
      </c>
      <c r="BD126" s="117" t="str">
        <f t="shared" si="138"/>
        <v/>
      </c>
      <c r="BE126" s="117" t="str">
        <f t="shared" si="139"/>
        <v/>
      </c>
      <c r="BF126" s="117" t="str">
        <f t="shared" si="140"/>
        <v/>
      </c>
      <c r="BG126" s="117" t="str">
        <f t="shared" si="141"/>
        <v/>
      </c>
      <c r="BH126" s="117" t="str">
        <f t="shared" si="142"/>
        <v/>
      </c>
      <c r="BI126" s="117" t="str">
        <f t="shared" si="143"/>
        <v/>
      </c>
      <c r="BJ126" s="117" t="str">
        <f t="shared" si="144"/>
        <v/>
      </c>
      <c r="BK126" s="117" t="str">
        <f t="shared" si="145"/>
        <v/>
      </c>
      <c r="BL126" s="117" t="str">
        <f t="shared" si="146"/>
        <v xml:space="preserve">tags:
- us
- us-tx_x000D_
- dallas_x000D_
- churches_x000D_
</v>
      </c>
      <c r="BM126" s="120" t="str">
        <f t="shared" si="124"/>
        <v>[Official site](https://stpeterdal.com/)</v>
      </c>
      <c r="BN126" s="120" t="str">
        <f t="shared" si="125"/>
        <v>[Parish history](https://stpeterdal.com/about/#History)</v>
      </c>
      <c r="BO126" s="120" t="str">
        <f t="shared" si="126"/>
        <v/>
      </c>
      <c r="BP126" s="120" t="str">
        <f t="shared" si="127"/>
        <v/>
      </c>
      <c r="BQ126" s="117" t="str">
        <f t="shared" si="147"/>
        <v xml:space="preserve">* [Official site](https://stpeterdal.com/)
* [Parish history](https://stpeterdal.com/about/#History)
</v>
      </c>
      <c r="BR126" s="117" t="str">
        <f t="shared" si="148"/>
        <v/>
      </c>
      <c r="BS126" s="117" t="str">
        <f t="shared" si="149"/>
        <v/>
      </c>
      <c r="BT126" s="117" t="str">
        <f t="shared" si="150"/>
        <v/>
      </c>
      <c r="BU126" s="117" t="str">
        <f>IF(LEN(_xludf.concat(BR126:BT126))&gt;0,_xludf.concat("| ",BR126," | ",BS126," | ",BT126," |"),"")</f>
        <v/>
      </c>
      <c r="BV126" s="117" t="str">
        <f t="shared" si="151"/>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52"/>
        <v xml:space="preserve">| </v>
      </c>
      <c r="CK126" s="12" t="str">
        <f t="shared" si="153"/>
        <v xml:space="preserve">| [](/places/places\us_tx-dallas-st-peter) </v>
      </c>
      <c r="CL126" s="13" t="str">
        <f>"| "&amp;IF(AS126,GetTagPage(C126,VLOOKUP(C126,'Country Tags'!C:E,3,)),C126)&amp; " "</f>
        <v xml:space="preserve">| [US Texas](/tags/us
- us-tx) </v>
      </c>
      <c r="CM126" s="12" t="str">
        <f t="shared" si="154"/>
        <v xml:space="preserve">|  </v>
      </c>
      <c r="CN126" s="12" t="str">
        <f t="shared" si="155"/>
        <v xml:space="preserve">| [Link](/places/places\us_tx-dallas-st-peter) </v>
      </c>
      <c r="CO126" s="12" t="str">
        <f t="shared" si="156"/>
        <v xml:space="preserve">
| [](/places/places\us_tx-dallas-st-peter) | [US Texas](/tags/us
- us-tx) |  | [Link](/places/places\us_tx-dallas-st-peter) [Official site](https://stpeterdal.com/)| |</v>
      </c>
    </row>
    <row r="127" spans="1:93" ht="76.5" x14ac:dyDescent="0.4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28"/>
        <v>1</v>
      </c>
      <c r="AT127" s="117" t="str">
        <f t="shared" si="129"/>
        <v>title: "St. Peter's Basilica"</v>
      </c>
      <c r="AU127" s="117" t="str">
        <f t="shared" si="130"/>
        <v>location: {lat: 41.9021187880293, lng: 12.4539366999999}</v>
      </c>
      <c r="AV127" s="117" t="str">
        <f t="shared" si="131"/>
        <v>interest: global</v>
      </c>
      <c r="AW127" s="117" t="str">
        <f>"- "&amp;VLOOKUP(C127,'Country Tags'!C:E,3,)</f>
        <v>- va
- rome</v>
      </c>
      <c r="AX127" s="117" t="str">
        <f t="shared" si="132"/>
        <v/>
      </c>
      <c r="AY127" s="117" t="str">
        <f t="shared" si="133"/>
        <v/>
      </c>
      <c r="AZ127" s="117" t="str">
        <f t="shared" si="134"/>
        <v/>
      </c>
      <c r="BA127" s="117" t="str">
        <f t="shared" si="135"/>
        <v/>
      </c>
      <c r="BB127" s="117" t="str">
        <f t="shared" si="136"/>
        <v>- peter</v>
      </c>
      <c r="BC127" s="117" t="str">
        <f t="shared" si="137"/>
        <v>- major-basilicas</v>
      </c>
      <c r="BD127" s="117" t="str">
        <f t="shared" si="138"/>
        <v/>
      </c>
      <c r="BE127" s="117" t="str">
        <f t="shared" si="139"/>
        <v/>
      </c>
      <c r="BF127" s="117" t="str">
        <f t="shared" si="140"/>
        <v/>
      </c>
      <c r="BG127" s="117" t="str">
        <f t="shared" si="141"/>
        <v/>
      </c>
      <c r="BH127" s="117" t="str">
        <f t="shared" si="142"/>
        <v/>
      </c>
      <c r="BI127" s="117" t="str">
        <f t="shared" si="143"/>
        <v/>
      </c>
      <c r="BJ127" s="117" t="str">
        <f t="shared" si="144"/>
        <v/>
      </c>
      <c r="BK127" s="117" t="str">
        <f t="shared" si="145"/>
        <v/>
      </c>
      <c r="BL127" s="117" t="str">
        <f t="shared" si="146"/>
        <v xml:space="preserve">tags:
- va
- rome_x000D_
- peter_x000D_
- major-basilicas_x000D_
</v>
      </c>
      <c r="BM127" s="120" t="str">
        <f t="shared" si="124"/>
        <v>[Official site](https://www.basilicasanpietro.va/en.html)</v>
      </c>
      <c r="BN127" s="120" t="str">
        <f t="shared" si="125"/>
        <v/>
      </c>
      <c r="BO127" s="120" t="str">
        <f t="shared" si="126"/>
        <v/>
      </c>
      <c r="BP127" s="120" t="str">
        <f t="shared" si="127"/>
        <v/>
      </c>
      <c r="BQ127" s="117" t="str">
        <f t="shared" si="147"/>
        <v xml:space="preserve">* [Official site](https://www.basilicasanpietro.va/en.html)
</v>
      </c>
      <c r="BR127" s="117" t="str">
        <f t="shared" si="148"/>
        <v/>
      </c>
      <c r="BS127" s="117" t="str">
        <f t="shared" si="149"/>
        <v/>
      </c>
      <c r="BT127" s="117" t="str">
        <f t="shared" si="150"/>
        <v/>
      </c>
      <c r="BU127" s="117" t="str">
        <f>IF(LEN(_xludf.concat(BR127:BT127))&gt;0,_xludf.concat("| ",BR127," | ",BS127," | ",BT127," |"),"")</f>
        <v/>
      </c>
      <c r="BV127" s="117" t="str">
        <f t="shared" si="151"/>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52"/>
        <v>#VALUE!</v>
      </c>
      <c r="CK127" s="12" t="str">
        <f t="shared" si="153"/>
        <v xml:space="preserve">| [](/places/places\va-st-peter) </v>
      </c>
      <c r="CL127" s="13" t="str">
        <f>"| "&amp;IF(AS127,GetTagPage(C127,VLOOKUP(C127,'Country Tags'!C:E,3,)),C127)&amp; " "</f>
        <v xml:space="preserve">| [Vatican City](/tags/va
- rome) </v>
      </c>
      <c r="CM127" s="12" t="str">
        <f t="shared" si="154"/>
        <v xml:space="preserve">|  </v>
      </c>
      <c r="CN127" s="12" t="str">
        <f t="shared" si="155"/>
        <v xml:space="preserve">| [Link](/places/places\va-st-peter) </v>
      </c>
      <c r="CO127" s="12" t="e">
        <f t="shared" si="156"/>
        <v>#VALUE!</v>
      </c>
    </row>
    <row r="128" spans="1:93" ht="102" x14ac:dyDescent="0.4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28"/>
        <v>1</v>
      </c>
      <c r="AT128" s="117" t="str">
        <f t="shared" si="129"/>
        <v>title: "Basilica of Our Lady of La Vang"</v>
      </c>
      <c r="AU128" s="117" t="str">
        <f t="shared" si="130"/>
        <v>location: {lat: 16.7054910999221, lng: 107.196010823597}</v>
      </c>
      <c r="AV128" s="117" t="str">
        <f t="shared" si="131"/>
        <v>interest: global</v>
      </c>
      <c r="AW128" s="117" t="str">
        <f>"- "&amp;VLOOKUP(C128,'Country Tags'!C:E,3,)</f>
        <v>- vn</v>
      </c>
      <c r="AX128" s="117" t="str">
        <f t="shared" si="132"/>
        <v/>
      </c>
      <c r="AY128" s="117" t="str">
        <f t="shared" si="133"/>
        <v>- churches</v>
      </c>
      <c r="AZ128" s="117" t="str">
        <f t="shared" si="134"/>
        <v>- marian-sites</v>
      </c>
      <c r="BA128" s="117" t="str">
        <f t="shared" si="135"/>
        <v/>
      </c>
      <c r="BB128" s="117" t="str">
        <f t="shared" si="136"/>
        <v/>
      </c>
      <c r="BC128" s="117" t="str">
        <f t="shared" si="137"/>
        <v/>
      </c>
      <c r="BD128" s="117" t="str">
        <f t="shared" si="138"/>
        <v/>
      </c>
      <c r="BE128" s="117" t="str">
        <f t="shared" si="139"/>
        <v/>
      </c>
      <c r="BF128" s="117" t="str">
        <f t="shared" si="140"/>
        <v/>
      </c>
      <c r="BG128" s="117" t="str">
        <f t="shared" si="141"/>
        <v/>
      </c>
      <c r="BH128" s="117" t="str">
        <f t="shared" si="142"/>
        <v/>
      </c>
      <c r="BI128" s="117" t="str">
        <f t="shared" si="143"/>
        <v/>
      </c>
      <c r="BJ128" s="117" t="str">
        <f t="shared" si="144"/>
        <v/>
      </c>
      <c r="BK128" s="117" t="str">
        <f t="shared" si="145"/>
        <v/>
      </c>
      <c r="BL128" s="117" t="str">
        <f t="shared" si="146"/>
        <v xml:space="preserve">tags:
- vn_x000D_
- churches_x000D_
- marian-sites_x000D_
</v>
      </c>
      <c r="BM128" s="120" t="str">
        <f t="shared" si="124"/>
        <v/>
      </c>
      <c r="BN128" s="120" t="str">
        <f t="shared" si="125"/>
        <v/>
      </c>
      <c r="BO128" s="120" t="str">
        <f t="shared" si="126"/>
        <v/>
      </c>
      <c r="BP128" s="120" t="str">
        <f t="shared" si="127"/>
        <v/>
      </c>
      <c r="BQ128" s="120" t="str">
        <f t="shared" si="147"/>
        <v/>
      </c>
      <c r="BR128" s="120" t="str">
        <f t="shared" si="148"/>
        <v>[Link](http://www.therealpresence.org/eucharst/misc/BVM/21_LAVANG_60x96.pdf)</v>
      </c>
      <c r="BS128" s="120" t="str">
        <f t="shared" si="149"/>
        <v>[Link](http://www.miraclehunter.com/marian_apparitions/approved_apparitions/lavang/index.html)</v>
      </c>
      <c r="BT128" s="120" t="str">
        <f t="shared" si="150"/>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52"/>
        <v xml:space="preserve">| </v>
      </c>
      <c r="CK128" s="13" t="str">
        <f t="shared" si="153"/>
        <v xml:space="preserve">| [La Vang](/places/places\vn-basilica-of-our-lady-of-la-vang) </v>
      </c>
      <c r="CL128" s="13" t="str">
        <f>"| "&amp;IF(AS128,GetTagPage(C128,VLOOKUP(C128,'Country Tags'!C:E,3,)),C128)&amp; " "</f>
        <v xml:space="preserve">| [Vietnam](/tags/vn) </v>
      </c>
      <c r="CM128" s="13" t="str">
        <f t="shared" si="154"/>
        <v xml:space="preserve">| 1798 </v>
      </c>
      <c r="CN128" s="13" t="str">
        <f t="shared" si="155"/>
        <v xml:space="preserve">| [Link](/places/places\vn-basilica-of-our-lady-of-la-vang) </v>
      </c>
      <c r="CO128" s="12" t="str">
        <f t="shared" si="156"/>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4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28"/>
        <v>1</v>
      </c>
      <c r="AT129" s="117" t="str">
        <f t="shared" si="129"/>
        <v>title: "Basilica of the Immaculate Conception at Ha Nam"</v>
      </c>
      <c r="AU129" s="117" t="str">
        <f t="shared" si="130"/>
        <v>location: {lat: 20.4247269, lng: 106.1588304}</v>
      </c>
      <c r="AV129" s="117" t="str">
        <f t="shared" si="131"/>
        <v>interest: local</v>
      </c>
      <c r="AW129" s="117" t="str">
        <f>"- "&amp;VLOOKUP(C129,'Country Tags'!C:E,3,)</f>
        <v>- vn</v>
      </c>
      <c r="AX129" s="117" t="str">
        <f t="shared" si="132"/>
        <v>- ha-nam</v>
      </c>
      <c r="AY129" s="117" t="str">
        <f t="shared" si="133"/>
        <v>- churches</v>
      </c>
      <c r="AZ129" s="117" t="str">
        <f t="shared" si="134"/>
        <v/>
      </c>
      <c r="BA129" s="117" t="str">
        <f t="shared" si="135"/>
        <v>- holy-persons</v>
      </c>
      <c r="BB129" s="117" t="str">
        <f t="shared" si="136"/>
        <v>- vietnamese-martyrs</v>
      </c>
      <c r="BC129" s="117" t="str">
        <f t="shared" si="137"/>
        <v>- andrew-dung-lac</v>
      </c>
      <c r="BD129" s="117" t="str">
        <f t="shared" si="138"/>
        <v/>
      </c>
      <c r="BE129" s="117" t="str">
        <f t="shared" si="139"/>
        <v/>
      </c>
      <c r="BF129" s="117" t="str">
        <f t="shared" si="140"/>
        <v/>
      </c>
      <c r="BG129" s="117" t="str">
        <f t="shared" si="141"/>
        <v/>
      </c>
      <c r="BH129" s="117" t="str">
        <f t="shared" si="142"/>
        <v/>
      </c>
      <c r="BI129" s="117" t="str">
        <f t="shared" si="143"/>
        <v/>
      </c>
      <c r="BJ129" s="117" t="str">
        <f t="shared" si="144"/>
        <v/>
      </c>
      <c r="BK129" s="117" t="str">
        <f t="shared" si="145"/>
        <v/>
      </c>
      <c r="BL129" s="117" t="str">
        <f t="shared" si="146"/>
        <v xml:space="preserve">tags:
- vn_x000D_
- ha-nam_x000D_
- churches_x000D_
- holy-persons_x000D_
- vietnamese-martyrs_x000D_
- andrew-dung-lac_x000D_
</v>
      </c>
      <c r="BM129" s="120" t="str">
        <f t="shared" si="124"/>
        <v/>
      </c>
      <c r="BN129" s="120" t="str">
        <f t="shared" si="125"/>
        <v>[Saint Andrew Dung and Companions](https://mycatholic.life/saints/saints-of-the-liturgical-year/november-24-saint-andrew-dung-lac-and-his-companions-martyrs-memorial/)</v>
      </c>
      <c r="BO129" s="120" t="str">
        <f t="shared" si="126"/>
        <v/>
      </c>
      <c r="BP129" s="120" t="str">
        <f t="shared" si="127"/>
        <v/>
      </c>
      <c r="BQ129" s="117" t="str">
        <f t="shared" si="147"/>
        <v xml:space="preserve">* [Saint Andrew Dung and Companions](https://mycatholic.life/saints/saints-of-the-liturgical-year/november-24-saint-andrew-dung-lac-and-his-companions-martyrs-memorial/)
</v>
      </c>
      <c r="BR129" s="117" t="str">
        <f t="shared" si="148"/>
        <v/>
      </c>
      <c r="BS129" s="117" t="str">
        <f t="shared" si="149"/>
        <v/>
      </c>
      <c r="BT129" s="117" t="str">
        <f t="shared" si="150"/>
        <v/>
      </c>
      <c r="BU129" s="117" t="str">
        <f>IF(LEN(_xludf.concat(BR129:BT129))&gt;0,_xludf.concat("| ",BR129," | ",BS129," | ",BT129," |"),"")</f>
        <v/>
      </c>
      <c r="BV129" s="117" t="str">
        <f t="shared" si="151"/>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52"/>
        <v>#VALUE!</v>
      </c>
      <c r="CK129" s="12" t="str">
        <f t="shared" si="153"/>
        <v xml:space="preserve">| [](/places/places\vn-ha-nam-basilica-of-the-immaculate-conception) </v>
      </c>
      <c r="CL129" s="13" t="str">
        <f>"| "&amp;IF(AS129,GetTagPage(C129,VLOOKUP(C129,'Country Tags'!C:E,3,)),C129)&amp; " "</f>
        <v xml:space="preserve">| [Vietnam](/tags/vn) </v>
      </c>
      <c r="CM129" s="12" t="str">
        <f t="shared" si="154"/>
        <v xml:space="preserve">|  </v>
      </c>
      <c r="CN129" s="12" t="str">
        <f t="shared" si="155"/>
        <v xml:space="preserve">| [Link](/places/places\vn-ha-nam-basilica-of-the-immaculate-conception) </v>
      </c>
      <c r="CO129" s="12" t="e">
        <f t="shared" si="156"/>
        <v>#VALUE!</v>
      </c>
    </row>
    <row r="130" spans="1:93" x14ac:dyDescent="0.4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28"/>
        <v>1</v>
      </c>
      <c r="AT130" s="117" t="str">
        <f t="shared" si="129"/>
        <v>title: "Basilica of Our Lady of Charity of El Cobre"</v>
      </c>
      <c r="AU130" s="117" t="str">
        <f t="shared" si="130"/>
        <v>location: {lat: 20.0507965212156, lng: -75.9489705484828}</v>
      </c>
      <c r="AV130" s="117" t="str">
        <f t="shared" si="131"/>
        <v>interest: global</v>
      </c>
      <c r="AW130" s="117" t="str">
        <f>"- "&amp;VLOOKUP(C130,'Country Tags'!C:E,3,)</f>
        <v>- cu</v>
      </c>
      <c r="AX130" s="117" t="str">
        <f t="shared" si="132"/>
        <v/>
      </c>
      <c r="AY130" s="117" t="str">
        <f t="shared" si="133"/>
        <v>- churches</v>
      </c>
      <c r="AZ130" s="117" t="str">
        <f t="shared" si="134"/>
        <v>- marian-sites</v>
      </c>
      <c r="BA130" s="117" t="str">
        <f t="shared" si="135"/>
        <v/>
      </c>
      <c r="BB130" s="117" t="str">
        <f t="shared" si="136"/>
        <v/>
      </c>
      <c r="BC130" s="117" t="str">
        <f t="shared" si="137"/>
        <v/>
      </c>
      <c r="BD130" s="117" t="str">
        <f t="shared" si="138"/>
        <v/>
      </c>
      <c r="BE130" s="117" t="str">
        <f t="shared" si="139"/>
        <v/>
      </c>
      <c r="BF130" s="117" t="str">
        <f t="shared" si="140"/>
        <v/>
      </c>
      <c r="BG130" s="117" t="str">
        <f t="shared" si="141"/>
        <v/>
      </c>
      <c r="BH130" s="117" t="str">
        <f t="shared" si="142"/>
        <v/>
      </c>
      <c r="BI130" s="117" t="str">
        <f t="shared" si="143"/>
        <v/>
      </c>
      <c r="BJ130" s="117" t="str">
        <f t="shared" si="144"/>
        <v/>
      </c>
      <c r="BK130" s="117" t="str">
        <f t="shared" si="145"/>
        <v/>
      </c>
      <c r="BL130" s="117" t="str">
        <f t="shared" si="146"/>
        <v xml:space="preserve">tags:
- cu_x000D_
- churches_x000D_
- marian-sites_x000D_
</v>
      </c>
      <c r="BM130" s="120" t="str">
        <f t="shared" si="124"/>
        <v/>
      </c>
      <c r="BN130" s="120" t="str">
        <f t="shared" si="125"/>
        <v/>
      </c>
      <c r="BO130" s="120" t="str">
        <f t="shared" si="126"/>
        <v/>
      </c>
      <c r="BP130" s="120" t="str">
        <f t="shared" si="127"/>
        <v/>
      </c>
      <c r="BQ130" s="120" t="str">
        <f t="shared" si="147"/>
        <v/>
      </c>
      <c r="BR130" s="120" t="str">
        <f t="shared" si="148"/>
        <v>[Link](http://www.therealpresence.org/eucharst/misc/BVM/102_CUBA_96x96.pdf)</v>
      </c>
      <c r="BS130" s="120" t="str">
        <f t="shared" si="149"/>
        <v/>
      </c>
      <c r="BT130" s="120" t="str">
        <f t="shared" si="150"/>
        <v/>
      </c>
      <c r="BU130" s="120" t="str">
        <f>IF(LEN(_xludf.concat(BR130:BT130))&gt;0,_xludf.concat("| ",BR130," | ",BS130," | ",BT130," |"),"")</f>
        <v>| [Link](http://www.therealpresence.org/eucharst/misc/BVM/102_CUBA_96x96.pdf) |  |  |</v>
      </c>
      <c r="BV130" s="117" t="str">
        <f t="shared" si="151"/>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52"/>
        <v xml:space="preserve">| </v>
      </c>
      <c r="CK130" s="13" t="str">
        <f t="shared" si="153"/>
        <v xml:space="preserve">| [El Cobre](/places/places\cu-basilica-of-el-cobre) </v>
      </c>
      <c r="CL130" s="13" t="str">
        <f>"| "&amp;IF(AS130,GetTagPage(C130,VLOOKUP(C130,'Country Tags'!C:E,3,)),C130)&amp; " "</f>
        <v xml:space="preserve">| [Cuba](/tags/cu) </v>
      </c>
      <c r="CM130" s="13" t="str">
        <f t="shared" si="154"/>
        <v xml:space="preserve">| 1612 </v>
      </c>
      <c r="CN130" s="13" t="str">
        <f t="shared" si="155"/>
        <v xml:space="preserve">| [Link](/places/places\cu-basilica-of-el-cobre) </v>
      </c>
      <c r="CO130" s="12" t="str">
        <f t="shared" si="156"/>
        <v xml:space="preserve">
| [El Cobre](/places/places\cu-basilica-of-el-cobre) | [Cuba](/tags/cu) | 1612 | [Link](/places/places\cu-basilica-of-el-cobre) [Link](http://www.therealpresence.org/eucharst/misc/BVM/102_CUBA_96x96.pdf)| |</v>
      </c>
    </row>
    <row r="131" spans="1:93" x14ac:dyDescent="0.4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28"/>
        <v>1</v>
      </c>
      <c r="AT131" s="117" t="str">
        <f t="shared" si="129"/>
        <v>title: "Sanctuary of Pellevoisin"</v>
      </c>
      <c r="AU131" s="117" t="str">
        <f t="shared" si="130"/>
        <v>location: {lat: 46.9828589876632, lng: 1.4171181142389}</v>
      </c>
      <c r="AV131" s="117" t="str">
        <f t="shared" si="131"/>
        <v>interest: global</v>
      </c>
      <c r="AW131" s="117" t="str">
        <f>"- "&amp;VLOOKUP(C131,'Country Tags'!C:E,3,)</f>
        <v>- fr</v>
      </c>
      <c r="AX131" s="117" t="str">
        <f t="shared" si="132"/>
        <v/>
      </c>
      <c r="AY131" s="117" t="str">
        <f t="shared" si="133"/>
        <v>- churches</v>
      </c>
      <c r="AZ131" s="117" t="str">
        <f t="shared" si="134"/>
        <v>- marian-sites</v>
      </c>
      <c r="BA131" s="117" t="str">
        <f t="shared" si="135"/>
        <v/>
      </c>
      <c r="BB131" s="117" t="str">
        <f t="shared" si="136"/>
        <v/>
      </c>
      <c r="BC131" s="117" t="str">
        <f t="shared" si="137"/>
        <v/>
      </c>
      <c r="BD131" s="117" t="str">
        <f t="shared" si="138"/>
        <v/>
      </c>
      <c r="BE131" s="117" t="str">
        <f t="shared" si="139"/>
        <v/>
      </c>
      <c r="BF131" s="117" t="str">
        <f t="shared" si="140"/>
        <v/>
      </c>
      <c r="BG131" s="117" t="str">
        <f t="shared" si="141"/>
        <v/>
      </c>
      <c r="BH131" s="117" t="str">
        <f t="shared" si="142"/>
        <v/>
      </c>
      <c r="BI131" s="117" t="str">
        <f t="shared" si="143"/>
        <v/>
      </c>
      <c r="BJ131" s="117" t="str">
        <f t="shared" si="144"/>
        <v/>
      </c>
      <c r="BK131" s="117" t="str">
        <f t="shared" si="145"/>
        <v/>
      </c>
      <c r="BL131" s="117" t="str">
        <f t="shared" si="146"/>
        <v xml:space="preserve">tags:
- fr_x000D_
- churches_x000D_
- marian-sites_x000D_
</v>
      </c>
      <c r="BM131" s="120" t="str">
        <f t="shared" si="124"/>
        <v>[Official site](https://www.pellevoisin.net/)</v>
      </c>
      <c r="BN131" s="120" t="str">
        <f t="shared" si="125"/>
        <v/>
      </c>
      <c r="BO131" s="120" t="str">
        <f t="shared" si="126"/>
        <v/>
      </c>
      <c r="BP131" s="120" t="str">
        <f t="shared" si="127"/>
        <v/>
      </c>
      <c r="BQ131" s="120" t="str">
        <f t="shared" si="147"/>
        <v xml:space="preserve">* [Official site](https://www.pellevoisin.net/)
</v>
      </c>
      <c r="BR131" s="120" t="str">
        <f t="shared" si="148"/>
        <v>[Link](http://www.therealpresence.org/eucharst/misc/BVM/07_PELLEVOISIN_60x96.pdf)</v>
      </c>
      <c r="BS131" s="120" t="str">
        <f t="shared" si="149"/>
        <v>[Link](https://www.miraclehunter.com/marian_apparitions/approved_apparitions/pellevoisin/index.html)</v>
      </c>
      <c r="BT131" s="120" t="str">
        <f t="shared" si="150"/>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52"/>
        <v xml:space="preserve">| </v>
      </c>
      <c r="CK131" s="13" t="str">
        <f t="shared" si="153"/>
        <v xml:space="preserve">| [Pellovoisin](/places/places\fr-sanctuary-of-pellevoisin) </v>
      </c>
      <c r="CL131" s="13" t="str">
        <f>"| "&amp;IF(AS131,GetTagPage(C131,VLOOKUP(C131,'Country Tags'!C:E,3,)),C131)&amp; " "</f>
        <v xml:space="preserve">| [France](/tags/fr) </v>
      </c>
      <c r="CM131" s="13" t="str">
        <f t="shared" si="154"/>
        <v xml:space="preserve">| 1876 </v>
      </c>
      <c r="CN131" s="13" t="str">
        <f t="shared" si="155"/>
        <v xml:space="preserve">| [Link](/places/places\fr-sanctuary-of-pellevoisin) </v>
      </c>
      <c r="CO131" s="12" t="str">
        <f t="shared" si="156"/>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4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28"/>
        <v>1</v>
      </c>
      <c r="AT132" s="117" t="str">
        <f t="shared" si="129"/>
        <v>title: "St. Peter am Perlach (Mary Undoer of Knots)"</v>
      </c>
      <c r="AU132" s="117" t="str">
        <f t="shared" si="130"/>
        <v>location: {lat: 48.3691926319073, lng: 10.8982826487021}</v>
      </c>
      <c r="AV132" s="117" t="str">
        <f t="shared" si="131"/>
        <v>interest: global</v>
      </c>
      <c r="AW132" s="117" t="str">
        <f>"- "&amp;VLOOKUP(C132,'Country Tags'!C:E,3,)</f>
        <v>- de</v>
      </c>
      <c r="AX132" s="117" t="str">
        <f t="shared" si="132"/>
        <v>- augsburg</v>
      </c>
      <c r="AY132" s="117" t="str">
        <f t="shared" si="133"/>
        <v>- churches</v>
      </c>
      <c r="AZ132" s="117" t="str">
        <f t="shared" si="134"/>
        <v>- marian-sites</v>
      </c>
      <c r="BA132" s="117" t="str">
        <f t="shared" si="135"/>
        <v/>
      </c>
      <c r="BB132" s="117" t="str">
        <f t="shared" si="136"/>
        <v/>
      </c>
      <c r="BC132" s="117" t="str">
        <f t="shared" si="137"/>
        <v/>
      </c>
      <c r="BD132" s="117" t="str">
        <f t="shared" si="138"/>
        <v/>
      </c>
      <c r="BE132" s="117" t="str">
        <f t="shared" si="139"/>
        <v/>
      </c>
      <c r="BF132" s="117" t="str">
        <f t="shared" si="140"/>
        <v/>
      </c>
      <c r="BG132" s="117" t="str">
        <f t="shared" si="141"/>
        <v/>
      </c>
      <c r="BH132" s="117" t="str">
        <f t="shared" si="142"/>
        <v/>
      </c>
      <c r="BI132" s="117" t="str">
        <f t="shared" si="143"/>
        <v/>
      </c>
      <c r="BJ132" s="117" t="str">
        <f t="shared" si="144"/>
        <v/>
      </c>
      <c r="BK132" s="117" t="str">
        <f t="shared" si="145"/>
        <v/>
      </c>
      <c r="BL132" s="117" t="str">
        <f t="shared" si="146"/>
        <v xml:space="preserve">tags:
- de_x000D_
- augsburg_x000D_
- churches_x000D_
- marian-sites_x000D_
</v>
      </c>
      <c r="BM132" s="120" t="str">
        <f t="shared" si="124"/>
        <v>[Official site](https://sankt-peter-am-perlach.de)</v>
      </c>
      <c r="BN132" s="120" t="str">
        <f t="shared" si="125"/>
        <v/>
      </c>
      <c r="BO132" s="120" t="str">
        <f t="shared" si="126"/>
        <v/>
      </c>
      <c r="BP132" s="120" t="str">
        <f t="shared" si="127"/>
        <v/>
      </c>
      <c r="BQ132" s="120" t="str">
        <f t="shared" si="147"/>
        <v xml:space="preserve">* [Official site](https://sankt-peter-am-perlach.de)
</v>
      </c>
      <c r="BR132" s="120" t="str">
        <f t="shared" si="148"/>
        <v/>
      </c>
      <c r="BS132" s="120" t="str">
        <f t="shared" si="149"/>
        <v>[Link](https://www.miraclehunter.com/news/francis/francis-marian-devotion.html)</v>
      </c>
      <c r="BT132" s="120" t="str">
        <f t="shared" si="150"/>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51"/>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52"/>
        <v xml:space="preserve">| </v>
      </c>
      <c r="CK132" s="13" t="str">
        <f t="shared" si="153"/>
        <v xml:space="preserve">| [Augsberg](/places/places\de-augsburg-st-peter-am-perlach) </v>
      </c>
      <c r="CL132" s="13" t="str">
        <f>"| "&amp;IF(AS132,GetTagPage(C132,VLOOKUP(C132,'Country Tags'!C:E,3,)),C132)&amp; " "</f>
        <v xml:space="preserve">| [Germany](/tags/de) </v>
      </c>
      <c r="CM132" s="13" t="str">
        <f t="shared" si="154"/>
        <v xml:space="preserve">| c. 1700 </v>
      </c>
      <c r="CN132" s="13" t="str">
        <f t="shared" si="155"/>
        <v xml:space="preserve">| [Link](/places/places\de-augsburg-st-peter-am-perlach) </v>
      </c>
      <c r="CO132" s="12" t="str">
        <f t="shared" si="156"/>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4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28"/>
        <v>1</v>
      </c>
      <c r="AT133" s="117" t="str">
        <f t="shared" si="129"/>
        <v>title: "Athisaya Panimatha (Our Lady of Snows) Shrine, Kallikulam"</v>
      </c>
      <c r="AU133" s="117" t="str">
        <f t="shared" si="130"/>
        <v>location: {lat: 8.352427276057, lng: 77.6635769342862}</v>
      </c>
      <c r="AV133" s="117" t="str">
        <f t="shared" si="131"/>
        <v>interest: global</v>
      </c>
      <c r="AW133" s="117" t="str">
        <f>"- "&amp;VLOOKUP(C133,'Country Tags'!C:E,3,)</f>
        <v>- in</v>
      </c>
      <c r="AX133" s="117" t="str">
        <f t="shared" si="132"/>
        <v/>
      </c>
      <c r="AY133" s="117" t="str">
        <f t="shared" si="133"/>
        <v>- churches</v>
      </c>
      <c r="AZ133" s="117" t="str">
        <f t="shared" si="134"/>
        <v>- marian-sites</v>
      </c>
      <c r="BA133" s="117" t="str">
        <f t="shared" si="135"/>
        <v/>
      </c>
      <c r="BB133" s="117" t="str">
        <f t="shared" si="136"/>
        <v/>
      </c>
      <c r="BC133" s="117" t="str">
        <f t="shared" si="137"/>
        <v/>
      </c>
      <c r="BD133" s="117" t="str">
        <f t="shared" si="138"/>
        <v/>
      </c>
      <c r="BE133" s="117" t="str">
        <f t="shared" si="139"/>
        <v/>
      </c>
      <c r="BF133" s="117" t="str">
        <f t="shared" si="140"/>
        <v/>
      </c>
      <c r="BG133" s="117" t="str">
        <f t="shared" si="141"/>
        <v/>
      </c>
      <c r="BH133" s="117" t="str">
        <f t="shared" si="142"/>
        <v/>
      </c>
      <c r="BI133" s="117" t="str">
        <f t="shared" si="143"/>
        <v/>
      </c>
      <c r="BJ133" s="117" t="str">
        <f t="shared" si="144"/>
        <v/>
      </c>
      <c r="BK133" s="117" t="str">
        <f t="shared" si="145"/>
        <v/>
      </c>
      <c r="BL133" s="117" t="str">
        <f t="shared" si="146"/>
        <v xml:space="preserve">tags:
- in_x000D_
- churches_x000D_
- marian-sites_x000D_
</v>
      </c>
      <c r="BM133" s="120" t="str">
        <f t="shared" si="124"/>
        <v>[Official site](https://www.athisayapanimatha.com/)</v>
      </c>
      <c r="BN133" s="120" t="str">
        <f t="shared" si="125"/>
        <v/>
      </c>
      <c r="BO133" s="120" t="str">
        <f t="shared" si="126"/>
        <v/>
      </c>
      <c r="BP133" s="120" t="str">
        <f t="shared" si="127"/>
        <v/>
      </c>
      <c r="BQ133" s="120" t="str">
        <f t="shared" si="147"/>
        <v xml:space="preserve">* [Official site](https://www.athisayapanimatha.com/)
</v>
      </c>
      <c r="BR133" s="120" t="str">
        <f t="shared" si="148"/>
        <v>[Link](http://www.therealpresence.org/eucharst/misc/BVM/128_KALLIKULAM_60x96.pdf)</v>
      </c>
      <c r="BS133" s="120" t="str">
        <f t="shared" si="149"/>
        <v/>
      </c>
      <c r="BT133" s="120" t="str">
        <f t="shared" si="150"/>
        <v/>
      </c>
      <c r="BU133" s="120" t="str">
        <f>IF(LEN(_xludf.concat(BR133:BT133))&gt;0,_xludf.concat("| ",BR133," | ",BS133," | ",BT133," |"),"")</f>
        <v>| [Link](http://www.therealpresence.org/eucharst/misc/BVM/128_KALLIKULAM_60x96.pdf) |  |  |</v>
      </c>
      <c r="BV133" s="117" t="str">
        <f t="shared" si="151"/>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52"/>
        <v xml:space="preserve">| </v>
      </c>
      <c r="CK133" s="13" t="str">
        <f t="shared" si="153"/>
        <v xml:space="preserve">| [Kallikulam](/places/places\in-athisaya-panimatha-shrine) </v>
      </c>
      <c r="CL133" s="13" t="str">
        <f>"| "&amp;IF(AS133,GetTagPage(C133,VLOOKUP(C133,'Country Tags'!C:E,3,)),C133)&amp; " "</f>
        <v xml:space="preserve">| [India](/tags/in) </v>
      </c>
      <c r="CM133" s="13" t="str">
        <f t="shared" si="154"/>
        <v xml:space="preserve">| 1939 </v>
      </c>
      <c r="CN133" s="13" t="str">
        <f t="shared" si="155"/>
        <v xml:space="preserve">| [Link](/places/places\in-athisaya-panimatha-shrine) </v>
      </c>
      <c r="CO133" s="12" t="str">
        <f t="shared" si="156"/>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4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45" si="157">IF(OR(A134="Done",A134="In Progress"),TRUE)</f>
        <v>1</v>
      </c>
      <c r="AT134" s="117" t="str">
        <f t="shared" ref="AT134:AT145" si="158">"title: """&amp;G134&amp;""""</f>
        <v>title: "Sanctuary of Holy Mary of Tindari"</v>
      </c>
      <c r="AU134" s="117" t="str">
        <f t="shared" ref="AU134:AU145" si="159">"location: {lat: "&amp;E134&amp;", lng: "&amp;F134&amp;"}"</f>
        <v>location: {lat: 38.1412714600159, lng: 15.0456795824699}</v>
      </c>
      <c r="AV134" s="117" t="str">
        <f t="shared" ref="AV134:AV145" si="160">"interest: "&amp;I134</f>
        <v>interest: global</v>
      </c>
      <c r="AW134" s="117" t="str">
        <f>"- "&amp;VLOOKUP(C134,'Country Tags'!C:E,3,)</f>
        <v>- it</v>
      </c>
      <c r="AX134" s="117" t="str">
        <f t="shared" ref="AX134:AX145" si="161">IF(LEN(D134)&gt;1,"- "&amp;LOWER(SUBSTITUTE(D134," ","-")),"")</f>
        <v>- sicily</v>
      </c>
      <c r="AY134" s="117" t="str">
        <f t="shared" ref="AY134:AY145" si="162">IF(J134,"- churches","")</f>
        <v>- churches</v>
      </c>
      <c r="AZ134" s="117" t="str">
        <f t="shared" ref="AZ134:AZ145" si="163">IF(K134,"- marian-sites","")</f>
        <v>- marian-sites</v>
      </c>
      <c r="BA134" s="117" t="str">
        <f t="shared" ref="BA134:BA145" si="164">IF(L134,"- holy-persons","")</f>
        <v/>
      </c>
      <c r="BB134" s="117" t="str">
        <f t="shared" ref="BB134:BB145" si="165">IF(LEN(Z134)&gt;0,"- "&amp;Z134,"")</f>
        <v/>
      </c>
      <c r="BC134" s="117" t="str">
        <f t="shared" ref="BC134:BC145" si="166">IF(LEN(AA134)&gt;0,"- "&amp;AA134,"")</f>
        <v/>
      </c>
      <c r="BD134" s="117" t="str">
        <f t="shared" ref="BD134:BD145" si="167">IF(LEN(AB134)&gt;0,"- "&amp;AB134,"")</f>
        <v/>
      </c>
      <c r="BE134" s="117" t="str">
        <f t="shared" ref="BE134:BE145" si="168">IF(LEN(AC134)&gt;0,"- "&amp;AC134,"")</f>
        <v/>
      </c>
      <c r="BF134" s="117" t="str">
        <f t="shared" ref="BF134:BF145" si="169">IF(LEN(AD134)&gt;0,"- "&amp;AD134,"")</f>
        <v/>
      </c>
      <c r="BG134" s="117" t="str">
        <f t="shared" ref="BG134:BG145" si="170">IF(LEN(AE134)&gt;0,"- "&amp;AE134,"")</f>
        <v/>
      </c>
      <c r="BH134" s="117" t="str">
        <f t="shared" ref="BH134:BH145" si="171">IF(LEN(AF134)&gt;0,"- "&amp;AF134,"")</f>
        <v/>
      </c>
      <c r="BI134" s="117" t="str">
        <f t="shared" ref="BI134:BI145" si="172">IF(LEN(AG134)&gt;0,"- "&amp;AG134,"")</f>
        <v/>
      </c>
      <c r="BJ134" s="117" t="str">
        <f t="shared" ref="BJ134:BJ145" si="173">IF(LEN(AH134)&gt;0,"- "&amp;AH134,"")</f>
        <v/>
      </c>
      <c r="BK134" s="117" t="str">
        <f t="shared" ref="BK134:BK145" si="174">IF(LEN(AI134)&gt;0,"- "&amp;AI134,"")</f>
        <v/>
      </c>
      <c r="BL134" s="117" t="str">
        <f t="shared" ref="BL134:BL145" si="175">"tags:"&amp;CHAR(10)&amp;concatl(AW134:BK134)</f>
        <v xml:space="preserve">tags:
- it_x000D_
- sicily_x000D_
- churches_x000D_
- marian-sites_x000D_
</v>
      </c>
      <c r="BM134" s="120" t="str">
        <f t="shared" si="124"/>
        <v>[Official site](https://santuariotindari.it/)</v>
      </c>
      <c r="BN134" s="120" t="str">
        <f t="shared" si="125"/>
        <v/>
      </c>
      <c r="BO134" s="120" t="str">
        <f t="shared" si="126"/>
        <v/>
      </c>
      <c r="BP134" s="120" t="str">
        <f t="shared" si="127"/>
        <v/>
      </c>
      <c r="BQ134" s="120" t="str">
        <f t="shared" ref="BQ134:BQ145" si="176">IF(LEN(BM134)&gt;0,"* "&amp;BM134&amp;CHAR(10),"")&amp;
IF(LEN(BN134)&gt;0,"* "&amp;BN134&amp;CHAR(10),"")&amp;
IF(LEN(BO134)&gt;0,"* "&amp;BO134&amp;CHAR(10),"")&amp;
IF(LEN(BP134)&gt;0,"* "&amp;BP134&amp;CHAR(10),"")</f>
        <v xml:space="preserve">* [Official site](https://santuariotindari.it/)
</v>
      </c>
      <c r="BR134" s="120" t="str">
        <f t="shared" ref="BR134:BR145" si="177">IF(LEN(AL134)&gt;0,TRIM(CONCATENATE("[Link](",AL134,") ",AM134)),"")</f>
        <v>[Link](http://www.therealpresence.org/eucharst/misc/BVM/90_TINDARI_60x96.pdf)</v>
      </c>
      <c r="BS134" s="120" t="str">
        <f t="shared" ref="BS134:BS145" si="178">IF(LEN(AN134)&gt;0,TRIM(CONCATENATE("[Link](",AN134,") ",AO134)),"")</f>
        <v/>
      </c>
      <c r="BT134" s="120" t="str">
        <f t="shared" ref="BT134:BT145" si="179">IF(LEN(AP134)&gt;0,TRIM(CONCATENATE("[Link](",AP134,") ",AQ134)),"")</f>
        <v/>
      </c>
      <c r="BU134" s="120" t="str">
        <f>IF(LEN(_xludf.concat(BR134:BT134))&gt;0,_xludf.concat("| ",BR134," | ",BS134," | ",BT134," |"),"")</f>
        <v>| [Link](http://www.therealpresence.org/eucharst/misc/BVM/90_TINDARI_60x96.pdf) |  |  |</v>
      </c>
      <c r="BV134" s="117" t="str">
        <f t="shared" ref="BV134:BV145" si="18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45" si="181">"|"&amp;IF(LEN(CG134)&gt;1," "&amp;CG134,"")&amp;IF(LEN(CH134)&gt;1,", "&amp;CH134,"")&amp;IF(LEN(CI134)&gt;1,", "&amp;CI134,"")&amp;" "</f>
        <v xml:space="preserve">| </v>
      </c>
      <c r="CK134" s="13" t="str">
        <f t="shared" ref="CK134:CK145" si="18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45" si="183">"| "&amp;AK134&amp;" "</f>
        <v xml:space="preserve">| 5th or 6th Century </v>
      </c>
      <c r="CN134" s="13" t="str">
        <f t="shared" ref="CN134:CN145" si="184">"|"&amp;IF(AS134," [Link](/places/"&amp;SUBSTITUTE(CB134,".md","")&amp;")","")&amp;" "</f>
        <v xml:space="preserve">| [Link](/places/places\it-sicily-sanctuary-of-tindari) </v>
      </c>
      <c r="CO134" s="12" t="str">
        <f t="shared" ref="CO134:CO145" si="18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4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57"/>
        <v>1</v>
      </c>
      <c r="AT135" s="117" t="str">
        <f t="shared" si="158"/>
        <v>title: "Basilica of the Blessed Virgin of Ta' Pinu"</v>
      </c>
      <c r="AU135" s="117" t="str">
        <f t="shared" si="159"/>
        <v>location: {lat: 36.0617520264557, lng: 14.2153318855345}</v>
      </c>
      <c r="AV135" s="117" t="str">
        <f t="shared" si="160"/>
        <v>interest: global</v>
      </c>
      <c r="AW135" s="117" t="str">
        <f>"- "&amp;VLOOKUP(C135,'Country Tags'!C:E,3,)</f>
        <v>- mt</v>
      </c>
      <c r="AX135" s="117" t="str">
        <f t="shared" si="161"/>
        <v/>
      </c>
      <c r="AY135" s="117" t="str">
        <f t="shared" si="162"/>
        <v>- churches</v>
      </c>
      <c r="AZ135" s="117" t="str">
        <f t="shared" si="163"/>
        <v>- marian-sites</v>
      </c>
      <c r="BA135" s="117" t="str">
        <f t="shared" si="164"/>
        <v/>
      </c>
      <c r="BB135" s="117" t="str">
        <f t="shared" si="165"/>
        <v/>
      </c>
      <c r="BC135" s="117" t="str">
        <f t="shared" si="166"/>
        <v/>
      </c>
      <c r="BD135" s="117" t="str">
        <f t="shared" si="167"/>
        <v/>
      </c>
      <c r="BE135" s="117" t="str">
        <f t="shared" si="168"/>
        <v/>
      </c>
      <c r="BF135" s="117" t="str">
        <f t="shared" si="169"/>
        <v/>
      </c>
      <c r="BG135" s="117" t="str">
        <f t="shared" si="170"/>
        <v/>
      </c>
      <c r="BH135" s="117" t="str">
        <f t="shared" si="171"/>
        <v/>
      </c>
      <c r="BI135" s="117" t="str">
        <f t="shared" si="172"/>
        <v/>
      </c>
      <c r="BJ135" s="117" t="str">
        <f t="shared" si="173"/>
        <v/>
      </c>
      <c r="BK135" s="117" t="str">
        <f t="shared" si="174"/>
        <v/>
      </c>
      <c r="BL135" s="117" t="str">
        <f t="shared" si="175"/>
        <v xml:space="preserve">tags:
- mt_x000D_
- churches_x000D_
- marian-sites_x000D_
</v>
      </c>
      <c r="BM135" s="120" t="str">
        <f t="shared" ref="BM135:BM145" si="186">IF(LEN(O135)&gt;0,TRIM(CONCATENATE("[Official site](",O135,") ",IF(LEN(P135)&gt;0,"- "&amp;P135,P135))),"")</f>
        <v>[Official site](http://www.tapinu.org/)</v>
      </c>
      <c r="BN135" s="120" t="str">
        <f t="shared" ref="BN135:BN145" si="187">IF(LEN(R135)&gt;0,TRIM(CONCATENATE("["&amp;Q135&amp;"](",R135,") ",IF(LEN(S135)&gt;0,"- "&amp;S135,S135))),"")</f>
        <v/>
      </c>
      <c r="BO135" s="120" t="str">
        <f t="shared" ref="BO135:BO145" si="188">IF(LEN(U135)&gt;0,TRIM(CONCATENATE("["&amp;T135&amp;"](",U135,") ",IF(LEN(V135)&gt;0,"- "&amp;V135,V135))),"")</f>
        <v/>
      </c>
      <c r="BP135" s="120" t="str">
        <f t="shared" ref="BP135:BP145" si="189">IF(LEN(X135)&gt;0,TRIM(CONCATENATE("["&amp;W135&amp;"](",X135,") ",IF(LEN(Y135)&gt;0,"- "&amp;Y135,Y135))),"")</f>
        <v/>
      </c>
      <c r="BQ135" s="120" t="str">
        <f t="shared" si="176"/>
        <v xml:space="preserve">* [Official site](http://www.tapinu.org/)
</v>
      </c>
      <c r="BR135" s="120" t="str">
        <f t="shared" si="177"/>
        <v>[Link](http://www.therealpresence.org/eucharst/misc/BVM/140_GOZO_60x96.pdf)</v>
      </c>
      <c r="BS135" s="120" t="str">
        <f t="shared" si="178"/>
        <v>[Link](http://www.miraclehunter.com/marian_apparitions/approved_apparitions/tapinu/)</v>
      </c>
      <c r="BT135" s="120" t="str">
        <f t="shared" si="17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81"/>
        <v xml:space="preserve">| </v>
      </c>
      <c r="CK135" s="13" t="str">
        <f t="shared" si="182"/>
        <v xml:space="preserve">| [Gozo](/places/places\mt-basilica-of-ta-pinu) </v>
      </c>
      <c r="CL135" s="13" t="str">
        <f>"| "&amp;IF(AS135,GetTagPage(C135,VLOOKUP(C135,'Country Tags'!C:E,3,)),C135)&amp; " "</f>
        <v xml:space="preserve">| [Malta](/tags/mt) </v>
      </c>
      <c r="CM135" s="13" t="str">
        <f t="shared" si="183"/>
        <v xml:space="preserve">| 1575 </v>
      </c>
      <c r="CN135" s="13" t="str">
        <f t="shared" si="184"/>
        <v xml:space="preserve">| [Link](/places/places\mt-basilica-of-ta-pinu) </v>
      </c>
      <c r="CO135" s="12" t="str">
        <f t="shared" si="18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4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57"/>
        <v>1</v>
      </c>
      <c r="AT136" s="117" t="str">
        <f t="shared" si="158"/>
        <v>title: "National Sanctuary of Our Lady of Cuapa"</v>
      </c>
      <c r="AU136" s="117" t="str">
        <f t="shared" si="159"/>
        <v>location: {lat: 12.250924807687, lng: -85.3782746081611}</v>
      </c>
      <c r="AV136" s="117" t="str">
        <f t="shared" si="160"/>
        <v>interest: global</v>
      </c>
      <c r="AW136" s="117" t="str">
        <f>"- "&amp;VLOOKUP(C136,'Country Tags'!C:E,3,)</f>
        <v>- ni</v>
      </c>
      <c r="AX136" s="117" t="str">
        <f t="shared" si="161"/>
        <v/>
      </c>
      <c r="AY136" s="117" t="str">
        <f t="shared" si="162"/>
        <v>- churches</v>
      </c>
      <c r="AZ136" s="117" t="str">
        <f t="shared" si="163"/>
        <v>- marian-sites</v>
      </c>
      <c r="BA136" s="117" t="str">
        <f t="shared" si="164"/>
        <v/>
      </c>
      <c r="BB136" s="117" t="str">
        <f t="shared" si="165"/>
        <v/>
      </c>
      <c r="BC136" s="117" t="str">
        <f t="shared" si="166"/>
        <v/>
      </c>
      <c r="BD136" s="117" t="str">
        <f t="shared" si="167"/>
        <v/>
      </c>
      <c r="BE136" s="117" t="str">
        <f t="shared" si="168"/>
        <v/>
      </c>
      <c r="BF136" s="117" t="str">
        <f t="shared" si="169"/>
        <v/>
      </c>
      <c r="BG136" s="117" t="str">
        <f t="shared" si="170"/>
        <v/>
      </c>
      <c r="BH136" s="117" t="str">
        <f t="shared" si="171"/>
        <v/>
      </c>
      <c r="BI136" s="117" t="str">
        <f t="shared" si="172"/>
        <v/>
      </c>
      <c r="BJ136" s="117" t="str">
        <f t="shared" si="173"/>
        <v/>
      </c>
      <c r="BK136" s="117" t="str">
        <f t="shared" si="174"/>
        <v/>
      </c>
      <c r="BL136" s="117" t="str">
        <f t="shared" si="175"/>
        <v xml:space="preserve">tags:
- ni_x000D_
- churches_x000D_
- marian-sites_x000D_
</v>
      </c>
      <c r="BM136" s="120" t="str">
        <f t="shared" si="186"/>
        <v>[Official site](https://www.facebook.com/SDVirgendeCuapa)</v>
      </c>
      <c r="BN136" s="120" t="str">
        <f t="shared" si="187"/>
        <v/>
      </c>
      <c r="BO136" s="120" t="str">
        <f t="shared" si="188"/>
        <v/>
      </c>
      <c r="BP136" s="120" t="str">
        <f t="shared" si="189"/>
        <v/>
      </c>
      <c r="BQ136" s="120" t="str">
        <f t="shared" si="176"/>
        <v xml:space="preserve">* [Official site](https://www.facebook.com/SDVirgendeCuapa)
</v>
      </c>
      <c r="BR136" s="120" t="str">
        <f t="shared" si="177"/>
        <v>[Link](http://www.therealpresence.org/eucharst/misc/BVM/16_CUAPA_60x96.pdf)</v>
      </c>
      <c r="BS136" s="120" t="str">
        <f t="shared" si="178"/>
        <v>[Link](http://www.miraclehunter.com/marian_apparitions/approved_apparitions/cuapa/index.html)</v>
      </c>
      <c r="BT136" s="120" t="str">
        <f t="shared" si="17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81"/>
        <v xml:space="preserve">| </v>
      </c>
      <c r="CK136" s="13" t="str">
        <f t="shared" si="182"/>
        <v xml:space="preserve">| [Cuapa](/places/places\ni-sanctuary-of-our-lady-of-cuapa) </v>
      </c>
      <c r="CL136" s="13" t="str">
        <f>"| "&amp;IF(AS136,GetTagPage(C136,VLOOKUP(C136,'Country Tags'!C:E,3,)),C136)&amp; " "</f>
        <v xml:space="preserve">| [Nicaragua](/tags/ni) </v>
      </c>
      <c r="CM136" s="13" t="str">
        <f t="shared" si="183"/>
        <v xml:space="preserve">| 1980 </v>
      </c>
      <c r="CN136" s="13" t="str">
        <f t="shared" si="184"/>
        <v xml:space="preserve">| [Link](/places/places\ni-sanctuary-of-our-lady-of-cuapa) </v>
      </c>
      <c r="CO136" s="12" t="str">
        <f t="shared" si="18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4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57"/>
        <v>1</v>
      </c>
      <c r="AT137" s="117" t="str">
        <f t="shared" si="158"/>
        <v>title: "Archdiocesan Shrine of Our Lady of Caysasay"</v>
      </c>
      <c r="AU137" s="117" t="str">
        <f t="shared" si="159"/>
        <v>location: {lat: 13.8821815225981, lng: 120.920278855358}</v>
      </c>
      <c r="AV137" s="117" t="str">
        <f t="shared" si="160"/>
        <v>interest: global</v>
      </c>
      <c r="AW137" s="117" t="str">
        <f>"- "&amp;VLOOKUP(C137,'Country Tags'!C:E,3,)</f>
        <v>- ph</v>
      </c>
      <c r="AX137" s="117" t="str">
        <f t="shared" si="161"/>
        <v/>
      </c>
      <c r="AY137" s="117" t="str">
        <f t="shared" si="162"/>
        <v>- churches</v>
      </c>
      <c r="AZ137" s="117" t="str">
        <f t="shared" si="163"/>
        <v>- marian-sites</v>
      </c>
      <c r="BA137" s="117" t="str">
        <f t="shared" si="164"/>
        <v/>
      </c>
      <c r="BB137" s="117" t="str">
        <f t="shared" si="165"/>
        <v/>
      </c>
      <c r="BC137" s="117" t="str">
        <f t="shared" si="166"/>
        <v/>
      </c>
      <c r="BD137" s="117" t="str">
        <f t="shared" si="167"/>
        <v/>
      </c>
      <c r="BE137" s="117" t="str">
        <f t="shared" si="168"/>
        <v/>
      </c>
      <c r="BF137" s="117" t="str">
        <f t="shared" si="169"/>
        <v/>
      </c>
      <c r="BG137" s="117" t="str">
        <f t="shared" si="170"/>
        <v/>
      </c>
      <c r="BH137" s="117" t="str">
        <f t="shared" si="171"/>
        <v/>
      </c>
      <c r="BI137" s="117" t="str">
        <f t="shared" si="172"/>
        <v/>
      </c>
      <c r="BJ137" s="117" t="str">
        <f t="shared" si="173"/>
        <v/>
      </c>
      <c r="BK137" s="117" t="str">
        <f t="shared" si="174"/>
        <v/>
      </c>
      <c r="BL137" s="117" t="str">
        <f t="shared" si="175"/>
        <v xml:space="preserve">tags:
- ph_x000D_
- churches_x000D_
- marian-sites_x000D_
</v>
      </c>
      <c r="BM137" s="120" t="str">
        <f t="shared" si="186"/>
        <v>[Official site](https://www.facebook.com/CaysasayTaal)</v>
      </c>
      <c r="BN137" s="120" t="str">
        <f t="shared" si="187"/>
        <v/>
      </c>
      <c r="BO137" s="120" t="str">
        <f t="shared" si="188"/>
        <v/>
      </c>
      <c r="BP137" s="120" t="str">
        <f t="shared" si="189"/>
        <v/>
      </c>
      <c r="BQ137" s="120" t="str">
        <f t="shared" si="176"/>
        <v xml:space="preserve">* [Official site](https://www.facebook.com/CaysasayTaal)
</v>
      </c>
      <c r="BR137" s="120" t="str">
        <f t="shared" si="177"/>
        <v>[Link](http://www.therealpresence.org/eucharst/misc/BVM/94_CAYSASAY_60x96.pdf)</v>
      </c>
      <c r="BS137" s="120" t="str">
        <f t="shared" si="178"/>
        <v>[Link](http://www.miraclehunter.com/marian_apparitions/approved_apparitions/caysasay/index.html)</v>
      </c>
      <c r="BT137" s="120" t="str">
        <f t="shared" si="179"/>
        <v/>
      </c>
      <c r="BU137" s="120" t="str">
        <f>IF(LEN(_xludf.concat(BR137:BT137))&gt;0,_xludf.concat("| ",BR137," | ",BS137," | ",BT137," |"),"")</f>
        <v>| [Link](http://www.therealpresence.org/eucharst/misc/BVM/94_CAYSASAY_60x96.pdf) | [Link](http://www.miraclehunter.com/marian_apparitions/approved_apparitions/caysasay/index.html) |  |</v>
      </c>
      <c r="BV137" s="117"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81"/>
        <v xml:space="preserve">| </v>
      </c>
      <c r="CK137" s="13" t="str">
        <f t="shared" si="182"/>
        <v xml:space="preserve">| [Caysasay](/places/places\ph-shrine-of-our-lady-of-caysasay) </v>
      </c>
      <c r="CL137" s="13" t="str">
        <f>"| "&amp;IF(AS137,GetTagPage(C137,VLOOKUP(C137,'Country Tags'!C:E,3,)),C137)&amp; " "</f>
        <v xml:space="preserve">| [Philippines](/tags/ph) </v>
      </c>
      <c r="CM137" s="13" t="str">
        <f t="shared" si="183"/>
        <v xml:space="preserve">| 1603 </v>
      </c>
      <c r="CN137" s="13" t="str">
        <f t="shared" si="184"/>
        <v xml:space="preserve">| [Link](/places/places\ph-shrine-of-our-lady-of-caysasay) </v>
      </c>
      <c r="CO137" s="12" t="str">
        <f t="shared" si="18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4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57"/>
        <v>1</v>
      </c>
      <c r="AT138" s="117" t="str">
        <f t="shared" si="158"/>
        <v>title: "Ngome Marian Shrine"</v>
      </c>
      <c r="AU138" s="117" t="str">
        <f t="shared" si="159"/>
        <v>location: {lat: -27.8553490356507, lng: 31.4537879711647}</v>
      </c>
      <c r="AV138" s="117" t="str">
        <f t="shared" si="160"/>
        <v>interest: global</v>
      </c>
      <c r="AW138" s="117" t="str">
        <f>"- "&amp;VLOOKUP(C138,'Country Tags'!C:E,3,)</f>
        <v>- za</v>
      </c>
      <c r="AX138" s="117" t="str">
        <f t="shared" si="161"/>
        <v/>
      </c>
      <c r="AY138" s="117" t="str">
        <f t="shared" si="162"/>
        <v>- churches</v>
      </c>
      <c r="AZ138" s="117" t="str">
        <f t="shared" si="163"/>
        <v>- marian-sites</v>
      </c>
      <c r="BA138" s="117" t="str">
        <f t="shared" si="164"/>
        <v/>
      </c>
      <c r="BB138" s="117" t="str">
        <f t="shared" si="165"/>
        <v>- reinolda-may</v>
      </c>
      <c r="BC138" s="117" t="str">
        <f t="shared" si="166"/>
        <v/>
      </c>
      <c r="BD138" s="117" t="str">
        <f t="shared" si="167"/>
        <v/>
      </c>
      <c r="BE138" s="117" t="str">
        <f t="shared" si="168"/>
        <v/>
      </c>
      <c r="BF138" s="117" t="str">
        <f t="shared" si="169"/>
        <v/>
      </c>
      <c r="BG138" s="117" t="str">
        <f t="shared" si="170"/>
        <v/>
      </c>
      <c r="BH138" s="117" t="str">
        <f t="shared" si="171"/>
        <v/>
      </c>
      <c r="BI138" s="117" t="str">
        <f t="shared" si="172"/>
        <v/>
      </c>
      <c r="BJ138" s="117" t="str">
        <f t="shared" si="173"/>
        <v/>
      </c>
      <c r="BK138" s="117" t="str">
        <f t="shared" si="174"/>
        <v/>
      </c>
      <c r="BL138" s="117" t="str">
        <f t="shared" si="175"/>
        <v xml:space="preserve">tags:
- za_x000D_
- churches_x000D_
- marian-sites_x000D_
- reinolda-may_x000D_
</v>
      </c>
      <c r="BM138" s="120" t="str">
        <f t="shared" si="186"/>
        <v>[Official site](http://www.ngome.co.za/) - Note: website not active at time of writing</v>
      </c>
      <c r="BN138" s="120" t="str">
        <f t="shared" si="187"/>
        <v>[Official Facebook page](https://www.facebook.com/ngomemarianshrine/)</v>
      </c>
      <c r="BO138" s="120" t="str">
        <f t="shared" si="188"/>
        <v/>
      </c>
      <c r="BP138" s="120" t="str">
        <f t="shared" si="189"/>
        <v/>
      </c>
      <c r="BQ138" s="120" t="str">
        <f t="shared" si="176"/>
        <v xml:space="preserve">* [Official site](http://www.ngome.co.za/) - Note: website not active at time of writing
* [Official Facebook page](https://www.facebook.com/ngomemarianshrine/)
</v>
      </c>
      <c r="BR138" s="120" t="str">
        <f t="shared" si="177"/>
        <v>[Link](http://www.therealpresence.org/eucharst/misc/BVM/124_NGOME_140x96.pdf)</v>
      </c>
      <c r="BS138" s="120" t="str">
        <f t="shared" si="178"/>
        <v/>
      </c>
      <c r="BT138" s="120" t="str">
        <f t="shared" si="179"/>
        <v/>
      </c>
      <c r="BU138" s="120" t="str">
        <f>IF(LEN(_xludf.concat(BR138:BT138))&gt;0,_xludf.concat("| ",BR138," | ",BS138," | ",BT138," |"),"")</f>
        <v>| [Link](http://www.therealpresence.org/eucharst/misc/BVM/124_NGOME_140x96.pdf) |  |  |</v>
      </c>
      <c r="BV138" s="117" t="str">
        <f t="shared" si="18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81"/>
        <v>#VALUE!</v>
      </c>
      <c r="CK138" s="13" t="str">
        <f t="shared" si="182"/>
        <v xml:space="preserve">| [Ngome](/places/places\za-ngome-marian-shrine) </v>
      </c>
      <c r="CL138" s="13" t="str">
        <f>"| "&amp;IF(AS138,GetTagPage(C138,VLOOKUP(C138,'Country Tags'!C:E,3,)),C138)&amp; " "</f>
        <v xml:space="preserve">| [South Africa](/tags/za) </v>
      </c>
      <c r="CM138" s="13" t="str">
        <f t="shared" si="183"/>
        <v xml:space="preserve">| 1955-1971 </v>
      </c>
      <c r="CN138" s="13" t="str">
        <f t="shared" si="184"/>
        <v xml:space="preserve">| [Link](/places/places\za-ngome-marian-shrine) </v>
      </c>
      <c r="CO138" s="12" t="e">
        <f t="shared" si="185"/>
        <v>#VALUE!</v>
      </c>
    </row>
    <row r="139" spans="1:93" ht="76.5" x14ac:dyDescent="0.4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57"/>
        <v>1</v>
      </c>
      <c r="AT139" s="117" t="str">
        <f t="shared" si="158"/>
        <v>title: "Catholic National Shrine and Basilica of Our Lady of Walsingham"</v>
      </c>
      <c r="AU139" s="117" t="str">
        <f t="shared" si="159"/>
        <v>location: {lat: 52.8805595538228, lng: 0.852760715341141}</v>
      </c>
      <c r="AV139" s="117" t="str">
        <f t="shared" si="160"/>
        <v>interest: global</v>
      </c>
      <c r="AW139" s="117" t="str">
        <f>"- "&amp;VLOOKUP(C139,'Country Tags'!C:E,3,)</f>
        <v>- gb</v>
      </c>
      <c r="AX139" s="117" t="str">
        <f t="shared" si="161"/>
        <v/>
      </c>
      <c r="AY139" s="117" t="str">
        <f t="shared" si="162"/>
        <v>- churches</v>
      </c>
      <c r="AZ139" s="117" t="str">
        <f t="shared" si="163"/>
        <v>- marian-sites</v>
      </c>
      <c r="BA139" s="117" t="str">
        <f t="shared" si="164"/>
        <v/>
      </c>
      <c r="BB139" s="117" t="str">
        <f t="shared" si="165"/>
        <v/>
      </c>
      <c r="BC139" s="117" t="str">
        <f t="shared" si="166"/>
        <v/>
      </c>
      <c r="BD139" s="117" t="str">
        <f t="shared" si="167"/>
        <v/>
      </c>
      <c r="BE139" s="117" t="str">
        <f t="shared" si="168"/>
        <v/>
      </c>
      <c r="BF139" s="117" t="str">
        <f t="shared" si="169"/>
        <v/>
      </c>
      <c r="BG139" s="117" t="str">
        <f t="shared" si="170"/>
        <v/>
      </c>
      <c r="BH139" s="117" t="str">
        <f t="shared" si="171"/>
        <v/>
      </c>
      <c r="BI139" s="117" t="str">
        <f t="shared" si="172"/>
        <v/>
      </c>
      <c r="BJ139" s="117" t="str">
        <f t="shared" si="173"/>
        <v/>
      </c>
      <c r="BK139" s="117" t="str">
        <f t="shared" si="174"/>
        <v/>
      </c>
      <c r="BL139" s="117" t="str">
        <f t="shared" si="175"/>
        <v xml:space="preserve">tags:
- gb_x000D_
- churches_x000D_
- marian-sites_x000D_
</v>
      </c>
      <c r="BM139" s="120" t="str">
        <f t="shared" si="186"/>
        <v>[Official site](https://www.walsingham.org.uk/)</v>
      </c>
      <c r="BN139" s="120" t="str">
        <f t="shared" si="187"/>
        <v/>
      </c>
      <c r="BO139" s="120" t="str">
        <f t="shared" si="188"/>
        <v/>
      </c>
      <c r="BP139" s="120" t="str">
        <f t="shared" si="189"/>
        <v/>
      </c>
      <c r="BQ139" s="120" t="str">
        <f t="shared" si="176"/>
        <v xml:space="preserve">* [Official site](https://www.walsingham.org.uk/)
</v>
      </c>
      <c r="BR139" s="120" t="str">
        <f t="shared" si="177"/>
        <v>[Link](http://www.therealpresence.org/eucharst/misc/BVM/153_WALSINGHAM_60x96.pdf)</v>
      </c>
      <c r="BS139" s="120" t="str">
        <f t="shared" si="178"/>
        <v>[Link](https://www.miraclehunter.com/marian_apparitions/approved_apparitions/walsingham/index.html)</v>
      </c>
      <c r="BT139" s="120" t="str">
        <f t="shared" si="17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81"/>
        <v xml:space="preserve">| </v>
      </c>
      <c r="CK139" s="13" t="str">
        <f t="shared" si="182"/>
        <v xml:space="preserve">| [Walsingham](/places/places\gb-basilica-of-our-lady-of-walsingham) </v>
      </c>
      <c r="CL139" s="13" t="str">
        <f>"| "&amp;IF(AS139,GetTagPage(C139,VLOOKUP(C139,'Country Tags'!C:E,3,)),C139)&amp; " "</f>
        <v xml:space="preserve">| [United Kingdom](/tags/gb) </v>
      </c>
      <c r="CM139" s="13" t="str">
        <f t="shared" si="183"/>
        <v xml:space="preserve">| 11th Century </v>
      </c>
      <c r="CN139" s="13" t="str">
        <f t="shared" si="184"/>
        <v xml:space="preserve">| [Link](/places/places\gb-basilica-of-our-lady-of-walsingham) </v>
      </c>
      <c r="CO139" s="12" t="str">
        <f t="shared" si="18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4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57"/>
        <v>1</v>
      </c>
      <c r="AT140" s="117" t="str">
        <f t="shared" si="158"/>
        <v>title: "Tyburn Convent"</v>
      </c>
      <c r="AU140" s="117" t="str">
        <f t="shared" si="159"/>
        <v>location: {lat: 51.5129913325463, lng: -0.163508089325755}</v>
      </c>
      <c r="AV140" s="117" t="str">
        <f t="shared" si="160"/>
        <v>interest: regional</v>
      </c>
      <c r="AW140" s="117" t="str">
        <f>"- "&amp;VLOOKUP(C140,'Country Tags'!C:E,3,)</f>
        <v>- gb</v>
      </c>
      <c r="AX140" s="117" t="str">
        <f t="shared" si="161"/>
        <v>- london</v>
      </c>
      <c r="AY140" s="117" t="str">
        <f t="shared" si="162"/>
        <v>- churches</v>
      </c>
      <c r="AZ140" s="117" t="str">
        <f t="shared" si="163"/>
        <v/>
      </c>
      <c r="BA140" s="117" t="str">
        <f t="shared" si="164"/>
        <v>- holy-persons</v>
      </c>
      <c r="BB140" s="117" t="str">
        <f t="shared" si="165"/>
        <v>- english-martyrs</v>
      </c>
      <c r="BC140" s="117" t="str">
        <f t="shared" si="166"/>
        <v/>
      </c>
      <c r="BD140" s="117" t="str">
        <f t="shared" si="167"/>
        <v/>
      </c>
      <c r="BE140" s="117" t="str">
        <f t="shared" si="168"/>
        <v/>
      </c>
      <c r="BF140" s="117" t="str">
        <f t="shared" si="169"/>
        <v/>
      </c>
      <c r="BG140" s="117" t="str">
        <f t="shared" si="170"/>
        <v/>
      </c>
      <c r="BH140" s="117" t="str">
        <f t="shared" si="171"/>
        <v/>
      </c>
      <c r="BI140" s="117" t="str">
        <f t="shared" si="172"/>
        <v/>
      </c>
      <c r="BJ140" s="117" t="str">
        <f t="shared" si="173"/>
        <v/>
      </c>
      <c r="BK140" s="117" t="str">
        <f t="shared" si="174"/>
        <v/>
      </c>
      <c r="BL140" s="117" t="str">
        <f t="shared" si="175"/>
        <v xml:space="preserve">tags:
- gb_x000D_
- london_x000D_
- churches_x000D_
- holy-persons_x000D_
- english-martyrs_x000D_
</v>
      </c>
      <c r="BM140" s="120" t="str">
        <f t="shared" si="186"/>
        <v>[Official site](https://www.tyburnconvent.org.uk)</v>
      </c>
      <c r="BN140" s="120" t="str">
        <f t="shared" si="187"/>
        <v/>
      </c>
      <c r="BO140" s="120" t="str">
        <f t="shared" si="188"/>
        <v/>
      </c>
      <c r="BP140" s="120" t="str">
        <f t="shared" si="189"/>
        <v/>
      </c>
      <c r="BQ140" s="120" t="str">
        <f t="shared" si="176"/>
        <v xml:space="preserve">* [Official site](https://www.tyburnconvent.org.uk)
</v>
      </c>
      <c r="BR140" s="120" t="str">
        <f t="shared" si="177"/>
        <v/>
      </c>
      <c r="BS140" s="120" t="str">
        <f t="shared" si="178"/>
        <v/>
      </c>
      <c r="BT140" s="120" t="str">
        <f t="shared" si="179"/>
        <v/>
      </c>
      <c r="BU140" s="120" t="str">
        <f>IF(LEN(_xludf.concat(BR140:BT140))&gt;0,_xludf.concat("| ",BR140," | ",BS140," | ",BT140," |"),"")</f>
        <v/>
      </c>
      <c r="BV140" s="117" t="str">
        <f t="shared" si="18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81"/>
        <v>#VALUE!</v>
      </c>
      <c r="CK140" s="13" t="str">
        <f t="shared" si="182"/>
        <v xml:space="preserve">| [](/places/places\gb-london-tyburn-convent) </v>
      </c>
      <c r="CL140" s="13" t="str">
        <f>"| "&amp;IF(AS140,GetTagPage(C140,VLOOKUP(C140,'Country Tags'!C:E,3,)),C140)&amp; " "</f>
        <v xml:space="preserve">| [United Kingdom](/tags/gb) </v>
      </c>
      <c r="CM140" s="13" t="str">
        <f t="shared" si="183"/>
        <v xml:space="preserve">|  </v>
      </c>
      <c r="CN140" s="13" t="str">
        <f t="shared" si="184"/>
        <v xml:space="preserve">| [Link](/places/places\gb-london-tyburn-convent) </v>
      </c>
      <c r="CO140" s="12" t="e">
        <f t="shared" si="185"/>
        <v>#VALUE!</v>
      </c>
    </row>
    <row r="141" spans="1:93" ht="25.5" x14ac:dyDescent="0.4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57"/>
        <v>1</v>
      </c>
      <c r="AT141" s="117" t="str">
        <f t="shared" si="158"/>
        <v>title: "Lincoln's Inn"</v>
      </c>
      <c r="AU141" s="117" t="str">
        <f t="shared" si="159"/>
        <v>location: {lat: 51.5160128872822, lng: -0.113407112359035}</v>
      </c>
      <c r="AV141" s="117" t="str">
        <f t="shared" si="160"/>
        <v>interest: local</v>
      </c>
      <c r="AW141" s="117" t="str">
        <f>"- "&amp;VLOOKUP(C141,'Country Tags'!C:E,3,)</f>
        <v>- gb</v>
      </c>
      <c r="AX141" s="117" t="str">
        <f t="shared" si="161"/>
        <v>- london</v>
      </c>
      <c r="AY141" s="117" t="str">
        <f t="shared" si="162"/>
        <v/>
      </c>
      <c r="AZ141" s="117" t="str">
        <f t="shared" si="163"/>
        <v/>
      </c>
      <c r="BA141" s="117" t="str">
        <f t="shared" si="164"/>
        <v>- holy-persons</v>
      </c>
      <c r="BB141" s="117" t="str">
        <f t="shared" si="165"/>
        <v>- thomas-more</v>
      </c>
      <c r="BC141" s="117" t="str">
        <f t="shared" si="166"/>
        <v/>
      </c>
      <c r="BD141" s="117" t="str">
        <f t="shared" si="167"/>
        <v/>
      </c>
      <c r="BE141" s="117" t="str">
        <f t="shared" si="168"/>
        <v/>
      </c>
      <c r="BF141" s="117" t="str">
        <f t="shared" si="169"/>
        <v/>
      </c>
      <c r="BG141" s="117" t="str">
        <f t="shared" si="170"/>
        <v/>
      </c>
      <c r="BH141" s="117" t="str">
        <f t="shared" si="171"/>
        <v/>
      </c>
      <c r="BI141" s="117" t="str">
        <f t="shared" si="172"/>
        <v/>
      </c>
      <c r="BJ141" s="117" t="str">
        <f t="shared" si="173"/>
        <v/>
      </c>
      <c r="BK141" s="117" t="str">
        <f t="shared" si="174"/>
        <v/>
      </c>
      <c r="BL141" s="117" t="str">
        <f t="shared" si="175"/>
        <v xml:space="preserve">tags:
- gb_x000D_
- london_x000D_
- holy-persons_x000D_
- thomas-more_x000D_
</v>
      </c>
      <c r="BM141" s="117" t="str">
        <f t="shared" si="186"/>
        <v>[Official site](https://www.lincolnsinn.org.uk/about-us/the-history-of-the-inn/) - History</v>
      </c>
      <c r="BN141" s="117" t="str">
        <f t="shared" si="187"/>
        <v/>
      </c>
      <c r="BO141" s="117" t="str">
        <f t="shared" si="188"/>
        <v/>
      </c>
      <c r="BP141" s="117" t="str">
        <f t="shared" si="189"/>
        <v/>
      </c>
      <c r="BQ141" s="117" t="str">
        <f t="shared" si="176"/>
        <v xml:space="preserve">* [Official site](https://www.lincolnsinn.org.uk/about-us/the-history-of-the-inn/) - History
</v>
      </c>
      <c r="BR141" s="117" t="str">
        <f t="shared" si="177"/>
        <v/>
      </c>
      <c r="BS141" s="117" t="str">
        <f t="shared" si="178"/>
        <v/>
      </c>
      <c r="BT141" s="117" t="str">
        <f t="shared" si="179"/>
        <v/>
      </c>
      <c r="BU141" s="117" t="str">
        <f>IF(LEN(_xludf.concat(BR141:BT141))&gt;0,_xludf.concat("| ",BR141," | ",BS141," | ",BT141," |"),"")</f>
        <v/>
      </c>
      <c r="BV141" s="117" t="str">
        <f t="shared" si="18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81"/>
        <v>#VALUE!</v>
      </c>
      <c r="CK141" s="12" t="str">
        <f t="shared" si="182"/>
        <v xml:space="preserve">| [](/places/places\gb-london-lincolns-inn) </v>
      </c>
      <c r="CL141" s="12" t="str">
        <f>"| "&amp;IF(AS141,GetTagPage(C141,VLOOKUP(C141,'Country Tags'!C:E,3,)),C141)&amp; " "</f>
        <v xml:space="preserve">| [United Kingdom](/tags/gb) </v>
      </c>
      <c r="CM141" s="12" t="str">
        <f t="shared" si="183"/>
        <v xml:space="preserve">|  </v>
      </c>
      <c r="CN141" s="12" t="str">
        <f t="shared" si="184"/>
        <v xml:space="preserve">| [Link](/places/places\gb-london-lincolns-inn) </v>
      </c>
      <c r="CO141" s="12" t="e">
        <f t="shared" si="185"/>
        <v>#VALUE!</v>
      </c>
    </row>
    <row r="142" spans="1:93" ht="63.75" x14ac:dyDescent="0.4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57"/>
        <v>1</v>
      </c>
      <c r="AT142" s="117" t="str">
        <f t="shared" si="158"/>
        <v>title: "Westminster Hall"</v>
      </c>
      <c r="AU142" s="117" t="str">
        <f t="shared" si="159"/>
        <v>location: {lat: 51.500082458633, lng: -0.125463808057498}</v>
      </c>
      <c r="AV142" s="117" t="str">
        <f t="shared" si="160"/>
        <v>interest: local</v>
      </c>
      <c r="AW142" s="117" t="str">
        <f>"- "&amp;VLOOKUP(C142,'Country Tags'!C:E,3,)</f>
        <v>- gb</v>
      </c>
      <c r="AX142" s="117" t="str">
        <f t="shared" si="161"/>
        <v>- london</v>
      </c>
      <c r="AY142" s="117" t="str">
        <f t="shared" si="162"/>
        <v/>
      </c>
      <c r="AZ142" s="117" t="str">
        <f t="shared" si="163"/>
        <v/>
      </c>
      <c r="BA142" s="117" t="str">
        <f t="shared" si="164"/>
        <v>- holy-persons</v>
      </c>
      <c r="BB142" s="117" t="str">
        <f t="shared" si="165"/>
        <v>- english-martyrs</v>
      </c>
      <c r="BC142" s="117" t="str">
        <f t="shared" si="166"/>
        <v>- thomas-more</v>
      </c>
      <c r="BD142" s="117" t="str">
        <f t="shared" si="167"/>
        <v>- edmund-campion</v>
      </c>
      <c r="BE142" s="117" t="str">
        <f t="shared" si="168"/>
        <v/>
      </c>
      <c r="BF142" s="117" t="str">
        <f t="shared" si="169"/>
        <v/>
      </c>
      <c r="BG142" s="117" t="str">
        <f t="shared" si="170"/>
        <v/>
      </c>
      <c r="BH142" s="117" t="str">
        <f t="shared" si="171"/>
        <v/>
      </c>
      <c r="BI142" s="117" t="str">
        <f t="shared" si="172"/>
        <v/>
      </c>
      <c r="BJ142" s="117" t="str">
        <f t="shared" si="173"/>
        <v/>
      </c>
      <c r="BK142" s="117" t="str">
        <f t="shared" si="174"/>
        <v/>
      </c>
      <c r="BL142" s="117" t="str">
        <f t="shared" si="175"/>
        <v xml:space="preserve">tags:
- gb_x000D_
- london_x000D_
- holy-persons_x000D_
- english-martyrs_x000D_
- thomas-more_x000D_
- edmund-campion_x000D_
</v>
      </c>
      <c r="BM142" s="117" t="str">
        <f t="shared" si="186"/>
        <v>[Official site](https://www.parliament.uk/visiting/visiting-and-tours/)</v>
      </c>
      <c r="BN142" s="117" t="str">
        <f t="shared" si="187"/>
        <v/>
      </c>
      <c r="BO142" s="117" t="str">
        <f t="shared" si="188"/>
        <v/>
      </c>
      <c r="BP142" s="117" t="str">
        <f t="shared" si="189"/>
        <v/>
      </c>
      <c r="BQ142" s="117" t="str">
        <f t="shared" si="176"/>
        <v xml:space="preserve">* [Official site](https://www.parliament.uk/visiting/visiting-and-tours/)
</v>
      </c>
      <c r="BR142" s="117" t="str">
        <f t="shared" si="177"/>
        <v/>
      </c>
      <c r="BS142" s="117" t="str">
        <f t="shared" si="178"/>
        <v/>
      </c>
      <c r="BT142" s="117" t="str">
        <f t="shared" si="179"/>
        <v/>
      </c>
      <c r="BU142" s="117" t="str">
        <f>IF(LEN(_xludf.concat(BR142:BT142))&gt;0,_xludf.concat("| ",BR142," | ",BS142," | ",BT142," |"),"")</f>
        <v/>
      </c>
      <c r="BV142" s="117" t="str">
        <f t="shared" si="18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81"/>
        <v>#VALUE!</v>
      </c>
      <c r="CK142" s="12" t="str">
        <f t="shared" si="182"/>
        <v xml:space="preserve">| [](/places/places\gb-london-westminster-hall) </v>
      </c>
      <c r="CL142" s="12" t="str">
        <f>"| "&amp;IF(AS142,GetTagPage(C142,VLOOKUP(C142,'Country Tags'!C:E,3,)),C142)&amp; " "</f>
        <v xml:space="preserve">| [United Kingdom](/tags/gb) </v>
      </c>
      <c r="CM142" s="12" t="str">
        <f t="shared" si="183"/>
        <v xml:space="preserve">|  </v>
      </c>
      <c r="CN142" s="12" t="str">
        <f t="shared" si="184"/>
        <v xml:space="preserve">| [Link](/places/places\gb-london-westminster-hall) </v>
      </c>
      <c r="CO142" s="12" t="e">
        <f t="shared" si="185"/>
        <v>#VALUE!</v>
      </c>
    </row>
    <row r="143" spans="1:93" ht="25.5" x14ac:dyDescent="0.4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57"/>
        <v>1</v>
      </c>
      <c r="AT143" s="117" t="str">
        <f t="shared" si="158"/>
        <v>title: "Marker of Birth Street of St. Thomas More"</v>
      </c>
      <c r="AU143" s="117" t="str">
        <f t="shared" si="159"/>
        <v>location: {lat: 51.5153128613725, lng: -0.0935019757929467}</v>
      </c>
      <c r="AV143" s="117" t="str">
        <f t="shared" si="160"/>
        <v>interest: local</v>
      </c>
      <c r="AW143" s="117" t="str">
        <f>"- "&amp;VLOOKUP(C143,'Country Tags'!C:E,3,)</f>
        <v>- gb</v>
      </c>
      <c r="AX143" s="117" t="str">
        <f t="shared" si="161"/>
        <v>- london</v>
      </c>
      <c r="AY143" s="117" t="str">
        <f t="shared" si="162"/>
        <v/>
      </c>
      <c r="AZ143" s="117" t="str">
        <f t="shared" si="163"/>
        <v/>
      </c>
      <c r="BA143" s="117" t="str">
        <f t="shared" si="164"/>
        <v>- holy-persons</v>
      </c>
      <c r="BB143" s="117" t="str">
        <f t="shared" si="165"/>
        <v>- thomas-more</v>
      </c>
      <c r="BC143" s="117" t="str">
        <f t="shared" si="166"/>
        <v/>
      </c>
      <c r="BD143" s="117" t="str">
        <f t="shared" si="167"/>
        <v/>
      </c>
      <c r="BE143" s="117" t="str">
        <f t="shared" si="168"/>
        <v/>
      </c>
      <c r="BF143" s="117" t="str">
        <f t="shared" si="169"/>
        <v/>
      </c>
      <c r="BG143" s="117" t="str">
        <f t="shared" si="170"/>
        <v/>
      </c>
      <c r="BH143" s="117" t="str">
        <f t="shared" si="171"/>
        <v/>
      </c>
      <c r="BI143" s="117" t="str">
        <f t="shared" si="172"/>
        <v/>
      </c>
      <c r="BJ143" s="117" t="str">
        <f t="shared" si="173"/>
        <v/>
      </c>
      <c r="BK143" s="117" t="str">
        <f t="shared" si="174"/>
        <v/>
      </c>
      <c r="BL143" s="117" t="str">
        <f t="shared" si="175"/>
        <v xml:space="preserve">tags:
- gb_x000D_
- london_x000D_
- holy-persons_x000D_
- thomas-more_x000D_
</v>
      </c>
      <c r="BM143" s="117" t="str">
        <f t="shared" si="186"/>
        <v/>
      </c>
      <c r="BN143" s="117" t="str">
        <f t="shared" si="187"/>
        <v/>
      </c>
      <c r="BO143" s="117" t="str">
        <f t="shared" si="188"/>
        <v/>
      </c>
      <c r="BP143" s="117" t="str">
        <f t="shared" si="189"/>
        <v/>
      </c>
      <c r="BQ143" s="117" t="str">
        <f t="shared" si="176"/>
        <v/>
      </c>
      <c r="BR143" s="117" t="str">
        <f t="shared" si="177"/>
        <v/>
      </c>
      <c r="BS143" s="117" t="str">
        <f t="shared" si="178"/>
        <v/>
      </c>
      <c r="BT143" s="117" t="str">
        <f t="shared" si="179"/>
        <v/>
      </c>
      <c r="BU143" s="117" t="str">
        <f>IF(LEN(_xludf.concat(BR143:BT143))&gt;0,_xludf.concat("| ",BR143," | ",BS143," | ",BT143," |"),"")</f>
        <v/>
      </c>
      <c r="BV143" s="117" t="str">
        <f t="shared" si="18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81"/>
        <v>#VALUE!</v>
      </c>
      <c r="CK143" s="12" t="str">
        <f t="shared" si="182"/>
        <v xml:space="preserve">| [](/places/places\gb-london-milk-street-thomas-more-plaque) </v>
      </c>
      <c r="CL143" s="12" t="str">
        <f>"| "&amp;IF(AS143,GetTagPage(C143,VLOOKUP(C143,'Country Tags'!C:E,3,)),C143)&amp; " "</f>
        <v xml:space="preserve">| [United Kingdom](/tags/gb) </v>
      </c>
      <c r="CM143" s="12" t="str">
        <f t="shared" si="183"/>
        <v xml:space="preserve">|  </v>
      </c>
      <c r="CN143" s="12" t="str">
        <f t="shared" si="184"/>
        <v xml:space="preserve">| [Link](/places/places\gb-london-milk-street-thomas-more-plaque) </v>
      </c>
      <c r="CO143" s="12" t="e">
        <f t="shared" si="185"/>
        <v>#VALUE!</v>
      </c>
    </row>
    <row r="144" spans="1:93" ht="51" x14ac:dyDescent="0.4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57"/>
        <v>1</v>
      </c>
      <c r="AT144" s="117" t="str">
        <f t="shared" si="158"/>
        <v>title: "Site of Marshalsea Prison"</v>
      </c>
      <c r="AU144" s="117" t="str">
        <f t="shared" si="159"/>
        <v>location: {lat: 51.5017256286454, lng: -0.0921699005100171}</v>
      </c>
      <c r="AV144" s="117" t="str">
        <f t="shared" si="160"/>
        <v>interest: local</v>
      </c>
      <c r="AW144" s="117" t="str">
        <f>"- "&amp;VLOOKUP(C144,'Country Tags'!C:E,3,)</f>
        <v>- gb</v>
      </c>
      <c r="AX144" s="117" t="str">
        <f t="shared" si="161"/>
        <v>- london</v>
      </c>
      <c r="AY144" s="117" t="str">
        <f t="shared" si="162"/>
        <v/>
      </c>
      <c r="AZ144" s="117" t="str">
        <f t="shared" si="163"/>
        <v/>
      </c>
      <c r="BA144" s="117" t="str">
        <f t="shared" si="164"/>
        <v>- holy-persons</v>
      </c>
      <c r="BB144" s="117" t="str">
        <f t="shared" si="165"/>
        <v>- english-martyrs</v>
      </c>
      <c r="BC144" s="117" t="str">
        <f t="shared" si="166"/>
        <v/>
      </c>
      <c r="BD144" s="117" t="str">
        <f t="shared" si="167"/>
        <v/>
      </c>
      <c r="BE144" s="117" t="str">
        <f t="shared" si="168"/>
        <v/>
      </c>
      <c r="BF144" s="117" t="str">
        <f t="shared" si="169"/>
        <v/>
      </c>
      <c r="BG144" s="117" t="str">
        <f t="shared" si="170"/>
        <v/>
      </c>
      <c r="BH144" s="117" t="str">
        <f t="shared" si="171"/>
        <v/>
      </c>
      <c r="BI144" s="117" t="str">
        <f t="shared" si="172"/>
        <v/>
      </c>
      <c r="BJ144" s="117" t="str">
        <f t="shared" si="173"/>
        <v/>
      </c>
      <c r="BK144" s="117" t="str">
        <f t="shared" si="174"/>
        <v/>
      </c>
      <c r="BL144" s="117" t="str">
        <f t="shared" si="175"/>
        <v xml:space="preserve">tags:
- gb_x000D_
- london_x000D_
- holy-persons_x000D_
- english-martyrs_x000D_
</v>
      </c>
      <c r="BM144" s="117" t="str">
        <f t="shared" si="186"/>
        <v/>
      </c>
      <c r="BN144" s="117" t="str">
        <f t="shared" si="187"/>
        <v/>
      </c>
      <c r="BO144" s="117" t="str">
        <f t="shared" si="188"/>
        <v/>
      </c>
      <c r="BP144" s="117" t="str">
        <f t="shared" si="189"/>
        <v/>
      </c>
      <c r="BQ144" s="117" t="str">
        <f t="shared" si="176"/>
        <v/>
      </c>
      <c r="BR144" s="117" t="str">
        <f t="shared" si="177"/>
        <v/>
      </c>
      <c r="BS144" s="117" t="str">
        <f t="shared" si="178"/>
        <v/>
      </c>
      <c r="BT144" s="117" t="str">
        <f t="shared" si="179"/>
        <v/>
      </c>
      <c r="BU144" s="117" t="str">
        <f>IF(LEN(_xludf.concat(BR144:BT144))&gt;0,_xludf.concat("| ",BR144," | ",BS144," | ",BT144," |"),"")</f>
        <v/>
      </c>
      <c r="BV144" s="117" t="str">
        <f t="shared" si="18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81"/>
        <v>#VALUE!</v>
      </c>
      <c r="CK144" s="12" t="str">
        <f t="shared" si="182"/>
        <v xml:space="preserve">| [](/places/places\gb-london-site-of-marshalsea-prison) </v>
      </c>
      <c r="CL144" s="12" t="str">
        <f>"| "&amp;IF(AS144,GetTagPage(C144,VLOOKUP(C144,'Country Tags'!C:E,3,)),C144)&amp; " "</f>
        <v xml:space="preserve">| [United Kingdom](/tags/gb) </v>
      </c>
      <c r="CM144" s="12" t="str">
        <f t="shared" si="183"/>
        <v xml:space="preserve">|  </v>
      </c>
      <c r="CN144" s="12" t="str">
        <f t="shared" si="184"/>
        <v xml:space="preserve">| [Link](/places/places\gb-london-site-of-marshalsea-prison) </v>
      </c>
      <c r="CO144" s="12" t="e">
        <f t="shared" si="185"/>
        <v>#VALUE!</v>
      </c>
    </row>
    <row r="145" spans="1:93" ht="51" x14ac:dyDescent="0.4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57"/>
        <v>1</v>
      </c>
      <c r="AT145" s="117" t="str">
        <f t="shared" si="158"/>
        <v>title: "Corpus Christi Catholic Church"</v>
      </c>
      <c r="AU145" s="117" t="str">
        <f t="shared" si="159"/>
        <v>location: {lat: 51.5109140070444, lng: -0.122552299990965}</v>
      </c>
      <c r="AV145" s="117" t="str">
        <f t="shared" si="160"/>
        <v>interest: local</v>
      </c>
      <c r="AW145" s="117" t="str">
        <f>"- "&amp;VLOOKUP(C145,'Country Tags'!C:E,3,)</f>
        <v>- gb</v>
      </c>
      <c r="AX145" s="117" t="str">
        <f t="shared" si="161"/>
        <v>- london</v>
      </c>
      <c r="AY145" s="117" t="str">
        <f t="shared" si="162"/>
        <v>- churches</v>
      </c>
      <c r="AZ145" s="117" t="str">
        <f t="shared" si="163"/>
        <v/>
      </c>
      <c r="BA145" s="117" t="str">
        <f t="shared" si="164"/>
        <v/>
      </c>
      <c r="BB145" s="117" t="str">
        <f t="shared" si="165"/>
        <v/>
      </c>
      <c r="BC145" s="117" t="str">
        <f t="shared" si="166"/>
        <v/>
      </c>
      <c r="BD145" s="117" t="str">
        <f t="shared" si="167"/>
        <v/>
      </c>
      <c r="BE145" s="117" t="str">
        <f t="shared" si="168"/>
        <v/>
      </c>
      <c r="BF145" s="117" t="str">
        <f t="shared" si="169"/>
        <v/>
      </c>
      <c r="BG145" s="117" t="str">
        <f t="shared" si="170"/>
        <v/>
      </c>
      <c r="BH145" s="117" t="str">
        <f t="shared" si="171"/>
        <v/>
      </c>
      <c r="BI145" s="117" t="str">
        <f t="shared" si="172"/>
        <v/>
      </c>
      <c r="BJ145" s="117" t="str">
        <f t="shared" si="173"/>
        <v/>
      </c>
      <c r="BK145" s="117" t="str">
        <f t="shared" si="174"/>
        <v/>
      </c>
      <c r="BL145" s="117" t="str">
        <f t="shared" si="175"/>
        <v xml:space="preserve">tags:
- gb_x000D_
- london_x000D_
- churches_x000D_
</v>
      </c>
      <c r="BM145" s="117" t="str">
        <f t="shared" si="186"/>
        <v>[Official site](https://corpuschristimaidenlane.org.uk/)</v>
      </c>
      <c r="BN145" s="117" t="str">
        <f t="shared" si="187"/>
        <v/>
      </c>
      <c r="BO145" s="117" t="str">
        <f t="shared" si="188"/>
        <v/>
      </c>
      <c r="BP145" s="117" t="str">
        <f t="shared" si="189"/>
        <v/>
      </c>
      <c r="BQ145" s="117" t="str">
        <f t="shared" si="176"/>
        <v xml:space="preserve">* [Official site](https://corpuschristimaidenlane.org.uk/)
</v>
      </c>
      <c r="BR145" s="117" t="str">
        <f t="shared" si="177"/>
        <v/>
      </c>
      <c r="BS145" s="117" t="str">
        <f t="shared" si="178"/>
        <v/>
      </c>
      <c r="BT145" s="117" t="str">
        <f t="shared" si="179"/>
        <v/>
      </c>
      <c r="BU145" s="117" t="str">
        <f>IF(LEN(_xludf.concat(BR145:BT145))&gt;0,_xludf.concat("| ",BR145," | ",BS145," | ",BT145," |"),"")</f>
        <v/>
      </c>
      <c r="BV145" s="117" t="str">
        <f t="shared" si="18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81"/>
        <v xml:space="preserve">| </v>
      </c>
      <c r="CK145" s="12" t="str">
        <f t="shared" si="182"/>
        <v xml:space="preserve">| [](/places/places\gb-london-corpus-christi-catholic-church) </v>
      </c>
      <c r="CL145" s="12" t="str">
        <f>"| "&amp;IF(AS145,GetTagPage(C145,VLOOKUP(C145,'Country Tags'!C:E,3,)),C145)&amp; " "</f>
        <v xml:space="preserve">| [United Kingdom](/tags/gb) </v>
      </c>
      <c r="CM145" s="12" t="str">
        <f t="shared" si="183"/>
        <v xml:space="preserve">|  </v>
      </c>
      <c r="CN145" s="12" t="str">
        <f t="shared" si="184"/>
        <v xml:space="preserve">| [Link](/places/places\gb-london-corpus-christi-catholic-church) </v>
      </c>
      <c r="CO145" s="12" t="str">
        <f t="shared" si="185"/>
        <v xml:space="preserve">
| [](/places/places\gb-london-corpus-christi-catholic-church) | [United Kingdom](/tags/gb) |  | [Link](/places/places\gb-london-corpus-christi-catholic-church) [Official site](https://corpuschristimaidenlane.org.uk/)| |</v>
      </c>
    </row>
  </sheetData>
  <autoFilter ref="A5:CP141" xr:uid="{1F42FE33-8E3C-4CCA-BACD-45C80E7F4A0D}"/>
  <conditionalFormatting sqref="AJ1:AQ1048576">
    <cfRule type="expression" dxfId="17" priority="108">
      <formula>IF(AND($A1&lt;&gt;0,$K1=0),TRUE,FALSE)</formula>
    </cfRule>
  </conditionalFormatting>
  <conditionalFormatting sqref="A1:AQ1048576">
    <cfRule type="expression" dxfId="3" priority="102" stopIfTrue="1">
      <formula>IF($A1="New (change to Done when complete)",TRUE,FALSE)</formula>
    </cfRule>
    <cfRule type="expression" dxfId="2" priority="103" stopIfTrue="1">
      <formula>IF($A1="Blocked",TRUE,FALSE)</formula>
    </cfRule>
    <cfRule type="expression" dxfId="1" priority="104">
      <formula>IF(AND(LEN($A1)&gt;0,$A1&lt;&gt;"Done",$A1&lt;&gt;"Status"),TRUE,FALSE)</formula>
    </cfRule>
  </conditionalFormatting>
  <conditionalFormatting sqref="B1:AQ1048576">
    <cfRule type="expression" dxfId="0" priority="1">
      <formula>IF(B1=B$1,TRUE,FALSE)</formula>
    </cfRule>
  </conditionalFormatting>
  <dataValidations count="1">
    <dataValidation type="list" allowBlank="1" showInputMessage="1" showErrorMessage="1" sqref="C1:C1048576" xr:uid="{FDC2CDB7-970C-41B0-825B-FE221D5E63BF}">
      <formula1>#REF!</formula1>
    </dataValidation>
  </dataValidations>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H52" activePane="bottomRight" state="frozen"/>
      <selection pane="topRight" activeCell="G1" sqref="G1"/>
      <selection pane="bottomLeft" activeCell="A2" sqref="A2"/>
      <selection pane="bottomRight" activeCell="K70" sqref="K70"/>
    </sheetView>
  </sheetViews>
  <sheetFormatPr defaultColWidth="9.1328125" defaultRowHeight="13.15" x14ac:dyDescent="0.45"/>
  <cols>
    <col min="1" max="1" width="12.86328125" style="129" bestFit="1" customWidth="1"/>
    <col min="2" max="2" width="7.86328125" style="7" customWidth="1"/>
    <col min="3" max="3" width="25.73046875" style="33" bestFit="1" customWidth="1"/>
    <col min="4" max="4" width="48.1328125" style="7" bestFit="1" customWidth="1"/>
    <col min="5" max="5" width="20.86328125" style="33" bestFit="1" customWidth="1"/>
    <col min="6" max="6" width="69" style="7" customWidth="1"/>
    <col min="7" max="7" width="45.59765625" style="7" customWidth="1"/>
    <col min="8" max="8" width="45.59765625" style="33" customWidth="1"/>
    <col min="9" max="9" width="11.59765625" style="1" bestFit="1" customWidth="1"/>
    <col min="10" max="10" width="10.265625" style="1" bestFit="1" customWidth="1"/>
    <col min="11" max="11" width="14.86328125" style="44" bestFit="1" customWidth="1"/>
    <col min="12" max="12" width="11.59765625" style="40" bestFit="1" customWidth="1"/>
    <col min="13" max="13" width="10.265625" style="1" bestFit="1" customWidth="1"/>
    <col min="14" max="14" width="14.86328125" style="44" bestFit="1" customWidth="1"/>
    <col min="15" max="15" width="11.59765625" style="1" bestFit="1" customWidth="1"/>
    <col min="16" max="16" width="10.265625" style="1" bestFit="1" customWidth="1"/>
    <col min="17" max="17" width="14.86328125" style="30" bestFit="1" customWidth="1"/>
    <col min="18" max="18" width="4.59765625" style="121" bestFit="1" customWidth="1"/>
    <col min="19" max="19" width="9" style="116" bestFit="1" customWidth="1"/>
    <col min="20" max="20" width="10.265625" style="117" bestFit="1" customWidth="1"/>
    <col min="21" max="24" width="7.1328125" style="117" customWidth="1"/>
    <col min="25" max="78" width="9.1328125" style="117"/>
    <col min="79" max="79" width="38.73046875" style="6" customWidth="1"/>
    <col min="80" max="80" width="38.73046875" style="14" customWidth="1"/>
    <col min="81" max="16384" width="9.1328125" style="1"/>
  </cols>
  <sheetData>
    <row r="1" spans="1:80" ht="39.4" hidden="1" x14ac:dyDescent="0.4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45">
      <c r="Q2" s="125"/>
    </row>
    <row r="5" spans="1:80" s="47" customFormat="1" ht="26.65" thickBot="1" x14ac:dyDescent="0.5">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4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4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4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4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4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4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4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4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4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4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4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4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4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4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4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4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4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4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4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4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4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4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4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4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4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4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4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4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4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4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4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4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4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70" si="12">IF(OR(A38="Done",A38="In Progress"),TRUE)</f>
        <v>1</v>
      </c>
      <c r="T38" s="117" t="str">
        <f t="shared" ref="T38:T7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7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70" si="19">IF(S38,"tags\"&amp;C38&amp;"\_index.md","")</f>
        <v>tags\miguel-pro\_index.md</v>
      </c>
    </row>
    <row r="39" spans="1:80" x14ac:dyDescent="0.4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4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4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4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4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4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4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4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4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4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4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4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4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4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4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4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4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4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4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4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4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4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4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4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4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4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4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4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4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4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ht="39.4" x14ac:dyDescent="0.45">
      <c r="A69" s="129" t="s">
        <v>1651</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ht="39.4" x14ac:dyDescent="0.45">
      <c r="A70" s="129" t="s">
        <v>1651</v>
      </c>
      <c r="B70" s="156" t="s">
        <v>1654</v>
      </c>
      <c r="C70" s="157" t="s">
        <v>2280</v>
      </c>
      <c r="D70" s="156" t="s">
        <v>2281</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45">
      <c r="C71" s="81"/>
      <c r="D71" s="80"/>
      <c r="F71" s="71"/>
      <c r="I71" s="72"/>
      <c r="K71" s="76"/>
      <c r="CB71" s="6"/>
    </row>
    <row r="72" spans="1:80" x14ac:dyDescent="0.45">
      <c r="C72" s="73"/>
      <c r="D72" s="80"/>
      <c r="E72" s="73"/>
      <c r="F72" s="71"/>
      <c r="I72" s="72"/>
      <c r="CB72" s="6"/>
    </row>
    <row r="73" spans="1:80" x14ac:dyDescent="0.45">
      <c r="C73" s="73"/>
      <c r="D73" s="80"/>
      <c r="F73" s="71"/>
      <c r="G73" s="130"/>
      <c r="H73" s="139"/>
      <c r="I73" s="72"/>
      <c r="CB73" s="6"/>
    </row>
    <row r="74" spans="1:80" x14ac:dyDescent="0.45">
      <c r="C74" s="73"/>
      <c r="D74" s="71"/>
      <c r="F74" s="71"/>
      <c r="I74" s="72"/>
      <c r="CB74" s="6"/>
    </row>
    <row r="75" spans="1:80" x14ac:dyDescent="0.45">
      <c r="C75" s="73"/>
      <c r="D75" s="80"/>
      <c r="F75" s="71"/>
      <c r="G75" s="130"/>
      <c r="H75" s="139"/>
      <c r="I75" s="72"/>
      <c r="L75" s="78"/>
      <c r="CB75" s="6"/>
    </row>
    <row r="76" spans="1:80" x14ac:dyDescent="0.45">
      <c r="C76" s="73"/>
      <c r="D76" s="71"/>
      <c r="E76" s="73"/>
      <c r="F76" s="71"/>
      <c r="CB76" s="6"/>
    </row>
    <row r="77" spans="1:80" x14ac:dyDescent="0.45">
      <c r="D77" s="71"/>
      <c r="E77" s="73"/>
      <c r="F77" s="71"/>
      <c r="CB77" s="6"/>
    </row>
    <row r="78" spans="1:80" x14ac:dyDescent="0.45">
      <c r="F78" s="71"/>
      <c r="G78" s="130"/>
      <c r="H78" s="139"/>
      <c r="CB78" s="6"/>
    </row>
    <row r="79" spans="1:80" x14ac:dyDescent="0.45">
      <c r="C79" s="73"/>
      <c r="D79" s="71"/>
      <c r="E79" s="73"/>
      <c r="F79" s="71"/>
      <c r="CB79" s="6"/>
    </row>
    <row r="80" spans="1:80" x14ac:dyDescent="0.45">
      <c r="C80" s="73"/>
      <c r="D80" s="71"/>
      <c r="E80" s="73"/>
      <c r="F80" s="71"/>
      <c r="CB80" s="6"/>
    </row>
    <row r="81" spans="2:80" x14ac:dyDescent="0.45">
      <c r="C81" s="73"/>
      <c r="D81" s="71"/>
      <c r="E81" s="73"/>
      <c r="F81" s="71"/>
      <c r="I81" s="72"/>
      <c r="CB81" s="6"/>
    </row>
    <row r="82" spans="2:80" x14ac:dyDescent="0.45">
      <c r="C82" s="81"/>
      <c r="D82" s="80"/>
      <c r="E82" s="81"/>
      <c r="F82" s="115"/>
      <c r="CB82" s="6"/>
    </row>
    <row r="83" spans="2:80" x14ac:dyDescent="0.45">
      <c r="D83" s="90"/>
      <c r="F83" s="90"/>
      <c r="G83" s="130"/>
      <c r="H83" s="139"/>
      <c r="CB83" s="6"/>
    </row>
    <row r="84" spans="2:80" x14ac:dyDescent="0.45">
      <c r="D84" s="90"/>
      <c r="F84" s="90"/>
      <c r="CB84" s="6"/>
    </row>
    <row r="85" spans="2:80" x14ac:dyDescent="0.45">
      <c r="B85" s="90"/>
      <c r="C85" s="92"/>
      <c r="D85" s="90"/>
      <c r="E85" s="92"/>
      <c r="F85" s="115"/>
      <c r="CB85" s="6"/>
    </row>
    <row r="86" spans="2:80" x14ac:dyDescent="0.45">
      <c r="B86" s="130"/>
      <c r="C86" s="86"/>
      <c r="D86" s="84"/>
      <c r="F86" s="84"/>
      <c r="CB86" s="6"/>
    </row>
    <row r="87" spans="2:80" x14ac:dyDescent="0.45">
      <c r="B87" s="55"/>
      <c r="C87" s="61"/>
      <c r="E87" s="61"/>
      <c r="F87" s="55"/>
      <c r="I87" s="72"/>
      <c r="K87" s="63"/>
      <c r="CB87" s="6"/>
    </row>
    <row r="88" spans="2:80" x14ac:dyDescent="0.45">
      <c r="B88" s="130"/>
      <c r="E88" s="86"/>
      <c r="I88" s="85"/>
      <c r="L88" s="87"/>
      <c r="N88" s="88"/>
      <c r="CB88" s="6"/>
    </row>
    <row r="89" spans="2:80" x14ac:dyDescent="0.45">
      <c r="E89" s="86"/>
      <c r="F89" s="84"/>
      <c r="CB89" s="6"/>
    </row>
    <row r="90" spans="2:80" x14ac:dyDescent="0.45">
      <c r="E90" s="86"/>
      <c r="CB90" s="6"/>
    </row>
    <row r="91" spans="2:80" x14ac:dyDescent="0.45">
      <c r="E91" s="86"/>
      <c r="CB91" s="6"/>
    </row>
    <row r="92" spans="2:80" x14ac:dyDescent="0.45">
      <c r="E92" s="86"/>
      <c r="CB92" s="6"/>
    </row>
    <row r="93" spans="2:80" x14ac:dyDescent="0.45">
      <c r="E93" s="86"/>
      <c r="CB93" s="6"/>
    </row>
    <row r="94" spans="2:80" x14ac:dyDescent="0.45">
      <c r="CB94" s="6"/>
    </row>
    <row r="95" spans="2:80" x14ac:dyDescent="0.45">
      <c r="E95" s="86"/>
      <c r="CB95" s="6"/>
    </row>
    <row r="96" spans="2:80" x14ac:dyDescent="0.45">
      <c r="CB96" s="6"/>
    </row>
    <row r="97" spans="2:80" x14ac:dyDescent="0.45">
      <c r="CB97" s="6"/>
    </row>
    <row r="98" spans="2:80" x14ac:dyDescent="0.45">
      <c r="E98" s="86"/>
      <c r="F98" s="84"/>
      <c r="CB98" s="6"/>
    </row>
    <row r="99" spans="2:80" x14ac:dyDescent="0.45">
      <c r="CB99" s="6"/>
    </row>
    <row r="100" spans="2:80" x14ac:dyDescent="0.45">
      <c r="E100" s="86"/>
      <c r="CB100" s="6"/>
    </row>
    <row r="101" spans="2:80" x14ac:dyDescent="0.45">
      <c r="CB101" s="6"/>
    </row>
    <row r="102" spans="2:80" x14ac:dyDescent="0.45">
      <c r="CB102" s="6"/>
    </row>
    <row r="103" spans="2:80" x14ac:dyDescent="0.45">
      <c r="E103" s="86"/>
      <c r="CB103" s="6"/>
    </row>
    <row r="104" spans="2:80" x14ac:dyDescent="0.45">
      <c r="E104" s="86"/>
      <c r="CB104" s="6"/>
    </row>
    <row r="105" spans="2:80" x14ac:dyDescent="0.45">
      <c r="E105" s="86"/>
      <c r="F105" s="84"/>
      <c r="CB105" s="6"/>
    </row>
    <row r="106" spans="2:80" x14ac:dyDescent="0.45">
      <c r="CB106" s="6"/>
    </row>
    <row r="107" spans="2:80" x14ac:dyDescent="0.45">
      <c r="D107" s="84"/>
      <c r="E107" s="86"/>
      <c r="CB107" s="6"/>
    </row>
    <row r="108" spans="2:80" x14ac:dyDescent="0.45">
      <c r="F108" s="84"/>
      <c r="CB108" s="6"/>
    </row>
    <row r="109" spans="2:80" x14ac:dyDescent="0.45">
      <c r="B109" s="130"/>
      <c r="C109" s="61"/>
      <c r="E109" s="61"/>
      <c r="F109" s="55"/>
      <c r="CB109" s="6"/>
    </row>
    <row r="110" spans="2:80" x14ac:dyDescent="0.45">
      <c r="B110" s="130"/>
      <c r="C110" s="61"/>
      <c r="E110" s="61"/>
      <c r="F110" s="55"/>
      <c r="I110" s="72"/>
      <c r="K110" s="63"/>
      <c r="CB110" s="6"/>
    </row>
    <row r="111" spans="2:80" x14ac:dyDescent="0.45">
      <c r="B111" s="130"/>
      <c r="C111" s="61"/>
      <c r="E111" s="61"/>
      <c r="F111" s="55"/>
      <c r="I111" s="62"/>
      <c r="K111" s="63"/>
      <c r="L111" s="75"/>
      <c r="N111" s="63"/>
      <c r="CB111" s="6"/>
    </row>
    <row r="112" spans="2:80" x14ac:dyDescent="0.45">
      <c r="B112" s="130"/>
      <c r="D112" s="55"/>
      <c r="F112" s="55"/>
      <c r="L112" s="75"/>
      <c r="CB112" s="6"/>
    </row>
    <row r="113" spans="2:80" x14ac:dyDescent="0.45">
      <c r="B113" s="130"/>
      <c r="C113" s="61"/>
      <c r="D113" s="55"/>
      <c r="E113" s="61"/>
      <c r="CB113" s="6"/>
    </row>
    <row r="114" spans="2:80" x14ac:dyDescent="0.45">
      <c r="C114" s="61"/>
      <c r="E114" s="61"/>
      <c r="CB114" s="6"/>
    </row>
    <row r="115" spans="2:80" x14ac:dyDescent="0.45">
      <c r="B115" s="55"/>
      <c r="C115" s="61"/>
      <c r="D115" s="55"/>
      <c r="F115" s="55"/>
      <c r="CB115" s="6"/>
    </row>
    <row r="116" spans="2:80" x14ac:dyDescent="0.45">
      <c r="B116" s="130"/>
      <c r="C116" s="61"/>
      <c r="D116" s="55"/>
      <c r="E116" s="61"/>
      <c r="I116" s="62"/>
      <c r="K116" s="63"/>
      <c r="CB116" s="6"/>
    </row>
    <row r="117" spans="2:80" x14ac:dyDescent="0.45">
      <c r="D117" s="55"/>
      <c r="E117" s="61"/>
      <c r="F117" s="55"/>
      <c r="G117" s="130"/>
      <c r="H117" s="139"/>
      <c r="CB117" s="6"/>
    </row>
    <row r="118" spans="2:80" x14ac:dyDescent="0.45">
      <c r="E118" s="61"/>
      <c r="F118" s="55"/>
      <c r="I118" s="62"/>
      <c r="K118" s="63"/>
      <c r="CB118" s="6"/>
    </row>
    <row r="119" spans="2:80" x14ac:dyDescent="0.45">
      <c r="D119" s="55"/>
      <c r="E119" s="61"/>
      <c r="F119" s="55"/>
      <c r="I119" s="62"/>
      <c r="J119" s="62"/>
      <c r="K119" s="63"/>
      <c r="L119" s="65"/>
      <c r="N119" s="63"/>
      <c r="CB119" s="6"/>
    </row>
    <row r="120" spans="2:80" x14ac:dyDescent="0.45">
      <c r="E120" s="61"/>
      <c r="F120" s="55"/>
      <c r="I120" s="62"/>
      <c r="K120" s="63"/>
      <c r="CB120" s="6"/>
    </row>
    <row r="121" spans="2:80" x14ac:dyDescent="0.45">
      <c r="D121" s="55"/>
      <c r="E121" s="61"/>
      <c r="F121" s="55"/>
      <c r="I121" s="62"/>
      <c r="K121" s="66"/>
      <c r="L121" s="67"/>
      <c r="M121" s="62"/>
      <c r="N121" s="66"/>
      <c r="P121" s="62"/>
      <c r="Q121" s="70"/>
      <c r="CB121" s="6"/>
    </row>
    <row r="122" spans="2:80" x14ac:dyDescent="0.45">
      <c r="D122" s="55"/>
      <c r="E122" s="61"/>
      <c r="F122" s="55"/>
      <c r="I122" s="62"/>
      <c r="K122" s="63"/>
      <c r="L122" s="65"/>
      <c r="N122" s="63"/>
      <c r="O122" s="62"/>
      <c r="P122" s="64"/>
      <c r="Q122" s="70"/>
      <c r="CB122" s="6"/>
    </row>
    <row r="123" spans="2:80" x14ac:dyDescent="0.45">
      <c r="D123" s="55"/>
      <c r="E123" s="61"/>
      <c r="F123" s="55"/>
      <c r="K123" s="63"/>
      <c r="CB123" s="6"/>
    </row>
    <row r="124" spans="2:80" x14ac:dyDescent="0.45">
      <c r="D124" s="55"/>
      <c r="E124" s="61"/>
      <c r="F124" s="55"/>
      <c r="K124" s="63"/>
      <c r="N124" s="63"/>
      <c r="CB124" s="6"/>
    </row>
    <row r="125" spans="2:80" x14ac:dyDescent="0.45">
      <c r="E125" s="61"/>
      <c r="F125" s="55"/>
      <c r="I125" s="62"/>
      <c r="K125" s="63"/>
      <c r="CB125" s="6"/>
    </row>
    <row r="126" spans="2:80" x14ac:dyDescent="0.45">
      <c r="D126" s="55"/>
      <c r="E126" s="61"/>
      <c r="F126" s="55"/>
      <c r="K126" s="63"/>
      <c r="CB126" s="6"/>
    </row>
    <row r="127" spans="2:80" x14ac:dyDescent="0.45">
      <c r="B127" s="130"/>
      <c r="D127" s="94"/>
      <c r="E127" s="96"/>
      <c r="F127" s="98"/>
      <c r="CB127" s="6"/>
    </row>
    <row r="128" spans="2:80" x14ac:dyDescent="0.45">
      <c r="G128" s="130"/>
      <c r="H128" s="139"/>
      <c r="U128" s="120"/>
      <c r="V128" s="120"/>
      <c r="W128" s="120"/>
      <c r="X128" s="120"/>
      <c r="CB128" s="6"/>
    </row>
    <row r="129" spans="2:80" x14ac:dyDescent="0.45">
      <c r="B129" s="130"/>
      <c r="D129" s="94"/>
      <c r="E129" s="101"/>
      <c r="F129" s="102"/>
      <c r="G129" s="130"/>
      <c r="H129" s="139"/>
      <c r="K129" s="100"/>
      <c r="CB129" s="6"/>
    </row>
    <row r="130" spans="2:80" x14ac:dyDescent="0.45">
      <c r="U130" s="120"/>
      <c r="V130" s="120"/>
      <c r="W130" s="120"/>
      <c r="X130" s="120"/>
      <c r="CB130" s="6"/>
    </row>
    <row r="131" spans="2:80" x14ac:dyDescent="0.45">
      <c r="D131" s="10"/>
      <c r="F131" s="10"/>
      <c r="U131" s="120"/>
      <c r="V131" s="120"/>
      <c r="W131" s="120"/>
      <c r="X131" s="120"/>
      <c r="CB131" s="6"/>
    </row>
    <row r="132" spans="2:80" x14ac:dyDescent="0.45">
      <c r="B132" s="26"/>
      <c r="C132" s="61"/>
      <c r="D132" s="26"/>
      <c r="E132" s="38"/>
      <c r="F132" s="26"/>
      <c r="G132" s="130"/>
      <c r="H132" s="139"/>
      <c r="U132" s="120"/>
      <c r="V132" s="120"/>
      <c r="W132" s="120"/>
      <c r="X132" s="120"/>
      <c r="CB132" s="6"/>
    </row>
    <row r="133" spans="2:80" x14ac:dyDescent="0.45">
      <c r="D133" s="23"/>
      <c r="E133" s="34"/>
      <c r="F133" s="23"/>
      <c r="U133" s="120"/>
      <c r="V133" s="120"/>
      <c r="W133" s="120"/>
      <c r="X133" s="120"/>
      <c r="CB133" s="6"/>
    </row>
    <row r="134" spans="2:80" x14ac:dyDescent="0.45">
      <c r="C134" s="38"/>
      <c r="U134" s="120"/>
      <c r="V134" s="120"/>
      <c r="W134" s="120"/>
      <c r="X134" s="120"/>
      <c r="CB134" s="6"/>
    </row>
    <row r="135" spans="2:80" x14ac:dyDescent="0.45">
      <c r="E135" s="34"/>
      <c r="U135" s="120"/>
      <c r="V135" s="120"/>
      <c r="W135" s="120"/>
      <c r="X135" s="120"/>
      <c r="CB135" s="6"/>
    </row>
    <row r="136" spans="2:80" x14ac:dyDescent="0.45">
      <c r="G136" s="130"/>
      <c r="H136" s="139"/>
      <c r="U136" s="120"/>
      <c r="V136" s="120"/>
      <c r="W136" s="120"/>
      <c r="X136" s="120"/>
      <c r="CB136" s="6"/>
    </row>
    <row r="137" spans="2:80" x14ac:dyDescent="0.45">
      <c r="G137" s="130"/>
      <c r="H137" s="139"/>
      <c r="U137" s="120"/>
      <c r="V137" s="120"/>
      <c r="W137" s="120"/>
      <c r="X137" s="120"/>
      <c r="CB137" s="6"/>
    </row>
    <row r="138" spans="2:80" x14ac:dyDescent="0.45">
      <c r="G138" s="10"/>
      <c r="H138" s="35"/>
      <c r="U138" s="120"/>
      <c r="V138" s="120"/>
      <c r="W138" s="120"/>
      <c r="X138" s="120"/>
      <c r="CB138" s="6"/>
    </row>
    <row r="139" spans="2:80" x14ac:dyDescent="0.45">
      <c r="U139" s="120"/>
      <c r="V139" s="120"/>
      <c r="W139" s="120"/>
      <c r="X139" s="120"/>
      <c r="CB139" s="6"/>
    </row>
    <row r="140" spans="2:80" x14ac:dyDescent="0.45">
      <c r="D140" s="15"/>
      <c r="E140" s="37"/>
      <c r="F140" s="28"/>
      <c r="U140" s="120"/>
      <c r="V140" s="120"/>
      <c r="W140" s="120"/>
      <c r="X140" s="120"/>
      <c r="CB140" s="6"/>
    </row>
    <row r="141" spans="2:80" x14ac:dyDescent="0.4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5" priority="3" stopIfTrue="1">
      <formula>IF($A1="New (change to Done when complete)",TRUE,FALSE)</formula>
    </cfRule>
    <cfRule type="expression" dxfId="14" priority="4" stopIfTrue="1">
      <formula>IF($A1="Blocked",TRUE,FALSE)</formula>
    </cfRule>
    <cfRule type="expression" dxfId="13" priority="5">
      <formula>IF(AND(LEN($A1)&gt;0,$A1&lt;&gt;"Done",$A1&lt;&gt;"Status"),TRUE,FALSE)</formula>
    </cfRule>
  </conditionalFormatting>
  <conditionalFormatting sqref="B1:Q1048576">
    <cfRule type="expression" dxfId="12"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11" activePane="bottomRight" state="frozen"/>
      <selection pane="topRight" activeCell="G1" sqref="G1"/>
      <selection pane="bottomLeft" activeCell="A2" sqref="A2"/>
      <selection pane="bottomRight" activeCell="A2" sqref="A2"/>
    </sheetView>
  </sheetViews>
  <sheetFormatPr defaultColWidth="9.1328125" defaultRowHeight="13.15" x14ac:dyDescent="0.45"/>
  <cols>
    <col min="1" max="1" width="12.86328125" style="129" bestFit="1" customWidth="1"/>
    <col min="2" max="2" width="7.86328125" style="7" customWidth="1"/>
    <col min="3" max="3" width="25.73046875" style="33" bestFit="1" customWidth="1"/>
    <col min="4" max="4" width="48.1328125" style="7" bestFit="1" customWidth="1"/>
    <col min="5" max="5" width="20.86328125" style="33" bestFit="1" customWidth="1"/>
    <col min="6" max="6" width="69" style="7" customWidth="1"/>
    <col min="7" max="7" width="45.59765625" style="7" customWidth="1"/>
    <col min="8" max="8" width="45.59765625" style="33" customWidth="1"/>
    <col min="9" max="9" width="11.59765625" style="1" bestFit="1" customWidth="1"/>
    <col min="10" max="10" width="10.265625" style="1" bestFit="1" customWidth="1"/>
    <col min="11" max="11" width="14.86328125" style="44" bestFit="1" customWidth="1"/>
    <col min="12" max="12" width="11.59765625" style="40" bestFit="1" customWidth="1"/>
    <col min="13" max="13" width="10.265625" style="1" bestFit="1" customWidth="1"/>
    <col min="14" max="14" width="14.86328125" style="44" bestFit="1" customWidth="1"/>
    <col min="15" max="15" width="11.59765625" style="1" bestFit="1" customWidth="1"/>
    <col min="16" max="16" width="10.265625" style="1" bestFit="1" customWidth="1"/>
    <col min="17" max="17" width="14.86328125" style="30" bestFit="1" customWidth="1"/>
    <col min="18" max="18" width="4.59765625" style="121" bestFit="1" customWidth="1"/>
    <col min="19" max="19" width="9" style="116" bestFit="1" customWidth="1"/>
    <col min="20" max="20" width="10.265625" style="117" bestFit="1" customWidth="1"/>
    <col min="21" max="24" width="7.1328125" style="117" customWidth="1"/>
    <col min="25" max="78" width="9.1328125" style="117"/>
    <col min="79" max="79" width="38.73046875" style="6" customWidth="1"/>
    <col min="80" max="80" width="38.73046875" style="14" customWidth="1"/>
    <col min="81" max="16384" width="9.1328125" style="1"/>
  </cols>
  <sheetData>
    <row r="1" spans="1:80" ht="39.4" hidden="1" x14ac:dyDescent="0.4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45">
      <c r="Q2" s="125"/>
    </row>
    <row r="5" spans="1:80" s="47" customFormat="1" ht="26.65" thickBot="1" x14ac:dyDescent="0.5">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4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4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4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4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4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4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4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4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4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4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4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4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4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4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4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4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4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4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4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4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4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4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39.4" x14ac:dyDescent="0.4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39.4" x14ac:dyDescent="0.4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39.4" x14ac:dyDescent="0.4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39.4" x14ac:dyDescent="0.4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39.4" x14ac:dyDescent="0.4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39.4" x14ac:dyDescent="0.4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39.4" x14ac:dyDescent="0.4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39.4" x14ac:dyDescent="0.4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39.4" x14ac:dyDescent="0.4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39.4" x14ac:dyDescent="0.4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39.4" x14ac:dyDescent="0.4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39.4" x14ac:dyDescent="0.4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39.4" x14ac:dyDescent="0.4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39.4" x14ac:dyDescent="0.4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39.4" x14ac:dyDescent="0.4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39.4" x14ac:dyDescent="0.4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39.4" x14ac:dyDescent="0.4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39.4" x14ac:dyDescent="0.4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39.4" x14ac:dyDescent="0.4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39.4" x14ac:dyDescent="0.4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39.4" x14ac:dyDescent="0.4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39.4" x14ac:dyDescent="0.4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39.4" x14ac:dyDescent="0.4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39.4" x14ac:dyDescent="0.4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39.4" x14ac:dyDescent="0.4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39.4" x14ac:dyDescent="0.4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39.4" x14ac:dyDescent="0.4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45">
      <c r="C55" s="73"/>
      <c r="D55" s="71"/>
      <c r="F55" s="71"/>
      <c r="U55" s="120"/>
      <c r="V55" s="120"/>
      <c r="W55" s="120"/>
      <c r="X55" s="120"/>
      <c r="CB55" s="6"/>
    </row>
    <row r="56" spans="1:80" x14ac:dyDescent="0.45">
      <c r="C56" s="73"/>
      <c r="D56" s="71"/>
      <c r="E56" s="73"/>
      <c r="F56" s="71"/>
      <c r="I56" s="72"/>
      <c r="K56" s="76"/>
      <c r="U56" s="120"/>
      <c r="V56" s="120"/>
      <c r="W56" s="120"/>
      <c r="X56" s="120"/>
      <c r="CB56" s="6"/>
    </row>
    <row r="57" spans="1:80" x14ac:dyDescent="0.45">
      <c r="C57" s="73"/>
      <c r="D57" s="71"/>
      <c r="E57" s="139"/>
      <c r="F57" s="71"/>
      <c r="U57" s="120"/>
      <c r="V57" s="120"/>
      <c r="W57" s="120"/>
      <c r="X57" s="120"/>
      <c r="CB57" s="6"/>
    </row>
    <row r="58" spans="1:80" x14ac:dyDescent="0.45">
      <c r="B58" s="130"/>
      <c r="C58" s="73"/>
      <c r="D58" s="80"/>
      <c r="E58" s="73"/>
      <c r="F58" s="71"/>
      <c r="I58" s="72"/>
      <c r="U58" s="120"/>
      <c r="V58" s="120"/>
      <c r="W58" s="120"/>
      <c r="X58" s="120"/>
      <c r="CB58" s="6"/>
    </row>
    <row r="59" spans="1:80" x14ac:dyDescent="0.45">
      <c r="E59" s="61"/>
      <c r="F59" s="55"/>
      <c r="U59" s="120"/>
      <c r="V59" s="120"/>
      <c r="W59" s="120"/>
      <c r="X59" s="120"/>
      <c r="CB59" s="6"/>
    </row>
    <row r="60" spans="1:80" x14ac:dyDescent="0.45">
      <c r="D60" s="55"/>
      <c r="E60" s="61"/>
      <c r="F60" s="55"/>
      <c r="G60" s="130"/>
      <c r="H60" s="139"/>
      <c r="U60" s="120"/>
      <c r="V60" s="120"/>
      <c r="W60" s="120"/>
      <c r="X60" s="120"/>
      <c r="CB60" s="6"/>
    </row>
    <row r="61" spans="1:80" x14ac:dyDescent="0.45">
      <c r="U61" s="120"/>
      <c r="V61" s="120"/>
      <c r="W61" s="120"/>
      <c r="X61" s="120"/>
      <c r="CB61" s="6"/>
    </row>
    <row r="62" spans="1:80" x14ac:dyDescent="0.45">
      <c r="F62" s="23"/>
      <c r="G62" s="130"/>
      <c r="H62" s="139"/>
      <c r="U62" s="120"/>
      <c r="V62" s="120"/>
      <c r="W62" s="120"/>
      <c r="X62" s="120"/>
      <c r="CB62" s="6"/>
    </row>
    <row r="63" spans="1:80" x14ac:dyDescent="0.45">
      <c r="U63" s="120"/>
      <c r="V63" s="120"/>
      <c r="W63" s="120"/>
      <c r="X63" s="120"/>
      <c r="CB63" s="6"/>
    </row>
    <row r="64" spans="1:80" x14ac:dyDescent="0.45">
      <c r="C64" s="73"/>
      <c r="D64" s="71"/>
      <c r="F64" s="71"/>
      <c r="I64" s="72"/>
      <c r="K64" s="76"/>
      <c r="L64" s="75"/>
      <c r="O64" s="74"/>
      <c r="U64" s="120"/>
      <c r="V64" s="120"/>
      <c r="W64" s="120"/>
      <c r="X64" s="120"/>
      <c r="CB64" s="6"/>
    </row>
    <row r="65" spans="2:80" x14ac:dyDescent="0.45">
      <c r="B65" s="130"/>
      <c r="C65" s="61"/>
      <c r="D65" s="55"/>
      <c r="E65" s="139"/>
      <c r="F65" s="130"/>
      <c r="G65" s="130"/>
      <c r="H65" s="139"/>
      <c r="I65" s="132"/>
      <c r="U65" s="120"/>
      <c r="V65" s="120"/>
      <c r="W65" s="120"/>
      <c r="X65" s="120"/>
      <c r="CB65" s="6"/>
    </row>
    <row r="66" spans="2:80" x14ac:dyDescent="0.45">
      <c r="D66" s="55"/>
      <c r="E66" s="61"/>
      <c r="F66" s="130"/>
      <c r="G66" s="130"/>
      <c r="H66" s="139"/>
      <c r="I66" s="132"/>
      <c r="U66" s="120"/>
      <c r="V66" s="120"/>
      <c r="W66" s="120"/>
      <c r="X66" s="120"/>
      <c r="CB66" s="6"/>
    </row>
    <row r="67" spans="2:80" x14ac:dyDescent="0.45">
      <c r="B67" s="130"/>
      <c r="C67" s="139"/>
      <c r="D67" s="130"/>
      <c r="E67" s="139"/>
      <c r="F67" s="130"/>
      <c r="I67" s="132"/>
      <c r="K67" s="133"/>
      <c r="CB67" s="6"/>
    </row>
    <row r="68" spans="2:80" x14ac:dyDescent="0.45">
      <c r="C68" s="73"/>
      <c r="D68" s="80"/>
      <c r="F68" s="71"/>
      <c r="I68" s="72"/>
      <c r="K68" s="76"/>
      <c r="L68" s="75"/>
      <c r="N68" s="77"/>
      <c r="O68" s="74"/>
      <c r="CB68" s="6"/>
    </row>
    <row r="69" spans="2:80" x14ac:dyDescent="0.45">
      <c r="C69" s="73"/>
      <c r="D69" s="80"/>
      <c r="F69" s="71"/>
      <c r="I69" s="72"/>
      <c r="K69" s="76"/>
      <c r="CB69" s="6"/>
    </row>
    <row r="70" spans="2:80" x14ac:dyDescent="0.45">
      <c r="C70" s="73"/>
      <c r="D70" s="71"/>
      <c r="F70" s="71"/>
      <c r="I70" s="72"/>
      <c r="K70" s="76"/>
      <c r="L70" s="75"/>
      <c r="N70" s="76"/>
      <c r="CB70" s="6"/>
    </row>
    <row r="71" spans="2:80" x14ac:dyDescent="0.45">
      <c r="C71" s="81"/>
      <c r="D71" s="80"/>
      <c r="F71" s="71"/>
      <c r="I71" s="72"/>
      <c r="K71" s="76"/>
      <c r="CB71" s="6"/>
    </row>
    <row r="72" spans="2:80" x14ac:dyDescent="0.45">
      <c r="C72" s="73"/>
      <c r="D72" s="80"/>
      <c r="E72" s="73"/>
      <c r="F72" s="71"/>
      <c r="I72" s="72"/>
      <c r="CB72" s="6"/>
    </row>
    <row r="73" spans="2:80" x14ac:dyDescent="0.45">
      <c r="C73" s="73"/>
      <c r="D73" s="80"/>
      <c r="F73" s="71"/>
      <c r="G73" s="130"/>
      <c r="H73" s="139"/>
      <c r="I73" s="72"/>
      <c r="CB73" s="6"/>
    </row>
    <row r="74" spans="2:80" x14ac:dyDescent="0.45">
      <c r="C74" s="73"/>
      <c r="D74" s="71"/>
      <c r="F74" s="71"/>
      <c r="I74" s="72"/>
      <c r="CB74" s="6"/>
    </row>
    <row r="75" spans="2:80" x14ac:dyDescent="0.45">
      <c r="C75" s="73"/>
      <c r="D75" s="80"/>
      <c r="F75" s="71"/>
      <c r="G75" s="130"/>
      <c r="H75" s="139"/>
      <c r="I75" s="72"/>
      <c r="L75" s="78"/>
      <c r="CB75" s="6"/>
    </row>
    <row r="76" spans="2:80" x14ac:dyDescent="0.45">
      <c r="C76" s="73"/>
      <c r="D76" s="71"/>
      <c r="E76" s="73"/>
      <c r="F76" s="71"/>
      <c r="CB76" s="6"/>
    </row>
    <row r="77" spans="2:80" x14ac:dyDescent="0.45">
      <c r="D77" s="71"/>
      <c r="E77" s="73"/>
      <c r="F77" s="71"/>
      <c r="CB77" s="6"/>
    </row>
    <row r="78" spans="2:80" x14ac:dyDescent="0.45">
      <c r="F78" s="71"/>
      <c r="G78" s="130"/>
      <c r="H78" s="139"/>
      <c r="CB78" s="6"/>
    </row>
    <row r="79" spans="2:80" x14ac:dyDescent="0.45">
      <c r="C79" s="73"/>
      <c r="D79" s="71"/>
      <c r="E79" s="73"/>
      <c r="F79" s="71"/>
      <c r="CB79" s="6"/>
    </row>
    <row r="80" spans="2:80" x14ac:dyDescent="0.45">
      <c r="C80" s="73"/>
      <c r="D80" s="71"/>
      <c r="E80" s="73"/>
      <c r="F80" s="71"/>
      <c r="CB80" s="6"/>
    </row>
    <row r="81" spans="2:80" x14ac:dyDescent="0.45">
      <c r="C81" s="73"/>
      <c r="D81" s="71"/>
      <c r="E81" s="73"/>
      <c r="F81" s="71"/>
      <c r="I81" s="72"/>
      <c r="CB81" s="6"/>
    </row>
    <row r="82" spans="2:80" x14ac:dyDescent="0.45">
      <c r="C82" s="81"/>
      <c r="D82" s="80"/>
      <c r="E82" s="81"/>
      <c r="F82" s="115"/>
      <c r="CB82" s="6"/>
    </row>
    <row r="83" spans="2:80" x14ac:dyDescent="0.45">
      <c r="D83" s="90"/>
      <c r="F83" s="90"/>
      <c r="G83" s="130"/>
      <c r="H83" s="139"/>
      <c r="CB83" s="6"/>
    </row>
    <row r="84" spans="2:80" x14ac:dyDescent="0.45">
      <c r="D84" s="90"/>
      <c r="F84" s="90"/>
      <c r="CB84" s="6"/>
    </row>
    <row r="85" spans="2:80" x14ac:dyDescent="0.45">
      <c r="B85" s="90"/>
      <c r="C85" s="92"/>
      <c r="D85" s="90"/>
      <c r="E85" s="92"/>
      <c r="F85" s="115"/>
      <c r="CB85" s="6"/>
    </row>
    <row r="86" spans="2:80" x14ac:dyDescent="0.45">
      <c r="B86" s="130"/>
      <c r="C86" s="86"/>
      <c r="D86" s="84"/>
      <c r="F86" s="84"/>
      <c r="CB86" s="6"/>
    </row>
    <row r="87" spans="2:80" x14ac:dyDescent="0.45">
      <c r="B87" s="55"/>
      <c r="C87" s="61"/>
      <c r="E87" s="61"/>
      <c r="F87" s="55"/>
      <c r="I87" s="72"/>
      <c r="K87" s="63"/>
      <c r="CB87" s="6"/>
    </row>
    <row r="88" spans="2:80" x14ac:dyDescent="0.45">
      <c r="B88" s="130"/>
      <c r="E88" s="86"/>
      <c r="I88" s="85"/>
      <c r="L88" s="87"/>
      <c r="N88" s="88"/>
      <c r="CB88" s="6"/>
    </row>
    <row r="89" spans="2:80" x14ac:dyDescent="0.45">
      <c r="E89" s="86"/>
      <c r="F89" s="84"/>
      <c r="CB89" s="6"/>
    </row>
    <row r="90" spans="2:80" x14ac:dyDescent="0.45">
      <c r="E90" s="86"/>
      <c r="CB90" s="6"/>
    </row>
    <row r="91" spans="2:80" x14ac:dyDescent="0.45">
      <c r="E91" s="86"/>
      <c r="CB91" s="6"/>
    </row>
    <row r="92" spans="2:80" x14ac:dyDescent="0.45">
      <c r="E92" s="86"/>
      <c r="CB92" s="6"/>
    </row>
    <row r="93" spans="2:80" x14ac:dyDescent="0.45">
      <c r="E93" s="86"/>
      <c r="CB93" s="6"/>
    </row>
    <row r="94" spans="2:80" x14ac:dyDescent="0.45">
      <c r="CB94" s="6"/>
    </row>
    <row r="95" spans="2:80" x14ac:dyDescent="0.45">
      <c r="E95" s="86"/>
      <c r="CB95" s="6"/>
    </row>
    <row r="96" spans="2:80" x14ac:dyDescent="0.45">
      <c r="CB96" s="6"/>
    </row>
    <row r="97" spans="2:80" x14ac:dyDescent="0.45">
      <c r="CB97" s="6"/>
    </row>
    <row r="98" spans="2:80" x14ac:dyDescent="0.45">
      <c r="E98" s="86"/>
      <c r="F98" s="84"/>
      <c r="CB98" s="6"/>
    </row>
    <row r="99" spans="2:80" x14ac:dyDescent="0.45">
      <c r="CB99" s="6"/>
    </row>
    <row r="100" spans="2:80" x14ac:dyDescent="0.45">
      <c r="E100" s="86"/>
      <c r="CB100" s="6"/>
    </row>
    <row r="101" spans="2:80" x14ac:dyDescent="0.45">
      <c r="CB101" s="6"/>
    </row>
    <row r="102" spans="2:80" x14ac:dyDescent="0.45">
      <c r="CB102" s="6"/>
    </row>
    <row r="103" spans="2:80" x14ac:dyDescent="0.45">
      <c r="E103" s="86"/>
      <c r="CB103" s="6"/>
    </row>
    <row r="104" spans="2:80" x14ac:dyDescent="0.45">
      <c r="E104" s="86"/>
      <c r="CB104" s="6"/>
    </row>
    <row r="105" spans="2:80" x14ac:dyDescent="0.45">
      <c r="E105" s="86"/>
      <c r="F105" s="84"/>
      <c r="CB105" s="6"/>
    </row>
    <row r="106" spans="2:80" x14ac:dyDescent="0.45">
      <c r="CB106" s="6"/>
    </row>
    <row r="107" spans="2:80" x14ac:dyDescent="0.45">
      <c r="D107" s="84"/>
      <c r="E107" s="86"/>
      <c r="CB107" s="6"/>
    </row>
    <row r="108" spans="2:80" x14ac:dyDescent="0.45">
      <c r="F108" s="84"/>
      <c r="CB108" s="6"/>
    </row>
    <row r="109" spans="2:80" x14ac:dyDescent="0.45">
      <c r="B109" s="130"/>
      <c r="C109" s="61"/>
      <c r="E109" s="61"/>
      <c r="F109" s="55"/>
      <c r="CB109" s="6"/>
    </row>
    <row r="110" spans="2:80" x14ac:dyDescent="0.45">
      <c r="B110" s="130"/>
      <c r="C110" s="61"/>
      <c r="E110" s="61"/>
      <c r="F110" s="55"/>
      <c r="I110" s="72"/>
      <c r="K110" s="63"/>
      <c r="CB110" s="6"/>
    </row>
    <row r="111" spans="2:80" x14ac:dyDescent="0.45">
      <c r="B111" s="130"/>
      <c r="C111" s="61"/>
      <c r="E111" s="61"/>
      <c r="F111" s="55"/>
      <c r="I111" s="62"/>
      <c r="K111" s="63"/>
      <c r="L111" s="75"/>
      <c r="N111" s="63"/>
      <c r="CB111" s="6"/>
    </row>
    <row r="112" spans="2:80" x14ac:dyDescent="0.45">
      <c r="B112" s="130"/>
      <c r="D112" s="55"/>
      <c r="F112" s="55"/>
      <c r="L112" s="75"/>
      <c r="CB112" s="6"/>
    </row>
    <row r="113" spans="2:80" x14ac:dyDescent="0.45">
      <c r="B113" s="130"/>
      <c r="C113" s="61"/>
      <c r="D113" s="55"/>
      <c r="E113" s="61"/>
      <c r="CB113" s="6"/>
    </row>
    <row r="114" spans="2:80" x14ac:dyDescent="0.45">
      <c r="C114" s="61"/>
      <c r="E114" s="61"/>
      <c r="CB114" s="6"/>
    </row>
    <row r="115" spans="2:80" x14ac:dyDescent="0.45">
      <c r="B115" s="55"/>
      <c r="C115" s="61"/>
      <c r="D115" s="55"/>
      <c r="F115" s="55"/>
      <c r="CB115" s="6"/>
    </row>
    <row r="116" spans="2:80" x14ac:dyDescent="0.45">
      <c r="B116" s="130"/>
      <c r="C116" s="61"/>
      <c r="D116" s="55"/>
      <c r="E116" s="61"/>
      <c r="I116" s="62"/>
      <c r="K116" s="63"/>
      <c r="CB116" s="6"/>
    </row>
    <row r="117" spans="2:80" x14ac:dyDescent="0.45">
      <c r="D117" s="55"/>
      <c r="E117" s="61"/>
      <c r="F117" s="55"/>
      <c r="G117" s="130"/>
      <c r="H117" s="139"/>
      <c r="CB117" s="6"/>
    </row>
    <row r="118" spans="2:80" x14ac:dyDescent="0.45">
      <c r="E118" s="61"/>
      <c r="F118" s="55"/>
      <c r="I118" s="62"/>
      <c r="K118" s="63"/>
      <c r="CB118" s="6"/>
    </row>
    <row r="119" spans="2:80" x14ac:dyDescent="0.45">
      <c r="D119" s="55"/>
      <c r="E119" s="61"/>
      <c r="F119" s="55"/>
      <c r="I119" s="62"/>
      <c r="J119" s="62"/>
      <c r="K119" s="63"/>
      <c r="L119" s="65"/>
      <c r="N119" s="63"/>
      <c r="CB119" s="6"/>
    </row>
    <row r="120" spans="2:80" x14ac:dyDescent="0.45">
      <c r="E120" s="61"/>
      <c r="F120" s="55"/>
      <c r="I120" s="62"/>
      <c r="K120" s="63"/>
      <c r="CB120" s="6"/>
    </row>
    <row r="121" spans="2:80" x14ac:dyDescent="0.45">
      <c r="D121" s="55"/>
      <c r="E121" s="61"/>
      <c r="F121" s="55"/>
      <c r="I121" s="62"/>
      <c r="K121" s="66"/>
      <c r="L121" s="67"/>
      <c r="M121" s="62"/>
      <c r="N121" s="66"/>
      <c r="P121" s="62"/>
      <c r="Q121" s="70"/>
      <c r="CB121" s="6"/>
    </row>
    <row r="122" spans="2:80" x14ac:dyDescent="0.45">
      <c r="D122" s="55"/>
      <c r="E122" s="61"/>
      <c r="F122" s="55"/>
      <c r="I122" s="62"/>
      <c r="K122" s="63"/>
      <c r="L122" s="65"/>
      <c r="N122" s="63"/>
      <c r="O122" s="62"/>
      <c r="P122" s="64"/>
      <c r="Q122" s="70"/>
      <c r="CB122" s="6"/>
    </row>
    <row r="123" spans="2:80" x14ac:dyDescent="0.45">
      <c r="D123" s="55"/>
      <c r="E123" s="61"/>
      <c r="F123" s="55"/>
      <c r="K123" s="63"/>
      <c r="CB123" s="6"/>
    </row>
    <row r="124" spans="2:80" x14ac:dyDescent="0.45">
      <c r="D124" s="55"/>
      <c r="E124" s="61"/>
      <c r="F124" s="55"/>
      <c r="K124" s="63"/>
      <c r="N124" s="63"/>
      <c r="CB124" s="6"/>
    </row>
    <row r="125" spans="2:80" x14ac:dyDescent="0.45">
      <c r="E125" s="61"/>
      <c r="F125" s="55"/>
      <c r="I125" s="62"/>
      <c r="K125" s="63"/>
      <c r="CB125" s="6"/>
    </row>
    <row r="126" spans="2:80" x14ac:dyDescent="0.45">
      <c r="D126" s="55"/>
      <c r="E126" s="61"/>
      <c r="F126" s="55"/>
      <c r="K126" s="63"/>
      <c r="CB126" s="6"/>
    </row>
    <row r="127" spans="2:80" x14ac:dyDescent="0.45">
      <c r="B127" s="130"/>
      <c r="D127" s="94"/>
      <c r="E127" s="96"/>
      <c r="F127" s="98"/>
      <c r="CB127" s="6"/>
    </row>
    <row r="128" spans="2:80" x14ac:dyDescent="0.45">
      <c r="G128" s="130"/>
      <c r="H128" s="139"/>
      <c r="U128" s="120"/>
      <c r="V128" s="120"/>
      <c r="W128" s="120"/>
      <c r="X128" s="120"/>
      <c r="CB128" s="6"/>
    </row>
    <row r="129" spans="2:80" x14ac:dyDescent="0.45">
      <c r="B129" s="130"/>
      <c r="D129" s="94"/>
      <c r="E129" s="101"/>
      <c r="F129" s="102"/>
      <c r="G129" s="130"/>
      <c r="H129" s="139"/>
      <c r="K129" s="100"/>
      <c r="CB129" s="6"/>
    </row>
    <row r="130" spans="2:80" x14ac:dyDescent="0.45">
      <c r="U130" s="120"/>
      <c r="V130" s="120"/>
      <c r="W130" s="120"/>
      <c r="X130" s="120"/>
      <c r="CB130" s="6"/>
    </row>
    <row r="131" spans="2:80" x14ac:dyDescent="0.45">
      <c r="D131" s="10"/>
      <c r="F131" s="10"/>
      <c r="U131" s="120"/>
      <c r="V131" s="120"/>
      <c r="W131" s="120"/>
      <c r="X131" s="120"/>
      <c r="CB131" s="6"/>
    </row>
    <row r="132" spans="2:80" x14ac:dyDescent="0.45">
      <c r="B132" s="26"/>
      <c r="C132" s="61"/>
      <c r="D132" s="26"/>
      <c r="E132" s="38"/>
      <c r="F132" s="26"/>
      <c r="G132" s="130"/>
      <c r="H132" s="139"/>
      <c r="U132" s="120"/>
      <c r="V132" s="120"/>
      <c r="W132" s="120"/>
      <c r="X132" s="120"/>
      <c r="CB132" s="6"/>
    </row>
    <row r="133" spans="2:80" x14ac:dyDescent="0.45">
      <c r="D133" s="23"/>
      <c r="E133" s="34"/>
      <c r="F133" s="23"/>
      <c r="U133" s="120"/>
      <c r="V133" s="120"/>
      <c r="W133" s="120"/>
      <c r="X133" s="120"/>
      <c r="CB133" s="6"/>
    </row>
    <row r="134" spans="2:80" x14ac:dyDescent="0.45">
      <c r="C134" s="38"/>
      <c r="U134" s="120"/>
      <c r="V134" s="120"/>
      <c r="W134" s="120"/>
      <c r="X134" s="120"/>
      <c r="CB134" s="6"/>
    </row>
    <row r="135" spans="2:80" x14ac:dyDescent="0.45">
      <c r="E135" s="34"/>
      <c r="U135" s="120"/>
      <c r="V135" s="120"/>
      <c r="W135" s="120"/>
      <c r="X135" s="120"/>
      <c r="CB135" s="6"/>
    </row>
    <row r="136" spans="2:80" x14ac:dyDescent="0.45">
      <c r="G136" s="130"/>
      <c r="H136" s="139"/>
      <c r="U136" s="120"/>
      <c r="V136" s="120"/>
      <c r="W136" s="120"/>
      <c r="X136" s="120"/>
      <c r="CB136" s="6"/>
    </row>
    <row r="137" spans="2:80" x14ac:dyDescent="0.45">
      <c r="G137" s="130"/>
      <c r="H137" s="139"/>
      <c r="U137" s="120"/>
      <c r="V137" s="120"/>
      <c r="W137" s="120"/>
      <c r="X137" s="120"/>
      <c r="CB137" s="6"/>
    </row>
    <row r="138" spans="2:80" x14ac:dyDescent="0.45">
      <c r="G138" s="10"/>
      <c r="H138" s="35"/>
      <c r="U138" s="120"/>
      <c r="V138" s="120"/>
      <c r="W138" s="120"/>
      <c r="X138" s="120"/>
      <c r="CB138" s="6"/>
    </row>
    <row r="139" spans="2:80" x14ac:dyDescent="0.45">
      <c r="U139" s="120"/>
      <c r="V139" s="120"/>
      <c r="W139" s="120"/>
      <c r="X139" s="120"/>
      <c r="CB139" s="6"/>
    </row>
    <row r="140" spans="2:80" x14ac:dyDescent="0.45">
      <c r="D140" s="15"/>
      <c r="E140" s="37"/>
      <c r="F140" s="28"/>
      <c r="U140" s="120"/>
      <c r="V140" s="120"/>
      <c r="W140" s="120"/>
      <c r="X140" s="120"/>
      <c r="CB140" s="6"/>
    </row>
    <row r="141" spans="2:80" x14ac:dyDescent="0.4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2" stopIfTrue="1">
      <formula>IF($A1="New (change to Done when complete)",TRUE,FALSE)</formula>
    </cfRule>
    <cfRule type="expression" dxfId="10" priority="3" stopIfTrue="1">
      <formula>IF($A1="Blocked",TRUE,FALSE)</formula>
    </cfRule>
    <cfRule type="expression" dxfId="9" priority="4">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29" activePane="bottomRight" state="frozen"/>
      <selection pane="topRight" activeCell="G1" sqref="G1"/>
      <selection pane="bottomLeft" activeCell="A2" sqref="A2"/>
      <selection pane="bottomRight" activeCell="F256" sqref="F256"/>
    </sheetView>
  </sheetViews>
  <sheetFormatPr defaultColWidth="9.1328125" defaultRowHeight="13.15" x14ac:dyDescent="0.45"/>
  <cols>
    <col min="1" max="1" width="12.86328125" style="129" bestFit="1" customWidth="1"/>
    <col min="2" max="2" width="7.86328125" style="7" customWidth="1"/>
    <col min="3" max="3" width="43.1328125" style="1" bestFit="1" customWidth="1"/>
    <col min="4" max="4" width="9.86328125" style="7" bestFit="1" customWidth="1"/>
    <col min="5" max="5" width="24.86328125" style="7" bestFit="1" customWidth="1"/>
    <col min="6" max="6" width="25.73046875" style="33" bestFit="1" customWidth="1"/>
    <col min="7" max="7" width="48.1328125" style="7" bestFit="1" customWidth="1"/>
    <col min="8" max="8" width="20.86328125" style="33" bestFit="1" customWidth="1"/>
    <col min="9" max="9" width="69" style="7" customWidth="1"/>
    <col min="10" max="10" width="45.59765625" style="7" customWidth="1"/>
    <col min="11" max="11" width="45.59765625" style="33" customWidth="1"/>
    <col min="12" max="12" width="11.59765625" style="1" bestFit="1" customWidth="1"/>
    <col min="13" max="13" width="10.265625" style="1" bestFit="1" customWidth="1"/>
    <col min="14" max="14" width="14.86328125" style="44" bestFit="1" customWidth="1"/>
    <col min="15" max="15" width="11.59765625" style="40" bestFit="1" customWidth="1"/>
    <col min="16" max="16" width="10.265625" style="1" bestFit="1" customWidth="1"/>
    <col min="17" max="17" width="14.86328125" style="44" bestFit="1" customWidth="1"/>
    <col min="18" max="18" width="11.59765625" style="1" bestFit="1" customWidth="1"/>
    <col min="19" max="19" width="10.265625" style="1" bestFit="1" customWidth="1"/>
    <col min="20" max="20" width="14.86328125" style="30" bestFit="1" customWidth="1"/>
    <col min="21" max="21" width="4.59765625" style="121" bestFit="1" customWidth="1"/>
    <col min="22" max="22" width="9" style="116" bestFit="1" customWidth="1"/>
    <col min="23" max="23" width="10.265625" style="117" bestFit="1" customWidth="1"/>
    <col min="24" max="27" width="7.1328125" style="117" customWidth="1"/>
    <col min="28" max="78" width="9.1328125" style="117"/>
    <col min="79" max="79" width="38.73046875" style="6" customWidth="1"/>
    <col min="80" max="80" width="38.73046875" style="14" customWidth="1"/>
    <col min="81" max="16384" width="9.1328125" style="1"/>
  </cols>
  <sheetData>
    <row r="1" spans="1:80" hidden="1" x14ac:dyDescent="0.45">
      <c r="B1" s="130"/>
      <c r="C1" s="132"/>
      <c r="D1" s="130"/>
      <c r="E1" s="130"/>
      <c r="F1" s="152"/>
      <c r="G1" s="126"/>
      <c r="H1" s="139"/>
      <c r="I1" s="130"/>
      <c r="J1" s="130"/>
      <c r="K1" s="139"/>
      <c r="L1" s="154"/>
      <c r="M1" s="154"/>
      <c r="N1" s="151"/>
      <c r="O1" s="134"/>
      <c r="P1" s="135"/>
      <c r="Q1" s="136"/>
      <c r="R1" s="135"/>
      <c r="S1" s="135"/>
      <c r="T1" s="137"/>
      <c r="U1" s="142"/>
    </row>
    <row r="2" spans="1:80" x14ac:dyDescent="0.45">
      <c r="T2" s="125"/>
    </row>
    <row r="5" spans="1:80" s="47" customFormat="1" ht="26.65" thickBot="1" x14ac:dyDescent="0.5">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4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4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4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4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4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4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4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4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4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4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4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4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4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4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4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4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4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4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4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4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4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4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4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4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4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4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4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4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4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4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4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4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4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4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4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4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4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4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4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4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4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4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4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4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4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4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4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4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4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4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4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4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4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4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4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4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4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4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4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4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4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4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4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4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4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4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4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4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4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4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4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4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4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4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4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4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4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4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4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4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4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4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4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4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4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4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4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4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4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4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4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4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4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4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4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4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4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4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4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4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4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4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4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4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4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4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4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4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4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4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4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4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4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4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4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4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4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4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4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4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4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4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4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4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4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4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4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4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4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4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4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4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4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4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4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4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4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4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4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4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4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4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4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4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4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4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4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4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4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4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4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4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4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4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4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4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4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4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4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4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4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4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4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4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4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4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4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4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4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4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4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4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4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4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4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4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4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4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4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4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4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4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4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4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4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4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4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4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4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4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4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4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4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4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4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4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4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4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4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4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4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4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4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4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4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4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4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4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4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4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4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4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4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4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4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4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4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4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4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4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4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4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4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4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4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4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4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4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4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4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4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4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4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4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4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4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4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4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4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4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4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4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4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4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4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4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4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4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4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4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4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4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4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4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4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4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4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4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4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4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4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4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4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4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4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4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4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4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4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4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4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4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4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4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4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4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4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4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4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4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4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4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4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4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4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4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4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4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4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4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4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4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4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4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4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4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4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4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4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4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T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2024-04-04T03:47:41Z</dcterms:modified>
</cp:coreProperties>
</file>