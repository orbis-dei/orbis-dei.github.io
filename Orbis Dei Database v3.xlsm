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CDB0AAE9-DF6D-4CA3-9011-4FEC251EAC4B}" xr6:coauthVersionLast="47" xr6:coauthVersionMax="47" xr10:uidLastSave="{00000000-0000-0000-0000-000000000000}"/>
  <bookViews>
    <workbookView xWindow="780" yWindow="0" windowWidth="25785" windowHeight="216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externalReferences>
    <externalReference r:id="rId6"/>
  </externalReferences>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M177" i="11" l="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W177" i="11"/>
  <c r="AV177" i="11"/>
  <c r="AU177" i="11"/>
  <c r="AT177" i="11"/>
  <c r="AS177" i="1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AT146" i="11"/>
  <c r="AU146" i="11"/>
  <c r="AV146" i="11"/>
  <c r="AW146" i="11"/>
  <c r="AX146" i="11"/>
  <c r="AZ146" i="11"/>
  <c r="BA146" i="11"/>
  <c r="BB146" i="11"/>
  <c r="BC146" i="11"/>
  <c r="BD146" i="11"/>
  <c r="BE146" i="11"/>
  <c r="BF146" i="11"/>
  <c r="BG146" i="11"/>
  <c r="BH146" i="11"/>
  <c r="BI146" i="11"/>
  <c r="BJ146" i="11"/>
  <c r="BK146" i="11"/>
  <c r="BX149" i="11"/>
  <c r="BL146" i="11"/>
  <c r="BM146" i="11"/>
  <c r="BQ146" i="11" s="1"/>
  <c r="BN146" i="11"/>
  <c r="BO146" i="11"/>
  <c r="BP146" i="11"/>
  <c r="BR146" i="11"/>
  <c r="BS146" i="11"/>
  <c r="BT146" i="11"/>
  <c r="BU146" i="11"/>
  <c r="BV146" i="11"/>
  <c r="BW146" i="11"/>
  <c r="CA146" i="11"/>
  <c r="CB146" i="11"/>
  <c r="CD146" i="11"/>
  <c r="CE146" i="11"/>
  <c r="CF146" i="11"/>
  <c r="CG146" i="11"/>
  <c r="CH146" i="11"/>
  <c r="CI146" i="11"/>
  <c r="CJ146" i="11"/>
  <c r="CK146" i="11"/>
  <c r="CL146" i="11"/>
  <c r="CM146" i="11"/>
  <c r="CN146" i="11"/>
  <c r="CO146" i="11" s="1"/>
  <c r="AS147" i="11"/>
  <c r="AT147" i="11"/>
  <c r="AU147" i="11"/>
  <c r="AV147" i="11"/>
  <c r="AW147" i="11"/>
  <c r="AX147" i="11"/>
  <c r="AZ147" i="11"/>
  <c r="BA147" i="11"/>
  <c r="BB147" i="11"/>
  <c r="BC147" i="11"/>
  <c r="BD147" i="11"/>
  <c r="BE147" i="11"/>
  <c r="BF147" i="11"/>
  <c r="BG147" i="11"/>
  <c r="BH147" i="11"/>
  <c r="BI147" i="11"/>
  <c r="BJ147" i="11"/>
  <c r="BK147" i="11"/>
  <c r="BL147" i="11"/>
  <c r="BM147" i="11"/>
  <c r="BQ147" i="11" s="1"/>
  <c r="BN147" i="11"/>
  <c r="BO147" i="11"/>
  <c r="BP147" i="11"/>
  <c r="BR147" i="11"/>
  <c r="BS147" i="11"/>
  <c r="BT147" i="11"/>
  <c r="BU147" i="11"/>
  <c r="BV147" i="11"/>
  <c r="BW147" i="11"/>
  <c r="CA147" i="11"/>
  <c r="CB147" i="11"/>
  <c r="CD147" i="11"/>
  <c r="CE147" i="11"/>
  <c r="CF147" i="11"/>
  <c r="CG147" i="11"/>
  <c r="CH147" i="11"/>
  <c r="CJ147" i="11" s="1"/>
  <c r="CI147" i="11"/>
  <c r="CK147" i="11"/>
  <c r="CL147" i="11"/>
  <c r="CM147" i="11"/>
  <c r="CN147" i="11"/>
  <c r="BU177" i="11"/>
  <c r="CI177" i="11"/>
  <c r="CH177" i="11"/>
  <c r="BL177" i="11"/>
  <c r="CG177" i="11"/>
  <c r="BX177" i="11"/>
  <c r="BQ177" i="11" l="1"/>
  <c r="CJ177" i="11"/>
  <c r="CB177" i="11"/>
  <c r="CN177" i="11" s="1"/>
  <c r="CO147" i="11"/>
  <c r="AS148" i="11"/>
  <c r="AT148" i="11"/>
  <c r="AU148" i="11"/>
  <c r="AV148" i="11"/>
  <c r="AW148" i="11"/>
  <c r="AX148" i="11"/>
  <c r="AZ148" i="11"/>
  <c r="BA148" i="11"/>
  <c r="BB148" i="11"/>
  <c r="BC148" i="11"/>
  <c r="BD148" i="11"/>
  <c r="BE148" i="11"/>
  <c r="BF148" i="11"/>
  <c r="BG148" i="11"/>
  <c r="BH148" i="11"/>
  <c r="BI148" i="11"/>
  <c r="BJ148" i="11"/>
  <c r="BK148" i="11"/>
  <c r="BN148" i="11"/>
  <c r="BO148" i="11"/>
  <c r="BP148" i="11"/>
  <c r="BR148" i="11"/>
  <c r="BS148" i="11"/>
  <c r="BT148" i="11"/>
  <c r="BL148" i="11"/>
  <c r="BU148" i="11"/>
  <c r="CA177" i="11"/>
  <c r="CL177" i="11"/>
  <c r="BW177" i="11"/>
  <c r="CK177" i="11" l="1"/>
  <c r="CO177" i="11" s="1"/>
  <c r="BQ148" i="11"/>
  <c r="CB148" i="11"/>
  <c r="CD148" i="11"/>
  <c r="CE148" i="11"/>
  <c r="CF148" i="11"/>
  <c r="BV148" i="11"/>
  <c r="CG148" i="11"/>
  <c r="CI148" i="11" l="1"/>
  <c r="CK148" i="11"/>
  <c r="CM148" i="11"/>
  <c r="CN148" i="11"/>
  <c r="AS149" i="11"/>
  <c r="AT149" i="11"/>
  <c r="AU149" i="11"/>
  <c r="AV149" i="11"/>
  <c r="AW149" i="11"/>
  <c r="AX149" i="11"/>
  <c r="AZ149" i="11"/>
  <c r="BA149" i="11"/>
  <c r="BB149" i="11"/>
  <c r="BC149" i="11"/>
  <c r="BD149" i="11"/>
  <c r="BE149" i="11"/>
  <c r="BF149" i="11"/>
  <c r="BG149" i="11"/>
  <c r="BH149" i="11"/>
  <c r="BI149" i="11"/>
  <c r="BJ149" i="11"/>
  <c r="BK149" i="11"/>
  <c r="BN149" i="11"/>
  <c r="BO149" i="11"/>
  <c r="BP149" i="11"/>
  <c r="BR149" i="11"/>
  <c r="BS149" i="11"/>
  <c r="BT149" i="11"/>
  <c r="BW148" i="11"/>
  <c r="CA148" i="11"/>
  <c r="CL148" i="11"/>
  <c r="CH148" i="11"/>
  <c r="BL149" i="11"/>
  <c r="BU149" i="11"/>
  <c r="BQ149" i="11" l="1"/>
  <c r="CJ148" i="11"/>
  <c r="CO148" i="11" s="1"/>
  <c r="BV149" i="11"/>
  <c r="CB149" i="11"/>
  <c r="CD149" i="11"/>
  <c r="CE149" i="11"/>
  <c r="CF149" i="11"/>
  <c r="CG149" i="11"/>
  <c r="CI149" i="11" l="1"/>
  <c r="CK149" i="11"/>
  <c r="CM149" i="11"/>
  <c r="CN149" i="11"/>
  <c r="AS150" i="11"/>
  <c r="AT150" i="11"/>
  <c r="AU150" i="11"/>
  <c r="AV150" i="11"/>
  <c r="AW150" i="11"/>
  <c r="AX150" i="11"/>
  <c r="AZ150" i="11"/>
  <c r="BA150" i="11"/>
  <c r="BB150" i="11"/>
  <c r="BC150" i="11"/>
  <c r="BD150" i="11"/>
  <c r="BE150" i="11"/>
  <c r="BF150" i="11"/>
  <c r="BG150" i="11"/>
  <c r="BH150" i="11"/>
  <c r="BI150" i="11"/>
  <c r="BJ150" i="11"/>
  <c r="BK150" i="11"/>
  <c r="BN150" i="11"/>
  <c r="BO150" i="11"/>
  <c r="BP150" i="11"/>
  <c r="BR150" i="11"/>
  <c r="BS150" i="11"/>
  <c r="BT150" i="11"/>
  <c r="BW149" i="11"/>
  <c r="CA149" i="11"/>
  <c r="CL149" i="11"/>
  <c r="CH149" i="11"/>
  <c r="BL150" i="11"/>
  <c r="BU150" i="11"/>
  <c r="CJ149" i="11" l="1"/>
  <c r="CO149" i="11" s="1"/>
  <c r="BQ150" i="11"/>
  <c r="CB150" i="11"/>
  <c r="CD150" i="11"/>
  <c r="CE150" i="11"/>
  <c r="CF150" i="11"/>
  <c r="BV150" i="11"/>
  <c r="CG150" i="11"/>
  <c r="CH150" i="11" l="1"/>
  <c r="CI150" i="11"/>
  <c r="CK150" i="11"/>
  <c r="CM150" i="11"/>
  <c r="CN150" i="11"/>
  <c r="AS151" i="11"/>
  <c r="AT151" i="11"/>
  <c r="AU151" i="11"/>
  <c r="AV151" i="11"/>
  <c r="AW151" i="11"/>
  <c r="AX151" i="11"/>
  <c r="AZ151" i="11"/>
  <c r="BA151" i="11"/>
  <c r="BB151" i="11"/>
  <c r="BC151" i="11"/>
  <c r="BD151" i="11"/>
  <c r="BE151" i="11"/>
  <c r="BF151" i="11"/>
  <c r="BG151" i="11"/>
  <c r="BH151" i="11"/>
  <c r="BI151" i="11"/>
  <c r="BJ151" i="11"/>
  <c r="BK151" i="11"/>
  <c r="BN151" i="11"/>
  <c r="BO151" i="11"/>
  <c r="BP151" i="11"/>
  <c r="BR151" i="11"/>
  <c r="BS151" i="11"/>
  <c r="BT151" i="11"/>
  <c r="BW150" i="11"/>
  <c r="CA150" i="11"/>
  <c r="CL150" i="11"/>
  <c r="BU151" i="11"/>
  <c r="BL151" i="11"/>
  <c r="CJ150" i="11" l="1"/>
  <c r="CO150" i="11" s="1"/>
  <c r="BQ151" i="11"/>
  <c r="BV151" i="11"/>
  <c r="CB151" i="11"/>
  <c r="CD151" i="11"/>
  <c r="CE151" i="11"/>
  <c r="CF151" i="11"/>
  <c r="CA151" i="11"/>
  <c r="CG151" i="11"/>
  <c r="CH151" i="11" l="1"/>
  <c r="CI151" i="11"/>
  <c r="CK151" i="11"/>
  <c r="CM151" i="11"/>
  <c r="CN151" i="11"/>
  <c r="AS152" i="11"/>
  <c r="AT152" i="11"/>
  <c r="AU152" i="11"/>
  <c r="AV152" i="11"/>
  <c r="AW152" i="11"/>
  <c r="AX152" i="11"/>
  <c r="AZ152" i="11"/>
  <c r="BA152" i="11"/>
  <c r="BB152" i="11"/>
  <c r="BC152" i="11"/>
  <c r="BD152" i="11"/>
  <c r="BE152" i="11"/>
  <c r="BF152" i="11"/>
  <c r="BG152" i="11"/>
  <c r="BH152" i="11"/>
  <c r="BI152" i="11"/>
  <c r="BJ152" i="11"/>
  <c r="BK152" i="11"/>
  <c r="BN152" i="11"/>
  <c r="BO152" i="11"/>
  <c r="BP152" i="11"/>
  <c r="BR152" i="11"/>
  <c r="BS152" i="11"/>
  <c r="BT152" i="11"/>
  <c r="BU152" i="11"/>
  <c r="BL152" i="11"/>
  <c r="CL151" i="11"/>
  <c r="BW151" i="11"/>
  <c r="BQ152" i="11" l="1"/>
  <c r="CJ151" i="11"/>
  <c r="CO151" i="11" s="1"/>
  <c r="BV152" i="11"/>
  <c r="CB152" i="11"/>
  <c r="CD152" i="11"/>
  <c r="CE152" i="11"/>
  <c r="CF152" i="11"/>
  <c r="CG152" i="11"/>
  <c r="CK152" i="11" l="1"/>
  <c r="CM152" i="11"/>
  <c r="CN152" i="11"/>
  <c r="AS153" i="11"/>
  <c r="AT153" i="11"/>
  <c r="AU153" i="11"/>
  <c r="AV153" i="11"/>
  <c r="AW153" i="11"/>
  <c r="AX153" i="11"/>
  <c r="AZ153" i="11"/>
  <c r="BA153" i="11"/>
  <c r="BB153" i="11"/>
  <c r="BC153" i="11"/>
  <c r="BD153" i="11"/>
  <c r="BE153" i="11"/>
  <c r="BF153" i="11"/>
  <c r="BG153" i="11"/>
  <c r="BH153" i="11"/>
  <c r="BI153" i="11"/>
  <c r="BJ153" i="11"/>
  <c r="BK153" i="11"/>
  <c r="BN153" i="11"/>
  <c r="BO153" i="11"/>
  <c r="BP153" i="11"/>
  <c r="BR153" i="11"/>
  <c r="BS153" i="11"/>
  <c r="BT153" i="11"/>
  <c r="BU153" i="11"/>
  <c r="BL153" i="11"/>
  <c r="CL152" i="11"/>
  <c r="CI152" i="11"/>
  <c r="CH152" i="11"/>
  <c r="BW152" i="11"/>
  <c r="CA152" i="11" s="1"/>
  <c r="CJ152" i="11" l="1"/>
  <c r="CO152" i="11" s="1"/>
  <c r="BQ153" i="11"/>
  <c r="BV153" i="11"/>
  <c r="CB153" i="11"/>
  <c r="CD153" i="11"/>
  <c r="CE153" i="11"/>
  <c r="CF153" i="11"/>
  <c r="CA153" i="11"/>
  <c r="CG153" i="11"/>
  <c r="CI153" i="11" l="1"/>
  <c r="CK153" i="11"/>
  <c r="CM153" i="11"/>
  <c r="CN153" i="11"/>
  <c r="AS154" i="11"/>
  <c r="AT154" i="11"/>
  <c r="AU154" i="11"/>
  <c r="AV154" i="11"/>
  <c r="AW154" i="11"/>
  <c r="AX154" i="11"/>
  <c r="AZ154" i="11"/>
  <c r="BA154" i="11"/>
  <c r="BB154" i="11"/>
  <c r="BC154" i="11"/>
  <c r="BD154" i="11"/>
  <c r="BE154" i="11"/>
  <c r="BF154" i="11"/>
  <c r="BG154" i="11"/>
  <c r="BH154" i="11"/>
  <c r="BI154" i="11"/>
  <c r="BJ154" i="11"/>
  <c r="BK154" i="11"/>
  <c r="BN154" i="11"/>
  <c r="BO154" i="11"/>
  <c r="BP154" i="11"/>
  <c r="BR154" i="11"/>
  <c r="BS154" i="11"/>
  <c r="BT154" i="11"/>
  <c r="BL154" i="11"/>
  <c r="BU154" i="11"/>
  <c r="CL153" i="11"/>
  <c r="CH153" i="11"/>
  <c r="BW153" i="11"/>
  <c r="CJ153" i="11" l="1"/>
  <c r="CO153" i="11" s="1"/>
  <c r="BQ154" i="11"/>
  <c r="BV154" i="11"/>
  <c r="CA154" i="11"/>
  <c r="CB154" i="11"/>
  <c r="CD154" i="11"/>
  <c r="CE154" i="11"/>
  <c r="CF154" i="11"/>
  <c r="CG154" i="11"/>
  <c r="BW154" i="11" l="1"/>
  <c r="CH154" i="11"/>
  <c r="CI154" i="11"/>
  <c r="CK154" i="11"/>
  <c r="CL154" i="11"/>
  <c r="CM154" i="11"/>
  <c r="CN154" i="11"/>
  <c r="AS155" i="11"/>
  <c r="AT155" i="11"/>
  <c r="AU155" i="11"/>
  <c r="AV155" i="11"/>
  <c r="AW155" i="11"/>
  <c r="AX155" i="11"/>
  <c r="AZ155" i="11"/>
  <c r="BA155" i="11"/>
  <c r="BB155" i="11"/>
  <c r="BC155" i="11"/>
  <c r="BD155" i="11"/>
  <c r="BE155" i="11"/>
  <c r="BF155" i="11"/>
  <c r="BG155" i="11"/>
  <c r="BH155" i="11"/>
  <c r="BI155" i="11"/>
  <c r="BJ155" i="11"/>
  <c r="BK155" i="11"/>
  <c r="BN155" i="11"/>
  <c r="BO155" i="11"/>
  <c r="BP155" i="11"/>
  <c r="BR155" i="11"/>
  <c r="BS155" i="11"/>
  <c r="BT155" i="11"/>
  <c r="BL155" i="11"/>
  <c r="BU155" i="11"/>
  <c r="CJ154" i="11" l="1"/>
  <c r="CO154" i="11"/>
  <c r="BQ155" i="11"/>
  <c r="BV155" i="11"/>
  <c r="CA155" i="11"/>
  <c r="CB155" i="11"/>
  <c r="CD155" i="11"/>
  <c r="CE155" i="11"/>
  <c r="CF155" i="11"/>
  <c r="CG155" i="11"/>
  <c r="BW155" i="11" l="1"/>
  <c r="CH155" i="11"/>
  <c r="CI155" i="11"/>
  <c r="CK155" i="11"/>
  <c r="CL155" i="11"/>
  <c r="CM155" i="11"/>
  <c r="CN155" i="11"/>
  <c r="AS156" i="11"/>
  <c r="AT156" i="11"/>
  <c r="AU156" i="11"/>
  <c r="AV156" i="11"/>
  <c r="AW156" i="11"/>
  <c r="AX156" i="11"/>
  <c r="AZ156" i="11"/>
  <c r="BA156" i="11"/>
  <c r="BB156" i="11"/>
  <c r="BC156" i="11"/>
  <c r="BD156" i="11"/>
  <c r="BE156" i="11"/>
  <c r="BF156" i="11"/>
  <c r="BG156" i="11"/>
  <c r="BH156" i="11"/>
  <c r="BI156" i="11"/>
  <c r="BJ156" i="11"/>
  <c r="BK156" i="11"/>
  <c r="BN156" i="11"/>
  <c r="BO156" i="11"/>
  <c r="BP156" i="11"/>
  <c r="BR156" i="11"/>
  <c r="BS156" i="11"/>
  <c r="BT156" i="11"/>
  <c r="BL156" i="11"/>
  <c r="BU156" i="11"/>
  <c r="CJ155" i="11" l="1"/>
  <c r="CO155" i="11" s="1"/>
  <c r="BQ156" i="11"/>
  <c r="BV156" i="11"/>
  <c r="CA156" i="11"/>
  <c r="CB156" i="11"/>
  <c r="CD156" i="11"/>
  <c r="CE156" i="11"/>
  <c r="CF156" i="11"/>
  <c r="CG156" i="11"/>
  <c r="BW156" i="11" l="1"/>
  <c r="CH156" i="11"/>
  <c r="CI156" i="11"/>
  <c r="CK156" i="11"/>
  <c r="CL156" i="11"/>
  <c r="CM156" i="11"/>
  <c r="CN156" i="11"/>
  <c r="AS157" i="11"/>
  <c r="AT157" i="11"/>
  <c r="AU157" i="11"/>
  <c r="AV157" i="11"/>
  <c r="AW157" i="11"/>
  <c r="AX157" i="11"/>
  <c r="AZ157" i="11"/>
  <c r="BA157" i="11"/>
  <c r="BB157" i="11"/>
  <c r="BC157" i="11"/>
  <c r="BD157" i="11"/>
  <c r="BE157" i="11"/>
  <c r="BF157" i="11"/>
  <c r="BG157" i="11"/>
  <c r="BH157" i="11"/>
  <c r="BI157" i="11"/>
  <c r="BJ157" i="11"/>
  <c r="BK157" i="11"/>
  <c r="BN157" i="11"/>
  <c r="BO157" i="11"/>
  <c r="BP157" i="11"/>
  <c r="BR157" i="11"/>
  <c r="BS157" i="11"/>
  <c r="BT157" i="11"/>
  <c r="BL157" i="11"/>
  <c r="BU157" i="11"/>
  <c r="CJ156" i="11" l="1"/>
  <c r="CO156" i="11" s="1"/>
  <c r="BQ157" i="11"/>
  <c r="BW157" i="11" s="1"/>
  <c r="BV157" i="11"/>
  <c r="CA157" i="11"/>
  <c r="CB157" i="11"/>
  <c r="CD157" i="11"/>
  <c r="CE157" i="11"/>
  <c r="CF157" i="11"/>
  <c r="CG157" i="11"/>
  <c r="CH157" i="11"/>
  <c r="CI157" i="11"/>
  <c r="CJ157" i="11" s="1"/>
  <c r="CK157" i="11"/>
  <c r="CL157" i="11"/>
  <c r="CM157" i="11"/>
  <c r="CN157" i="11"/>
  <c r="AS158" i="11"/>
  <c r="AT158" i="11"/>
  <c r="AU158" i="11"/>
  <c r="AV158" i="11"/>
  <c r="AW158" i="11"/>
  <c r="AX158" i="11"/>
  <c r="AZ158" i="11"/>
  <c r="BA158" i="11"/>
  <c r="BB158" i="11"/>
  <c r="BC158" i="11"/>
  <c r="BD158" i="11"/>
  <c r="BE158" i="11"/>
  <c r="BF158" i="11"/>
  <c r="BG158" i="11"/>
  <c r="BH158" i="11"/>
  <c r="BI158" i="11"/>
  <c r="BJ158" i="11"/>
  <c r="BK158" i="11"/>
  <c r="BN158" i="11"/>
  <c r="BO158" i="11"/>
  <c r="BP158" i="11"/>
  <c r="BR158" i="11"/>
  <c r="BS158" i="11"/>
  <c r="BT158" i="11"/>
  <c r="BL158" i="11"/>
  <c r="BU158" i="11"/>
  <c r="CO157" i="11" l="1"/>
  <c r="BQ158" i="11"/>
  <c r="BV158" i="11"/>
  <c r="CA158" i="11"/>
  <c r="CB158" i="11"/>
  <c r="CD158" i="11"/>
  <c r="CE158" i="11"/>
  <c r="CF158" i="11"/>
  <c r="CG158" i="11"/>
  <c r="BW158" i="11" l="1"/>
  <c r="CH158" i="11"/>
  <c r="CI158" i="11"/>
  <c r="CK158" i="11"/>
  <c r="CL158" i="11"/>
  <c r="CM158" i="11"/>
  <c r="CN158" i="11"/>
  <c r="AS159" i="11"/>
  <c r="AT159" i="11"/>
  <c r="AU159" i="11"/>
  <c r="AV159" i="11"/>
  <c r="AW159" i="11"/>
  <c r="AX159" i="11"/>
  <c r="AZ159" i="11"/>
  <c r="BA159" i="11"/>
  <c r="BB159" i="11"/>
  <c r="BC159" i="11"/>
  <c r="BD159" i="11"/>
  <c r="BE159" i="11"/>
  <c r="BF159" i="11"/>
  <c r="BG159" i="11"/>
  <c r="BH159" i="11"/>
  <c r="BI159" i="11"/>
  <c r="BJ159" i="11"/>
  <c r="BK159" i="11"/>
  <c r="BN159" i="11"/>
  <c r="BO159" i="11"/>
  <c r="BP159" i="11"/>
  <c r="BR159" i="11"/>
  <c r="BS159" i="11"/>
  <c r="BT159" i="11"/>
  <c r="BL159" i="11"/>
  <c r="BU159" i="11"/>
  <c r="CJ158" i="11" l="1"/>
  <c r="BQ159" i="11"/>
  <c r="CO158" i="11"/>
  <c r="BV159" i="11"/>
  <c r="CA159" i="11"/>
  <c r="CB159" i="11"/>
  <c r="CD159" i="11"/>
  <c r="CE159" i="11"/>
  <c r="CF159" i="11"/>
  <c r="CG159" i="11"/>
  <c r="BW159" i="11" l="1"/>
  <c r="CH159" i="11"/>
  <c r="CI159" i="11"/>
  <c r="CK159" i="11"/>
  <c r="CL159" i="11"/>
  <c r="CM159" i="11"/>
  <c r="CN159" i="11"/>
  <c r="AS160" i="11"/>
  <c r="AT160" i="11"/>
  <c r="AU160" i="11"/>
  <c r="AV160" i="11"/>
  <c r="AW160" i="11"/>
  <c r="AX160" i="11"/>
  <c r="AZ160" i="11"/>
  <c r="BA160" i="11"/>
  <c r="BB160" i="11"/>
  <c r="BC160" i="11"/>
  <c r="BD160" i="11"/>
  <c r="BE160" i="11"/>
  <c r="BF160" i="11"/>
  <c r="BG160" i="11"/>
  <c r="BH160" i="11"/>
  <c r="BI160" i="11"/>
  <c r="BJ160" i="11"/>
  <c r="BK160" i="11"/>
  <c r="BN160" i="11"/>
  <c r="BO160" i="11"/>
  <c r="BP160" i="11"/>
  <c r="BR160" i="11"/>
  <c r="BS160" i="11"/>
  <c r="BT160" i="11"/>
  <c r="BL160" i="11"/>
  <c r="BU160" i="11"/>
  <c r="CJ159" i="11" l="1"/>
  <c r="CO159" i="11" s="1"/>
  <c r="BQ160" i="11"/>
  <c r="BV160" i="11"/>
  <c r="CA160" i="11"/>
  <c r="CB160" i="11"/>
  <c r="CD160" i="11"/>
  <c r="CE160" i="11"/>
  <c r="CF160" i="11"/>
  <c r="CG160" i="11"/>
  <c r="BW160" i="11" l="1"/>
  <c r="CH160" i="11"/>
  <c r="CI160" i="11"/>
  <c r="CK160" i="11"/>
  <c r="CL160" i="11"/>
  <c r="CM160" i="11"/>
  <c r="CN160" i="11"/>
  <c r="AS161" i="11"/>
  <c r="AT161" i="11"/>
  <c r="AU161" i="11"/>
  <c r="AV161" i="11"/>
  <c r="AW161" i="11"/>
  <c r="AX161" i="11"/>
  <c r="AZ161" i="11"/>
  <c r="BA161" i="11"/>
  <c r="BB161" i="11"/>
  <c r="BC161" i="11"/>
  <c r="BD161" i="11"/>
  <c r="BE161" i="11"/>
  <c r="BF161" i="11"/>
  <c r="BG161" i="11"/>
  <c r="BH161" i="11"/>
  <c r="BI161" i="11"/>
  <c r="BJ161" i="11"/>
  <c r="BK161" i="11"/>
  <c r="BN161" i="11"/>
  <c r="BO161" i="11"/>
  <c r="BP161" i="11"/>
  <c r="BR161" i="11"/>
  <c r="BS161" i="11"/>
  <c r="BT161" i="11"/>
  <c r="BL161" i="11"/>
  <c r="BU161" i="11"/>
  <c r="CJ160" i="11" l="1"/>
  <c r="CO160" i="11"/>
  <c r="BQ161" i="11"/>
  <c r="BV161" i="11"/>
  <c r="CA161" i="11"/>
  <c r="CB161" i="11"/>
  <c r="CD161" i="11"/>
  <c r="CE161" i="11"/>
  <c r="CF161" i="11"/>
  <c r="CG161" i="11"/>
  <c r="BW161" i="11" l="1"/>
  <c r="CH161" i="11"/>
  <c r="CI161" i="11"/>
  <c r="CK161" i="11"/>
  <c r="CL161" i="11"/>
  <c r="CM161" i="11"/>
  <c r="CN161" i="11"/>
  <c r="AS162" i="11"/>
  <c r="AT162" i="11"/>
  <c r="AU162" i="11"/>
  <c r="AV162" i="11"/>
  <c r="AW162" i="11"/>
  <c r="AX162" i="11"/>
  <c r="AZ162" i="11"/>
  <c r="BA162" i="11"/>
  <c r="BB162" i="11"/>
  <c r="BC162" i="11"/>
  <c r="BD162" i="11"/>
  <c r="BE162" i="11"/>
  <c r="BF162" i="11"/>
  <c r="BG162" i="11"/>
  <c r="BH162" i="11"/>
  <c r="BI162" i="11"/>
  <c r="BJ162" i="11"/>
  <c r="BK162" i="11"/>
  <c r="BN162" i="11"/>
  <c r="BO162" i="11"/>
  <c r="BP162" i="11"/>
  <c r="BR162" i="11"/>
  <c r="BS162" i="11"/>
  <c r="BT162" i="11"/>
  <c r="BL162" i="11"/>
  <c r="BU162" i="11"/>
  <c r="CJ161" i="11" l="1"/>
  <c r="BQ162" i="11"/>
  <c r="CO161" i="11"/>
  <c r="BV162" i="11"/>
  <c r="CA162" i="11"/>
  <c r="CB162" i="11"/>
  <c r="CD162" i="11"/>
  <c r="CE162" i="11"/>
  <c r="CF162" i="11"/>
  <c r="CG162" i="11"/>
  <c r="BW162" i="11" l="1"/>
  <c r="CH162" i="11"/>
  <c r="CI162" i="11"/>
  <c r="CK162" i="11"/>
  <c r="CL162" i="11"/>
  <c r="CM162" i="11"/>
  <c r="CN162" i="11"/>
  <c r="AS163" i="11"/>
  <c r="AT163" i="11"/>
  <c r="AU163" i="11"/>
  <c r="AV163" i="11"/>
  <c r="AW163" i="11"/>
  <c r="AX163" i="11"/>
  <c r="AZ163" i="11"/>
  <c r="BA163" i="11"/>
  <c r="BB163" i="11"/>
  <c r="BC163" i="11"/>
  <c r="BD163" i="11"/>
  <c r="BE163" i="11"/>
  <c r="BF163" i="11"/>
  <c r="BG163" i="11"/>
  <c r="BH163" i="11"/>
  <c r="BI163" i="11"/>
  <c r="BJ163" i="11"/>
  <c r="BK163" i="11"/>
  <c r="BN163" i="11"/>
  <c r="BO163" i="11"/>
  <c r="BP163" i="11"/>
  <c r="BR163" i="11"/>
  <c r="BS163" i="11"/>
  <c r="BT163" i="11"/>
  <c r="BL163" i="11"/>
  <c r="BU163" i="11"/>
  <c r="CJ162" i="11" l="1"/>
  <c r="CO162" i="11" s="1"/>
  <c r="BQ163" i="11"/>
  <c r="BV163" i="11"/>
  <c r="CA163" i="11"/>
  <c r="CB163" i="11"/>
  <c r="CD163" i="11"/>
  <c r="CE163" i="11"/>
  <c r="CF163" i="11"/>
  <c r="CG163" i="11"/>
  <c r="BW163" i="11" l="1"/>
  <c r="CH163" i="11"/>
  <c r="CI163" i="11"/>
  <c r="CK163" i="11"/>
  <c r="CL163" i="11"/>
  <c r="CM163" i="11"/>
  <c r="CN163" i="11"/>
  <c r="AS164" i="11"/>
  <c r="AT164" i="11"/>
  <c r="AU164" i="11"/>
  <c r="AV164" i="11"/>
  <c r="AW164" i="11"/>
  <c r="AX164" i="11"/>
  <c r="AZ164" i="11"/>
  <c r="BA164" i="11"/>
  <c r="BB164" i="11"/>
  <c r="BC164" i="11"/>
  <c r="BD164" i="11"/>
  <c r="BE164" i="11"/>
  <c r="BF164" i="11"/>
  <c r="BG164" i="11"/>
  <c r="BH164" i="11"/>
  <c r="BI164" i="11"/>
  <c r="BJ164" i="11"/>
  <c r="BK164" i="11"/>
  <c r="BN164" i="11"/>
  <c r="BO164" i="11"/>
  <c r="BP164" i="11"/>
  <c r="BR164" i="11"/>
  <c r="BS164" i="11"/>
  <c r="BT164" i="11"/>
  <c r="BL164" i="11"/>
  <c r="BU164" i="11"/>
  <c r="CJ163" i="11" l="1"/>
  <c r="CO163" i="11" s="1"/>
  <c r="BQ164" i="11"/>
  <c r="BV164" i="11"/>
  <c r="CA164" i="11"/>
  <c r="CB164" i="11"/>
  <c r="CD164" i="11"/>
  <c r="CE164" i="11"/>
  <c r="CF164" i="11"/>
  <c r="CG164" i="11"/>
  <c r="BW164" i="11" l="1"/>
  <c r="CH164" i="11"/>
  <c r="CI164" i="11"/>
  <c r="CK164" i="11"/>
  <c r="CL164" i="11"/>
  <c r="CM164" i="11"/>
  <c r="CN164" i="11"/>
  <c r="AS165" i="11"/>
  <c r="AT165" i="11"/>
  <c r="AU165" i="11"/>
  <c r="AV165" i="11"/>
  <c r="AW165" i="11"/>
  <c r="AX165" i="11"/>
  <c r="AZ165" i="11"/>
  <c r="BA165" i="11"/>
  <c r="BB165" i="11"/>
  <c r="BC165" i="11"/>
  <c r="BD165" i="11"/>
  <c r="BE165" i="11"/>
  <c r="BF165" i="11"/>
  <c r="BG165" i="11"/>
  <c r="BH165" i="11"/>
  <c r="BI165" i="11"/>
  <c r="BJ165" i="11"/>
  <c r="BK165" i="11"/>
  <c r="BN165" i="11"/>
  <c r="BO165" i="11"/>
  <c r="BP165" i="11"/>
  <c r="BR165" i="11"/>
  <c r="BS165" i="11"/>
  <c r="BT165" i="11"/>
  <c r="BL165" i="11"/>
  <c r="BU165" i="11"/>
  <c r="CJ164" i="11" l="1"/>
  <c r="CO164" i="11" s="1"/>
  <c r="BQ165" i="11"/>
  <c r="BV165" i="11"/>
  <c r="CA165" i="11"/>
  <c r="CB165" i="11"/>
  <c r="CD165" i="11"/>
  <c r="CE165" i="11"/>
  <c r="CF165" i="11"/>
  <c r="CG165" i="11"/>
  <c r="BW165" i="11" l="1"/>
  <c r="CH165" i="11"/>
  <c r="CI165" i="11"/>
  <c r="CJ165" i="11" s="1"/>
  <c r="CK165" i="11"/>
  <c r="CL165" i="11"/>
  <c r="CM165" i="11"/>
  <c r="CN165" i="11"/>
  <c r="AS166" i="11"/>
  <c r="AT166" i="11"/>
  <c r="AU166" i="11"/>
  <c r="AV166" i="11"/>
  <c r="AW166" i="11"/>
  <c r="AX166" i="11"/>
  <c r="AZ166" i="11"/>
  <c r="BA166" i="11"/>
  <c r="BB166" i="11"/>
  <c r="BC166" i="11"/>
  <c r="BD166" i="11"/>
  <c r="BE166" i="11"/>
  <c r="BF166" i="11"/>
  <c r="BG166" i="11"/>
  <c r="BH166" i="11"/>
  <c r="BI166" i="11"/>
  <c r="BJ166" i="11"/>
  <c r="BK166" i="11"/>
  <c r="BN166" i="11"/>
  <c r="BO166" i="11"/>
  <c r="BP166" i="11"/>
  <c r="BR166" i="11"/>
  <c r="BS166" i="11"/>
  <c r="BT166" i="11"/>
  <c r="BL166" i="11"/>
  <c r="BU166" i="11"/>
  <c r="CO165" i="11" l="1"/>
  <c r="BQ166" i="11"/>
  <c r="BV166" i="11"/>
  <c r="CA166" i="11"/>
  <c r="CB166" i="11"/>
  <c r="CD166" i="11"/>
  <c r="CE166" i="11"/>
  <c r="CF166" i="11"/>
  <c r="CG166" i="11"/>
  <c r="BW166" i="11" l="1"/>
  <c r="CH166" i="11"/>
  <c r="CI166" i="11"/>
  <c r="CK166" i="11"/>
  <c r="CL166" i="11"/>
  <c r="CM166" i="11"/>
  <c r="CN166" i="11"/>
  <c r="AS167" i="11"/>
  <c r="AT167" i="11"/>
  <c r="AU167" i="11"/>
  <c r="AV167" i="11"/>
  <c r="AW167" i="11"/>
  <c r="AX167" i="11"/>
  <c r="AZ167" i="11"/>
  <c r="BA167" i="11"/>
  <c r="BB167" i="11"/>
  <c r="BC167" i="11"/>
  <c r="BD167" i="11"/>
  <c r="BE167" i="11"/>
  <c r="BF167" i="11"/>
  <c r="BG167" i="11"/>
  <c r="BH167" i="11"/>
  <c r="BI167" i="11"/>
  <c r="BJ167" i="11"/>
  <c r="BK167" i="11"/>
  <c r="BN167" i="11"/>
  <c r="BO167" i="11"/>
  <c r="BP167" i="11"/>
  <c r="BR167" i="11"/>
  <c r="BS167" i="11"/>
  <c r="BT167" i="11"/>
  <c r="BL167" i="11"/>
  <c r="BU167" i="11"/>
  <c r="CJ166" i="11" l="1"/>
  <c r="CO166" i="11" s="1"/>
  <c r="BQ167" i="11"/>
  <c r="BV167" i="11"/>
  <c r="CA167" i="11"/>
  <c r="CB167" i="11"/>
  <c r="CD167" i="11"/>
  <c r="CE167" i="11"/>
  <c r="CF167" i="11"/>
  <c r="CG167" i="11"/>
  <c r="BW167" i="11" l="1"/>
  <c r="CH167" i="11"/>
  <c r="CI167" i="11"/>
  <c r="CK167" i="11"/>
  <c r="CL167" i="11"/>
  <c r="CM167" i="11"/>
  <c r="CN167" i="11"/>
  <c r="AS168" i="11"/>
  <c r="AT168" i="11"/>
  <c r="AU168" i="11"/>
  <c r="AV168" i="11"/>
  <c r="AW168" i="11"/>
  <c r="AX168" i="11"/>
  <c r="AZ168" i="11"/>
  <c r="BA168" i="11"/>
  <c r="BB168" i="11"/>
  <c r="BC168" i="11"/>
  <c r="BD168" i="11"/>
  <c r="BE168" i="11"/>
  <c r="BF168" i="11"/>
  <c r="BG168" i="11"/>
  <c r="BH168" i="11"/>
  <c r="BI168" i="11"/>
  <c r="BJ168" i="11"/>
  <c r="BK168" i="11"/>
  <c r="BN168" i="11"/>
  <c r="BO168" i="11"/>
  <c r="BP168" i="11"/>
  <c r="BR168" i="11"/>
  <c r="BS168" i="11"/>
  <c r="BT168" i="11"/>
  <c r="BL168" i="11"/>
  <c r="BU168" i="11"/>
  <c r="BQ168" i="11" l="1"/>
  <c r="BW168" i="11" s="1"/>
  <c r="CJ167" i="11"/>
  <c r="CO167" i="11" s="1"/>
  <c r="BV168" i="11"/>
  <c r="CA168" i="11"/>
  <c r="CB168" i="11"/>
  <c r="CD168" i="11"/>
  <c r="CE168" i="11"/>
  <c r="CF168" i="11"/>
  <c r="CG168" i="11"/>
  <c r="CH168" i="11"/>
  <c r="CJ168" i="11" s="1"/>
  <c r="CI168" i="11"/>
  <c r="CK168" i="11"/>
  <c r="CL168" i="11"/>
  <c r="CM168" i="11"/>
  <c r="CN168" i="11"/>
  <c r="AS169" i="11"/>
  <c r="AT169" i="11"/>
  <c r="AU169" i="11"/>
  <c r="AV169" i="11"/>
  <c r="AW169" i="11"/>
  <c r="AX169" i="11"/>
  <c r="AZ169" i="11"/>
  <c r="BA169" i="11"/>
  <c r="BB169" i="11"/>
  <c r="BC169" i="11"/>
  <c r="BD169" i="11"/>
  <c r="BE169" i="11"/>
  <c r="BF169" i="11"/>
  <c r="BG169" i="11"/>
  <c r="BH169" i="11"/>
  <c r="BI169" i="11"/>
  <c r="BJ169" i="11"/>
  <c r="BK169" i="11"/>
  <c r="BN169" i="11"/>
  <c r="BO169" i="11"/>
  <c r="BP169" i="11"/>
  <c r="BR169" i="11"/>
  <c r="BS169" i="11"/>
  <c r="BT169" i="11"/>
  <c r="BL169" i="11"/>
  <c r="BU169" i="11"/>
  <c r="BQ169" i="11" l="1"/>
  <c r="CO168" i="11"/>
  <c r="BV169" i="11"/>
  <c r="CA169" i="11"/>
  <c r="CB169" i="11"/>
  <c r="CD169" i="11"/>
  <c r="CE169" i="11"/>
  <c r="CF169" i="11"/>
  <c r="CG169" i="11"/>
  <c r="BW169" i="11" l="1"/>
  <c r="CH169" i="11"/>
  <c r="CI169" i="11"/>
  <c r="CK169" i="11"/>
  <c r="CL169" i="11"/>
  <c r="CM169" i="11"/>
  <c r="CN169" i="11"/>
  <c r="AS170" i="11"/>
  <c r="AT170" i="11"/>
  <c r="AU170" i="11"/>
  <c r="AV170" i="11"/>
  <c r="AW170" i="11"/>
  <c r="AX170" i="11"/>
  <c r="AZ170" i="11"/>
  <c r="BA170" i="11"/>
  <c r="BB170" i="11"/>
  <c r="BC170" i="11"/>
  <c r="BD170" i="11"/>
  <c r="BE170" i="11"/>
  <c r="BF170" i="11"/>
  <c r="BG170" i="11"/>
  <c r="BH170" i="11"/>
  <c r="BI170" i="11"/>
  <c r="BJ170" i="11"/>
  <c r="BK170" i="11"/>
  <c r="BN170" i="11"/>
  <c r="BO170" i="11"/>
  <c r="BP170" i="11"/>
  <c r="BR170" i="11"/>
  <c r="BS170" i="11"/>
  <c r="BT170" i="11"/>
  <c r="BL170" i="11"/>
  <c r="BU170" i="11"/>
  <c r="BQ170" i="11" l="1"/>
  <c r="CJ169" i="11"/>
  <c r="CO169" i="11" s="1"/>
  <c r="BV170" i="11"/>
  <c r="CA170" i="11"/>
  <c r="CB170" i="11"/>
  <c r="CD170" i="11"/>
  <c r="CE170" i="11"/>
  <c r="CF170" i="11"/>
  <c r="CG170" i="11"/>
  <c r="BW170" i="11" l="1"/>
  <c r="CH170" i="11"/>
  <c r="CI170" i="11"/>
  <c r="CJ170" i="11" s="1"/>
  <c r="CK170" i="11"/>
  <c r="CL170" i="11"/>
  <c r="CM170" i="11"/>
  <c r="CN170" i="11"/>
  <c r="AS171" i="11"/>
  <c r="AT171" i="11"/>
  <c r="AU171" i="11"/>
  <c r="AV171" i="11"/>
  <c r="AW171" i="11"/>
  <c r="AX171" i="11"/>
  <c r="AZ171" i="11"/>
  <c r="BA171" i="11"/>
  <c r="BB171" i="11"/>
  <c r="BC171" i="11"/>
  <c r="BD171" i="11"/>
  <c r="BE171" i="11"/>
  <c r="BF171" i="11"/>
  <c r="BG171" i="11"/>
  <c r="BH171" i="11"/>
  <c r="BI171" i="11"/>
  <c r="BJ171" i="11"/>
  <c r="BK171" i="11"/>
  <c r="BN171" i="11"/>
  <c r="BO171" i="11"/>
  <c r="BP171" i="11"/>
  <c r="BR171" i="11"/>
  <c r="BS171" i="11"/>
  <c r="BT171" i="11"/>
  <c r="BL171" i="11"/>
  <c r="BU171" i="11"/>
  <c r="BQ171" i="11" l="1"/>
  <c r="CO170" i="11"/>
  <c r="BV171" i="11"/>
  <c r="CA171" i="11"/>
  <c r="CB171" i="11"/>
  <c r="CD171" i="11"/>
  <c r="CE171" i="11"/>
  <c r="CF171" i="11"/>
  <c r="CG171" i="11"/>
  <c r="BW171" i="11" l="1"/>
  <c r="CH171" i="11"/>
  <c r="CI171" i="11"/>
  <c r="CK171" i="11"/>
  <c r="CL171" i="11"/>
  <c r="CM171" i="11"/>
  <c r="CN171" i="11"/>
  <c r="AS172" i="11"/>
  <c r="AT172" i="11"/>
  <c r="AU172" i="11"/>
  <c r="AV172" i="11"/>
  <c r="AW172" i="11"/>
  <c r="AX172" i="11"/>
  <c r="AZ172" i="11"/>
  <c r="BA172" i="11"/>
  <c r="BB172" i="11"/>
  <c r="BC172" i="11"/>
  <c r="BD172" i="11"/>
  <c r="BE172" i="11"/>
  <c r="BF172" i="11"/>
  <c r="BG172" i="11"/>
  <c r="BH172" i="11"/>
  <c r="BI172" i="11"/>
  <c r="BJ172" i="11"/>
  <c r="BK172" i="11"/>
  <c r="BN172" i="11"/>
  <c r="BO172" i="11"/>
  <c r="BP172" i="11"/>
  <c r="BR172" i="11"/>
  <c r="BS172" i="11"/>
  <c r="BT172" i="11"/>
  <c r="BL172" i="11"/>
  <c r="BU172" i="11"/>
  <c r="CJ171" i="11" l="1"/>
  <c r="CO171" i="11" s="1"/>
  <c r="BQ172" i="11"/>
  <c r="BV172" i="11"/>
  <c r="CA172" i="11"/>
  <c r="CB172" i="11"/>
  <c r="CD172" i="11"/>
  <c r="CE172" i="11"/>
  <c r="CF172" i="11"/>
  <c r="CG172" i="11"/>
  <c r="BW172" i="11" l="1"/>
  <c r="CH172" i="11"/>
  <c r="CI172" i="11"/>
  <c r="CK172" i="11"/>
  <c r="CL172" i="11"/>
  <c r="CM172" i="11"/>
  <c r="CN172" i="11"/>
  <c r="AS173" i="11"/>
  <c r="AT173" i="11"/>
  <c r="AU173" i="11"/>
  <c r="AV173" i="11"/>
  <c r="AW173" i="11"/>
  <c r="AX173" i="11"/>
  <c r="AZ173" i="11"/>
  <c r="BA173" i="11"/>
  <c r="BB173" i="11"/>
  <c r="BC173" i="11"/>
  <c r="BD173" i="11"/>
  <c r="BE173" i="11"/>
  <c r="BF173" i="11"/>
  <c r="BG173" i="11"/>
  <c r="BH173" i="11"/>
  <c r="BI173" i="11"/>
  <c r="BJ173" i="11"/>
  <c r="BK173" i="11"/>
  <c r="BN173" i="11"/>
  <c r="BO173" i="11"/>
  <c r="BP173" i="11"/>
  <c r="BR173" i="11"/>
  <c r="BS173" i="11"/>
  <c r="BT173" i="11"/>
  <c r="BL173" i="11"/>
  <c r="BU173" i="11"/>
  <c r="CJ172" i="11" l="1"/>
  <c r="CO172" i="11" s="1"/>
  <c r="BQ173" i="11"/>
  <c r="BV173" i="11"/>
  <c r="CA173" i="11"/>
  <c r="CB173" i="11"/>
  <c r="CD173" i="11"/>
  <c r="CE173" i="11"/>
  <c r="CF173" i="11"/>
  <c r="CG173" i="11"/>
  <c r="BW173" i="11" l="1"/>
  <c r="CH173" i="11"/>
  <c r="CI173" i="11"/>
  <c r="CK173" i="11"/>
  <c r="CL173" i="11"/>
  <c r="CM173" i="11"/>
  <c r="CN173" i="11"/>
  <c r="AS174" i="11"/>
  <c r="AT174" i="11"/>
  <c r="AU174" i="11"/>
  <c r="AV174" i="11"/>
  <c r="AW174" i="11"/>
  <c r="AX174" i="11"/>
  <c r="AZ174" i="11"/>
  <c r="BA174" i="11"/>
  <c r="BB174" i="11"/>
  <c r="BC174" i="11"/>
  <c r="BD174" i="11"/>
  <c r="BE174" i="11"/>
  <c r="BF174" i="11"/>
  <c r="BG174" i="11"/>
  <c r="BH174" i="11"/>
  <c r="BI174" i="11"/>
  <c r="BJ174" i="11"/>
  <c r="BK174" i="11"/>
  <c r="BN174" i="11"/>
  <c r="BO174" i="11"/>
  <c r="BP174" i="11"/>
  <c r="BR174" i="11"/>
  <c r="BS174" i="11"/>
  <c r="BT174" i="11"/>
  <c r="BL174" i="11"/>
  <c r="BU174" i="11"/>
  <c r="BQ174" i="11" l="1"/>
  <c r="CJ173" i="11"/>
  <c r="CO173" i="11" s="1"/>
  <c r="BV174" i="11"/>
  <c r="CA174" i="11"/>
  <c r="CB174" i="11"/>
  <c r="CD174" i="11"/>
  <c r="CE174" i="11"/>
  <c r="CF174" i="11"/>
  <c r="CG174" i="11"/>
  <c r="BW174" i="11" l="1"/>
  <c r="CH174" i="11"/>
  <c r="CI174" i="11"/>
  <c r="CK174" i="11"/>
  <c r="CL174" i="11"/>
  <c r="CM174" i="11"/>
  <c r="CN174" i="11"/>
  <c r="AS175" i="11"/>
  <c r="AT175" i="11"/>
  <c r="AU175" i="11"/>
  <c r="AV175" i="11"/>
  <c r="AW175" i="11"/>
  <c r="AX175" i="11"/>
  <c r="AZ175" i="11"/>
  <c r="BA175" i="11"/>
  <c r="BB175" i="11"/>
  <c r="BC175" i="11"/>
  <c r="BD175" i="11"/>
  <c r="BE175" i="11"/>
  <c r="BF175" i="11"/>
  <c r="BG175" i="11"/>
  <c r="BH175" i="11"/>
  <c r="BI175" i="11"/>
  <c r="BJ175" i="11"/>
  <c r="BK175" i="11"/>
  <c r="BN175" i="11"/>
  <c r="BO175" i="11"/>
  <c r="BP175" i="11"/>
  <c r="BR175" i="11"/>
  <c r="BS175" i="11"/>
  <c r="BT175" i="11"/>
  <c r="BL175" i="11"/>
  <c r="BU175" i="11"/>
  <c r="CJ174" i="11" l="1"/>
  <c r="CO174" i="11" s="1"/>
  <c r="BQ175" i="11"/>
  <c r="BV175" i="11"/>
  <c r="CA175" i="11"/>
  <c r="CB175" i="11"/>
  <c r="CD175" i="11"/>
  <c r="CE175" i="11"/>
  <c r="CF175" i="11"/>
  <c r="CG175" i="11"/>
  <c r="BW175" i="11" l="1"/>
  <c r="CH175" i="11"/>
  <c r="CI175" i="11"/>
  <c r="CJ175" i="11" s="1"/>
  <c r="CK175" i="11"/>
  <c r="CL175" i="11"/>
  <c r="CM175" i="11"/>
  <c r="CN175" i="11"/>
  <c r="AS176" i="11"/>
  <c r="AT176" i="11"/>
  <c r="AU176" i="11"/>
  <c r="AV176" i="11"/>
  <c r="AW176" i="11"/>
  <c r="AX176" i="11"/>
  <c r="AZ176" i="11"/>
  <c r="BA176" i="11"/>
  <c r="BB176" i="11"/>
  <c r="BC176" i="11"/>
  <c r="BD176" i="11"/>
  <c r="BE176" i="11"/>
  <c r="BF176" i="11"/>
  <c r="BG176" i="11"/>
  <c r="BH176" i="11"/>
  <c r="BI176" i="11"/>
  <c r="BJ176" i="11"/>
  <c r="BK176" i="11"/>
  <c r="BN176" i="11"/>
  <c r="BO176" i="11"/>
  <c r="BP176" i="11"/>
  <c r="BR176" i="11"/>
  <c r="BS176" i="11"/>
  <c r="BT176" i="11"/>
  <c r="BL176" i="11"/>
  <c r="BU176" i="11"/>
  <c r="CO175" i="11" l="1"/>
  <c r="BQ176" i="11"/>
  <c r="BW176" i="11" s="1"/>
  <c r="BV176" i="11"/>
  <c r="CA176" i="11"/>
  <c r="CB176" i="11"/>
  <c r="CD176" i="11"/>
  <c r="CE176" i="11"/>
  <c r="CF176" i="11"/>
  <c r="CG176" i="11"/>
  <c r="CH176" i="11"/>
  <c r="CJ176" i="11" s="1"/>
  <c r="CI176" i="11"/>
  <c r="CK176" i="11"/>
  <c r="CL176" i="11"/>
  <c r="CM176" i="11"/>
  <c r="CN176" i="11"/>
  <c r="CO176" i="11" l="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Y70" i="13"/>
  <c r="CH141" i="11"/>
  <c r="AA69" i="13"/>
  <c r="Z69" i="13"/>
  <c r="Y69" i="13"/>
  <c r="BX142" i="11"/>
  <c r="BX141" i="11"/>
  <c r="BU144" i="11"/>
  <c r="BQ143" i="11" l="1"/>
  <c r="BQ145" i="11"/>
  <c r="BL143" i="11"/>
  <c r="BL141" i="11"/>
  <c r="CA41" i="16"/>
  <c r="CA297" i="16"/>
  <c r="CA270" i="16"/>
  <c r="CA305" i="16"/>
  <c r="CA29" i="16"/>
  <c r="CA245" i="16"/>
  <c r="CA277" i="16"/>
  <c r="CA216" i="16"/>
  <c r="CA103" i="16"/>
  <c r="CA50" i="16"/>
  <c r="CA285" i="16"/>
  <c r="CA210" i="16"/>
  <c r="CA232" i="16"/>
  <c r="Z1" i="13"/>
  <c r="BL144" i="11"/>
  <c r="CL142" i="11"/>
  <c r="CA77" i="16"/>
  <c r="CA293" i="16"/>
  <c r="CA85" i="16"/>
  <c r="CA49" i="16"/>
  <c r="CA290" i="16"/>
  <c r="CA281" i="16"/>
  <c r="CA94" i="16"/>
  <c r="CH142" i="11"/>
  <c r="BU141" i="11"/>
  <c r="CA114" i="16"/>
  <c r="CG1" i="11"/>
  <c r="CA81" i="16"/>
  <c r="CA164" i="16"/>
  <c r="CA30" i="16"/>
  <c r="CA298" i="16"/>
  <c r="CA10" i="16"/>
  <c r="AA1" i="13"/>
  <c r="BW145" i="11"/>
  <c r="CG144" i="11"/>
  <c r="CG142" i="11"/>
  <c r="CL140" i="11"/>
  <c r="CA158" i="16"/>
  <c r="Z1" i="14"/>
  <c r="CA252" i="16"/>
  <c r="CA286" i="16"/>
  <c r="CA99" i="16"/>
  <c r="AA37" i="13"/>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BX1" i="11"/>
  <c r="CA184" i="16"/>
  <c r="BL145" i="11"/>
  <c r="CG143" i="11"/>
  <c r="BU140" i="11"/>
  <c r="CA122" i="16"/>
  <c r="CA200" i="16"/>
  <c r="CA130" i="16"/>
  <c r="CA268" i="16"/>
  <c r="CA266" i="16"/>
  <c r="Y68" i="13"/>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Z38" i="13"/>
  <c r="CA246"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BU1" i="11"/>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BL1" i="11"/>
  <c r="CA38" i="13"/>
  <c r="BX22" i="11"/>
  <c r="BX137" i="11"/>
  <c r="Y37" i="13"/>
  <c r="BX11" i="11"/>
  <c r="BX75" i="11"/>
  <c r="BX46" i="11"/>
  <c r="BX48" i="11"/>
  <c r="BX25" i="11"/>
  <c r="BX18" i="11"/>
  <c r="BX78" i="11"/>
  <c r="BX21" i="11"/>
  <c r="BX73" i="11"/>
  <c r="BX43" i="11"/>
  <c r="BX56" i="11"/>
  <c r="BX13" i="11"/>
  <c r="BX128" i="11"/>
  <c r="BX129" i="11"/>
  <c r="BX8" i="11"/>
  <c r="BX83" i="11"/>
  <c r="BX54" i="11"/>
  <c r="BX27" i="11"/>
  <c r="BX132" i="11"/>
  <c r="Y65" i="13"/>
  <c r="BX31" i="11"/>
  <c r="BX47" i="11"/>
  <c r="BX117" i="11"/>
  <c r="BX7" i="11"/>
  <c r="BX14" i="11"/>
  <c r="Y31" i="13"/>
  <c r="BX44" i="11"/>
  <c r="BX10" i="11"/>
  <c r="BX9" i="11"/>
  <c r="BX136" i="11"/>
  <c r="BX40" i="11"/>
  <c r="Y66" i="13"/>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L58" i="11"/>
  <c r="CL129" i="11"/>
  <c r="CL104" i="11"/>
  <c r="CL136" i="11"/>
  <c r="CL105" i="11"/>
  <c r="CL124" i="11"/>
  <c r="CL51" i="11"/>
  <c r="CA19" i="13"/>
  <c r="CL86" i="11"/>
  <c r="CL128" i="11"/>
  <c r="CL12" i="11"/>
  <c r="CL7" i="11"/>
  <c r="CL123" i="11"/>
  <c r="CL27" i="11"/>
  <c r="CL110" i="11"/>
  <c r="CL131" i="11"/>
  <c r="CL16" i="11"/>
  <c r="CL66" i="11"/>
  <c r="CL112" i="11"/>
  <c r="Y32" i="13"/>
  <c r="CL126" i="11"/>
  <c r="CL80" i="11"/>
  <c r="CA65" i="13"/>
  <c r="CL22" i="11"/>
  <c r="CL103" i="11"/>
  <c r="CL17" i="11"/>
  <c r="CA31" i="13"/>
  <c r="CL89" i="11"/>
  <c r="CL130" i="11"/>
  <c r="CL10" i="11"/>
  <c r="CA20" i="13"/>
  <c r="CL9" i="11"/>
  <c r="CL121" i="11"/>
  <c r="CL79" i="11"/>
  <c r="CL95" i="11"/>
  <c r="CL47" i="11"/>
  <c r="CL20" i="11"/>
  <c r="CL63" i="11"/>
  <c r="CL92" i="11"/>
  <c r="CL52" i="11"/>
  <c r="CL45" i="11"/>
  <c r="CL8" i="11"/>
  <c r="CL38" i="11"/>
  <c r="CL75" i="11"/>
  <c r="Y15" i="13"/>
  <c r="CL97" i="11"/>
  <c r="CL93" i="11"/>
  <c r="CL74" i="11"/>
  <c r="CL102" i="11"/>
  <c r="CL96" i="11"/>
  <c r="CL108" i="11"/>
  <c r="CL78" i="11"/>
  <c r="CL72" i="11"/>
  <c r="CL46" i="11"/>
  <c r="CL81" i="11"/>
  <c r="CL34" i="11"/>
  <c r="Y6" i="13"/>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A37" i="13"/>
  <c r="CL83" i="11"/>
  <c r="CL44" i="11"/>
  <c r="CL76" i="11"/>
  <c r="CL139" i="11"/>
  <c r="CL29" i="11"/>
  <c r="CL98" i="11"/>
  <c r="CL31" i="11"/>
  <c r="CL100" i="11"/>
  <c r="CL117" i="11"/>
  <c r="CL55" i="11"/>
  <c r="CL61" i="11"/>
  <c r="CL94" i="11"/>
  <c r="CA18" i="13"/>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B51" i="11"/>
  <c r="CK51" i="11" s="1"/>
  <c r="CB31" i="11"/>
  <c r="CN31" i="11" s="1"/>
  <c r="CB32" i="11"/>
  <c r="CK32" i="11" s="1"/>
  <c r="CB21" i="11"/>
  <c r="CK21" i="11" s="1"/>
  <c r="CB121" i="11"/>
  <c r="CB124" i="11"/>
  <c r="CB58" i="11"/>
  <c r="CN58" i="11" s="1"/>
  <c r="CB62" i="1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BQ64" i="11"/>
  <c r="BQ65" i="11"/>
  <c r="BQ72" i="11"/>
  <c r="BQ73" i="11"/>
  <c r="BQ74" i="11"/>
  <c r="BQ75" i="11"/>
  <c r="CK57" i="11"/>
  <c r="BQ58" i="11"/>
  <c r="BQ59" i="11"/>
  <c r="CK65" i="11"/>
  <c r="BQ66" i="11"/>
  <c r="BQ67" i="11"/>
  <c r="BW67" i="11" s="1"/>
  <c r="CK59" i="11"/>
  <c r="BQ77" i="11"/>
  <c r="BQ60" i="11"/>
  <c r="CJ76" i="11"/>
  <c r="CK62"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CN41" i="11"/>
  <c r="CK5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CG102" i="11"/>
  <c r="CH100" i="11"/>
  <c r="BV39"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U125" i="11"/>
  <c r="CH107" i="11"/>
  <c r="BU67" i="11"/>
  <c r="CG75" i="11"/>
  <c r="BW82" i="11"/>
  <c r="BV27" i="11"/>
  <c r="BL88" i="11"/>
  <c r="BL26" i="11"/>
  <c r="CG93" i="11"/>
  <c r="CI63" i="11"/>
  <c r="CG63" i="11"/>
  <c r="CG57" i="11"/>
  <c r="BU88" i="11"/>
  <c r="BU113" i="11"/>
  <c r="CH26" i="11"/>
  <c r="CH72" i="11"/>
  <c r="CH70" i="11"/>
  <c r="BW90" i="11"/>
  <c r="BU25" i="11"/>
  <c r="BL42" i="11"/>
  <c r="BU48" i="11"/>
  <c r="CG95" i="11"/>
  <c r="CG119" i="11"/>
  <c r="BU28" i="11"/>
  <c r="CG51" i="11"/>
  <c r="BW60" i="11"/>
  <c r="CI108" i="11"/>
  <c r="BV2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CH56" i="11"/>
  <c r="BU66" i="11"/>
  <c r="CH77" i="11"/>
  <c r="BU9" i="11"/>
  <c r="BU91" i="11"/>
  <c r="BW59" i="11"/>
  <c r="BV9" i="11"/>
  <c r="BV14"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123" i="11"/>
  <c r="BV56" i="11"/>
  <c r="BL55" i="11"/>
  <c r="BL28" i="11"/>
  <c r="BL74" i="11"/>
  <c r="BL111" i="11"/>
  <c r="BL104" i="11"/>
  <c r="CH97" i="11"/>
  <c r="CG99" i="11"/>
  <c r="CH112" i="11"/>
  <c r="BU53" i="11"/>
  <c r="CH127" i="11"/>
  <c r="BW64" i="11"/>
  <c r="BW91" i="11"/>
  <c r="BL10" i="11"/>
  <c r="BL38" i="11"/>
  <c r="BL57" i="11"/>
  <c r="BV12" i="11"/>
  <c r="CI18" i="11"/>
  <c r="BV53" i="11"/>
  <c r="CH91" i="11"/>
  <c r="CI70" i="11"/>
  <c r="BU120" i="11"/>
  <c r="CH108" i="11"/>
  <c r="CH14" i="11"/>
  <c r="CG118" i="11"/>
  <c r="BW7" i="11"/>
  <c r="BL49" i="11"/>
  <c r="BL15" i="11"/>
  <c r="BL137" i="11"/>
  <c r="BL98" i="11"/>
  <c r="BL132" i="11"/>
  <c r="BW122" i="11"/>
  <c r="CG67" i="11"/>
  <c r="BU138" i="11"/>
  <c r="CG101" i="11"/>
  <c r="CG121" i="11"/>
  <c r="BW111" i="11"/>
  <c r="CG36" i="11"/>
  <c r="BL63" i="11"/>
  <c r="BL76" i="11"/>
  <c r="BU71" i="11"/>
  <c r="CG31" i="11"/>
  <c r="BU82" i="11"/>
  <c r="CI73" i="11"/>
  <c r="CI93" i="11"/>
  <c r="CG47" i="11"/>
  <c r="BV133" i="11"/>
  <c r="BL53" i="11"/>
  <c r="BV49" i="11"/>
  <c r="BL138" i="11"/>
  <c r="BU119" i="11"/>
  <c r="BU83" i="11"/>
  <c r="CG104" i="11"/>
  <c r="CG22" i="11"/>
  <c r="BL80" i="11"/>
  <c r="CH64" i="11"/>
  <c r="CI79" i="11"/>
  <c r="BU139" i="11"/>
  <c r="BV139" i="1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6" i="11"/>
  <c r="BL110" i="11"/>
  <c r="BL39" i="11"/>
  <c r="BL61"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L126" i="11"/>
  <c r="BV138" i="11"/>
  <c r="BL119" i="11"/>
  <c r="BL90" i="11"/>
  <c r="BL134" i="11"/>
  <c r="BW88" i="11"/>
  <c r="BU74" i="11"/>
  <c r="BL77" i="11"/>
  <c r="BU59" i="11"/>
  <c r="BU121" i="11"/>
  <c r="CH88" i="11"/>
  <c r="BU79" i="11"/>
  <c r="BW94" i="11"/>
  <c r="CA94" i="11" s="1"/>
  <c r="BU63" i="11"/>
  <c r="BL30" i="11"/>
  <c r="BL101" i="11"/>
  <c r="CA101" i="11" s="1"/>
  <c r="BL60" i="11"/>
  <c r="BL105" i="11"/>
  <c r="BL95" i="11"/>
  <c r="CG48" i="11"/>
  <c r="BL136" i="11"/>
  <c r="BU19" i="11"/>
  <c r="CI96" i="11"/>
  <c r="CI64" i="11"/>
  <c r="CI14" i="11"/>
  <c r="BW87" i="11"/>
  <c r="CA87" i="11" s="1"/>
  <c r="BW99" i="11"/>
  <c r="CA99" i="11" s="1"/>
  <c r="CA63" i="11"/>
  <c r="BU42" i="11"/>
  <c r="BW109" i="11"/>
  <c r="BU52" i="11"/>
  <c r="BU69" i="11"/>
  <c r="CG87" i="11"/>
  <c r="CI58" i="11"/>
  <c r="BW115" i="11"/>
  <c r="BU77" i="11"/>
  <c r="BV52"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L20" i="1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<sst xmlns="http://schemas.openxmlformats.org/spreadsheetml/2006/main" count="10501" uniqueCount="2405">
  <si>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</si>
  <si>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</si>
  <si>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</si>
  <si>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</si>
  <si>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</si>
  <si>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</si>
  <si>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</si>
  <si>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</si>
  <si>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</si>
  <si>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</si>
  <si>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</si>
  <si>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</si>
  <si>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</si>
  <si>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</si>
  <si>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</si>
  <si>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</si>
  <si>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</si>
  <si>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</si>
  <si>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</si>
  <si>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</si>
  <si>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</si>
  <si>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</si>
  <si>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</si>
  <si>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</si>
  <si>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</si>
  <si>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</si>
  <si>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</si>
  <si>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</si>
  <si>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</si>
  <si>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</si>
  <si>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</si>
  <si>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</si>
  <si>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</si>
  <si>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</si>
  <si>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</si>
  <si>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</si>
  <si>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</si>
  <si>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</si>
  <si>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</si>
  <si>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</si>
  <si>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</si>
  <si>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</si>
  <si>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</si>
  <si>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</si>
  <si>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</si>
  <si>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</si>
  <si>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</si>
  <si>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</si>
  <si>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</si>
  <si>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</si>
  <si>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</si>
  <si>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</si>
  <si>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</si>
  <si>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</si>
  <si>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</si>
  <si>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</si>
  <si>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</si>
  <si>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</si>
  <si>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</si>
  <si>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</si>
  <si>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</si>
  <si>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</si>
  <si>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</si>
  <si>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</si>
  <si>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</si>
  <si>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</si>
  <si>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</si>
  <si>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</si>
  <si>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</si>
  <si>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</si>
  <si>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</si>
  <si>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</si>
  <si>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</si>
  <si>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</si>
  <si>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</si>
  <si>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</si>
  <si>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</si>
  <si>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</si>
  <si>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</si>
  <si>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</si>
  <si>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</si>
  <si>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</si>
  <si>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</si>
  <si>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</si>
  <si>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</si>
  <si>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</si>
  <si>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</si>
  <si>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</si>
  <si>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</si>
  <si>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</si>
  <si>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</si>
  <si>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</si>
  <si>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</si>
  <si>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</si>
  <si>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</si>
  <si>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</si>
  <si>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</si>
  <si>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</si>
  <si>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</si>
  <si>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</si>
  <si>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</si>
  <si>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</si>
  <si>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</si>
  <si>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</si>
  <si>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</si>
  <si>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</si>
  <si>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</si>
  <si>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</si>
  <si>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</si>
  <si>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</si>
  <si>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</si>
  <si>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</si>
  <si>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</si>
  <si>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</si>
  <si>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</si>
  <si>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</si>
  <si>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</si>
  <si>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</si>
  <si>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</si>
  <si>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</si>
  <si>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</si>
  <si>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</si>
  <si>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</si>
  <si>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</si>
  <si>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</si>
  <si>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</si>
  <si>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</si>
  <si>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</si>
  <si>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</si>
  <si>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</si>
  <si>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</si>
  <si>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</si>
  <si>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</si>
  <si>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</si>
  <si>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</si>
  <si>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</si>
  <si>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</si>
  <si>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</si>
  <si>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</si>
  <si>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</si>
  <si>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</si>
  <si>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</si>
  <si>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</si>
  <si>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</si>
  <si>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</si>
  <si>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</si>
  <si>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</si>
  <si>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</si>
  <si>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</si>
  <si>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</si>
  <si>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</si>
  <si>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</si>
  <si>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</si>
  <si>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</si>
  <si>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</si>
  <si>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</si>
  <si>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</si>
  <si>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</si>
  <si>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</si>
  <si>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</si>
  <si>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</si>
  <si>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</si>
  <si>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</si>
  <si>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</si>
  <si>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</si>
  <si>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</si>
  <si>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</si>
  <si>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</si>
  <si>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</si>
  <si>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</si>
  <si>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</si>
  <si>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</si>
  <si>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</si>
  <si>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</si>
  <si>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</si>
  <si>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</si>
  <si>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</si>
  <si>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</si>
  <si>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</si>
  <si>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</si>
  <si>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</si>
  <si>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</si>
  <si>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</si>
  <si>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</si>
  <si>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</si>
  <si>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</si>
  <si>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</si>
  <si>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</si>
  <si>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</si>
  <si>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</si>
  <si>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</si>
  <si>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</si>
  <si>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</si>
  <si>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</si>
  <si>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</si>
  <si>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</si>
  <si>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</si>
  <si>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</si>
  <si>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</si>
  <si>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</si>
  <si>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</si>
  <si>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</si>
  <si>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</si>
  <si>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</si>
  <si>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</si>
  <si>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</si>
  <si>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</si>
  <si>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</si>
  <si>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</si>
  <si>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</si>
  <si>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</si>
  <si>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</si>
  <si>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</si>
  <si>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</si>
  <si>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</si>
  <si>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</si>
  <si>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</si>
  <si>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</si>
  <si>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</si>
  <si>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</si>
  <si>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</si>
  <si>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</si>
  <si>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</si>
  <si>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</si>
  <si>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</si>
  <si>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</si>
  <si>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</si>
  <si>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</si>
  <si>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</si>
  <si>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</si>
  <si>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</si>
  <si>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</si>
  <si>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</si>
  <si>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</si>
  <si>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</si>
  <si>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</si>
  <si>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</si>
  <si>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</si>
  <si>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</si>
  <si>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</si>
  <si>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</si>
  <si>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</si>
  <si>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</si>
  <si>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</si>
  <si>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</si>
  <si>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</si>
  <si>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</si>
  <si>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</si>
  <si>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</si>
  <si>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</si>
  <si>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</si>
  <si>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</si>
  <si>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</si>
  <si>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</si>
  <si>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</si>
  <si>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</si>
  <si>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</si>
  <si>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</si>
  <si>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</si>
  <si>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</si>
  <si>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</si>
  <si>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</si>
  <si>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</si>
  <si>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</si>
  <si>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</si>
  <si>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</si>
  <si>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</si>
  <si>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</si>
  <si>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</si>
  <si>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</si>
  <si>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</si>
  <si>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</si>
  <si>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</si>
  <si>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</si>
  <si>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</si>
  <si>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</si>
  <si>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</si>
  <si>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</si>
  <si>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</si>
  <si>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</si>
  <si>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</si>
  <si>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</si>
  <si>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</si>
  <si>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</si>
  <si>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</si>
  <si>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</si>
  <si>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</si>
  <si>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</si>
  <si>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</si>
  <si>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</si>
  <si>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</si>
  <si>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</si>
  <si>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</si>
  <si>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</si>
  <si>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</si>
  <si>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</si>
  <si>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</si>
  <si>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</si>
  <si>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</si>
  <si>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</si>
  <si>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</si>
  <si>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</si>
  <si>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</si>
  <si>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</si>
  <si>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</si>
  <si>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</si>
  <si>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</si>
  <si>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</si>
  <si>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</si>
  <si>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</si>
  <si>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</si>
  <si>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</si>
  <si>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</si>
  <si>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</si>
  <si>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</si>
  <si>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</si>
  <si>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</si>
  <si>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</si>
  <si>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</si>
  <si>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</si>
  <si>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</si>
  <si>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</si>
  <si>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</si>
  <si>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</si>
  <si>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</si>
  <si>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</si>
  <si>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</si>
  <si>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</si>
  <si>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</si>
  <si>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</si>
  <si>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</si>
  <si>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</si>
  <si>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</si>
  <si>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</si>
  <si>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</si>
  <si>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</si>
  <si>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</si>
  <si>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</si>
  <si>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</si>
  <si>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</si>
  <si>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</si>
  <si>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</si>
  <si>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</si>
  <si>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</si>
  <si>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</si>
  <si>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</si>
  <si>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</si>
  <si>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</si>
  <si>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</si>
  <si>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</si>
  <si>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</si>
  <si>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</si>
  <si>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</si>
  <si>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</si>
  <si>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</si>
  <si>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</si>
  <si>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</si>
  <si>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</si>
  <si>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</si>
  <si>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</si>
  <si>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</si>
  <si>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</si>
  <si>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</si>
  <si>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</si>
  <si>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</si>
  <si>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</si>
  <si>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</si>
  <si>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</si>
  <si>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</si>
  <si>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</si>
  <si>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</si>
  <si>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</si>
  <si>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</si>
  <si>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</si>
  <si>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</si>
  <si>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</si>
  <si>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</si>
  <si>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</si>
  <si>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</si>
  <si>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</si>
  <si>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</si>
  <si>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</si>
  <si>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</si>
  <si>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</si>
  <si>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</si>
  <si>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</si>
  <si>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</si>
  <si>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</si>
  <si>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</si>
  <si>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</si>
  <si>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</si>
  <si>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</si>
  <si>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</si>
  <si>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</si>
  <si>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</si>
  <si>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</si>
  <si>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</si>
  <si>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</si>
  <si>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</si>
  <si>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</si>
  <si>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</si>
  <si>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</si>
  <si>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</si>
  <si>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</si>
  <si>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</si>
  <si>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</si>
  <si>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</si>
  <si>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</si>
  <si>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</si>
  <si>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</si>
  <si>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</si>
  <si>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</si>
  <si>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</si>
  <si>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</si>
  <si>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</si>
  <si>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</si>
  <si>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</si>
  <si>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</si>
  <si>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</si>
  <si>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</si>
  <si>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</si>
  <si>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</si>
  <si>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</si>
  <si>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</si>
  <si>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</si>
  <si>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</si>
  <si>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</si>
  <si>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</si>
  <si>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</si>
  <si>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</si>
  <si>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</si>
  <si>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</si>
  <si>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</si>
  <si>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</si>
  <si>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</si>
  <si>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</si>
  <si>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</si>
  <si>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</si>
  <si>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</si>
  <si>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</si>
  <si>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</si>
  <si>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</si>
  <si>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</si>
  <si>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</si>
  <si>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</si>
  <si>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</si>
  <si>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</si>
  <si>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</si>
  <si>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</si>
  <si>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</si>
  <si>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</si>
  <si>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</si>
  <si>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</si>
  <si>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</si>
  <si>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</si>
  <si>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</si>
  <si>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</si>
  <si>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</si>
  <si>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</si>
  <si>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</si>
  <si>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</si>
  <si>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</si>
  <si>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</si>
  <si>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</si>
  <si>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</si>
  <si>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</si>
  <si>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</si>
  <si>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</si>
  <si>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</si>
  <si>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</si>
  <si>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</si>
  <si>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</si>
  <si>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</si>
  <si>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</si>
  <si>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</si>
  <si>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</si>
  <si>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</si>
  <si>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</si>
  <si>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</si>
  <si>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</si>
  <si>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</si>
  <si>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</si>
  <si>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</si>
  <si>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</si>
  <si>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</si>
  <si>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</si>
  <si>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</si>
  <si>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</si>
  <si>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</si>
  <si>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</si>
  <si>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</si>
  <si>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</si>
  <si>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</si>
  <si>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</si>
  <si>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</si>
  <si>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</si>
  <si>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</si>
  <si>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</si>
  <si>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</si>
  <si>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</si>
  <si>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</si>
  <si>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</si>
  <si>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</si>
  <si>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</si>
  <si>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</si>
  <si>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</si>
  <si>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</si>
  <si>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</si>
  <si>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</si>
  <si>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</si>
  <si>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</si>
  <si>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</si>
  <si>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</si>
  <si>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</si>
  <si>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</si>
  <si>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</si>
  <si>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</si>
  <si>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</si>
  <si>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</si>
  <si>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</si>
  <si>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</si>
  <si>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</si>
  <si>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</si>
  <si>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</si>
  <si>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</si>
  <si>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</si>
  <si>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</si>
  <si>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</si>
  <si>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</si>
  <si>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</si>
  <si>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</si>
  <si>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</si>
  <si>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</si>
  <si>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</si>
  <si>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</si>
  <si>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</si>
  <si>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</si>
  <si>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</si>
  <si>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</si>
  <si>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</si>
  <si>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</si>
  <si>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</si>
  <si>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</si>
  <si>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</si>
  <si>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</si>
  <si>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</si>
  <si>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</si>
  <si>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</si>
  <si>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</si>
  <si>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</si>
  <si>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</si>
  <si>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</si>
  <si>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</si>
  <si>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</si>
  <si>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</si>
  <si>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</si>
  <si>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</si>
  <si>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</si>
  <si>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</si>
  <si>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</si>
  <si>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</si>
  <si>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</si>
  <si>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</si>
  <si>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</si>
  <si>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</si>
  <si>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</si>
  <si>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</si>
  <si>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</si>
  <si>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</si>
  <si>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</si>
  <si>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</si>
  <si>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</si>
  <si>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</si>
  <si>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</si>
  <si>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</si>
  <si>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</si>
  <si>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</si>
  <si>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</si>
  <si>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</si>
  <si>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</si>
  <si>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</si>
  <si>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</si>
  <si>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</si>
  <si>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</si>
  <si>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</si>
  <si>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</si>
  <si>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</si>
  <si>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</si>
  <si>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</si>
  <si>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</si>
  <si>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</si>
  <si>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</si>
  <si>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</si>
  <si>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</si>
  <si>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</si>
  <si>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</si>
  <si>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</si>
  <si>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</si>
  <si>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</si>
  <si>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</si>
  <si>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</si>
  <si>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</si>
  <si>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</si>
  <si>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</si>
  <si>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</si>
  <si>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</si>
  <si>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</si>
  <si>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</si>
  <si>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</si>
  <si>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</si>
  <si>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</si>
  <si>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</si>
  <si>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</si>
  <si>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</si>
  <si>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</si>
  <si>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</si>
  <si>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</si>
  <si>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</si>
  <si>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</si>
  <si>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</si>
  <si>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</si>
  <si>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</si>
  <si>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</si>
  <si>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</si>
  <si>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</si>
  <si>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</si>
  <si>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</si>
  <si>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</si>
  <si>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</si>
  <si>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</si>
  <si>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</si>
  <si>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</si>
  <si>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</si>
  <si>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</si>
  <si>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</si>
  <si>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</si>
  <si>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</si>
  <si>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</si>
  <si>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</si>
  <si>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</si>
  <si>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</si>
  <si>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</si>
  <si>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</si>
  <si>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</si>
  <si>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</si>
  <si>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</si>
  <si>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</si>
  <si>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</si>
  <si>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</si>
  <si>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</si>
  <si>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</si>
  <si>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</si>
  <si>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</si>
  <si>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</si>
  <si>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</si>
  <si>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</si>
  <si>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</si>
  <si>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</si>
  <si>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</si>
  <si>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</si>
  <si>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</si>
  <si>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</si>
  <si>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</si>
  <si>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</si>
  <si>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</si>
  <si>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</si>
  <si>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</si>
  <si>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</si>
  <si>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</si>
  <si>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</si>
  <si>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</si>
  <si>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</si>
  <si>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</si>
  <si>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</si>
  <si>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</si>
  <si>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</si>
  <si>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</si>
  <si>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</si>
  <si>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</si>
  <si>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</si>
  <si>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</si>
  <si>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</si>
  <si>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</si>
  <si>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</si>
  <si>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</si>
  <si>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</si>
  <si>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</si>
  <si>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</si>
  <si>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</si>
  <si>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</si>
  <si>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</si>
  <si>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</si>
  <si>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</si>
  <si>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</si>
  <si>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</si>
  <si>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</si>
  <si>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</si>
  <si>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</si>
  <si>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</si>
  <si>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</si>
  <si>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</si>
  <si>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</si>
  <si>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</si>
  <si>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</si>
  <si>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</si>
  <si>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</si>
  <si>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</si>
  <si>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</si>
  <si>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</si>
  <si>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</si>
  <si>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</si>
  <si>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</si>
  <si>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</si>
  <si>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</si>
  <si>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</si>
  <si>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</si>
  <si>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</si>
  <si>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</si>
  <si>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</si>
  <si>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</si>
  <si>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</si>
  <si>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</si>
  <si>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</si>
  <si>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</si>
  <si>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</si>
  <si>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</si>
  <si>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</si>
  <si>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</si>
  <si>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</si>
  <si>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</si>
  <si>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</si>
  <si>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</si>
  <si>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</si>
  <si>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</si>
  <si>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</si>
  <si>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</si>
  <si>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</si>
  <si>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</si>
  <si>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</si>
  <si>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</si>
  <si>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</si>
  <si>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</si>
  <si>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</si>
  <si>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</si>
  <si>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</si>
  <si>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</si>
  <si>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</si>
  <si>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</si>
  <si>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</si>
  <si>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</si>
  <si>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</si>
  <si>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</si>
  <si>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</si>
  <si>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</si>
  <si>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</si>
  <si>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</si>
  <si>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</si>
  <si>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</si>
  <si>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</si>
  <si>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</si>
  <si>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</si>
  <si>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</si>
  <si>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</si>
  <si>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</si>
  <si>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</si>
  <si>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</si>
  <si>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</si>
  <si>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</si>
  <si>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</si>
  <si>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</si>
  <si>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</si>
  <si>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</si>
  <si>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</si>
  <si>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</si>
  <si>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</si>
  <si>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</si>
  <si>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</si>
  <si>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</si>
  <si>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</si>
  <si>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</si>
  <si>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</si>
  <si>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</si>
  <si>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</si>
  <si>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</si>
  <si>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</si>
  <si>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</si>
  <si>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</si>
  <si>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</si>
  <si>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</si>
  <si>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</si>
  <si>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</si>
  <si>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</si>
  <si>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</si>
  <si>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</si>
  <si>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</si>
  <si>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</si>
  <si>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</si>
  <si>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</si>
  <si>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</si>
  <si>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</si>
  <si>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</si>
  <si>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</si>
  <si>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</si>
  <si>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</si>
  <si>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</si>
  <si>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</si>
  <si>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</si>
  <si>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</si>
  <si>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</si>
  <si>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</si>
  <si>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</si>
  <si>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</si>
  <si>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</si>
  <si>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</si>
  <si>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</si>
  <si>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</si>
  <si>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</si>
  <si>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</si>
  <si>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</si>
  <si>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</si>
  <si>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</si>
  <si>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</si>
  <si>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</si>
  <si>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</si>
  <si>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</si>
  <si>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</si>
  <si>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</si>
  <si>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</si>
  <si>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</si>
  <si>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</si>
  <si>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</si>
  <si>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</si>
  <si>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</si>
  <si>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</si>
  <si>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</si>
  <si>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</si>
  <si>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</si>
  <si>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</si>
  <si>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</si>
  <si>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</si>
  <si>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</si>
  <si>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</si>
  <si>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</si>
  <si>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</si>
  <si>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</si>
  <si>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</si>
  <si>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</si>
  <si>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</si>
  <si>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</si>
  <si>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</si>
  <si>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</si>
  <si>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</si>
  <si>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</si>
  <si>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</si>
  <si>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</si>
  <si>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</si>
  <si>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</si>
  <si>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</si>
  <si>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</si>
  <si>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</si>
  <si>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</si>
  <si>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</si>
  <si>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</si>
  <si>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</si>
  <si>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</si>
  <si>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</si>
  <si>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</si>
  <si>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</si>
  <si>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</si>
  <si>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</si>
  <si>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</si>
  <si>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</si>
  <si>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</si>
  <si>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</si>
  <si>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</si>
  <si>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</si>
  <si>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</si>
  <si>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</si>
  <si>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</si>
  <si>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</si>
  <si>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</si>
  <si>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</si>
  <si>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</si>
  <si>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</si>
  <si>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</si>
  <si>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</si>
  <si>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</si>
  <si>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</si>
  <si>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</si>
  <si>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</si>
  <si>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</si>
  <si>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</si>
  <si>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</si>
  <si>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</si>
  <si>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</si>
  <si>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</si>
  <si>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</si>
  <si>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</si>
  <si>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</si>
  <si>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</si>
  <si>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</si>
  <si>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</si>
  <si>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</si>
  <si>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</si>
  <si>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</si>
  <si>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</si>
  <si>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</si>
  <si>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</si>
  <si>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</si>
  <si>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</si>
  <si>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</si>
  <si>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</si>
  <si>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</si>
  <si>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</si>
  <si>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</si>
  <si>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</si>
  <si>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</si>
  <si>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</si>
  <si>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</si>
  <si>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</si>
  <si>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</si>
  <si>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</si>
  <si>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</si>
  <si>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</si>
  <si>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</si>
  <si>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</si>
  <si>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</si>
  <si>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</si>
  <si>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</si>
  <si>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</si>
  <si>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</si>
  <si>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</si>
  <si>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</si>
  <si>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</si>
  <si>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</si>
  <si>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</si>
  <si>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</si>
  <si>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</si>
  <si>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</si>
  <si>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</si>
  <si>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</si>
  <si>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</si>
  <si>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</si>
  <si>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</si>
  <si>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</si>
  <si>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</si>
  <si>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</si>
  <si>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</si>
  <si>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</si>
  <si>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</si>
  <si>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</si>
  <si>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</si>
  <si>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</si>
  <si>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</si>
  <si>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</si>
  <si>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</si>
  <si>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</si>
  <si>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</si>
  <si>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</si>
  <si>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</si>
  <si>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</si>
  <si>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</si>
  <si>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</si>
  <si>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</si>
  <si>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</si>
  <si>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</si>
  <si>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</si>
  <si>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</si>
  <si>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</si>
  <si>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</si>
  <si>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</si>
  <si>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</si>
  <si>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</si>
  <si>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</si>
  <si>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</si>
  <si>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</si>
  <si>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</si>
  <si>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</si>
  <si>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</si>
  <si>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</si>
  <si>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</si>
  <si>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</si>
  <si>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</si>
  <si>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</si>
  <si>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</si>
  <si>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</si>
  <si>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</si>
  <si>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</si>
  <si>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</si>
  <si>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</si>
  <si>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</si>
  <si>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</si>
  <si>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</si>
  <si>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</si>
  <si>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</si>
  <si>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</si>
  <si>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</si>
  <si>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</si>
  <si>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</si>
  <si>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</si>
  <si>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</si>
  <si>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</si>
  <si>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</si>
  <si>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</si>
  <si>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</si>
  <si>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</si>
  <si>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</si>
  <si>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</si>
  <si>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</si>
  <si>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</si>
  <si>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</si>
  <si>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</si>
  <si>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</si>
  <si>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</si>
  <si>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</si>
  <si>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</si>
  <si>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</si>
  <si>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</si>
  <si>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</si>
  <si>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</si>
  <si>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</si>
  <si>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</si>
  <si>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</si>
  <si>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</si>
  <si>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</si>
  <si>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</si>
  <si>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</si>
  <si>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</si>
  <si>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</si>
  <si>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</si>
  <si>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</si>
  <si>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</si>
  <si>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</si>
  <si>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</si>
  <si>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</si>
  <si>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</si>
  <si>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</si>
  <si>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</si>
  <si>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</si>
  <si>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</si>
  <si>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</si>
  <si>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</si>
  <si>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</si>
  <si>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</si>
  <si>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</si>
  <si>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</si>
  <si>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</si>
  <si>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</si>
  <si>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</si>
  <si>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</si>
  <si>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</si>
  <si>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</si>
  <si>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</si>
  <si>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</si>
  <si>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</si>
  <si>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</si>
  <si>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</si>
  <si>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</si>
  <si>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</si>
  <si>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</si>
  <si>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</si>
  <si>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</si>
  <si>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</si>
  <si>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</si>
  <si>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</si>
  <si>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</si>
  <si>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</si>
  <si>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</si>
  <si>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</si>
  <si>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</si>
  <si>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</si>
  <si>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</si>
  <si>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</si>
  <si>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</si>
  <si>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</si>
  <si>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</si>
  <si>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</si>
  <si>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</si>
  <si>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</si>
  <si>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</si>
  <si>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</si>
  <si>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</si>
  <si>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</si>
  <si>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</si>
  <si>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</si>
  <si>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</si>
  <si>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</si>
  <si>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</si>
  <si>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</si>
  <si>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</si>
  <si>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</si>
  <si>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</si>
  <si>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</si>
  <si>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</si>
  <si>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</si>
  <si>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</si>
  <si>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</si>
  <si>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</si>
  <si>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</si>
  <si>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</si>
  <si>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</si>
  <si>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</si>
  <si>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</si>
  <si>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</si>
  <si>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</si>
  <si>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</si>
  <si>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</si>
  <si>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</si>
  <si>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</si>
  <si>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</si>
  <si>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</si>
  <si>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</si>
  <si>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</si>
  <si>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</si>
  <si>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</si>
  <si>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</si>
  <si>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</si>
  <si>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</si>
  <si>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</si>
  <si>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</si>
  <si>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</si>
  <si>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</si>
  <si>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</si>
  <si>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</si>
  <si>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</si>
  <si>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</si>
  <si>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</si>
  <si>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</si>
  <si>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</si>
  <si>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</si>
  <si>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</si>
  <si>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</si>
  <si>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</si>
  <si>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</si>
  <si>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</si>
  <si>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</si>
  <si>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</si>
  <si>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</si>
  <si>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</si>
  <si>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</si>
  <si>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</si>
  <si>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</si>
  <si>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</si>
  <si>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</si>
  <si>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</si>
  <si>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</si>
  <si>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</si>
  <si>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</si>
  <si>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</si>
  <si>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</si>
  <si>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</si>
  <si>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</si>
  <si>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</si>
  <si>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</si>
  <si>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</si>
  <si>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</si>
  <si>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</si>
  <si>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</si>
  <si>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</si>
  <si>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</si>
  <si>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</si>
  <si>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</si>
  <si>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</si>
  <si>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</si>
  <si>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</si>
  <si>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</si>
  <si>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</si>
  <si>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</si>
  <si>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</si>
  <si>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</si>
  <si>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</si>
  <si>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</si>
  <si>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</si>
  <si>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</si>
  <si>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</si>
  <si>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</si>
  <si>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</si>
  <si>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</si>
  <si>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</si>
  <si>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</si>
  <si>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</si>
  <si>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</si>
  <si>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</si>
  <si>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</si>
  <si>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</si>
  <si>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</si>
  <si>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</si>
  <si>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</si>
  <si>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</si>
  <si>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</si>
  <si>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</si>
  <si>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</si>
  <si>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</si>
  <si>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</si>
  <si>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</si>
  <si>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</si>
  <si>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</si>
  <si>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</si>
  <si>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</si>
  <si>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</si>
  <si>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</si>
  <si>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</si>
  <si>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</si>
  <si>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</si>
  <si>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</si>
  <si>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</si>
  <si>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</si>
  <si>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</si>
  <si>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</si>
  <si>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</si>
  <si>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</si>
  <si>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</si>
  <si>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</si>
  <si>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</si>
  <si>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</si>
  <si>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</si>
  <si>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</si>
  <si>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</si>
  <si>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</si>
  <si>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</si>
  <si>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</si>
  <si>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</si>
  <si>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</si>
  <si>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</si>
  <si>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</si>
  <si>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</si>
  <si>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</si>
  <si>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</si>
  <si>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</si>
  <si>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</si>
  <si>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</si>
  <si>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</si>
  <si>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</si>
  <si>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</si>
  <si>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</si>
  <si>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</si>
  <si>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</si>
  <si>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</si>
  <si>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</si>
  <si>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</si>
  <si>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</si>
  <si>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</si>
  <si>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</si>
  <si>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</si>
  <si>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</si>
  <si>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</si>
  <si>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</si>
  <si>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</si>
  <si>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</si>
  <si>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</si>
  <si>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</si>
  <si>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</si>
  <si>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</si>
  <si>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</si>
  <si>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</si>
  <si>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</si>
  <si>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</si>
  <si>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</si>
  <si>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</si>
  <si>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</si>
  <si>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</si>
  <si>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</si>
  <si>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</si>
  <si>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</si>
  <si>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</si>
  <si>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</si>
  <si>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</si>
  <si>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</si>
  <si>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</si>
  <si>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</si>
  <si>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</si>
  <si>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</si>
  <si>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</si>
  <si>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</si>
  <si>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</si>
  <si>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</si>
  <si>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</si>
  <si>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</si>
  <si>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</si>
  <si>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</si>
  <si>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</si>
  <si>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</si>
  <si>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</si>
  <si>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</si>
  <si>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</si>
  <si>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</si>
  <si>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</si>
  <si>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</si>
  <si>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</si>
  <si>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</si>
  <si>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</si>
  <si>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</si>
  <si>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</si>
  <si>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</si>
  <si>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</si>
  <si>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</si>
  <si>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</si>
  <si>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</si>
  <si>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</si>
  <si>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</si>
  <si>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</si>
  <si>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</si>
  <si>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</si>
  <si>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</si>
  <si>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</si>
  <si>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</si>
  <si>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</si>
  <si>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</si>
  <si>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</si>
  <si>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</si>
  <si>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</si>
  <si>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</si>
  <si>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</si>
  <si>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</si>
  <si>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</si>
  <si>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</si>
  <si>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</si>
  <si>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</si>
  <si>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</si>
  <si>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</si>
  <si>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</si>
  <si>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</si>
  <si>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</si>
  <si>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</si>
  <si>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</si>
  <si>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</si>
  <si>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</si>
  <si>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</si>
  <si>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</si>
  <si>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</si>
  <si>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</si>
  <si>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</si>
  <si>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</si>
  <si>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</si>
  <si>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</si>
  <si>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</si>
  <si>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</si>
  <si>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</si>
  <si>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</si>
  <si>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</si>
  <si>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</si>
  <si>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</si>
  <si>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</si>
  <si>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</si>
  <si>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</si>
  <si>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</si>
  <si>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</si>
  <si>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</si>
  <si>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</si>
  <si>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</si>
  <si>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</si>
  <si>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</si>
  <si>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</si>
  <si>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</si>
  <si>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</si>
  <si>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</si>
  <si>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</si>
  <si>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</si>
  <si>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</si>
  <si>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</si>
  <si>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</si>
  <si>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</si>
  <si>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</si>
  <si>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</si>
  <si>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</si>
  <si>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</si>
  <si>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</si>
  <si>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</si>
  <si>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</si>
  <si>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</si>
  <si>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</si>
  <si>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</si>
  <si>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</si>
  <si>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</si>
  <si>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</si>
  <si>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</si>
  <si>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</si>
  <si>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</si>
  <si>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</si>
  <si>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</si>
  <si>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</si>
  <si>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</si>
  <si>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</si>
  <si>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</si>
  <si>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</si>
  <si>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</si>
  <si>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</si>
  <si>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</si>
  <si>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</si>
  <si>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</si>
  <si>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</si>
  <si>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</si>
  <si>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</si>
  <si>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</si>
  <si>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</si>
  <si>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</si>
  <si>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</si>
  <si>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</si>
  <si>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</si>
  <si>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</si>
  <si>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</si>
  <si>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</si>
  <si>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</si>
  <si>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</si>
  <si>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</si>
  <si>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</si>
  <si>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</si>
  <si>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</si>
  <si>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</si>
  <si>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</si>
  <si>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</si>
  <si>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</si>
  <si>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</si>
  <si>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</si>
  <si>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</si>
  <si>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</si>
  <si>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</si>
  <si>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</si>
  <si>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</si>
  <si>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</si>
  <si>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</si>
  <si>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</si>
  <si>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</si>
  <si>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</si>
  <si>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</si>
  <si>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</si>
  <si>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</si>
  <si>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</si>
  <si>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</si>
  <si>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</si>
  <si>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</si>
  <si>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</si>
  <si>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</si>
  <si>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</si>
  <si>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</si>
  <si>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</si>
  <si>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</si>
  <si>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</si>
  <si>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</si>
  <si>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</si>
  <si>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</si>
  <si>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</si>
  <si>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</si>
  <si>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</si>
  <si>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</si>
  <si>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</si>
  <si>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</si>
  <si>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</si>
  <si>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</si>
  <si>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</si>
  <si>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</si>
  <si>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</si>
  <si>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</si>
  <si>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</si>
  <si>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</si>
  <si>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</si>
  <si>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</si>
  <si>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</si>
  <si>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</si>
  <si>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</si>
  <si>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</si>
  <si>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</si>
  <si>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</si>
  <si>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</si>
  <si>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</si>
  <si>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</si>
  <si>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</si>
  <si>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</si>
  <si>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</si>
  <si>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</si>
  <si>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</si>
  <si>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</si>
  <si>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</si>
  <si>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</si>
  <si>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</si>
  <si>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</si>
  <si>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</si>
  <si>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</si>
  <si>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</si>
  <si>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</si>
  <si>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</si>
  <si>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</si>
  <si>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</si>
  <si>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</si>
  <si>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</si>
  <si>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</si>
  <si>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</si>
  <si>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</si>
  <si>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</si>
  <si>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</si>
  <si>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</si>
  <si>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</si>
  <si>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</si>
  <si>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</si>
  <si>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</si>
  <si>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</si>
  <si>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</si>
  <si>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</si>
  <si>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</si>
  <si>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</si>
  <si>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</si>
  <si>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</si>
  <si>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</si>
  <si>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</si>
  <si>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</si>
  <si>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</si>
  <si>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</si>
  <si>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</si>
  <si>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</si>
  <si>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</si>
  <si>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</si>
  <si>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</si>
  <si>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</si>
  <si>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</si>
  <si>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</si>
  <si>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</si>
  <si>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</si>
  <si>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</si>
  <si>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</si>
  <si>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</si>
  <si>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</si>
  <si>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</si>
  <si>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</si>
  <si>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</si>
  <si>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</si>
  <si>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</si>
  <si>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</si>
  <si>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</si>
  <si>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</si>
  <si>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</si>
  <si>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</si>
  <si>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</si>
  <si>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</si>
  <si>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</si>
  <si>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</si>
  <si>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</si>
  <si>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</si>
  <si>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</si>
  <si>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</si>
  <si>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</si>
  <si>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</si>
  <si>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</si>
  <si>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</si>
  <si>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</si>
  <si>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</si>
  <si>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</si>
  <si>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</si>
  <si>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</si>
  <si>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</si>
  <si>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</si>
  <si>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</si>
  <si>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</si>
  <si>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</si>
  <si>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</si>
  <si>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</si>
  <si>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</si>
  <si>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</si>
  <si>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</si>
  <si>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</si>
  <si>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</si>
  <si>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</si>
  <si>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</si>
  <si>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</si>
  <si>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</si>
  <si>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</si>
  <si>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</si>
  <si>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</si>
  <si>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</si>
  <si>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</si>
  <si>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</si>
  <si>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</si>
  <si>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</si>
  <si>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</si>
  <si>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</si>
  <si>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</si>
  <si>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</si>
  <si>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</si>
  <si>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</si>
  <si>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</si>
  <si>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</si>
  <si>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</si>
  <si>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</si>
  <si>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</si>
  <si>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</si>
  <si>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</si>
  <si>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</si>
  <si>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</si>
  <si>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</si>
  <si>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</si>
  <si>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</si>
  <si>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</si>
  <si>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</si>
  <si>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</si>
  <si>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</si>
  <si>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</si>
  <si>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</si>
  <si>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</si>
  <si>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</si>
  <si>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</si>
  <si>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</si>
  <si>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</si>
  <si>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</si>
  <si>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</si>
  <si>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</si>
  <si>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</si>
  <si>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</si>
  <si>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</si>
  <si>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</si>
  <si>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</si>
  <si>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</si>
  <si>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</si>
  <si>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</si>
  <si>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</si>
  <si>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</si>
  <si>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</si>
  <si>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</si>
  <si>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</si>
  <si>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</si>
  <si>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</si>
  <si>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</si>
  <si>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</si>
  <si>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</si>
  <si>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</si>
  <si>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</si>
  <si>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</si>
  <si>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</si>
  <si>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</si>
  <si>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</si>
  <si>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</si>
  <si>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</si>
  <si>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</si>
  <si>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</si>
  <si>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</si>
  <si>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</si>
  <si>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</si>
  <si>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</si>
  <si>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</si>
  <si>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</si>
  <si>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</si>
  <si>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</si>
  <si>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</si>
  <si>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</si>
  <si>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</si>
  <si>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</si>
  <si>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</si>
  <si>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</si>
  <si>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</si>
  <si>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</si>
  <si>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</si>
  <si>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</si>
  <si>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</si>
  <si>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</si>
  <si>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</si>
  <si>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</si>
  <si>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</si>
  <si>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</si>
  <si>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</si>
  <si>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</si>
  <si>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</si>
  <si>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</si>
  <si>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</si>
  <si>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</si>
  <si>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</si>
  <si>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</si>
  <si>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</si>
  <si>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</si>
  <si>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</si>
  <si>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</si>
  <si>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</si>
  <si>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</si>
  <si>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</si>
  <si>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</si>
  <si>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</si>
  <si>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</si>
  <si>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</si>
  <si>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</si>
  <si>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</si>
  <si>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</si>
  <si>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</si>
  <si>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</si>
  <si>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</si>
  <si>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</si>
  <si>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</si>
  <si>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</si>
  <si>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</si>
  <si>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</si>
  <si>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</si>
  <si>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</si>
  <si>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</si>
  <si>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</si>
  <si>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</si>
  <si>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</si>
  <si>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</si>
  <si>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</si>
  <si>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</si>
  <si>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</si>
  <si>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</si>
  <si>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</si>
  <si>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</si>
  <si>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</si>
  <si>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</si>
  <si>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</si>
  <si>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</si>
  <si>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</si>
  <si>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</si>
  <si>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</si>
  <si>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</si>
  <si>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</si>
  <si>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</si>
  <si>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</si>
  <si>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</si>
  <si>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</si>
  <si>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</si>
  <si>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</si>
  <si>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</si>
  <si>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</si>
  <si>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</si>
  <si>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</si>
  <si>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</si>
  <si>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</si>
  <si>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</si>
  <si>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</si>
  <si>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</si>
  <si>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</si>
  <si>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</si>
  <si>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</si>
  <si>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</si>
  <si>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</si>
  <si>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</si>
  <si>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</si>
  <si>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</si>
  <si>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</si>
  <si>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</si>
  <si>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</si>
  <si>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</si>
  <si>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</si>
  <si>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</si>
  <si>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</si>
  <si>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</si>
  <si>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</si>
  <si>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</si>
  <si>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</si>
  <si>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</si>
  <si>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</si>
  <si>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</si>
  <si>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</si>
  <si>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</si>
  <si>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</si>
  <si>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</si>
  <si>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</si>
  <si>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</si>
  <si>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</si>
  <si>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</si>
  <si>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</si>
  <si>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</si>
  <si>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</si>
  <si>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</si>
  <si>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</si>
  <si>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</si>
  <si>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</si>
  <si>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</si>
  <si>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</si>
  <si>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</si>
  <si>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</si>
  <si>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</si>
  <si>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</si>
  <si>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</si>
  <si>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</si>
  <si>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</si>
  <si>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</si>
  <si>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</si>
  <si>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</si>
  <si>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</si>
  <si>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</si>
  <si>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</si>
  <si>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</si>
  <si>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</si>
  <si>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</si>
  <si>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</si>
  <si>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</si>
  <si>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</si>
  <si>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</si>
  <si>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</si>
  <si>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</si>
  <si>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</si>
  <si>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</si>
  <si>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</si>
  <si>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</si>
  <si>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</si>
  <si>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</si>
  <si>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</si>
  <si>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</si>
  <si>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</si>
  <si>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</si>
  <si>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</si>
  <si>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</si>
  <si>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</si>
  <si>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</si>
  <si>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</si>
  <si>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</si>
  <si>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</si>
  <si>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</si>
  <si>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</si>
  <si>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</si>
  <si>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</si>
  <si>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</si>
  <si>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</si>
  <si>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</si>
  <si>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</si>
  <si>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</si>
  <si>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</si>
  <si>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</si>
  <si>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</si>
  <si>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</si>
  <si>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</si>
  <si>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</si>
  <si>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</si>
  <si>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</si>
  <si>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</si>
  <si>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</si>
  <si>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</si>
  <si>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</si>
  <si>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</si>
  <si>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</si>
  <si>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</si>
  <si>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</si>
  <si>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</si>
  <si>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</si>
  <si>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</si>
  <si>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</si>
  <si>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</si>
  <si>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</si>
  <si>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</si>
  <si>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</si>
  <si>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</si>
  <si>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</si>
  <si>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</si>
  <si>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</si>
  <si>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</si>
  <si>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</si>
  <si>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</si>
  <si>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</si>
  <si>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</si>
  <si>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</si>
  <si>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</si>
  <si>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</si>
  <si>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</si>
  <si>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</si>
  <si>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</si>
  <si>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</si>
  <si>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</si>
  <si>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</si>
  <si>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</si>
  <si>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</si>
  <si>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</si>
  <si>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</si>
  <si>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</si>
  <si>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</si>
  <si>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</si>
  <si>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</si>
  <si>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</si>
  <si>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</si>
  <si>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</si>
  <si>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</si>
  <si>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</si>
  <si>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</si>
  <si>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</si>
  <si>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</si>
  <si>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</si>
  <si>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</si>
  <si>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</si>
  <si>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</si>
  <si>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</si>
  <si>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</si>
  <si>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</si>
  <si>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</si>
  <si>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</si>
  <si>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</si>
  <si>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</si>
  <si>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</si>
  <si>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</si>
  <si>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</si>
  <si>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</si>
  <si>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</si>
  <si>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</si>
  <si>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</si>
  <si>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</si>
  <si>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</si>
  <si>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</si>
  <si>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</si>
  <si>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</si>
  <si>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</si>
  <si>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</si>
  <si>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</si>
  <si>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</si>
  <si>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</si>
  <si>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</si>
  <si>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</si>
  <si>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</si>
  <si>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</si>
  <si>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</si>
  <si>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</si>
  <si>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</si>
  <si>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</si>
  <si>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</si>
  <si>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</si>
  <si>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</si>
  <si>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</si>
  <si>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</si>
  <si>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</si>
  <si>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</si>
  <si>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</si>
  <si>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</si>
  <si>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</si>
  <si>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</si>
  <si>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</si>
  <si>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</si>
  <si>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</si>
  <si>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</si>
  <si>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</si>
  <si>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</si>
  <si>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</si>
  <si>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</si>
  <si>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</si>
  <si>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</si>
  <si>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</si>
  <si>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</si>
  <si>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</si>
  <si>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</si>
  <si>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</si>
  <si>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</si>
  <si>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</si>
  <si>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</si>
  <si>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</si>
  <si>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</si>
  <si>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</si>
  <si>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</si>
  <si>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</si>
  <si>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</si>
  <si>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</si>
  <si>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</si>
  <si>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</si>
  <si>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</si>
  <si>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</si>
  <si>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</si>
  <si>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</si>
  <si>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</si>
  <si>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</si>
  <si>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</si>
  <si>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</si>
  <si>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</si>
  <si>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</si>
  <si>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</si>
  <si>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</si>
  <si>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</si>
  <si>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</si>
  <si>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</si>
  <si>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</si>
  <si>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</si>
  <si>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</si>
  <si>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</si>
  <si>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</si>
  <si>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</si>
  <si>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</si>
  <si>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</si>
  <si>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</si>
  <si>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</si>
  <si>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</si>
  <si>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</si>
  <si>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</si>
  <si>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</si>
  <si>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</si>
  <si>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</si>
  <si>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</si>
  <si>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</si>
  <si>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</si>
  <si>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</si>
  <si>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</si>
  <si>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</si>
  <si>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</si>
  <si>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</si>
  <si>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</si>
  <si>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</si>
  <si>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</si>
  <si>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</si>
  <si>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</si>
  <si>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</si>
  <si>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</si>
  <si>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</si>
  <si>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</si>
  <si>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</si>
  <si>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</si>
  <si>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</si>
  <si>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</si>
  <si>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</si>
  <si>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</si>
  <si>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</si>
  <si>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</si>
  <si>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</si>
  <si>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</si>
  <si>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</si>
  <si>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</si>
  <si>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</si>
  <si>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</si>
  <si>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</si>
  <si>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</si>
  <si>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</si>
  <si>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</si>
  <si>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</si>
  <si>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</si>
  <si>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</si>
  <si>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</si>
  <si>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</si>
  <si>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</si>
  <si>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</si>
  <si>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</si>
  <si>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</si>
  <si>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</si>
  <si>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</si>
  <si>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</si>
  <si>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</si>
  <si>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</si>
  <si>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</si>
  <si>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</si>
  <si>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</si>
  <si>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</si>
  <si>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</si>
  <si>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</si>
  <si>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</si>
  <si>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</si>
  <si>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</si>
  <si>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</si>
  <si>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</si>
  <si>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</si>
  <si>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</si>
  <si>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</si>
  <si>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</si>
  <si>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</si>
  <si>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</si>
  <si>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</si>
  <si>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</si>
  <si>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</si>
  <si>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</si>
  <si>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</si>
  <si>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</si>
  <si>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</si>
  <si>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</si>
  <si>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</si>
  <si>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</si>
  <si>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</si>
  <si>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</si>
  <si>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</si>
  <si>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</si>
  <si>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</si>
  <si>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</si>
  <si>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</si>
  <si>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</si>
  <si>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</si>
  <si>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</si>
  <si>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</si>
  <si>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</si>
  <si>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</si>
  <si>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</si>
  <si>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</si>
  <si>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</si>
  <si>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</si>
  <si>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</si>
  <si>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</si>
  <si>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</si>
  <si>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</si>
  <si>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</si>
  <si>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</si>
  <si>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</si>
  <si>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</si>
  <si>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</si>
  <si>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</si>
  <si>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</si>
  <si>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</si>
  <si>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</si>
  <si>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</si>
  <si>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</si>
  <si>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</si>
  <si>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</si>
  <si>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</si>
  <si>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</si>
  <si>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</si>
  <si>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</si>
  <si>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</si>
  <si>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</si>
  <si>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</si>
  <si>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</si>
  <si>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</si>
  <si>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</si>
  <si>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</si>
  <si>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</si>
  <si>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</si>
  <si>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</si>
  <si>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</si>
  <si>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</si>
  <si>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</si>
  <si>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</si>
  <si>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</si>
  <si>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</si>
  <si>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</si>
  <si>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</si>
  <si>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</si>
  <si>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</si>
  <si>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</si>
  <si>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</si>
  <si>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</si>
  <si>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</si>
  <si>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</si>
  <si>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</si>
  <si>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</si>
  <si>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</si>
  <si>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</si>
  <si>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</si>
  <si>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</si>
  <si>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</si>
  <si>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</si>
  <si>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</si>
  <si>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</si>
  <si>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</si>
  <si>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</si>
  <si>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</si>
  <si>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</si>
  <si>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</si>
  <si>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</si>
  <si>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</si>
  <si>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</si>
  <si>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</si>
  <si>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</si>
  <si>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</si>
  <si>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</si>
  <si>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</si>
  <si>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</si>
  <si>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</si>
  <si>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</si>
  <si>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</si>
  <si>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</si>
  <si>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</si>
  <si>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</si>
  <si>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</si>
  <si>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</si>
  <si>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</si>
  <si>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</si>
  <si>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</si>
  <si>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</si>
  <si>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</si>
  <si>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</si>
  <si>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</si>
  <si>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</si>
  <si>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</si>
  <si>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</si>
  <si>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</si>
  <si>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</si>
  <si>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</si>
  <si>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</si>
  <si>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</si>
  <si>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</si>
  <si>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</si>
  <si>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</si>
  <si>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</si>
  <si>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</si>
  <si>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</si>
  <si>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</si>
  <si>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</si>
  <si>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</si>
  <si>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</si>
  <si>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</si>
  <si>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</si>
  <si>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</si>
  <si>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</si>
  <si>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</si>
  <si>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</si>
  <si>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</si>
  <si>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</si>
  <si>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</si>
  <si>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</si>
  <si>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</si>
  <si>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</si>
  <si>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</si>
  <si>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</si>
  <si>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</si>
  <si>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</si>
  <si>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</si>
  <si>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</si>
  <si>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</si>
  <si>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</si>
  <si>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</si>
  <si>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</si>
  <si>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</si>
  <si>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</si>
  <si>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</si>
  <si>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</si>
  <si>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</si>
  <si>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</si>
  <si>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</si>
  <si>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</si>
  <si>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</si>
  <si>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</si>
  <si>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</si>
  <si>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</si>
  <si>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</si>
  <si>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</si>
  <si>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</si>
  <si>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</si>
  <si>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</si>
  <si>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</si>
  <si>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</si>
  <si>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</si>
  <si>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</si>
  <si>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</si>
  <si>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</si>
  <si>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</si>
  <si>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</si>
  <si>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</si>
  <si>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</si>
  <si>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</si>
  <si>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</si>
  <si>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</si>
  <si>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</si>
  <si>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</si>
  <si>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</si>
  <si>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</si>
  <si>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</si>
  <si>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</si>
  <si>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</si>
  <si>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</si>
  <si>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</si>
  <si>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</si>
  <si>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</si>
  <si>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</si>
  <si>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</si>
  <si>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</si>
  <si>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</si>
  <si>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</si>
  <si>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</si>
  <si>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</si>
  <si>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</si>
  <si>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</si>
  <si>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</si>
  <si>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</si>
  <si>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</si>
  <si>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</si>
  <si>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</si>
  <si>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</si>
  <si>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</si>
  <si>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</si>
  <si>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</si>
  <si>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</si>
  <si>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</si>
  <si>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</si>
  <si>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</si>
  <si>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</si>
  <si>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</si>
  <si>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</si>
  <si>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</si>
  <si>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</si>
  <si>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</si>
  <si>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</si>
  <si>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</si>
  <si>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</si>
  <si>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</si>
  <si>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</si>
  <si>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</si>
  <si>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</si>
  <si>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</si>
  <si>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</si>
  <si>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</si>
  <si>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</si>
  <si>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</si>
  <si>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</si>
  <si>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</si>
  <si>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</si>
  <si>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</si>
  <si>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</si>
  <si>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</si>
  <si>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</si>
  <si>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</si>
  <si>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</si>
  <si>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</si>
  <si>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</si>
  <si>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</si>
  <si>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</si>
  <si>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</si>
  <si>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</si>
  <si>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</si>
  <si>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</si>
  <si>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</si>
  <si>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</si>
  <si>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</si>
  <si>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</si>
  <si>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</si>
  <si>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</si>
  <si>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</si>
  <si>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</si>
  <si>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</si>
  <si>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</si>
  <si>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</si>
  <si>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</si>
  <si>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</si>
  <si>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</si>
  <si>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</si>
  <si>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</si>
  <si>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</si>
  <si>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</si>
  <si>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</si>
  <si>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</si>
  <si>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</si>
  <si>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</si>
  <si>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</si>
  <si>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</si>
  <si>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</si>
  <si>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</si>
  <si>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</si>
  <si>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</si>
  <si>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</si>
  <si>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</si>
  <si>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</si>
  <si>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</si>
  <si>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</si>
  <si>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</si>
  <si>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</si>
  <si>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</si>
  <si>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</si>
  <si>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</si>
  <si>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</si>
  <si>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</si>
  <si>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</si>
  <si>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</si>
  <si>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</si>
  <si>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</si>
  <si>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Basilica, founded in the 10th-century, with frescoes by Carracci &amp; Mercati &amp; a martyrs' memorial.</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</si>
  <si>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</si>
  <si>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</si>
  <si>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</si>
  <si>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</si>
  <si>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</si>
  <si>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</si>
  <si>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</si>
  <si>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</si>
  <si>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</si>
  <si>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</si>
  <si>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</si>
  <si>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</si>
  <si>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</si>
  <si>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</si>
  <si>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17th-century Roman Catholic church with trompe l'oeil ceilings &amp; frescoes depicting St Ignatius.</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</si>
  <si>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</si>
  <si>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</si>
  <si>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</si>
  <si>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</si>
  <si>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</si>
  <si>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</si>
  <si>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</si>
  <si>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</si>
  <si>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</si>
  <si>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</si>
  <si>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</si>
  <si>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</si>
  <si>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</si>
  <si>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</si>
  <si>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</si>
  <si>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</si>
  <si>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</si>
  <si>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</si>
  <si>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</si>
  <si>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</si>
  <si>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</si>
  <si>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</si>
  <si>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</si>
  <si>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</si>
  <si>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</si>
  <si>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</si>
  <si>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</si>
  <si>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pope-sylvester</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</si>
  <si>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</si>
  <si>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</si>
  <si>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</si>
  <si>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</si>
  <si>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</si>
  <si>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</si>
  <si>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</si>
  <si>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cistercian-monastery</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</si>
  <si>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</si>
  <si>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</si>
  <si>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</si>
  <si>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</si>
  <si>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</si>
  <si>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</si>
  <si>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</si>
  <si>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</si>
  <si>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</si>
  <si>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</si>
  <si>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</si>
  <si>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</si>
  <si>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</si>
  <si>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</si>
  <si>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</si>
  <si>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</si>
  <si>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</si>
  <si>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benedictine</t>
  </si>
  <si>
    <t>solesmes</t>
  </si>
  <si>
    <t>benedictine-abbey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</si>
</sst>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37">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yam\Documents\GitHub\Orbis%20Dei%20Database.xlsm" TargetMode="External"/><Relationship Id="rId1" Type="http://schemas.openxmlformats.org/officeDocument/2006/relationships/externalLinkPath" Target="/Users/jpyam/Documents/GitHub/Orbis%20Dei%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 Site"/>
      <sheetName val="Places"/>
      <sheetName val="Tags"/>
      <sheetName val="Local Tags"/>
      <sheetName val="Country Tags"/>
    </sheetNames>
    <sheetDataSet>
      <sheetData sheetId="0"/>
      <sheetData sheetId="1"/>
      <sheetData sheetId="2"/>
      <sheetData sheetId="3"/>
      <sheetData sheetId="4">
        <row r="5">
          <cell r="C5" t="str">
            <v>Country Lookup</v>
          </cell>
          <cell r="D5" t="str">
            <v>Page Prefix</v>
          </cell>
          <cell r="E5" t="str">
            <v>Applied Tags</v>
          </cell>
        </row>
        <row r="6">
          <cell r="C6" t="str">
            <v>Andorra</v>
          </cell>
          <cell r="D6" t="str">
            <v>ad</v>
          </cell>
          <cell r="E6" t="str">
            <v>ad</v>
          </cell>
        </row>
        <row r="7">
          <cell r="C7" t="str">
            <v>United Arab Emirates</v>
          </cell>
          <cell r="D7" t="str">
            <v>ae</v>
          </cell>
          <cell r="E7" t="str">
            <v>ae</v>
          </cell>
        </row>
        <row r="8">
          <cell r="C8" t="str">
            <v>Afghanistan</v>
          </cell>
          <cell r="D8" t="str">
            <v>af</v>
          </cell>
          <cell r="E8" t="str">
            <v>af</v>
          </cell>
        </row>
        <row r="9">
          <cell r="C9" t="str">
            <v>Antigua and Barbuda</v>
          </cell>
          <cell r="D9" t="str">
            <v>ag</v>
          </cell>
          <cell r="E9" t="str">
            <v>ag</v>
          </cell>
        </row>
        <row r="10">
          <cell r="C10" t="str">
            <v>Anguilla</v>
          </cell>
          <cell r="D10" t="str">
            <v>ai</v>
          </cell>
          <cell r="E10" t="str">
            <v>ai</v>
          </cell>
        </row>
        <row r="11">
          <cell r="C11" t="str">
            <v>Albania</v>
          </cell>
          <cell r="D11" t="str">
            <v>al</v>
          </cell>
          <cell r="E11" t="str">
            <v>al</v>
          </cell>
        </row>
        <row r="12">
          <cell r="C12" t="str">
            <v>Armenia</v>
          </cell>
          <cell r="D12" t="str">
            <v>am</v>
          </cell>
          <cell r="E12" t="str">
            <v>am</v>
          </cell>
        </row>
        <row r="13">
          <cell r="C13" t="str">
            <v>Angola</v>
          </cell>
          <cell r="D13" t="str">
            <v>ao</v>
          </cell>
          <cell r="E13" t="str">
            <v>ao</v>
          </cell>
        </row>
        <row r="14">
          <cell r="C14" t="str">
            <v>Antarctica</v>
          </cell>
          <cell r="D14" t="str">
            <v>aq</v>
          </cell>
          <cell r="E14" t="str">
            <v>aq</v>
          </cell>
        </row>
        <row r="15">
          <cell r="C15" t="str">
            <v>Argentina</v>
          </cell>
          <cell r="D15" t="str">
            <v>ar</v>
          </cell>
          <cell r="E15" t="str">
            <v>ar</v>
          </cell>
        </row>
        <row r="16">
          <cell r="C16" t="str">
            <v>American Samoa</v>
          </cell>
          <cell r="D16" t="str">
            <v>as</v>
          </cell>
          <cell r="E16" t="str">
            <v>as</v>
          </cell>
        </row>
        <row r="17">
          <cell r="C17" t="str">
            <v>Austria</v>
          </cell>
          <cell r="D17" t="str">
            <v>at</v>
          </cell>
          <cell r="E17" t="str">
            <v>at</v>
          </cell>
        </row>
        <row r="18">
          <cell r="C18" t="str">
            <v>Australia</v>
          </cell>
          <cell r="D18" t="str">
            <v>au</v>
          </cell>
          <cell r="E18" t="str">
            <v>au</v>
          </cell>
        </row>
        <row r="19">
          <cell r="C19" t="str">
            <v>Aruba</v>
          </cell>
          <cell r="D19" t="str">
            <v>aw</v>
          </cell>
          <cell r="E19" t="str">
            <v>aw</v>
          </cell>
        </row>
        <row r="20">
          <cell r="C20" t="str">
            <v>Aland Islands</v>
          </cell>
          <cell r="D20" t="str">
            <v>ax</v>
          </cell>
          <cell r="E20" t="str">
            <v>ax</v>
          </cell>
        </row>
        <row r="21">
          <cell r="C21" t="str">
            <v>Azerbaijan</v>
          </cell>
          <cell r="D21" t="str">
            <v>az</v>
          </cell>
          <cell r="E21" t="str">
            <v>az</v>
          </cell>
        </row>
        <row r="22">
          <cell r="C22" t="str">
            <v>Bosnia and Herzegovina</v>
          </cell>
          <cell r="D22" t="str">
            <v>ba</v>
          </cell>
          <cell r="E22" t="str">
            <v>ba</v>
          </cell>
        </row>
        <row r="23">
          <cell r="C23" t="str">
            <v>Barbados</v>
          </cell>
          <cell r="D23" t="str">
            <v>bb</v>
          </cell>
          <cell r="E23" t="str">
            <v>bb</v>
          </cell>
        </row>
        <row r="24">
          <cell r="C24" t="str">
            <v>Bangladesh</v>
          </cell>
          <cell r="D24" t="str">
            <v>bd</v>
          </cell>
          <cell r="E24" t="str">
            <v>bd</v>
          </cell>
        </row>
        <row r="25">
          <cell r="C25" t="str">
            <v>Belgium</v>
          </cell>
          <cell r="D25" t="str">
            <v>be</v>
          </cell>
          <cell r="E25" t="str">
            <v>be</v>
          </cell>
        </row>
        <row r="26">
          <cell r="C26" t="str">
            <v>Burkina Faso</v>
          </cell>
          <cell r="D26" t="str">
            <v>bf</v>
          </cell>
          <cell r="E26" t="str">
            <v>bf</v>
          </cell>
        </row>
        <row r="27">
          <cell r="C27" t="str">
            <v>Bulgaria</v>
          </cell>
          <cell r="D27" t="str">
            <v>bg</v>
          </cell>
          <cell r="E27" t="str">
            <v>bg</v>
          </cell>
        </row>
        <row r="28">
          <cell r="C28" t="str">
            <v>Bahrain</v>
          </cell>
          <cell r="D28" t="str">
            <v>bh</v>
          </cell>
          <cell r="E28" t="str">
            <v>bh</v>
          </cell>
        </row>
        <row r="29">
          <cell r="C29" t="str">
            <v>Burundi</v>
          </cell>
          <cell r="D29" t="str">
            <v>bi</v>
          </cell>
          <cell r="E29" t="str">
            <v>bi</v>
          </cell>
        </row>
        <row r="30">
          <cell r="C30" t="str">
            <v>Benin</v>
          </cell>
          <cell r="D30" t="str">
            <v>bj</v>
          </cell>
          <cell r="E30" t="str">
            <v>bj</v>
          </cell>
        </row>
        <row r="31">
          <cell r="C31" t="str">
            <v>Saint Barthelemy</v>
          </cell>
          <cell r="D31" t="str">
            <v>bl</v>
          </cell>
          <cell r="E31" t="str">
            <v>bl</v>
          </cell>
        </row>
        <row r="32">
          <cell r="C32" t="str">
            <v>Bermuda</v>
          </cell>
          <cell r="D32" t="str">
            <v>bm</v>
          </cell>
          <cell r="E32" t="str">
            <v>bm</v>
          </cell>
        </row>
        <row r="33">
          <cell r="C33" t="str">
            <v>Brunei Darussalam</v>
          </cell>
          <cell r="D33" t="str">
            <v>bn</v>
          </cell>
          <cell r="E33" t="str">
            <v>bn</v>
          </cell>
        </row>
        <row r="34">
          <cell r="C34" t="str">
            <v>Bolivia</v>
          </cell>
          <cell r="D34" t="str">
            <v>bo</v>
          </cell>
          <cell r="E34" t="str">
            <v>bo</v>
          </cell>
        </row>
        <row r="35">
          <cell r="C35" t="str">
            <v>Bonaire, Sint Eustatius and Saba</v>
          </cell>
          <cell r="D35" t="str">
            <v>bq</v>
          </cell>
          <cell r="E35" t="str">
            <v>bq</v>
          </cell>
        </row>
        <row r="36">
          <cell r="C36" t="str">
            <v>Brazil</v>
          </cell>
          <cell r="D36" t="str">
            <v>br</v>
          </cell>
          <cell r="E36" t="str">
            <v>br</v>
          </cell>
        </row>
        <row r="37">
          <cell r="C37" t="str">
            <v>Bahamas</v>
          </cell>
          <cell r="D37" t="str">
            <v>bs</v>
          </cell>
          <cell r="E37" t="str">
            <v>bs</v>
          </cell>
        </row>
        <row r="38">
          <cell r="C38" t="str">
            <v>Bhutan</v>
          </cell>
          <cell r="D38" t="str">
            <v>bt</v>
          </cell>
          <cell r="E38" t="str">
            <v>bt</v>
          </cell>
        </row>
        <row r="39">
          <cell r="C39" t="str">
            <v>Bouvet Island</v>
          </cell>
          <cell r="D39" t="str">
            <v>bv</v>
          </cell>
          <cell r="E39" t="str">
            <v>bv</v>
          </cell>
        </row>
        <row r="40">
          <cell r="C40" t="str">
            <v>Botswana</v>
          </cell>
          <cell r="D40" t="str">
            <v>bw</v>
          </cell>
          <cell r="E40" t="str">
            <v>bw</v>
          </cell>
        </row>
        <row r="41">
          <cell r="C41" t="str">
            <v>Belarus</v>
          </cell>
          <cell r="D41" t="str">
            <v>by</v>
          </cell>
          <cell r="E41" t="str">
            <v>by</v>
          </cell>
        </row>
        <row r="42">
          <cell r="C42" t="str">
            <v>Belize</v>
          </cell>
          <cell r="D42" t="str">
            <v>bz</v>
          </cell>
          <cell r="E42" t="str">
            <v>bz</v>
          </cell>
        </row>
        <row r="43">
          <cell r="C43" t="str">
            <v>Canada</v>
          </cell>
          <cell r="D43" t="str">
            <v>ca</v>
          </cell>
          <cell r="E43" t="str">
            <v>ca</v>
          </cell>
        </row>
        <row r="44">
          <cell r="C44" t="str">
            <v>Cocos (Keeling) Islands</v>
          </cell>
          <cell r="D44" t="str">
            <v>cc</v>
          </cell>
          <cell r="E44" t="str">
            <v>cc</v>
          </cell>
        </row>
        <row r="45">
          <cell r="C45" t="str">
            <v>Democratic Republic of the Congo</v>
          </cell>
          <cell r="D45" t="str">
            <v>cd</v>
          </cell>
          <cell r="E45" t="str">
            <v>cd</v>
          </cell>
        </row>
        <row r="46">
          <cell r="C46" t="str">
            <v>Central African Republic</v>
          </cell>
          <cell r="D46" t="str">
            <v>cf</v>
          </cell>
          <cell r="E46" t="str">
            <v>cf</v>
          </cell>
        </row>
        <row r="47">
          <cell r="C47" t="str">
            <v>Congo</v>
          </cell>
          <cell r="D47" t="str">
            <v>cg</v>
          </cell>
          <cell r="E47" t="str">
            <v>cg</v>
          </cell>
        </row>
        <row r="48">
          <cell r="C48" t="str">
            <v>Switzerland</v>
          </cell>
          <cell r="D48" t="str">
            <v>ch</v>
          </cell>
          <cell r="E48" t="str">
            <v>ch</v>
          </cell>
        </row>
        <row r="49">
          <cell r="C49" t="str">
            <v>Cote d'Ivoire</v>
          </cell>
          <cell r="D49" t="str">
            <v>ci</v>
          </cell>
          <cell r="E49" t="str">
            <v>ci</v>
          </cell>
        </row>
        <row r="50">
          <cell r="C50" t="str">
            <v>Cook Islands</v>
          </cell>
          <cell r="D50" t="str">
            <v>ck</v>
          </cell>
          <cell r="E50" t="str">
            <v>ck</v>
          </cell>
        </row>
        <row r="51">
          <cell r="C51" t="str">
            <v>Chile</v>
          </cell>
          <cell r="D51" t="str">
            <v>cl</v>
          </cell>
          <cell r="E51" t="str">
            <v>cl</v>
          </cell>
        </row>
        <row r="52">
          <cell r="C52" t="str">
            <v>Cameroon</v>
          </cell>
          <cell r="D52" t="str">
            <v>cm</v>
          </cell>
          <cell r="E52" t="str">
            <v>cm</v>
          </cell>
        </row>
        <row r="53">
          <cell r="C53" t="str">
            <v>China</v>
          </cell>
          <cell r="D53" t="str">
            <v>cn</v>
          </cell>
          <cell r="E53" t="str">
            <v>cn</v>
          </cell>
        </row>
        <row r="54">
          <cell r="C54" t="str">
            <v>Colombia</v>
          </cell>
          <cell r="D54" t="str">
            <v>co</v>
          </cell>
          <cell r="E54" t="str">
            <v>co</v>
          </cell>
        </row>
        <row r="55">
          <cell r="C55" t="str">
            <v>Costa Rica</v>
          </cell>
          <cell r="D55" t="str">
            <v>cr</v>
          </cell>
          <cell r="E55" t="str">
            <v>cr</v>
          </cell>
        </row>
        <row r="56">
          <cell r="C56" t="str">
            <v>Cuba</v>
          </cell>
          <cell r="D56" t="str">
            <v>cu</v>
          </cell>
          <cell r="E56" t="str">
            <v>cu</v>
          </cell>
        </row>
        <row r="57">
          <cell r="C57" t="str">
            <v>Cabo Verde</v>
          </cell>
          <cell r="D57" t="str">
            <v>cv</v>
          </cell>
          <cell r="E57" t="str">
            <v>cv</v>
          </cell>
        </row>
        <row r="58">
          <cell r="C58" t="str">
            <v>Curacao</v>
          </cell>
          <cell r="D58" t="str">
            <v>cw</v>
          </cell>
          <cell r="E58" t="str">
            <v>cw</v>
          </cell>
        </row>
        <row r="59">
          <cell r="C59" t="str">
            <v>Christmas Island</v>
          </cell>
          <cell r="D59" t="str">
            <v>cx</v>
          </cell>
          <cell r="E59" t="str">
            <v>cx</v>
          </cell>
        </row>
        <row r="60">
          <cell r="C60" t="str">
            <v>Cyprus</v>
          </cell>
          <cell r="D60" t="str">
            <v>cy</v>
          </cell>
          <cell r="E60" t="str">
            <v>cy</v>
          </cell>
        </row>
        <row r="61">
          <cell r="C61" t="str">
            <v>Czechia</v>
          </cell>
          <cell r="D61" t="str">
            <v>cz</v>
          </cell>
          <cell r="E61" t="str">
            <v>cz</v>
          </cell>
        </row>
        <row r="62">
          <cell r="C62" t="str">
            <v>Germany</v>
          </cell>
          <cell r="D62" t="str">
            <v>de</v>
          </cell>
          <cell r="E62" t="str">
            <v>de</v>
          </cell>
        </row>
        <row r="63">
          <cell r="C63" t="str">
            <v>Djibouti</v>
          </cell>
          <cell r="D63" t="str">
            <v>dj</v>
          </cell>
          <cell r="E63" t="str">
            <v>dj</v>
          </cell>
        </row>
        <row r="64">
          <cell r="C64" t="str">
            <v>Denmark</v>
          </cell>
          <cell r="D64" t="str">
            <v>dk</v>
          </cell>
          <cell r="E64" t="str">
            <v>dk</v>
          </cell>
        </row>
        <row r="65">
          <cell r="C65" t="str">
            <v>Dominica</v>
          </cell>
          <cell r="D65" t="str">
            <v>dm</v>
          </cell>
          <cell r="E65" t="str">
            <v>dm</v>
          </cell>
        </row>
        <row r="66">
          <cell r="C66" t="str">
            <v>Dominican Republic</v>
          </cell>
          <cell r="D66" t="str">
            <v>do</v>
          </cell>
          <cell r="E66" t="str">
            <v>do</v>
          </cell>
        </row>
        <row r="67">
          <cell r="C67" t="str">
            <v>Algeria</v>
          </cell>
          <cell r="D67" t="str">
            <v>dz</v>
          </cell>
          <cell r="E67" t="str">
            <v>dz</v>
          </cell>
        </row>
        <row r="68">
          <cell r="C68" t="str">
            <v>Ecuador</v>
          </cell>
          <cell r="D68" t="str">
            <v>ec</v>
          </cell>
          <cell r="E68" t="str">
            <v>ec</v>
          </cell>
        </row>
        <row r="69">
          <cell r="C69" t="str">
            <v>Estonia</v>
          </cell>
          <cell r="D69" t="str">
            <v>ee</v>
          </cell>
          <cell r="E69" t="str">
            <v>ee</v>
          </cell>
        </row>
        <row r="70">
          <cell r="C70" t="str">
            <v>Egypt</v>
          </cell>
          <cell r="D70" t="str">
            <v>eg</v>
          </cell>
          <cell r="E70" t="str">
            <v>eg</v>
          </cell>
        </row>
        <row r="71">
          <cell r="C71" t="str">
            <v>Western Sahara</v>
          </cell>
          <cell r="D71" t="str">
            <v>eh</v>
          </cell>
          <cell r="E71" t="str">
            <v>eh</v>
          </cell>
        </row>
        <row r="72">
          <cell r="C72" t="str">
            <v>Eritrea</v>
          </cell>
          <cell r="D72" t="str">
            <v>er</v>
          </cell>
          <cell r="E72" t="str">
            <v>er</v>
          </cell>
        </row>
        <row r="73">
          <cell r="C73" t="str">
            <v>Spain</v>
          </cell>
          <cell r="D73" t="str">
            <v>es</v>
          </cell>
          <cell r="E73" t="str">
            <v>es</v>
          </cell>
        </row>
        <row r="74">
          <cell r="C74" t="str">
            <v>Ethiopia</v>
          </cell>
          <cell r="D74" t="str">
            <v>et</v>
          </cell>
          <cell r="E74" t="str">
            <v>et</v>
          </cell>
        </row>
        <row r="75">
          <cell r="C75" t="str">
            <v>Finland</v>
          </cell>
          <cell r="D75" t="str">
            <v>fi</v>
          </cell>
          <cell r="E75" t="str">
            <v>fi</v>
          </cell>
        </row>
        <row r="76">
          <cell r="C76" t="str">
            <v>Fiji</v>
          </cell>
          <cell r="D76" t="str">
            <v>fj</v>
          </cell>
          <cell r="E76" t="str">
            <v>fj</v>
          </cell>
        </row>
        <row r="77">
          <cell r="C77" t="str">
            <v>Falkland Islands</v>
          </cell>
          <cell r="D77" t="str">
            <v>fk</v>
          </cell>
          <cell r="E77" t="str">
            <v>fk</v>
          </cell>
        </row>
        <row r="78">
          <cell r="C78" t="str">
            <v>Micronesia</v>
          </cell>
          <cell r="D78" t="str">
            <v>fm</v>
          </cell>
          <cell r="E78" t="str">
            <v>fm</v>
          </cell>
        </row>
        <row r="79">
          <cell r="C79" t="str">
            <v>Faroe Islands</v>
          </cell>
          <cell r="D79" t="str">
            <v>fo</v>
          </cell>
          <cell r="E79" t="str">
            <v>fo</v>
          </cell>
        </row>
        <row r="80">
          <cell r="C80" t="str">
            <v>France</v>
          </cell>
          <cell r="D80" t="str">
            <v>fr</v>
          </cell>
          <cell r="E80" t="str">
            <v>fr</v>
          </cell>
        </row>
        <row r="81">
          <cell r="C81" t="str">
            <v>Gabon</v>
          </cell>
          <cell r="D81" t="str">
            <v>ga</v>
          </cell>
          <cell r="E81" t="str">
            <v>ga</v>
          </cell>
        </row>
        <row r="82">
          <cell r="C82" t="str">
            <v>United Kingdom</v>
          </cell>
          <cell r="D82" t="str">
            <v>gb</v>
          </cell>
          <cell r="E82" t="str">
            <v>gb</v>
          </cell>
        </row>
        <row r="83">
          <cell r="C83" t="str">
            <v>Grenada</v>
          </cell>
          <cell r="D83" t="str">
            <v>gd</v>
          </cell>
          <cell r="E83" t="str">
            <v>gd</v>
          </cell>
        </row>
        <row r="84">
          <cell r="C84" t="str">
            <v>Georgia</v>
          </cell>
          <cell r="D84" t="str">
            <v>ge</v>
          </cell>
          <cell r="E84" t="str">
            <v>ge</v>
          </cell>
        </row>
        <row r="85">
          <cell r="C85" t="str">
            <v>French Guiana</v>
          </cell>
          <cell r="D85" t="str">
            <v>gf</v>
          </cell>
          <cell r="E85" t="str">
            <v>gf</v>
          </cell>
        </row>
        <row r="86">
          <cell r="C86" t="str">
            <v>Guernsey</v>
          </cell>
          <cell r="D86" t="str">
            <v>gg</v>
          </cell>
          <cell r="E86" t="str">
            <v>gg</v>
          </cell>
        </row>
        <row r="87">
          <cell r="C87" t="str">
            <v>Ghana</v>
          </cell>
          <cell r="D87" t="str">
            <v>gh</v>
          </cell>
          <cell r="E87" t="str">
            <v>gh</v>
          </cell>
        </row>
        <row r="88">
          <cell r="C88" t="str">
            <v>Gibraltar</v>
          </cell>
          <cell r="D88" t="str">
            <v>gi</v>
          </cell>
          <cell r="E88" t="str">
            <v>gi</v>
          </cell>
        </row>
        <row r="89">
          <cell r="C89" t="str">
            <v>Greenland</v>
          </cell>
          <cell r="D89" t="str">
            <v>gl</v>
          </cell>
          <cell r="E89" t="str">
            <v>gl</v>
          </cell>
        </row>
        <row r="90">
          <cell r="C90" t="str">
            <v>Gambia</v>
          </cell>
          <cell r="D90" t="str">
            <v>gm</v>
          </cell>
          <cell r="E90" t="str">
            <v>gm</v>
          </cell>
        </row>
        <row r="91">
          <cell r="C91" t="str">
            <v>Guinea</v>
          </cell>
          <cell r="D91" t="str">
            <v>gn</v>
          </cell>
          <cell r="E91" t="str">
            <v>gn</v>
          </cell>
        </row>
        <row r="92">
          <cell r="C92" t="str">
            <v>Guadeloupe</v>
          </cell>
          <cell r="D92" t="str">
            <v>gp</v>
          </cell>
          <cell r="E92" t="str">
            <v>gp</v>
          </cell>
        </row>
        <row r="93">
          <cell r="C93" t="str">
            <v>Equatorial Guinea</v>
          </cell>
          <cell r="D93" t="str">
            <v>gq</v>
          </cell>
          <cell r="E93" t="str">
            <v>gq</v>
          </cell>
        </row>
        <row r="94">
          <cell r="C94" t="str">
            <v>Greece</v>
          </cell>
          <cell r="D94" t="str">
            <v>gr</v>
          </cell>
          <cell r="E94" t="str">
            <v>gr</v>
          </cell>
        </row>
        <row r="95">
          <cell r="C95" t="str">
            <v>South Georgia and the South Sandwich Islands</v>
          </cell>
          <cell r="D95" t="str">
            <v>gs</v>
          </cell>
          <cell r="E95" t="str">
            <v>gs</v>
          </cell>
        </row>
        <row r="96">
          <cell r="C96" t="str">
            <v>Guatemala</v>
          </cell>
          <cell r="D96" t="str">
            <v>gt</v>
          </cell>
          <cell r="E96" t="str">
            <v>gt</v>
          </cell>
        </row>
        <row r="97">
          <cell r="C97" t="str">
            <v>Guam</v>
          </cell>
          <cell r="D97" t="str">
            <v>gu</v>
          </cell>
          <cell r="E97" t="str">
            <v>gu</v>
          </cell>
        </row>
        <row r="98">
          <cell r="C98" t="str">
            <v>Guinea-Bissau</v>
          </cell>
          <cell r="D98" t="str">
            <v>gw</v>
          </cell>
          <cell r="E98" t="str">
            <v>gw</v>
          </cell>
        </row>
        <row r="99">
          <cell r="C99" t="str">
            <v>Guyana</v>
          </cell>
          <cell r="D99" t="str">
            <v>gy</v>
          </cell>
          <cell r="E99" t="str">
            <v>gy</v>
          </cell>
        </row>
        <row r="100">
          <cell r="C100" t="str">
            <v>Hong Kong</v>
          </cell>
          <cell r="D100" t="str">
            <v>hk</v>
          </cell>
          <cell r="E100" t="str">
            <v>hk</v>
          </cell>
        </row>
        <row r="101">
          <cell r="C101" t="str">
            <v>Heard Island and McDonald Islands</v>
          </cell>
          <cell r="D101" t="str">
            <v>hm</v>
          </cell>
          <cell r="E101" t="str">
            <v>hm</v>
          </cell>
        </row>
        <row r="102">
          <cell r="C102" t="str">
            <v>Honduras</v>
          </cell>
          <cell r="D102" t="str">
            <v>hn</v>
          </cell>
          <cell r="E102" t="str">
            <v>hn</v>
          </cell>
        </row>
        <row r="103">
          <cell r="C103" t="str">
            <v>Croatia</v>
          </cell>
          <cell r="D103" t="str">
            <v>hr</v>
          </cell>
          <cell r="E103" t="str">
            <v>hr</v>
          </cell>
        </row>
        <row r="104">
          <cell r="C104" t="str">
            <v>Haiti</v>
          </cell>
          <cell r="D104" t="str">
            <v>ht</v>
          </cell>
          <cell r="E104" t="str">
            <v>ht</v>
          </cell>
        </row>
        <row r="105">
          <cell r="C105" t="str">
            <v>Hungary</v>
          </cell>
          <cell r="D105" t="str">
            <v>hu</v>
          </cell>
          <cell r="E105" t="str">
            <v>hu</v>
          </cell>
        </row>
        <row r="106">
          <cell r="C106" t="str">
            <v>Indonesia</v>
          </cell>
          <cell r="D106" t="str">
            <v>id</v>
          </cell>
          <cell r="E106" t="str">
            <v>id</v>
          </cell>
        </row>
        <row r="107">
          <cell r="C107" t="str">
            <v>Ireland</v>
          </cell>
          <cell r="D107" t="str">
            <v>ie</v>
          </cell>
          <cell r="E107" t="str">
            <v>ie</v>
          </cell>
        </row>
        <row r="108">
          <cell r="C108" t="str">
            <v>Israel</v>
          </cell>
          <cell r="D108" t="str">
            <v>il</v>
          </cell>
          <cell r="E108" t="str">
            <v>il</v>
          </cell>
        </row>
        <row r="109">
          <cell r="C109" t="str">
            <v>Isle of Man</v>
          </cell>
          <cell r="D109" t="str">
            <v>im</v>
          </cell>
          <cell r="E109" t="str">
            <v>im</v>
          </cell>
        </row>
        <row r="110">
          <cell r="C110" t="str">
            <v>India</v>
          </cell>
          <cell r="D110" t="str">
            <v>in</v>
          </cell>
          <cell r="E110" t="str">
            <v>in</v>
          </cell>
        </row>
        <row r="111">
          <cell r="C111" t="str">
            <v>British Indian Ocean Territory</v>
          </cell>
          <cell r="D111" t="str">
            <v>io</v>
          </cell>
          <cell r="E111" t="str">
            <v>io</v>
          </cell>
        </row>
        <row r="112">
          <cell r="C112" t="str">
            <v>Iraq</v>
          </cell>
          <cell r="D112" t="str">
            <v>iq</v>
          </cell>
          <cell r="E112" t="str">
            <v>iq</v>
          </cell>
        </row>
        <row r="113">
          <cell r="C113" t="str">
            <v>Iran</v>
          </cell>
          <cell r="D113" t="str">
            <v>ir</v>
          </cell>
          <cell r="E113" t="str">
            <v>ir</v>
          </cell>
        </row>
        <row r="114">
          <cell r="C114" t="str">
            <v>Iceland</v>
          </cell>
          <cell r="D114" t="str">
            <v>is</v>
          </cell>
          <cell r="E114" t="str">
            <v>is</v>
          </cell>
        </row>
        <row r="115">
          <cell r="C115" t="str">
            <v>Italy</v>
          </cell>
          <cell r="D115" t="str">
            <v>it</v>
          </cell>
          <cell r="E115" t="str">
            <v>it</v>
          </cell>
        </row>
        <row r="116">
          <cell r="C116" t="str">
            <v>Jersey</v>
          </cell>
          <cell r="D116" t="str">
            <v>je</v>
          </cell>
          <cell r="E116" t="str">
            <v>je</v>
          </cell>
        </row>
        <row r="117">
          <cell r="C117" t="str">
            <v>Jamaica</v>
          </cell>
          <cell r="D117" t="str">
            <v>jm</v>
          </cell>
          <cell r="E117" t="str">
            <v>jm</v>
          </cell>
        </row>
        <row r="118">
          <cell r="C118" t="str">
            <v>Jordan</v>
          </cell>
          <cell r="D118" t="str">
            <v>jo</v>
          </cell>
          <cell r="E118" t="str">
            <v>jo</v>
          </cell>
        </row>
        <row r="119">
          <cell r="C119" t="str">
            <v>Japan</v>
          </cell>
          <cell r="D119" t="str">
            <v>jp</v>
          </cell>
          <cell r="E119" t="str">
            <v>jp</v>
          </cell>
        </row>
        <row r="120">
          <cell r="C120" t="str">
            <v>Kenya</v>
          </cell>
          <cell r="D120" t="str">
            <v>ke</v>
          </cell>
          <cell r="E120" t="str">
            <v>ke</v>
          </cell>
        </row>
        <row r="121">
          <cell r="C121" t="str">
            <v>Kyrgyzstan</v>
          </cell>
          <cell r="D121" t="str">
            <v>kg</v>
          </cell>
          <cell r="E121" t="str">
            <v>kg</v>
          </cell>
        </row>
        <row r="122">
          <cell r="C122" t="str">
            <v>Cambodia</v>
          </cell>
          <cell r="D122" t="str">
            <v>kh</v>
          </cell>
          <cell r="E122" t="str">
            <v>kh</v>
          </cell>
        </row>
        <row r="123">
          <cell r="C123" t="str">
            <v>Kiribati</v>
          </cell>
          <cell r="D123" t="str">
            <v>ki</v>
          </cell>
          <cell r="E123" t="str">
            <v>ki</v>
          </cell>
        </row>
        <row r="124">
          <cell r="C124" t="str">
            <v>Comoros</v>
          </cell>
          <cell r="D124" t="str">
            <v>km</v>
          </cell>
          <cell r="E124" t="str">
            <v>km</v>
          </cell>
        </row>
        <row r="125">
          <cell r="C125" t="str">
            <v>Saint Kitts and Nevis</v>
          </cell>
          <cell r="D125" t="str">
            <v>kn</v>
          </cell>
          <cell r="E125" t="str">
            <v>kn</v>
          </cell>
        </row>
        <row r="126">
          <cell r="C126" t="str">
            <v>North Korea</v>
          </cell>
          <cell r="D126" t="str">
            <v>kp</v>
          </cell>
          <cell r="E126" t="str">
            <v>kp</v>
          </cell>
        </row>
        <row r="127">
          <cell r="C127" t="str">
            <v>South Korea</v>
          </cell>
          <cell r="D127" t="str">
            <v>kr</v>
          </cell>
          <cell r="E127" t="str">
            <v>kr</v>
          </cell>
        </row>
        <row r="128">
          <cell r="C128" t="str">
            <v>Kuwait</v>
          </cell>
          <cell r="D128" t="str">
            <v>kw</v>
          </cell>
          <cell r="E128" t="str">
            <v>kw</v>
          </cell>
        </row>
        <row r="129">
          <cell r="C129" t="str">
            <v>Cayman Islands</v>
          </cell>
          <cell r="D129" t="str">
            <v>ky</v>
          </cell>
          <cell r="E129" t="str">
            <v>ky</v>
          </cell>
        </row>
        <row r="130">
          <cell r="C130" t="str">
            <v>Kazakhstan</v>
          </cell>
          <cell r="D130" t="str">
            <v>kz</v>
          </cell>
          <cell r="E130" t="str">
            <v>kz</v>
          </cell>
        </row>
        <row r="131">
          <cell r="C131" t="str">
            <v>Laos</v>
          </cell>
          <cell r="D131" t="str">
            <v>la</v>
          </cell>
          <cell r="E131" t="str">
            <v>la</v>
          </cell>
        </row>
        <row r="132">
          <cell r="C132" t="str">
            <v>Lebanon</v>
          </cell>
          <cell r="D132" t="str">
            <v>lb</v>
          </cell>
          <cell r="E132" t="str">
            <v>lb</v>
          </cell>
        </row>
        <row r="133">
          <cell r="C133" t="str">
            <v>Saint Lucia</v>
          </cell>
          <cell r="D133" t="str">
            <v>lc</v>
          </cell>
          <cell r="E133" t="str">
            <v>lc</v>
          </cell>
        </row>
        <row r="134">
          <cell r="C134" t="str">
            <v>Liechtenstein</v>
          </cell>
          <cell r="D134" t="str">
            <v>li</v>
          </cell>
          <cell r="E134" t="str">
            <v>li</v>
          </cell>
        </row>
        <row r="135">
          <cell r="C135" t="str">
            <v>Sri Lanka</v>
          </cell>
          <cell r="D135" t="str">
            <v>lk</v>
          </cell>
          <cell r="E135" t="str">
            <v>lk</v>
          </cell>
        </row>
        <row r="136">
          <cell r="C136" t="str">
            <v>Liberia</v>
          </cell>
          <cell r="D136" t="str">
            <v>lr</v>
          </cell>
          <cell r="E136" t="str">
            <v>lr</v>
          </cell>
        </row>
        <row r="137">
          <cell r="C137" t="str">
            <v>Lesotho</v>
          </cell>
          <cell r="D137" t="str">
            <v>ls</v>
          </cell>
          <cell r="E137" t="str">
            <v>ls</v>
          </cell>
        </row>
        <row r="138">
          <cell r="C138" t="str">
            <v>Lithuania</v>
          </cell>
          <cell r="D138" t="str">
            <v>lt</v>
          </cell>
          <cell r="E138" t="str">
            <v>lt</v>
          </cell>
        </row>
        <row r="139">
          <cell r="C139" t="str">
            <v>Luxembourg</v>
          </cell>
          <cell r="D139" t="str">
            <v>lu</v>
          </cell>
          <cell r="E139" t="str">
            <v>lu</v>
          </cell>
        </row>
        <row r="140">
          <cell r="C140" t="str">
            <v>Latvia</v>
          </cell>
          <cell r="D140" t="str">
            <v>lv</v>
          </cell>
          <cell r="E140" t="str">
            <v>lv</v>
          </cell>
        </row>
        <row r="141">
          <cell r="C141" t="str">
            <v>Libya</v>
          </cell>
          <cell r="D141" t="str">
            <v>ly</v>
          </cell>
          <cell r="E141" t="str">
            <v>ly</v>
          </cell>
        </row>
        <row r="142">
          <cell r="C142" t="str">
            <v>Morocco</v>
          </cell>
          <cell r="D142" t="str">
            <v>ma</v>
          </cell>
          <cell r="E142" t="str">
            <v>ma</v>
          </cell>
        </row>
        <row r="143">
          <cell r="C143" t="str">
            <v>Monaco</v>
          </cell>
          <cell r="D143" t="str">
            <v>mc</v>
          </cell>
          <cell r="E143" t="str">
            <v>mc</v>
          </cell>
        </row>
        <row r="144">
          <cell r="C144" t="str">
            <v>Moldova</v>
          </cell>
          <cell r="D144" t="str">
            <v>md</v>
          </cell>
          <cell r="E144" t="str">
            <v>md</v>
          </cell>
        </row>
        <row r="145">
          <cell r="C145" t="str">
            <v>Montenegro</v>
          </cell>
          <cell r="D145" t="str">
            <v>me</v>
          </cell>
          <cell r="E145" t="str">
            <v>me</v>
          </cell>
        </row>
        <row r="146">
          <cell r="C146" t="str">
            <v>Saint Martin</v>
          </cell>
          <cell r="D146" t="str">
            <v>mf</v>
          </cell>
          <cell r="E146" t="str">
            <v>mf</v>
          </cell>
        </row>
        <row r="147">
          <cell r="C147" t="str">
            <v>Madagascar</v>
          </cell>
          <cell r="D147" t="str">
            <v>mg</v>
          </cell>
          <cell r="E147" t="str">
            <v>mg</v>
          </cell>
        </row>
        <row r="148">
          <cell r="C148" t="str">
            <v>Marshall Islands</v>
          </cell>
          <cell r="D148" t="str">
            <v>mh</v>
          </cell>
          <cell r="E148" t="str">
            <v>mh</v>
          </cell>
        </row>
        <row r="149">
          <cell r="C149" t="str">
            <v>North Macedonia</v>
          </cell>
          <cell r="D149" t="str">
            <v>mk</v>
          </cell>
          <cell r="E149" t="str">
            <v>mk</v>
          </cell>
        </row>
        <row r="150">
          <cell r="C150" t="str">
            <v>Mali</v>
          </cell>
          <cell r="D150" t="str">
            <v>ml</v>
          </cell>
          <cell r="E150" t="str">
            <v>ml</v>
          </cell>
        </row>
        <row r="151">
          <cell r="C151" t="str">
            <v>Myanmar</v>
          </cell>
          <cell r="D151" t="str">
            <v>mm</v>
          </cell>
          <cell r="E151" t="str">
            <v>mm</v>
          </cell>
        </row>
        <row r="152">
          <cell r="C152" t="str">
            <v>Mongolia</v>
          </cell>
          <cell r="D152" t="str">
            <v>mn</v>
          </cell>
          <cell r="E152" t="str">
            <v>mn</v>
          </cell>
        </row>
        <row r="153">
          <cell r="C153" t="str">
            <v>Macao</v>
          </cell>
          <cell r="D153" t="str">
            <v>mo</v>
          </cell>
          <cell r="E153" t="str">
            <v>mo</v>
          </cell>
        </row>
        <row r="154">
          <cell r="C154" t="str">
            <v>Northern Mariana Islands</v>
          </cell>
          <cell r="D154" t="str">
            <v>mp</v>
          </cell>
          <cell r="E154" t="str">
            <v>mp</v>
          </cell>
        </row>
        <row r="155">
          <cell r="C155" t="str">
            <v>Martinique</v>
          </cell>
          <cell r="D155" t="str">
            <v>mq</v>
          </cell>
          <cell r="E155" t="str">
            <v>mq</v>
          </cell>
        </row>
        <row r="156">
          <cell r="C156" t="str">
            <v>Mauritania</v>
          </cell>
          <cell r="D156" t="str">
            <v>mr</v>
          </cell>
          <cell r="E156" t="str">
            <v>mr</v>
          </cell>
        </row>
        <row r="157">
          <cell r="C157" t="str">
            <v>Montserrat</v>
          </cell>
          <cell r="D157" t="str">
            <v>ms</v>
          </cell>
          <cell r="E157" t="str">
            <v>ms</v>
          </cell>
        </row>
        <row r="158">
          <cell r="C158" t="str">
            <v>Malta</v>
          </cell>
          <cell r="D158" t="str">
            <v>mt</v>
          </cell>
          <cell r="E158" t="str">
            <v>mt</v>
          </cell>
        </row>
        <row r="159">
          <cell r="C159" t="str">
            <v>Mauritius</v>
          </cell>
          <cell r="D159" t="str">
            <v>mu</v>
          </cell>
          <cell r="E159" t="str">
            <v>mu</v>
          </cell>
        </row>
        <row r="160">
          <cell r="C160" t="str">
            <v>Maldives</v>
          </cell>
          <cell r="D160" t="str">
            <v>mv</v>
          </cell>
          <cell r="E160" t="str">
            <v>mv</v>
          </cell>
        </row>
        <row r="161">
          <cell r="C161" t="str">
            <v>Malawi</v>
          </cell>
          <cell r="D161" t="str">
            <v>mw</v>
          </cell>
          <cell r="E161" t="str">
            <v>mw</v>
          </cell>
        </row>
        <row r="162">
          <cell r="C162" t="str">
            <v>Mexico</v>
          </cell>
          <cell r="D162" t="str">
            <v>mx</v>
          </cell>
          <cell r="E162" t="str">
            <v>mx</v>
          </cell>
        </row>
        <row r="163">
          <cell r="C163" t="str">
            <v>Malaysia</v>
          </cell>
          <cell r="D163" t="str">
            <v>my</v>
          </cell>
          <cell r="E163" t="str">
            <v>my</v>
          </cell>
        </row>
        <row r="164">
          <cell r="C164" t="str">
            <v>Mozambique</v>
          </cell>
          <cell r="D164" t="str">
            <v>mz</v>
          </cell>
          <cell r="E164" t="str">
            <v>mz</v>
          </cell>
        </row>
        <row r="165">
          <cell r="C165" t="str">
            <v>Namibia</v>
          </cell>
          <cell r="D165" t="str">
            <v>na</v>
          </cell>
          <cell r="E165" t="str">
            <v>na</v>
          </cell>
        </row>
        <row r="166">
          <cell r="C166" t="str">
            <v>New Caledonia</v>
          </cell>
          <cell r="D166" t="str">
            <v>nc</v>
          </cell>
          <cell r="E166" t="str">
            <v>nc</v>
          </cell>
        </row>
        <row r="167">
          <cell r="C167" t="str">
            <v>Niger</v>
          </cell>
          <cell r="D167" t="str">
            <v>ne</v>
          </cell>
          <cell r="E167" t="str">
            <v>ne</v>
          </cell>
        </row>
        <row r="168">
          <cell r="C168" t="str">
            <v>Norfolk Island</v>
          </cell>
          <cell r="D168" t="str">
            <v>nf</v>
          </cell>
          <cell r="E168" t="str">
            <v>nf</v>
          </cell>
        </row>
        <row r="169">
          <cell r="C169" t="str">
            <v>Nigeria</v>
          </cell>
          <cell r="D169" t="str">
            <v>ng</v>
          </cell>
          <cell r="E169" t="str">
            <v>ng</v>
          </cell>
        </row>
        <row r="170">
          <cell r="C170" t="str">
            <v>Nicaragua</v>
          </cell>
          <cell r="D170" t="str">
            <v>ni</v>
          </cell>
          <cell r="E170" t="str">
            <v>ni</v>
          </cell>
        </row>
        <row r="171">
          <cell r="C171" t="str">
            <v>Netherlands</v>
          </cell>
          <cell r="D171" t="str">
            <v>nl</v>
          </cell>
          <cell r="E171" t="str">
            <v>nl</v>
          </cell>
        </row>
        <row r="172">
          <cell r="C172" t="str">
            <v>Norway</v>
          </cell>
          <cell r="D172" t="str">
            <v>no</v>
          </cell>
          <cell r="E172" t="str">
            <v>no</v>
          </cell>
        </row>
        <row r="173">
          <cell r="C173" t="str">
            <v>Nepal</v>
          </cell>
          <cell r="D173" t="str">
            <v>np</v>
          </cell>
          <cell r="E173" t="str">
            <v>np</v>
          </cell>
        </row>
        <row r="174">
          <cell r="C174" t="str">
            <v>Nauru</v>
          </cell>
          <cell r="D174" t="str">
            <v>nr</v>
          </cell>
          <cell r="E174" t="str">
            <v>nr</v>
          </cell>
        </row>
        <row r="175">
          <cell r="C175" t="str">
            <v>Niue</v>
          </cell>
          <cell r="D175" t="str">
            <v>nu</v>
          </cell>
          <cell r="E175" t="str">
            <v>nu</v>
          </cell>
        </row>
        <row r="176">
          <cell r="C176" t="str">
            <v>New Zealand</v>
          </cell>
          <cell r="D176" t="str">
            <v>nz</v>
          </cell>
          <cell r="E176" t="str">
            <v>nz</v>
          </cell>
        </row>
        <row r="177">
          <cell r="C177" t="str">
            <v>Oman</v>
          </cell>
          <cell r="D177" t="str">
            <v>om</v>
          </cell>
          <cell r="E177" t="str">
            <v>om</v>
          </cell>
        </row>
        <row r="178">
          <cell r="C178" t="str">
            <v>Panama</v>
          </cell>
          <cell r="D178" t="str">
            <v>pa</v>
          </cell>
          <cell r="E178" t="str">
            <v>pa</v>
          </cell>
        </row>
        <row r="179">
          <cell r="C179" t="str">
            <v>Peru</v>
          </cell>
          <cell r="D179" t="str">
            <v>pe</v>
          </cell>
          <cell r="E179" t="str">
            <v>pe</v>
          </cell>
        </row>
        <row r="180">
          <cell r="C180" t="str">
            <v>French Polynesia</v>
          </cell>
          <cell r="D180" t="str">
            <v>pf</v>
          </cell>
          <cell r="E180" t="str">
            <v>pf</v>
          </cell>
        </row>
        <row r="181">
          <cell r="C181" t="str">
            <v>Papua New Guinea</v>
          </cell>
          <cell r="D181" t="str">
            <v>pg</v>
          </cell>
          <cell r="E181" t="str">
            <v>pg</v>
          </cell>
        </row>
        <row r="182">
          <cell r="C182" t="str">
            <v>Philippines</v>
          </cell>
          <cell r="D182" t="str">
            <v>ph</v>
          </cell>
          <cell r="E182" t="str">
            <v>ph</v>
          </cell>
        </row>
        <row r="183">
          <cell r="C183" t="str">
            <v>Pakistan</v>
          </cell>
          <cell r="D183" t="str">
            <v>pk</v>
          </cell>
          <cell r="E183" t="str">
            <v>pk</v>
          </cell>
        </row>
        <row r="184">
          <cell r="C184" t="str">
            <v>Poland</v>
          </cell>
          <cell r="D184" t="str">
            <v>pl</v>
          </cell>
          <cell r="E184" t="str">
            <v>pl</v>
          </cell>
        </row>
        <row r="185">
          <cell r="C185" t="str">
            <v>Saint Pierre and Miquelon</v>
          </cell>
          <cell r="D185" t="str">
            <v>pm</v>
          </cell>
          <cell r="E185" t="str">
            <v>pm</v>
          </cell>
        </row>
        <row r="186">
          <cell r="C186" t="str">
            <v>Pitcairn</v>
          </cell>
          <cell r="D186" t="str">
            <v>pn</v>
          </cell>
          <cell r="E186" t="str">
            <v>pn</v>
          </cell>
        </row>
        <row r="187">
          <cell r="C187" t="str">
            <v>Puerto Rico</v>
          </cell>
          <cell r="D187" t="str">
            <v>pr</v>
          </cell>
          <cell r="E187" t="str">
            <v>pr</v>
          </cell>
        </row>
        <row r="188">
          <cell r="C188" t="str">
            <v>Palestine</v>
          </cell>
          <cell r="D188" t="str">
            <v>ps</v>
          </cell>
          <cell r="E188" t="str">
            <v>ps</v>
          </cell>
        </row>
        <row r="189">
          <cell r="C189" t="str">
            <v>Portugal</v>
          </cell>
          <cell r="D189" t="str">
            <v>pt</v>
          </cell>
          <cell r="E189" t="str">
            <v>pt</v>
          </cell>
        </row>
        <row r="190">
          <cell r="C190" t="str">
            <v>Palau</v>
          </cell>
          <cell r="D190" t="str">
            <v>pw</v>
          </cell>
          <cell r="E190" t="str">
            <v>pw</v>
          </cell>
        </row>
        <row r="191">
          <cell r="C191" t="str">
            <v>Paraguay</v>
          </cell>
          <cell r="D191" t="str">
            <v>py</v>
          </cell>
          <cell r="E191" t="str">
            <v>py</v>
          </cell>
        </row>
        <row r="192">
          <cell r="C192" t="str">
            <v>Qatar</v>
          </cell>
          <cell r="D192" t="str">
            <v>qa</v>
          </cell>
          <cell r="E192" t="str">
            <v>qa</v>
          </cell>
        </row>
        <row r="193">
          <cell r="C193" t="str">
            <v>Reunion</v>
          </cell>
          <cell r="D193" t="str">
            <v>re</v>
          </cell>
          <cell r="E193" t="str">
            <v>re</v>
          </cell>
        </row>
        <row r="194">
          <cell r="C194" t="str">
            <v>Romania</v>
          </cell>
          <cell r="D194" t="str">
            <v>ro</v>
          </cell>
          <cell r="E194" t="str">
            <v>ro</v>
          </cell>
        </row>
        <row r="195">
          <cell r="C195" t="str">
            <v>Serbia</v>
          </cell>
          <cell r="D195" t="str">
            <v>rs</v>
          </cell>
          <cell r="E195" t="str">
            <v>rs</v>
          </cell>
        </row>
        <row r="196">
          <cell r="C196" t="str">
            <v>Russia</v>
          </cell>
          <cell r="D196" t="str">
            <v>ru</v>
          </cell>
          <cell r="E196" t="str">
            <v>ru</v>
          </cell>
        </row>
        <row r="197">
          <cell r="C197" t="str">
            <v>Rwanda</v>
          </cell>
          <cell r="D197" t="str">
            <v>rw</v>
          </cell>
          <cell r="E197" t="str">
            <v>rw</v>
          </cell>
        </row>
        <row r="198">
          <cell r="C198" t="str">
            <v>Saudi Arabia</v>
          </cell>
          <cell r="D198" t="str">
            <v>sa</v>
          </cell>
          <cell r="E198" t="str">
            <v>sa</v>
          </cell>
        </row>
        <row r="199">
          <cell r="C199" t="str">
            <v>Solomon Islands</v>
          </cell>
          <cell r="D199" t="str">
            <v>sb</v>
          </cell>
          <cell r="E199" t="str">
            <v>sb</v>
          </cell>
        </row>
        <row r="200">
          <cell r="C200" t="str">
            <v>Seychelles</v>
          </cell>
          <cell r="D200" t="str">
            <v>sc</v>
          </cell>
          <cell r="E200" t="str">
            <v>sc</v>
          </cell>
        </row>
        <row r="201">
          <cell r="C201" t="str">
            <v>Sudan</v>
          </cell>
          <cell r="D201" t="str">
            <v>sd</v>
          </cell>
          <cell r="E201" t="str">
            <v>sd</v>
          </cell>
        </row>
        <row r="202">
          <cell r="C202" t="str">
            <v>Sweden</v>
          </cell>
          <cell r="D202" t="str">
            <v>se</v>
          </cell>
          <cell r="E202" t="str">
            <v>se</v>
          </cell>
        </row>
        <row r="203">
          <cell r="C203" t="str">
            <v>Singapore</v>
          </cell>
          <cell r="D203" t="str">
            <v>sg</v>
          </cell>
          <cell r="E203" t="str">
            <v>sg</v>
          </cell>
        </row>
        <row r="204">
          <cell r="C204" t="str">
            <v>Saint Helena, Ascension and Tristan da Cunha</v>
          </cell>
          <cell r="D204" t="str">
            <v>sh</v>
          </cell>
          <cell r="E204" t="str">
            <v>sh</v>
          </cell>
        </row>
        <row r="205">
          <cell r="C205" t="str">
            <v>Slovenia</v>
          </cell>
          <cell r="D205" t="str">
            <v>si</v>
          </cell>
          <cell r="E205" t="str">
            <v>si</v>
          </cell>
        </row>
        <row r="206">
          <cell r="C206" t="str">
            <v>Svalbard and Jan Mayen</v>
          </cell>
          <cell r="D206" t="str">
            <v>sj</v>
          </cell>
          <cell r="E206" t="str">
            <v>sj</v>
          </cell>
        </row>
        <row r="207">
          <cell r="C207" t="str">
            <v>Slovakia</v>
          </cell>
          <cell r="D207" t="str">
            <v>sk</v>
          </cell>
          <cell r="E207" t="str">
            <v>sk</v>
          </cell>
        </row>
        <row r="208">
          <cell r="C208" t="str">
            <v>Sierra Leone</v>
          </cell>
          <cell r="D208" t="str">
            <v>sl</v>
          </cell>
          <cell r="E208" t="str">
            <v>sl</v>
          </cell>
        </row>
        <row r="209">
          <cell r="C209" t="str">
            <v>San Marino</v>
          </cell>
          <cell r="D209" t="str">
            <v>sm</v>
          </cell>
          <cell r="E209" t="str">
            <v>sm</v>
          </cell>
        </row>
        <row r="210">
          <cell r="C210" t="str">
            <v>Senegal</v>
          </cell>
          <cell r="D210" t="str">
            <v>sn</v>
          </cell>
          <cell r="E210" t="str">
            <v>sn</v>
          </cell>
        </row>
        <row r="211">
          <cell r="C211" t="str">
            <v>Somalia</v>
          </cell>
          <cell r="D211" t="str">
            <v>so</v>
          </cell>
          <cell r="E211" t="str">
            <v>so</v>
          </cell>
        </row>
        <row r="212">
          <cell r="C212" t="str">
            <v>Suriname</v>
          </cell>
          <cell r="D212" t="str">
            <v>sr</v>
          </cell>
          <cell r="E212" t="str">
            <v>sr</v>
          </cell>
        </row>
        <row r="213">
          <cell r="C213" t="str">
            <v>South Sudan</v>
          </cell>
          <cell r="D213" t="str">
            <v>ss</v>
          </cell>
          <cell r="E213" t="str">
            <v>ss</v>
          </cell>
        </row>
        <row r="214">
          <cell r="C214" t="str">
            <v>Sao Tome and Principe</v>
          </cell>
          <cell r="D214" t="str">
            <v>st</v>
          </cell>
          <cell r="E214" t="str">
            <v>st</v>
          </cell>
        </row>
        <row r="215">
          <cell r="C215" t="str">
            <v>El Salvador</v>
          </cell>
          <cell r="D215" t="str">
            <v>sv</v>
          </cell>
          <cell r="E215" t="str">
            <v>sv</v>
          </cell>
        </row>
        <row r="216">
          <cell r="C216" t="str">
            <v>Sint Maarten</v>
          </cell>
          <cell r="D216" t="str">
            <v>sx</v>
          </cell>
          <cell r="E216" t="str">
            <v>sx</v>
          </cell>
        </row>
        <row r="217">
          <cell r="C217" t="str">
            <v>Syria</v>
          </cell>
          <cell r="D217" t="str">
            <v>sy</v>
          </cell>
          <cell r="E217" t="str">
            <v>sy</v>
          </cell>
        </row>
        <row r="218">
          <cell r="C218" t="str">
            <v>Eswatini</v>
          </cell>
          <cell r="D218" t="str">
            <v>sz</v>
          </cell>
          <cell r="E218" t="str">
            <v>sz</v>
          </cell>
        </row>
        <row r="219">
          <cell r="C219" t="str">
            <v>Turks and Caicos</v>
          </cell>
          <cell r="D219" t="str">
            <v>tc</v>
          </cell>
          <cell r="E219" t="str">
            <v>tc</v>
          </cell>
        </row>
        <row r="220">
          <cell r="C220" t="str">
            <v>Chad</v>
          </cell>
          <cell r="D220" t="str">
            <v>td</v>
          </cell>
          <cell r="E220" t="str">
            <v>td</v>
          </cell>
        </row>
        <row r="221">
          <cell r="C221" t="str">
            <v>French Southern Territories</v>
          </cell>
          <cell r="D221" t="str">
            <v>tf</v>
          </cell>
          <cell r="E221" t="str">
            <v>tf</v>
          </cell>
        </row>
        <row r="222">
          <cell r="C222" t="str">
            <v>Togo</v>
          </cell>
          <cell r="D222" t="str">
            <v>tg</v>
          </cell>
          <cell r="E222" t="str">
            <v>tg</v>
          </cell>
        </row>
        <row r="223">
          <cell r="C223" t="str">
            <v>Thailand</v>
          </cell>
          <cell r="D223" t="str">
            <v>th</v>
          </cell>
          <cell r="E223" t="str">
            <v>th</v>
          </cell>
        </row>
        <row r="224">
          <cell r="C224" t="str">
            <v>Tajikistan</v>
          </cell>
          <cell r="D224" t="str">
            <v>tj</v>
          </cell>
          <cell r="E224" t="str">
            <v>tj</v>
          </cell>
        </row>
        <row r="225">
          <cell r="C225" t="str">
            <v>Tokelau</v>
          </cell>
          <cell r="D225" t="str">
            <v>tk</v>
          </cell>
          <cell r="E225" t="str">
            <v>tk</v>
          </cell>
        </row>
        <row r="226">
          <cell r="C226" t="str">
            <v>Timor-Leste</v>
          </cell>
          <cell r="D226" t="str">
            <v>tl</v>
          </cell>
          <cell r="E226" t="str">
            <v>tl</v>
          </cell>
        </row>
        <row r="227">
          <cell r="C227" t="str">
            <v>Turkmenistan</v>
          </cell>
          <cell r="D227" t="str">
            <v>tm</v>
          </cell>
          <cell r="E227" t="str">
            <v>tm</v>
          </cell>
        </row>
        <row r="228">
          <cell r="C228" t="str">
            <v>Tunisia</v>
          </cell>
          <cell r="D228" t="str">
            <v>tn</v>
          </cell>
          <cell r="E228" t="str">
            <v>tn</v>
          </cell>
        </row>
        <row r="229">
          <cell r="C229" t="str">
            <v>Tonga</v>
          </cell>
          <cell r="D229" t="str">
            <v>to</v>
          </cell>
          <cell r="E229" t="str">
            <v>to</v>
          </cell>
        </row>
        <row r="230">
          <cell r="C230" t="str">
            <v>Turkey</v>
          </cell>
          <cell r="D230" t="str">
            <v>tr</v>
          </cell>
          <cell r="E230" t="str">
            <v>tr</v>
          </cell>
        </row>
        <row r="231">
          <cell r="C231" t="str">
            <v>Trinidad and Tobago</v>
          </cell>
          <cell r="D231" t="str">
            <v>tt</v>
          </cell>
          <cell r="E231" t="str">
            <v>tt</v>
          </cell>
        </row>
        <row r="232">
          <cell r="C232" t="str">
            <v>Tuvalu</v>
          </cell>
          <cell r="D232" t="str">
            <v>tv</v>
          </cell>
          <cell r="E232" t="str">
            <v>tv</v>
          </cell>
        </row>
        <row r="233">
          <cell r="C233" t="str">
            <v>Taiwan</v>
          </cell>
          <cell r="D233" t="str">
            <v>tw</v>
          </cell>
          <cell r="E233" t="str">
            <v>tw</v>
          </cell>
        </row>
        <row r="234">
          <cell r="C234" t="str">
            <v>Tanzania</v>
          </cell>
          <cell r="D234" t="str">
            <v>tz</v>
          </cell>
          <cell r="E234" t="str">
            <v>tz</v>
          </cell>
        </row>
        <row r="235">
          <cell r="C235" t="str">
            <v>Ukraine</v>
          </cell>
          <cell r="D235" t="str">
            <v>ua</v>
          </cell>
          <cell r="E235" t="str">
            <v>ua</v>
          </cell>
        </row>
        <row r="236">
          <cell r="C236" t="str">
            <v>Uganda</v>
          </cell>
          <cell r="D236" t="str">
            <v>ug</v>
          </cell>
          <cell r="E236" t="str">
            <v>ug</v>
          </cell>
        </row>
        <row r="237">
          <cell r="C237" t="str">
            <v>United States Minor Outlying Islands</v>
          </cell>
          <cell r="D237" t="str">
            <v>um</v>
          </cell>
          <cell r="E237" t="str">
            <v>um</v>
          </cell>
        </row>
        <row r="238">
          <cell r="C238" t="str">
            <v>Uruguay</v>
          </cell>
          <cell r="D238" t="str">
            <v>uy</v>
          </cell>
          <cell r="E238" t="str">
            <v>uy</v>
          </cell>
        </row>
        <row r="239">
          <cell r="C239" t="str">
            <v>Uzbekistan</v>
          </cell>
          <cell r="D239" t="str">
            <v>uz</v>
          </cell>
          <cell r="E239" t="str">
            <v>uz</v>
          </cell>
        </row>
        <row r="240">
          <cell r="C240" t="str">
            <v>Vatican City</v>
          </cell>
          <cell r="D240" t="str">
            <v>va</v>
          </cell>
          <cell r="E240" t="str">
            <v>va
- rome</v>
          </cell>
        </row>
        <row r="241">
          <cell r="C241" t="str">
            <v>Saint Vincent and the Grenadines</v>
          </cell>
          <cell r="D241" t="str">
            <v>vc</v>
          </cell>
          <cell r="E241" t="str">
            <v>vc</v>
          </cell>
        </row>
        <row r="242">
          <cell r="C242" t="str">
            <v>Venezuela</v>
          </cell>
          <cell r="D242" t="str">
            <v>ve</v>
          </cell>
          <cell r="E242" t="str">
            <v>ve</v>
          </cell>
        </row>
        <row r="243">
          <cell r="C243" t="str">
            <v>British Virgin Islands</v>
          </cell>
          <cell r="D243" t="str">
            <v>vg</v>
          </cell>
          <cell r="E243" t="str">
            <v>vg</v>
          </cell>
        </row>
        <row r="244">
          <cell r="C244" t="str">
            <v>US Virgin Islands</v>
          </cell>
          <cell r="D244" t="str">
            <v>vi</v>
          </cell>
          <cell r="E244" t="str">
            <v>vi</v>
          </cell>
        </row>
        <row r="245">
          <cell r="C245" t="str">
            <v>Vietnam</v>
          </cell>
          <cell r="D245" t="str">
            <v>vn</v>
          </cell>
          <cell r="E245" t="str">
            <v>vn</v>
          </cell>
        </row>
        <row r="246">
          <cell r="C246" t="str">
            <v>Vanuatu</v>
          </cell>
          <cell r="D246" t="str">
            <v>vu</v>
          </cell>
          <cell r="E246" t="str">
            <v>vu</v>
          </cell>
        </row>
        <row r="247">
          <cell r="C247" t="str">
            <v>Wallis and Futuna</v>
          </cell>
          <cell r="D247" t="str">
            <v>wf</v>
          </cell>
          <cell r="E247" t="str">
            <v>wf</v>
          </cell>
        </row>
        <row r="248">
          <cell r="C248" t="str">
            <v>Samoa</v>
          </cell>
          <cell r="D248" t="str">
            <v>ws</v>
          </cell>
          <cell r="E248" t="str">
            <v>ws</v>
          </cell>
        </row>
        <row r="249">
          <cell r="C249" t="str">
            <v>Yemen</v>
          </cell>
          <cell r="D249" t="str">
            <v>ye</v>
          </cell>
          <cell r="E249" t="str">
            <v>ye</v>
          </cell>
        </row>
        <row r="250">
          <cell r="C250" t="str">
            <v>Mayotte</v>
          </cell>
          <cell r="D250" t="str">
            <v>yt</v>
          </cell>
          <cell r="E250" t="str">
            <v>yt</v>
          </cell>
        </row>
        <row r="251">
          <cell r="C251" t="str">
            <v>South Africa</v>
          </cell>
          <cell r="D251" t="str">
            <v>za</v>
          </cell>
          <cell r="E251" t="str">
            <v>za</v>
          </cell>
        </row>
        <row r="252">
          <cell r="C252" t="str">
            <v>Zambia</v>
          </cell>
          <cell r="D252" t="str">
            <v>zm</v>
          </cell>
          <cell r="E252" t="str">
            <v>zm</v>
          </cell>
        </row>
        <row r="253">
          <cell r="C253" t="str">
            <v>Zimbabwe</v>
          </cell>
          <cell r="D253" t="str">
            <v>zw</v>
          </cell>
          <cell r="E253" t="str">
            <v>zw</v>
          </cell>
        </row>
        <row r="254">
          <cell r="C254" t="str">
            <v>United States of America</v>
          </cell>
          <cell r="D254" t="str">
            <v>us</v>
          </cell>
          <cell r="E254" t="str">
            <v>us</v>
          </cell>
        </row>
        <row r="255">
          <cell r="C255" t="str">
            <v>US Alabama</v>
          </cell>
          <cell r="D255" t="str">
            <v>us_al</v>
          </cell>
          <cell r="E255" t="str">
            <v xml:space="preserve">us_x000D_
- us_al_x000D_
</v>
          </cell>
        </row>
        <row r="256">
          <cell r="C256" t="str">
            <v>US Alaska</v>
          </cell>
          <cell r="D256" t="str">
            <v>us_ak</v>
          </cell>
          <cell r="E256" t="str">
            <v>us
- us-ak</v>
          </cell>
        </row>
        <row r="257">
          <cell r="C257" t="str">
            <v>US Arizona</v>
          </cell>
          <cell r="D257" t="str">
            <v>us_az</v>
          </cell>
          <cell r="E257" t="str">
            <v>us
- us-az</v>
          </cell>
        </row>
        <row r="258">
          <cell r="C258" t="str">
            <v>US Arkansas</v>
          </cell>
          <cell r="D258" t="str">
            <v>us_ar</v>
          </cell>
          <cell r="E258" t="str">
            <v>us
- us-ar</v>
          </cell>
        </row>
        <row r="259">
          <cell r="C259" t="str">
            <v>US California</v>
          </cell>
          <cell r="D259" t="str">
            <v>us_ca</v>
          </cell>
          <cell r="E259" t="str">
            <v>us
- us-ca</v>
          </cell>
        </row>
        <row r="260">
          <cell r="C260" t="str">
            <v>US Colorado</v>
          </cell>
          <cell r="D260" t="str">
            <v>us_co</v>
          </cell>
          <cell r="E260" t="str">
            <v>us
- us-co</v>
          </cell>
        </row>
        <row r="261">
          <cell r="C261" t="str">
            <v>US Connecticut</v>
          </cell>
          <cell r="D261" t="str">
            <v>us_ct</v>
          </cell>
          <cell r="E261" t="str">
            <v>us
- us-ct</v>
          </cell>
        </row>
        <row r="262">
          <cell r="C262" t="str">
            <v>US Delaware</v>
          </cell>
          <cell r="D262" t="str">
            <v>us_de</v>
          </cell>
          <cell r="E262" t="str">
            <v>us
- us-de</v>
          </cell>
        </row>
        <row r="263">
          <cell r="C263" t="str">
            <v>US DC</v>
          </cell>
          <cell r="D263" t="str">
            <v>us_dc</v>
          </cell>
          <cell r="E263" t="str">
            <v>us
- us-dc</v>
          </cell>
        </row>
        <row r="264">
          <cell r="C264" t="str">
            <v>US Florida</v>
          </cell>
          <cell r="D264" t="str">
            <v>us_fl</v>
          </cell>
          <cell r="E264" t="str">
            <v>us
- us-fl</v>
          </cell>
        </row>
        <row r="265">
          <cell r="C265" t="str">
            <v>US Georgia</v>
          </cell>
          <cell r="D265" t="str">
            <v>us_ga</v>
          </cell>
          <cell r="E265" t="str">
            <v>us
- us-ga</v>
          </cell>
        </row>
        <row r="266">
          <cell r="C266" t="str">
            <v>US Hawaii</v>
          </cell>
          <cell r="D266" t="str">
            <v>us_hi</v>
          </cell>
          <cell r="E266" t="str">
            <v>us
- us-hi</v>
          </cell>
        </row>
        <row r="267">
          <cell r="C267" t="str">
            <v>US Idaho</v>
          </cell>
          <cell r="D267" t="str">
            <v>us_id</v>
          </cell>
          <cell r="E267" t="str">
            <v>us
- us-id</v>
          </cell>
        </row>
        <row r="268">
          <cell r="C268" t="str">
            <v>US Illinois</v>
          </cell>
          <cell r="D268" t="str">
            <v>us_il</v>
          </cell>
          <cell r="E268" t="str">
            <v>us
- us-il</v>
          </cell>
        </row>
        <row r="269">
          <cell r="C269" t="str">
            <v>US Indiana</v>
          </cell>
          <cell r="D269" t="str">
            <v>us_in</v>
          </cell>
          <cell r="E269" t="str">
            <v>us
- us-in</v>
          </cell>
        </row>
        <row r="270">
          <cell r="C270" t="str">
            <v>US Iowa</v>
          </cell>
          <cell r="D270" t="str">
            <v>us_ia</v>
          </cell>
          <cell r="E270" t="str">
            <v>us
- us-ia</v>
          </cell>
        </row>
        <row r="271">
          <cell r="C271" t="str">
            <v>US Kansas</v>
          </cell>
          <cell r="D271" t="str">
            <v>us_ks</v>
          </cell>
          <cell r="E271" t="str">
            <v>us
- us-ks</v>
          </cell>
        </row>
        <row r="272">
          <cell r="C272" t="str">
            <v>US Kentucky</v>
          </cell>
          <cell r="D272" t="str">
            <v>us_ky</v>
          </cell>
          <cell r="E272" t="str">
            <v>us
- us-ky</v>
          </cell>
        </row>
        <row r="273">
          <cell r="C273" t="str">
            <v>US Louisiana</v>
          </cell>
          <cell r="D273" t="str">
            <v>us_la</v>
          </cell>
          <cell r="E273" t="str">
            <v>us
- us-la</v>
          </cell>
        </row>
        <row r="274">
          <cell r="C274" t="str">
            <v>US Maine</v>
          </cell>
          <cell r="D274" t="str">
            <v>us_me</v>
          </cell>
          <cell r="E274" t="str">
            <v>us
- us-me</v>
          </cell>
        </row>
        <row r="275">
          <cell r="C275" t="str">
            <v>US Maryland</v>
          </cell>
          <cell r="D275" t="str">
            <v>us_md</v>
          </cell>
          <cell r="E275" t="str">
            <v>us
- us-md</v>
          </cell>
        </row>
        <row r="276">
          <cell r="C276" t="str">
            <v>US Massachusetts</v>
          </cell>
          <cell r="D276" t="str">
            <v>us_ma</v>
          </cell>
          <cell r="E276" t="str">
            <v>us
- us-ma</v>
          </cell>
        </row>
        <row r="277">
          <cell r="C277" t="str">
            <v>US Michigan</v>
          </cell>
          <cell r="D277" t="str">
            <v>us_mi</v>
          </cell>
          <cell r="E277" t="str">
            <v>us
- us-mi</v>
          </cell>
        </row>
        <row r="278">
          <cell r="C278" t="str">
            <v>US Minnesota</v>
          </cell>
          <cell r="D278" t="str">
            <v>us_mn</v>
          </cell>
          <cell r="E278" t="str">
            <v>us
- us-mn</v>
          </cell>
        </row>
        <row r="279">
          <cell r="C279" t="str">
            <v>US Mississippi</v>
          </cell>
          <cell r="D279" t="str">
            <v>us_ms</v>
          </cell>
          <cell r="E279" t="str">
            <v>us
- us-ms</v>
          </cell>
        </row>
        <row r="280">
          <cell r="C280" t="str">
            <v>US Missouri</v>
          </cell>
          <cell r="D280" t="str">
            <v>us_mo</v>
          </cell>
          <cell r="E280" t="str">
            <v>us
- us-mo</v>
          </cell>
        </row>
        <row r="281">
          <cell r="C281" t="str">
            <v>US Montana</v>
          </cell>
          <cell r="D281" t="str">
            <v>us_mt</v>
          </cell>
          <cell r="E281" t="str">
            <v>us
- us-mt</v>
          </cell>
        </row>
        <row r="282">
          <cell r="C282" t="str">
            <v>US Nebraska</v>
          </cell>
          <cell r="D282" t="str">
            <v>us_ne</v>
          </cell>
          <cell r="E282" t="str">
            <v>us
- us-ne</v>
          </cell>
        </row>
        <row r="283">
          <cell r="C283" t="str">
            <v>US Nevada</v>
          </cell>
          <cell r="D283" t="str">
            <v>us_nv</v>
          </cell>
          <cell r="E283" t="str">
            <v>us
- us-nv</v>
          </cell>
        </row>
        <row r="284">
          <cell r="C284" t="str">
            <v>US New Hampshire</v>
          </cell>
          <cell r="D284" t="str">
            <v>us_nh</v>
          </cell>
          <cell r="E284" t="str">
            <v>us
- us-nh</v>
          </cell>
        </row>
        <row r="285">
          <cell r="C285" t="str">
            <v>US New Jersey</v>
          </cell>
          <cell r="D285" t="str">
            <v>us_nj</v>
          </cell>
          <cell r="E285" t="str">
            <v>us
- us-nj</v>
          </cell>
        </row>
        <row r="286">
          <cell r="C286" t="str">
            <v>US New Mexico</v>
          </cell>
          <cell r="D286" t="str">
            <v>us_nm</v>
          </cell>
          <cell r="E286" t="str">
            <v>us
- us-nm</v>
          </cell>
        </row>
        <row r="287">
          <cell r="C287" t="str">
            <v>US New York</v>
          </cell>
          <cell r="D287" t="str">
            <v>us_ny</v>
          </cell>
          <cell r="E287" t="str">
            <v>us
- us-ny</v>
          </cell>
        </row>
        <row r="288">
          <cell r="C288" t="str">
            <v>US North Carolina</v>
          </cell>
          <cell r="D288" t="str">
            <v>us_nc</v>
          </cell>
          <cell r="E288" t="str">
            <v>us
- us-nc</v>
          </cell>
        </row>
        <row r="289">
          <cell r="C289" t="str">
            <v>US North Dakota</v>
          </cell>
          <cell r="D289" t="str">
            <v>us_nd</v>
          </cell>
          <cell r="E289" t="str">
            <v>us
- us-nd</v>
          </cell>
        </row>
        <row r="290">
          <cell r="C290" t="str">
            <v>US Ohio</v>
          </cell>
          <cell r="D290" t="str">
            <v>us_oh</v>
          </cell>
          <cell r="E290" t="str">
            <v>us
- us-oh</v>
          </cell>
        </row>
        <row r="291">
          <cell r="C291" t="str">
            <v>US Oklahoma</v>
          </cell>
          <cell r="D291" t="str">
            <v>us_ok</v>
          </cell>
          <cell r="E291" t="str">
            <v>us
- us-ok</v>
          </cell>
        </row>
        <row r="292">
          <cell r="C292" t="str">
            <v>US Oregon</v>
          </cell>
          <cell r="D292" t="str">
            <v>us_or</v>
          </cell>
          <cell r="E292" t="str">
            <v>us
- us-or</v>
          </cell>
        </row>
        <row r="293">
          <cell r="C293" t="str">
            <v>US Pennsylvania</v>
          </cell>
          <cell r="D293" t="str">
            <v>us_pa</v>
          </cell>
          <cell r="E293" t="str">
            <v>us
- us-pa</v>
          </cell>
        </row>
        <row r="294">
          <cell r="C294" t="str">
            <v>US Rhode Island</v>
          </cell>
          <cell r="D294" t="str">
            <v>us_ri</v>
          </cell>
          <cell r="E294" t="str">
            <v>us
- us-ri</v>
          </cell>
        </row>
        <row r="295">
          <cell r="C295" t="str">
            <v>US South Carolina</v>
          </cell>
          <cell r="D295" t="str">
            <v>us_sc</v>
          </cell>
          <cell r="E295" t="str">
            <v>us
- us-sc</v>
          </cell>
        </row>
        <row r="296">
          <cell r="C296" t="str">
            <v>US South Dakota</v>
          </cell>
          <cell r="D296" t="str">
            <v>us_sd</v>
          </cell>
          <cell r="E296" t="str">
            <v>us
- us-sd</v>
          </cell>
        </row>
        <row r="297">
          <cell r="C297" t="str">
            <v>US Tennessee</v>
          </cell>
          <cell r="D297" t="str">
            <v>us_tn</v>
          </cell>
          <cell r="E297" t="str">
            <v>us
- us-tn</v>
          </cell>
        </row>
        <row r="298">
          <cell r="C298" t="str">
            <v>US Texas</v>
          </cell>
          <cell r="D298" t="str">
            <v>us_tx</v>
          </cell>
          <cell r="E298" t="str">
            <v>us
- us-tx</v>
          </cell>
        </row>
        <row r="299">
          <cell r="C299" t="str">
            <v>US Utah</v>
          </cell>
          <cell r="D299" t="str">
            <v>us_ut</v>
          </cell>
          <cell r="E299" t="str">
            <v>us
- us-ut</v>
          </cell>
        </row>
        <row r="300">
          <cell r="C300" t="str">
            <v>US Vermont</v>
          </cell>
          <cell r="D300" t="str">
            <v>us_vt</v>
          </cell>
          <cell r="E300" t="str">
            <v>us
- us-vt</v>
          </cell>
        </row>
        <row r="301">
          <cell r="C301" t="str">
            <v>US Virginia</v>
          </cell>
          <cell r="D301" t="str">
            <v>us_va</v>
          </cell>
          <cell r="E301" t="str">
            <v>us
- us-va</v>
          </cell>
        </row>
        <row r="302">
          <cell r="C302" t="str">
            <v>US Washington</v>
          </cell>
          <cell r="D302" t="str">
            <v>us_wa</v>
          </cell>
          <cell r="E302" t="str">
            <v>us
- us-wa</v>
          </cell>
        </row>
        <row r="303">
          <cell r="C303" t="str">
            <v>US West Virginia</v>
          </cell>
          <cell r="D303" t="str">
            <v>us_wv</v>
          </cell>
          <cell r="E303" t="str">
            <v>us
- us-wv</v>
          </cell>
        </row>
        <row r="304">
          <cell r="C304" t="str">
            <v>US Wisconsin</v>
          </cell>
          <cell r="D304" t="str">
            <v>us_wi</v>
          </cell>
          <cell r="E304" t="str">
            <v>us
- us-wi</v>
          </cell>
        </row>
        <row r="305">
          <cell r="C305" t="str">
            <v>US Wyoming</v>
          </cell>
          <cell r="D305" t="str">
            <v>us_wy</v>
          </cell>
          <cell r="E305" t="str">
            <v>us
- us-wy</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77"/>
  <sheetViews>
    <sheetView tabSelected="1" zoomScale="80" zoomScaleNormal="80" workbookViewId="0">
      <pane xSplit="7" ySplit="5" topLeftCell="H165" activePane="bottomRight" state="frozen"/>
      <selection pane="topRight" activeCell="G1" sqref="G1"/>
      <selection pane="bottomLeft" activeCell="A2" sqref="A2"/>
      <selection pane="bottomRight" activeCell="A178" sqref="A178"/>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 - History</v>
      </c>
      <c r="BN141" s="117" t="str">
        <f t="shared" si="153"/>
        <v/>
      </c>
      <c r="BO141" s="117" t="str">
        <f t="shared" si="154"/>
        <v/>
      </c>
      <c r="BP141" s="117" t="str">
        <f t="shared" si="155"/>
        <v/>
      </c>
      <c r="BQ141" s="117" t="str">
        <f t="shared" si="156"/>
        <v xml:space="preserve">* [Official site](https://www.lincolnsinn.org.uk/about-us/the-history-of-the-inn/) - History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2361</v>
      </c>
      <c r="N146" s="156"/>
      <c r="O146" s="160"/>
      <c r="Q146" s="161" t="s">
        <v>2362</v>
      </c>
      <c r="R146" s="158" t="s">
        <v>2363</v>
      </c>
      <c r="S146" s="162"/>
      <c r="T146" s="161" t="s">
        <v>53</v>
      </c>
      <c r="U146" s="158" t="s">
        <v>53</v>
      </c>
      <c r="V146" s="162" t="s">
        <v>53</v>
      </c>
      <c r="W146" s="158" t="s">
        <v>53</v>
      </c>
      <c r="X146" s="158" t="s">
        <v>53</v>
      </c>
      <c r="Y146" s="159" t="s">
        <v>53</v>
      </c>
      <c r="Z146" s="158" t="s">
        <v>2364</v>
      </c>
      <c r="AA146" s="158" t="s">
        <v>2365</v>
      </c>
      <c r="AB146" s="158" t="s">
        <v>2366</v>
      </c>
      <c r="AC146" s="158" t="s">
        <v>2367</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"&amp;VLOOKUP(C146,'[1]Country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6" t="str">
        <f>IF(AS146,"places\"&amp;VLOOKUP(C146,'[1]Country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3" t="str">
        <f>"| "&amp;IF(AS146,GetTagPage(C146,VLOOKUP(C146,'[1]Country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c r="K147" s="156"/>
      <c r="L147" s="156" t="b">
        <v>1</v>
      </c>
      <c r="M147" s="156" t="s">
        <v>2369</v>
      </c>
      <c r="N147" s="156"/>
      <c r="O147" s="158" t="s">
        <v>2368</v>
      </c>
      <c r="Q147" s="161" t="s">
        <v>2370</v>
      </c>
      <c r="R147" s="158" t="s">
        <v>2371</v>
      </c>
      <c r="S147" s="162"/>
      <c r="T147" s="161" t="s">
        <v>53</v>
      </c>
      <c r="U147" s="158" t="s">
        <v>53</v>
      </c>
      <c r="V147" s="162" t="s">
        <v>53</v>
      </c>
      <c r="W147" s="158" t="s">
        <v>53</v>
      </c>
      <c r="X147" s="158" t="s">
        <v>53</v>
      </c>
      <c r="Y147" s="159" t="s">
        <v>53</v>
      </c>
      <c r="Z147" s="158" t="s">
        <v>2372</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"&amp;VLOOKUP(C147,'[1]Country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6" t="str">
        <f>IF(AS147,"places\"&amp;VLOOKUP(C147,'[1]Country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"&amp;IF(AS147,GetTagPage(C147,VLOOKUP(C147,'[1]Country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63.75" x14ac:dyDescent="0.25">
      <c r="A148" s="129" t="s">
        <v>786</v>
      </c>
      <c r="B148" s="156" t="s">
        <v>1654</v>
      </c>
      <c r="C148" s="156" t="s">
        <v>1</v>
      </c>
      <c r="D148" s="156" t="s">
        <v>709</v>
      </c>
      <c r="E148" s="158">
        <v>41.929650199999898</v>
      </c>
      <c r="F148" s="159">
        <v>12.508743900000001</v>
      </c>
      <c r="G148" s="156" t="s">
        <v>2292</v>
      </c>
      <c r="H148" s="157" t="s">
        <v>2292</v>
      </c>
      <c r="I148" s="156" t="s">
        <v>919</v>
      </c>
      <c r="J148" s="156"/>
      <c r="K148" s="156" t="b">
        <v>1</v>
      </c>
      <c r="L148" s="156" t="b">
        <v>1</v>
      </c>
      <c r="M148" s="156" t="s">
        <v>2373</v>
      </c>
      <c r="N148" s="157"/>
      <c r="O148" s="156" t="s">
        <v>2293</v>
      </c>
      <c r="Q148" s="161" t="s">
        <v>2374</v>
      </c>
      <c r="R148" s="158" t="s">
        <v>2375</v>
      </c>
      <c r="S148" s="162"/>
      <c r="T148" s="161" t="s">
        <v>53</v>
      </c>
      <c r="U148" s="158" t="s">
        <v>53</v>
      </c>
      <c r="V148" s="162" t="s">
        <v>53</v>
      </c>
      <c r="W148" s="158" t="s">
        <v>53</v>
      </c>
      <c r="X148" s="158" t="s">
        <v>53</v>
      </c>
      <c r="Y148" s="159" t="s">
        <v>53</v>
      </c>
      <c r="Z148" s="158" t="s">
        <v>2376</v>
      </c>
      <c r="AA148" s="158" t="s">
        <v>2377</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"&amp;VLOOKUP(C148,'[1]Country Tags'!C:E,3,)</f>
        <v>- it</v>
      </c>
      <c r="AX148" s="117" t="str">
        <f t="shared" si="137"/>
        <v>- rome</v>
      </c>
      <c r="AY148" s="117" t="str">
        <f t="shared" si="167"/>
        <v/>
      </c>
      <c r="AZ148" s="117" t="str">
        <f t="shared" si="139"/>
        <v>- marian-sites</v>
      </c>
      <c r="BA148" s="117" t="str">
        <f t="shared" si="140"/>
        <v>- holy-persons</v>
      </c>
      <c r="BB148" s="117" t="str">
        <f t="shared" si="141"/>
        <v>- pope-sylvester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pope-sylvester_x000D_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pope-sylvester_x000D_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IF(AS148,"places\"&amp;VLOOKUP(C148,'[1]Country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"&amp;IF(AS148,GetTagPage(C148,VLOOKUP(C148,'[1]Country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89.25" x14ac:dyDescent="0.25">
      <c r="A149" s="129" t="s">
        <v>786</v>
      </c>
      <c r="B149" s="156" t="s">
        <v>1654</v>
      </c>
      <c r="C149" s="156" t="s">
        <v>1</v>
      </c>
      <c r="D149" s="156" t="s">
        <v>709</v>
      </c>
      <c r="E149" s="158">
        <v>41.833921400000001</v>
      </c>
      <c r="F149" s="159">
        <v>12.4842555</v>
      </c>
      <c r="G149" s="156" t="s">
        <v>2378</v>
      </c>
      <c r="H149" s="157" t="s">
        <v>2378</v>
      </c>
      <c r="I149" s="156" t="s">
        <v>919</v>
      </c>
      <c r="J149" s="156" t="b">
        <v>1</v>
      </c>
      <c r="K149" s="156"/>
      <c r="L149" s="156" t="b">
        <v>1</v>
      </c>
      <c r="M149" s="156" t="s">
        <v>2385</v>
      </c>
      <c r="N149" s="157" t="s">
        <v>2379</v>
      </c>
      <c r="O149" s="156" t="s">
        <v>2294</v>
      </c>
      <c r="Q149" s="161" t="s">
        <v>2362</v>
      </c>
      <c r="R149" s="158" t="s">
        <v>2380</v>
      </c>
      <c r="S149" s="162"/>
      <c r="T149" s="161" t="s">
        <v>2381</v>
      </c>
      <c r="U149" s="158" t="s">
        <v>2382</v>
      </c>
      <c r="V149" s="162" t="s">
        <v>53</v>
      </c>
      <c r="W149" s="158" t="s">
        <v>53</v>
      </c>
      <c r="X149" s="158" t="s">
        <v>53</v>
      </c>
      <c r="Y149" s="159" t="s">
        <v>53</v>
      </c>
      <c r="Z149" s="158" t="s">
        <v>2383</v>
      </c>
      <c r="AA149" s="158" t="s">
        <v>2384</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"&amp;VLOOKUP(C149,'[1]Country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cistercian-monastery</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cistercian-monastery_x000D_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cistercian-monastery_x000D_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IF(AS149,"places\"&amp;VLOOKUP(C149,'[1]Country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"&amp;IF(AS149,GetTagPage(C149,VLOOKUP(C149,'[1]Country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102" x14ac:dyDescent="0.25">
      <c r="A150" s="129" t="s">
        <v>786</v>
      </c>
      <c r="B150" s="156" t="s">
        <v>1654</v>
      </c>
      <c r="C150" s="156" t="s">
        <v>1</v>
      </c>
      <c r="D150" s="156" t="s">
        <v>709</v>
      </c>
      <c r="E150" s="158">
        <v>41.836117199999997</v>
      </c>
      <c r="F150" s="159">
        <v>12.480063400000001</v>
      </c>
      <c r="G150" s="156" t="s">
        <v>2386</v>
      </c>
      <c r="H150" s="156" t="s">
        <v>2386</v>
      </c>
      <c r="I150" s="156" t="s">
        <v>941</v>
      </c>
      <c r="J150" s="156" t="b">
        <v>1</v>
      </c>
      <c r="K150" s="156" t="b">
        <v>1</v>
      </c>
      <c r="L150" s="156" t="b">
        <v>1</v>
      </c>
      <c r="M150" s="156" t="s">
        <v>2387</v>
      </c>
      <c r="N150" s="157"/>
      <c r="O150" s="156" t="s">
        <v>2295</v>
      </c>
      <c r="Q150" s="161" t="s">
        <v>52</v>
      </c>
      <c r="R150" s="158" t="s">
        <v>2388</v>
      </c>
      <c r="S150" s="162"/>
      <c r="T150" s="161" t="s">
        <v>53</v>
      </c>
      <c r="U150" s="158" t="s">
        <v>53</v>
      </c>
      <c r="V150" s="162" t="s">
        <v>53</v>
      </c>
      <c r="W150" s="158" t="s">
        <v>53</v>
      </c>
      <c r="X150" s="158" t="s">
        <v>53</v>
      </c>
      <c r="Y150" s="159" t="s">
        <v>53</v>
      </c>
      <c r="Z150" s="158" t="s">
        <v>2389</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"&amp;VLOOKUP(C150,'[1]Country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IF(AS150,"places\"&amp;VLOOKUP(C150,'[1]Country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"&amp;IF(AS150,GetTagPage(C150,VLOOKUP(C150,'[1]Country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8.25" x14ac:dyDescent="0.25">
      <c r="A151" s="129" t="s">
        <v>786</v>
      </c>
      <c r="B151" s="156" t="s">
        <v>1654</v>
      </c>
      <c r="C151" s="156" t="s">
        <v>1</v>
      </c>
      <c r="D151" s="156" t="s">
        <v>709</v>
      </c>
      <c r="E151" s="158">
        <v>41.858784999999997</v>
      </c>
      <c r="F151" s="159">
        <v>12.476177099999999</v>
      </c>
      <c r="G151" s="156" t="s">
        <v>2296</v>
      </c>
      <c r="H151" s="157" t="s">
        <v>2296</v>
      </c>
      <c r="I151" s="156" t="s">
        <v>919</v>
      </c>
      <c r="J151" s="156"/>
      <c r="K151" s="156"/>
      <c r="L151" s="156" t="b">
        <v>1</v>
      </c>
      <c r="M151" s="156" t="s">
        <v>2393</v>
      </c>
      <c r="N151" s="157"/>
      <c r="O151" s="156" t="s">
        <v>2297</v>
      </c>
      <c r="Q151" s="161"/>
      <c r="S151" s="162"/>
      <c r="T151" s="161" t="s">
        <v>53</v>
      </c>
      <c r="U151" s="158" t="s">
        <v>53</v>
      </c>
      <c r="V151" s="162" t="s">
        <v>53</v>
      </c>
      <c r="W151" s="158" t="s">
        <v>53</v>
      </c>
      <c r="X151" s="158" t="s">
        <v>53</v>
      </c>
      <c r="Y151" s="159" t="s">
        <v>53</v>
      </c>
      <c r="Z151" s="158" t="s">
        <v>2383</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"&amp;VLOOKUP(C151,'[1]Country Tags'!C:E,3,)</f>
        <v>- it</v>
      </c>
      <c r="AX151" s="117" t="str">
        <f t="shared" si="137"/>
        <v>- rome</v>
      </c>
      <c r="AY151" s="117" t="str">
        <f t="shared" si="167"/>
        <v/>
      </c>
      <c r="AZ151" s="117" t="str">
        <f t="shared" si="139"/>
        <v/>
      </c>
      <c r="BA151" s="117" t="str">
        <f t="shared" si="140"/>
        <v>- holy-persons</v>
      </c>
      <c r="BB151" s="117" t="str">
        <f t="shared" si="141"/>
        <v>- paul</v>
      </c>
      <c r="BC151" s="117" t="str">
        <f t="shared" si="142"/>
        <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holy-persons_x000D_
- paul_x000D_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holy-persons_x000D_
- paul_x000D_
_x000D_
---_x000D_
_x000D_
_x000D_
#### More Information_x000D_
_x000D_
* [Official site](http://www.basilicasanpaolo.org/)
_x000D_
_x000D_
_x000D_
_x000D_
</v>
      </c>
      <c r="CB151" s="14" t="str">
        <f>IF(AS151,"places\"&amp;VLOOKUP(C151,'[1]Country Tags'!C:D,2,)&amp;IF(LEN(D151)&gt;1,"-"&amp;LOWER(SUBSTITUTE(D151," ","-")),"")&amp;"-"&amp;LOWER(SUBSTITUTE(SUBSTITUTE(H151," ","-"),".",""))&amp;".md","")</f>
        <v>places\it-rome-basilica-of-saint-paul-outside-the-walls.md</v>
      </c>
      <c r="CC151" s="14"/>
      <c r="CD151" s="12" t="e">
        <f>IF(LEN(Z151)&gt;1,VLOOKUP(Z151,#REF!,2,),"")</f>
        <v>#REF!</v>
      </c>
      <c r="CE151" s="12" t="str">
        <f>IF(LEN(AA151)&gt;1,VLOOKUP(AA151,#REF!,2,),"")</f>
        <v/>
      </c>
      <c r="CF151" s="12" t="str">
        <f>IF(LEN(AB151)&gt;1,VLOOKUP(AB151,#REF!,2,),"")</f>
        <v/>
      </c>
      <c r="CG151" s="12" t="e">
        <f>IF(LEN(Z151)&gt;1,GetTagPage(CD151,Z151),"")</f>
        <v>#VALUE!</v>
      </c>
      <c r="CH151" s="12" t="str">
        <f>IF(LEN(AA151)&gt;1,GetTagPage(CE151,AA151),"")</f>
        <v/>
      </c>
      <c r="CI151" s="12" t="str">
        <f>IF(LEN(AB151)&gt;1,GetTagPage(CF151,AB151),"")</f>
        <v/>
      </c>
      <c r="CJ151" s="12" t="e">
        <f t="shared" si="161"/>
        <v>#VALUE!</v>
      </c>
      <c r="CK151" s="12" t="str">
        <f t="shared" si="162"/>
        <v xml:space="preserve">| [](/places/places\it-rome-basilica-of-saint-paul-outside-the-walls) </v>
      </c>
      <c r="CL151" s="12" t="str">
        <f>"| "&amp;IF(AS151,GetTagPage(C151,VLOOKUP(C151,'[1]Country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76.5" x14ac:dyDescent="0.25">
      <c r="A152" s="129" t="s">
        <v>786</v>
      </c>
      <c r="B152" s="156" t="s">
        <v>1654</v>
      </c>
      <c r="C152" s="156" t="s">
        <v>1</v>
      </c>
      <c r="D152" s="156" t="s">
        <v>709</v>
      </c>
      <c r="E152" s="158">
        <v>41.855832499999998</v>
      </c>
      <c r="F152" s="159">
        <v>12.515810399999999</v>
      </c>
      <c r="G152" s="156" t="s">
        <v>2298</v>
      </c>
      <c r="H152" s="157" t="s">
        <v>2298</v>
      </c>
      <c r="I152" s="156" t="s">
        <v>919</v>
      </c>
      <c r="J152" s="156"/>
      <c r="K152" s="156"/>
      <c r="L152" s="156" t="b">
        <v>1</v>
      </c>
      <c r="M152" s="156" t="s">
        <v>2398</v>
      </c>
      <c r="N152" s="157"/>
      <c r="O152" s="156" t="s">
        <v>2299</v>
      </c>
      <c r="Q152" s="161" t="s">
        <v>2397</v>
      </c>
      <c r="S152" s="162"/>
      <c r="T152" s="161" t="s">
        <v>53</v>
      </c>
      <c r="U152" s="158" t="s">
        <v>53</v>
      </c>
      <c r="V152" s="162" t="s">
        <v>53</v>
      </c>
      <c r="W152" s="158" t="s">
        <v>53</v>
      </c>
      <c r="X152" s="158" t="s">
        <v>53</v>
      </c>
      <c r="Y152" s="159" t="s">
        <v>53</v>
      </c>
      <c r="Z152" s="158" t="s">
        <v>2394</v>
      </c>
      <c r="AA152" s="158" t="s">
        <v>1607</v>
      </c>
      <c r="AB152" s="158" t="s">
        <v>2395</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"&amp;VLOOKUP(C152,'[1]Country Tags'!C:E,3,)</f>
        <v>- it</v>
      </c>
      <c r="AX152" s="117" t="str">
        <f t="shared" si="137"/>
        <v>- rome</v>
      </c>
      <c r="AY152" s="117" t="str">
        <f t="shared" si="167"/>
        <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holy-persons_x000D_
- sebastian_x000D_
- peter_x000D_
- quo-vadis_x000D_
_x000D_
---_x000D_
_x000D_
_x000D_
#### More Information_x000D_
_x000D_
* [Official site](https://www.sansebastianofuorilemura.org/)
_x000D_
_x000D_
_x000D_
_x000D_
</v>
      </c>
      <c r="CB152" s="14" t="str">
        <f>IF(AS152,"places\"&amp;VLOOKUP(C152,'[1]Country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"&amp;IF(AS152,GetTagPage(C152,VLOOKUP(C152,'[1]Country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8.25" x14ac:dyDescent="0.25">
      <c r="A153" s="129" t="s">
        <v>786</v>
      </c>
      <c r="B153" s="156" t="s">
        <v>1654</v>
      </c>
      <c r="C153" s="156" t="s">
        <v>1</v>
      </c>
      <c r="D153" s="156" t="s">
        <v>709</v>
      </c>
      <c r="E153" s="158">
        <v>41.8559245</v>
      </c>
      <c r="F153" s="159">
        <v>12.5161847</v>
      </c>
      <c r="G153" s="156" t="s">
        <v>2300</v>
      </c>
      <c r="H153" s="157" t="s">
        <v>2300</v>
      </c>
      <c r="I153" s="156"/>
      <c r="J153" s="156"/>
      <c r="K153" s="156"/>
      <c r="L153" s="156" t="b">
        <v>1</v>
      </c>
      <c r="M153" s="156" t="s">
        <v>2399</v>
      </c>
      <c r="N153" s="157"/>
      <c r="O153" s="156" t="s">
        <v>2301</v>
      </c>
      <c r="Q153" s="161"/>
      <c r="S153" s="162"/>
      <c r="T153" s="161" t="s">
        <v>53</v>
      </c>
      <c r="U153" s="158" t="s">
        <v>53</v>
      </c>
      <c r="V153" s="162" t="s">
        <v>53</v>
      </c>
      <c r="W153" s="158" t="s">
        <v>53</v>
      </c>
      <c r="X153" s="158" t="s">
        <v>53</v>
      </c>
      <c r="Y153" s="159" t="s">
        <v>53</v>
      </c>
      <c r="Z153" s="158" t="s">
        <v>2394</v>
      </c>
      <c r="AA153" s="158" t="s">
        <v>2396</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"&amp;VLOOKUP(C153,'[1]Country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IF(AS153,"places\"&amp;VLOOKUP(C153,'[1]Country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"&amp;IF(AS153,GetTagPage(C153,VLOOKUP(C153,'[1]Country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51" x14ac:dyDescent="0.25">
      <c r="A154" s="129" t="s">
        <v>1651</v>
      </c>
      <c r="B154" s="156" t="s">
        <v>1654</v>
      </c>
      <c r="C154" s="156" t="s">
        <v>1</v>
      </c>
      <c r="D154" s="156" t="s">
        <v>709</v>
      </c>
      <c r="E154" s="158">
        <v>41.8589433</v>
      </c>
      <c r="F154" s="159">
        <v>12.5107043</v>
      </c>
      <c r="G154" s="156" t="s">
        <v>2302</v>
      </c>
      <c r="H154" s="157" t="s">
        <v>2302</v>
      </c>
      <c r="I154" s="156"/>
      <c r="J154" s="156"/>
      <c r="K154" s="156" t="s">
        <v>1640</v>
      </c>
      <c r="L154" s="156" t="s">
        <v>1641</v>
      </c>
      <c r="M154" s="156" t="s">
        <v>2303</v>
      </c>
      <c r="N154" s="157"/>
      <c r="O154" s="156" t="s">
        <v>2304</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"&amp;VLOOKUP(C154,'[1]Country Tags'!C:E,3,)</f>
        <v>- it</v>
      </c>
      <c r="AX154" s="117" t="str">
        <f t="shared" si="137"/>
        <v>- rome</v>
      </c>
      <c r="AY154" s="117" t="str">
        <f t="shared" si="167"/>
        <v/>
      </c>
      <c r="AZ154" s="117" t="e">
        <f t="shared" si="139"/>
        <v>#VALUE!</v>
      </c>
      <c r="BA154" s="117" t="e">
        <f t="shared" si="140"/>
        <v>#VALUE!</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e">
        <f t="shared" si="151"/>
        <v>#VALUE!</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e">
        <f t="shared" si="160"/>
        <v>#VALUE!</v>
      </c>
      <c r="BW154" s="117" t="e">
        <f>IF(LEN(BQ154&amp;BV154)&gt;0,concatll("#### More Information",BQ154,BV154),"")</f>
        <v>#VALUE!</v>
      </c>
      <c r="BX154" s="117" t="str">
        <f>IF(LEN(N154)&gt;1,concatll("#### Author's Note",N154,"-"&amp;B154),"")</f>
        <v/>
      </c>
      <c r="BY154" s="117" t="s">
        <v>53</v>
      </c>
      <c r="BZ154" s="117" t="s">
        <v>53</v>
      </c>
      <c r="CA154" s="6" t="str">
        <f>IF(AS154,concatll(concatl("---",AT154:AV154,BL154,"---"),#REF!,BW154:BX154),"")</f>
        <v/>
      </c>
      <c r="CB154" s="14" t="str">
        <f>IF(AS154,"places\"&amp;VLOOKUP(C154,'[1]Country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"&amp;IF(AS154,GetTagPage(C154,VLOOKUP(C154,'[1]Country Tags'!C:E,3,)),C154)&amp; " "</f>
        <v xml:space="preserve">| Italy </v>
      </c>
      <c r="CM154" s="12" t="str">
        <f t="shared" si="163"/>
        <v xml:space="preserve">|  </v>
      </c>
      <c r="CN154" s="12" t="str">
        <f t="shared" si="164"/>
        <v xml:space="preserve">| </v>
      </c>
      <c r="CO154" s="12" t="e">
        <f t="shared" si="165"/>
        <v>#VALUE!</v>
      </c>
    </row>
    <row r="155" spans="1:93" s="158" customFormat="1" ht="51" x14ac:dyDescent="0.25">
      <c r="A155" s="129" t="s">
        <v>1651</v>
      </c>
      <c r="B155" s="156" t="s">
        <v>1654</v>
      </c>
      <c r="C155" s="156" t="s">
        <v>1</v>
      </c>
      <c r="D155" s="156" t="s">
        <v>709</v>
      </c>
      <c r="E155" s="158">
        <v>41.866469199999997</v>
      </c>
      <c r="F155" s="159">
        <v>12.503729</v>
      </c>
      <c r="G155" s="156" t="s">
        <v>2305</v>
      </c>
      <c r="H155" s="157" t="s">
        <v>2305</v>
      </c>
      <c r="I155" s="156"/>
      <c r="J155" s="156"/>
      <c r="K155" s="156" t="s">
        <v>1640</v>
      </c>
      <c r="L155" s="156" t="s">
        <v>1641</v>
      </c>
      <c r="M155" s="156" t="s">
        <v>2306</v>
      </c>
      <c r="N155" s="157"/>
      <c r="O155" s="156" t="s">
        <v>2307</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"&amp;VLOOKUP(C155,'[1]Country Tags'!C:E,3,)</f>
        <v>- it</v>
      </c>
      <c r="AX155" s="117" t="str">
        <f t="shared" si="137"/>
        <v>- rome</v>
      </c>
      <c r="AY155" s="117" t="str">
        <f t="shared" si="167"/>
        <v/>
      </c>
      <c r="AZ155" s="117" t="e">
        <f t="shared" si="139"/>
        <v>#VALUE!</v>
      </c>
      <c r="BA155" s="117" t="e">
        <f t="shared" si="140"/>
        <v>#VALUE!</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e">
        <f t="shared" si="151"/>
        <v>#VALUE!</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e">
        <f t="shared" si="160"/>
        <v>#VALUE!</v>
      </c>
      <c r="BW155" s="117" t="e">
        <f>IF(LEN(BQ155&amp;BV155)&gt;0,concatll("#### More Information",BQ155,BV155),"")</f>
        <v>#VALUE!</v>
      </c>
      <c r="BX155" s="117" t="str">
        <f>IF(LEN(N155)&gt;1,concatll("#### Author's Note",N155,"-"&amp;B155),"")</f>
        <v/>
      </c>
      <c r="BY155" s="117" t="s">
        <v>53</v>
      </c>
      <c r="BZ155" s="117" t="s">
        <v>53</v>
      </c>
      <c r="CA155" s="6" t="str">
        <f>IF(AS155,concatll(concatl("---",AT155:AV155,BL155,"---"),#REF!,BW155:BX155),"")</f>
        <v/>
      </c>
      <c r="CB155" s="14" t="str">
        <f>IF(AS155,"places\"&amp;VLOOKUP(C155,'[1]Country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"&amp;IF(AS155,GetTagPage(C155,VLOOKUP(C155,'[1]Country Tags'!C:E,3,)),C155)&amp; " "</f>
        <v xml:space="preserve">| Italy </v>
      </c>
      <c r="CM155" s="12" t="str">
        <f t="shared" si="163"/>
        <v xml:space="preserve">|  </v>
      </c>
      <c r="CN155" s="12" t="str">
        <f t="shared" si="164"/>
        <v xml:space="preserve">| </v>
      </c>
      <c r="CO155" s="12" t="e">
        <f t="shared" si="165"/>
        <v>#VALUE!</v>
      </c>
    </row>
    <row r="156" spans="1:93" s="158" customFormat="1" ht="51" x14ac:dyDescent="0.25">
      <c r="A156" s="129" t="s">
        <v>1651</v>
      </c>
      <c r="B156" s="156" t="s">
        <v>1654</v>
      </c>
      <c r="C156" s="156" t="s">
        <v>1</v>
      </c>
      <c r="D156" s="156" t="s">
        <v>709</v>
      </c>
      <c r="E156" s="158">
        <v>41.877307299999998</v>
      </c>
      <c r="F156" s="159">
        <v>12.5018761</v>
      </c>
      <c r="G156" s="156" t="s">
        <v>2308</v>
      </c>
      <c r="H156" s="157" t="s">
        <v>2308</v>
      </c>
      <c r="I156" s="156"/>
      <c r="J156" s="156"/>
      <c r="K156" s="156" t="s">
        <v>1640</v>
      </c>
      <c r="L156" s="156" t="s">
        <v>1641</v>
      </c>
      <c r="M156" s="156" t="s">
        <v>2309</v>
      </c>
      <c r="N156" s="157"/>
      <c r="O156" s="156" t="s">
        <v>2310</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"&amp;VLOOKUP(C156,'[1]Country Tags'!C:E,3,)</f>
        <v>- it</v>
      </c>
      <c r="AX156" s="117" t="str">
        <f t="shared" si="137"/>
        <v>- rome</v>
      </c>
      <c r="AY156" s="117" t="str">
        <f t="shared" si="167"/>
        <v/>
      </c>
      <c r="AZ156" s="117" t="e">
        <f t="shared" si="139"/>
        <v>#VALUE!</v>
      </c>
      <c r="BA156" s="117" t="e">
        <f t="shared" si="140"/>
        <v>#VALUE!</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e">
        <f t="shared" si="151"/>
        <v>#VALUE!</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e">
        <f t="shared" si="160"/>
        <v>#VALUE!</v>
      </c>
      <c r="BW156" s="117" t="e">
        <f>IF(LEN(BQ156&amp;BV156)&gt;0,concatll("#### More Information",BQ156,BV156),"")</f>
        <v>#VALUE!</v>
      </c>
      <c r="BX156" s="117" t="str">
        <f>IF(LEN(N156)&gt;1,concatll("#### Author's Note",N156,"-"&amp;B156),"")</f>
        <v/>
      </c>
      <c r="BY156" s="117" t="s">
        <v>53</v>
      </c>
      <c r="BZ156" s="117" t="s">
        <v>53</v>
      </c>
      <c r="CA156" s="6" t="str">
        <f>IF(AS156,concatll(concatl("---",AT156:AV156,BL156,"---"),#REF!,BW156:BX156),"")</f>
        <v/>
      </c>
      <c r="CB156" s="14" t="str">
        <f>IF(AS156,"places\"&amp;VLOOKUP(C156,'[1]Country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"&amp;IF(AS156,GetTagPage(C156,VLOOKUP(C156,'[1]Country Tags'!C:E,3,)),C156)&amp; " "</f>
        <v xml:space="preserve">| Italy </v>
      </c>
      <c r="CM156" s="12" t="str">
        <f t="shared" si="163"/>
        <v xml:space="preserve">|  </v>
      </c>
      <c r="CN156" s="12" t="str">
        <f t="shared" si="164"/>
        <v xml:space="preserve">| </v>
      </c>
      <c r="CO156" s="12" t="e">
        <f t="shared" si="165"/>
        <v>#VALUE!</v>
      </c>
    </row>
    <row r="157" spans="1:93" s="158" customFormat="1" ht="51" x14ac:dyDescent="0.25">
      <c r="A157" s="129" t="s">
        <v>1651</v>
      </c>
      <c r="B157" s="156" t="s">
        <v>1654</v>
      </c>
      <c r="C157" s="156" t="s">
        <v>1</v>
      </c>
      <c r="D157" s="156" t="s">
        <v>709</v>
      </c>
      <c r="E157" s="158">
        <v>41.887143699999903</v>
      </c>
      <c r="F157" s="159">
        <v>12.506627399999999</v>
      </c>
      <c r="G157" s="156" t="s">
        <v>2311</v>
      </c>
      <c r="H157" s="157" t="s">
        <v>2311</v>
      </c>
      <c r="I157" s="156" t="s">
        <v>919</v>
      </c>
      <c r="J157" s="156"/>
      <c r="K157" s="156" t="s">
        <v>1640</v>
      </c>
      <c r="L157" s="156" t="s">
        <v>1641</v>
      </c>
      <c r="M157" s="156" t="s">
        <v>2312</v>
      </c>
      <c r="N157" s="157"/>
      <c r="O157" s="156" t="s">
        <v>2313</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"&amp;VLOOKUP(C157,'[1]Country Tags'!C:E,3,)</f>
        <v>- it</v>
      </c>
      <c r="AX157" s="117" t="str">
        <f t="shared" si="137"/>
        <v>- rome</v>
      </c>
      <c r="AY157" s="117" t="str">
        <f t="shared" si="167"/>
        <v/>
      </c>
      <c r="AZ157" s="117" t="e">
        <f t="shared" si="139"/>
        <v>#VALUE!</v>
      </c>
      <c r="BA157" s="117" t="e">
        <f t="shared" si="140"/>
        <v>#VALUE!</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e">
        <f t="shared" si="151"/>
        <v>#VALUE!</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e">
        <f t="shared" si="160"/>
        <v>#VALUE!</v>
      </c>
      <c r="BW157" s="117" t="e">
        <f>IF(LEN(BQ157&amp;BV157)&gt;0,concatll("#### More Information",BQ157,BV157),"")</f>
        <v>#VALUE!</v>
      </c>
      <c r="BX157" s="117" t="str">
        <f>IF(LEN(N157)&gt;1,concatll("#### Author's Note",N157,"-"&amp;B157),"")</f>
        <v/>
      </c>
      <c r="BY157" s="117" t="s">
        <v>53</v>
      </c>
      <c r="BZ157" s="117" t="s">
        <v>53</v>
      </c>
      <c r="CA157" s="6" t="str">
        <f>IF(AS157,concatll(concatl("---",AT157:AV157,BL157,"---"),#REF!,BW157:BX157),"")</f>
        <v/>
      </c>
      <c r="CB157" s="14" t="str">
        <f>IF(AS157,"places\"&amp;VLOOKUP(C157,'[1]Country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"&amp;IF(AS157,GetTagPage(C157,VLOOKUP(C157,'[1]Country Tags'!C:E,3,)),C157)&amp; " "</f>
        <v xml:space="preserve">| Italy </v>
      </c>
      <c r="CM157" s="12" t="str">
        <f t="shared" si="163"/>
        <v xml:space="preserve">|  </v>
      </c>
      <c r="CN157" s="12" t="str">
        <f t="shared" si="164"/>
        <v xml:space="preserve">| </v>
      </c>
      <c r="CO157" s="12" t="e">
        <f t="shared" si="165"/>
        <v>#VALUE!</v>
      </c>
    </row>
    <row r="158" spans="1:93" s="158" customFormat="1" ht="51" x14ac:dyDescent="0.25">
      <c r="A158" s="129" t="s">
        <v>1651</v>
      </c>
      <c r="B158" s="156" t="s">
        <v>1654</v>
      </c>
      <c r="C158" s="156" t="s">
        <v>1</v>
      </c>
      <c r="D158" s="156" t="s">
        <v>709</v>
      </c>
      <c r="E158" s="158">
        <v>41.885881099999999</v>
      </c>
      <c r="F158" s="159">
        <v>12.505673</v>
      </c>
      <c r="G158" s="156" t="s">
        <v>2314</v>
      </c>
      <c r="H158" s="157" t="s">
        <v>2314</v>
      </c>
      <c r="I158" s="156" t="s">
        <v>919</v>
      </c>
      <c r="J158" s="156"/>
      <c r="K158" s="156" t="s">
        <v>1640</v>
      </c>
      <c r="L158" s="156" t="s">
        <v>1641</v>
      </c>
      <c r="M158" s="156" t="s">
        <v>2315</v>
      </c>
      <c r="N158" s="157"/>
      <c r="O158" s="156" t="s">
        <v>2316</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"&amp;VLOOKUP(C158,'[1]Country Tags'!C:E,3,)</f>
        <v>- it</v>
      </c>
      <c r="AX158" s="117" t="str">
        <f t="shared" si="137"/>
        <v>- rome</v>
      </c>
      <c r="AY158" s="117" t="str">
        <f t="shared" si="167"/>
        <v/>
      </c>
      <c r="AZ158" s="117" t="e">
        <f t="shared" si="139"/>
        <v>#VALUE!</v>
      </c>
      <c r="BA158" s="117" t="e">
        <f t="shared" si="140"/>
        <v>#VALUE!</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e">
        <f t="shared" si="151"/>
        <v>#VALUE!</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e">
        <f t="shared" si="160"/>
        <v>#VALUE!</v>
      </c>
      <c r="BW158" s="117" t="e">
        <f>IF(LEN(BQ158&amp;BV158)&gt;0,concatll("#### More Information",BQ158,BV158),"")</f>
        <v>#VALUE!</v>
      </c>
      <c r="BX158" s="117" t="str">
        <f>IF(LEN(N158)&gt;1,concatll("#### Author's Note",N158,"-"&amp;B158),"")</f>
        <v/>
      </c>
      <c r="BY158" s="117" t="s">
        <v>53</v>
      </c>
      <c r="BZ158" s="117" t="s">
        <v>53</v>
      </c>
      <c r="CA158" s="6" t="str">
        <f>IF(AS158,concatll(concatl("---",AT158:AV158,BL158,"---"),#REF!,BW158:BX158),"")</f>
        <v/>
      </c>
      <c r="CB158" s="14" t="str">
        <f>IF(AS158,"places\"&amp;VLOOKUP(C158,'[1]Country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"&amp;IF(AS158,GetTagPage(C158,VLOOKUP(C158,'[1]Country Tags'!C:E,3,)),C158)&amp; " "</f>
        <v xml:space="preserve">| Italy </v>
      </c>
      <c r="CM158" s="12" t="str">
        <f t="shared" si="163"/>
        <v xml:space="preserve">|  </v>
      </c>
      <c r="CN158" s="12" t="str">
        <f t="shared" si="164"/>
        <v xml:space="preserve">| </v>
      </c>
      <c r="CO158" s="12" t="e">
        <f t="shared" si="165"/>
        <v>#VALUE!</v>
      </c>
    </row>
    <row r="159" spans="1:93" s="158" customFormat="1" ht="51" x14ac:dyDescent="0.25">
      <c r="A159" s="129" t="s">
        <v>1651</v>
      </c>
      <c r="B159" s="156" t="s">
        <v>1654</v>
      </c>
      <c r="C159" s="156" t="s">
        <v>1</v>
      </c>
      <c r="D159" s="156" t="s">
        <v>709</v>
      </c>
      <c r="E159" s="158">
        <v>41.888309799999902</v>
      </c>
      <c r="F159" s="159">
        <v>12.515518</v>
      </c>
      <c r="G159" s="156" t="s">
        <v>2317</v>
      </c>
      <c r="H159" s="157" t="s">
        <v>2317</v>
      </c>
      <c r="I159" s="156" t="s">
        <v>919</v>
      </c>
      <c r="J159" s="156"/>
      <c r="K159" s="156" t="s">
        <v>1640</v>
      </c>
      <c r="L159" s="156" t="s">
        <v>1641</v>
      </c>
      <c r="M159" s="156" t="s">
        <v>2318</v>
      </c>
      <c r="N159" s="157"/>
      <c r="O159" s="156" t="s">
        <v>2319</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"&amp;VLOOKUP(C159,'[1]Country Tags'!C:E,3,)</f>
        <v>- it</v>
      </c>
      <c r="AX159" s="117" t="str">
        <f t="shared" si="137"/>
        <v>- rome</v>
      </c>
      <c r="AY159" s="117" t="str">
        <f t="shared" si="167"/>
        <v/>
      </c>
      <c r="AZ159" s="117" t="e">
        <f t="shared" si="139"/>
        <v>#VALUE!</v>
      </c>
      <c r="BA159" s="117" t="e">
        <f t="shared" si="140"/>
        <v>#VALUE!</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e">
        <f t="shared" si="151"/>
        <v>#VALUE!</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e">
        <f t="shared" si="160"/>
        <v>#VALUE!</v>
      </c>
      <c r="BW159" s="117" t="e">
        <f>IF(LEN(BQ159&amp;BV159)&gt;0,concatll("#### More Information",BQ159,BV159),"")</f>
        <v>#VALUE!</v>
      </c>
      <c r="BX159" s="117" t="str">
        <f>IF(LEN(N159)&gt;1,concatll("#### Author's Note",N159,"-"&amp;B159),"")</f>
        <v/>
      </c>
      <c r="BY159" s="117" t="s">
        <v>53</v>
      </c>
      <c r="BZ159" s="117" t="s">
        <v>53</v>
      </c>
      <c r="CA159" s="6" t="str">
        <f>IF(AS159,concatll(concatl("---",AT159:AV159,BL159,"---"),#REF!,BW159:BX159),"")</f>
        <v/>
      </c>
      <c r="CB159" s="14" t="str">
        <f>IF(AS159,"places\"&amp;VLOOKUP(C159,'[1]Country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"&amp;IF(AS159,GetTagPage(C159,VLOOKUP(C159,'[1]Country Tags'!C:E,3,)),C159)&amp; " "</f>
        <v xml:space="preserve">| Italy </v>
      </c>
      <c r="CM159" s="12" t="str">
        <f t="shared" si="163"/>
        <v xml:space="preserve">|  </v>
      </c>
      <c r="CN159" s="12" t="str">
        <f t="shared" si="164"/>
        <v xml:space="preserve">| </v>
      </c>
      <c r="CO159" s="12" t="e">
        <f t="shared" si="165"/>
        <v>#VALUE!</v>
      </c>
    </row>
    <row r="160" spans="1:93" s="158" customFormat="1" ht="51" x14ac:dyDescent="0.25">
      <c r="A160" s="129" t="s">
        <v>1651</v>
      </c>
      <c r="B160" s="156" t="s">
        <v>1654</v>
      </c>
      <c r="C160" s="156" t="s">
        <v>1</v>
      </c>
      <c r="D160" s="156" t="s">
        <v>709</v>
      </c>
      <c r="E160" s="158">
        <v>41.897370899999899</v>
      </c>
      <c r="F160" s="159">
        <v>12.4932528</v>
      </c>
      <c r="G160" s="156" t="s">
        <v>2320</v>
      </c>
      <c r="H160" s="157" t="s">
        <v>2320</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"&amp;VLOOKUP(C160,'[1]Country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IF(AS160,"places\"&amp;VLOOKUP(C160,'[1]Country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"&amp;IF(AS160,GetTagPage(C160,VLOOKUP(C160,'[1]Country Tags'!C:E,3,)),C160)&amp; " "</f>
        <v xml:space="preserve">| Italy </v>
      </c>
      <c r="CM160" s="12" t="str">
        <f t="shared" si="163"/>
        <v xml:space="preserve">|  </v>
      </c>
      <c r="CN160" s="12" t="str">
        <f t="shared" si="164"/>
        <v xml:space="preserve">| </v>
      </c>
      <c r="CO160" s="12" t="e">
        <f t="shared" si="165"/>
        <v>#VALUE!</v>
      </c>
    </row>
    <row r="161" spans="1:93" s="158" customFormat="1" ht="51" x14ac:dyDescent="0.25">
      <c r="A161" s="129" t="s">
        <v>1651</v>
      </c>
      <c r="B161" s="156" t="s">
        <v>1654</v>
      </c>
      <c r="C161" s="156" t="s">
        <v>1</v>
      </c>
      <c r="D161" s="156" t="s">
        <v>709</v>
      </c>
      <c r="E161" s="158">
        <v>41.904916900000003</v>
      </c>
      <c r="F161" s="159">
        <v>12.499690899999999</v>
      </c>
      <c r="G161" s="156" t="s">
        <v>2321</v>
      </c>
      <c r="H161" s="157" t="s">
        <v>2321</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"&amp;IF(AS161,GetTagPage(C161,VLOOKUP(C161,'[1]Country Tags'!C:E,3,)),C161)&amp; " "</f>
        <v xml:space="preserve">| Italy </v>
      </c>
      <c r="CM161" s="12" t="str">
        <f t="shared" si="163"/>
        <v xml:space="preserve">|  </v>
      </c>
      <c r="CN161" s="12" t="str">
        <f t="shared" si="164"/>
        <v xml:space="preserve">| </v>
      </c>
      <c r="CO161" s="12" t="e">
        <f t="shared" si="165"/>
        <v>#VALUE!</v>
      </c>
    </row>
    <row r="162" spans="1:93" s="158" customFormat="1" ht="51" x14ac:dyDescent="0.25">
      <c r="A162" s="129" t="s">
        <v>1651</v>
      </c>
      <c r="B162" s="156" t="s">
        <v>1654</v>
      </c>
      <c r="C162" s="156" t="s">
        <v>1</v>
      </c>
      <c r="D162" s="156" t="s">
        <v>709</v>
      </c>
      <c r="E162" s="158">
        <v>41.903217099999999</v>
      </c>
      <c r="F162" s="159">
        <v>12.496979400000001</v>
      </c>
      <c r="G162" s="156" t="s">
        <v>2322</v>
      </c>
      <c r="H162" s="157" t="s">
        <v>2322</v>
      </c>
      <c r="I162" s="156"/>
      <c r="J162" s="156"/>
      <c r="K162" s="156" t="s">
        <v>1640</v>
      </c>
      <c r="L162" s="156" t="s">
        <v>1641</v>
      </c>
      <c r="M162" s="156" t="s">
        <v>2323</v>
      </c>
      <c r="N162" s="157"/>
      <c r="O162" s="156" t="s">
        <v>2324</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"&amp;VLOOKUP(C162,'[1]Country Tags'!C:E,3,)</f>
        <v>- it</v>
      </c>
      <c r="AX162" s="117" t="str">
        <f t="shared" si="137"/>
        <v>- rome</v>
      </c>
      <c r="AY162" s="117" t="str">
        <f t="shared" si="167"/>
        <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IF(AS162,"places\"&amp;VLOOKUP(C162,'[1]Country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"&amp;IF(AS162,GetTagPage(C162,VLOOKUP(C162,'[1]Country Tags'!C:E,3,)),C162)&amp; " "</f>
        <v xml:space="preserve">| Italy </v>
      </c>
      <c r="CM162" s="12" t="str">
        <f t="shared" si="163"/>
        <v xml:space="preserve">|  </v>
      </c>
      <c r="CN162" s="12" t="str">
        <f t="shared" si="164"/>
        <v xml:space="preserve">| </v>
      </c>
      <c r="CO162" s="12" t="e">
        <f t="shared" si="165"/>
        <v>#VALUE!</v>
      </c>
    </row>
    <row r="163" spans="1:93" s="158" customFormat="1" ht="51" x14ac:dyDescent="0.25">
      <c r="A163" s="129" t="s">
        <v>1651</v>
      </c>
      <c r="B163" s="156" t="s">
        <v>1654</v>
      </c>
      <c r="C163" s="156" t="s">
        <v>1</v>
      </c>
      <c r="D163" s="156" t="s">
        <v>709</v>
      </c>
      <c r="E163" s="158">
        <v>41.889334699999999</v>
      </c>
      <c r="F163" s="159">
        <v>12.497575700000001</v>
      </c>
      <c r="G163" s="156" t="s">
        <v>2325</v>
      </c>
      <c r="H163" s="157" t="s">
        <v>2325</v>
      </c>
      <c r="I163" s="156" t="s">
        <v>941</v>
      </c>
      <c r="J163" s="156"/>
      <c r="K163" s="156" t="s">
        <v>1640</v>
      </c>
      <c r="L163" s="156" t="s">
        <v>1641</v>
      </c>
      <c r="M163" s="156" t="s">
        <v>2326</v>
      </c>
      <c r="N163" s="157"/>
      <c r="O163" s="156" t="s">
        <v>2327</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"&amp;VLOOKUP(C163,'[1]Country Tags'!C:E,3,)</f>
        <v>- it</v>
      </c>
      <c r="AX163" s="117" t="str">
        <f t="shared" si="137"/>
        <v>- rome</v>
      </c>
      <c r="AY163" s="117" t="str">
        <f t="shared" si="167"/>
        <v/>
      </c>
      <c r="AZ163" s="117" t="e">
        <f t="shared" si="139"/>
        <v>#VALUE!</v>
      </c>
      <c r="BA163" s="117" t="e">
        <f t="shared" si="140"/>
        <v>#VALUE!</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e">
        <f t="shared" si="151"/>
        <v>#VALUE!</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e">
        <f t="shared" si="160"/>
        <v>#VALUE!</v>
      </c>
      <c r="BW163" s="117" t="e">
        <f>IF(LEN(BQ163&amp;BV163)&gt;0,concatll("#### More Information",BQ163,BV163),"")</f>
        <v>#VALUE!</v>
      </c>
      <c r="BX163" s="117" t="str">
        <f>IF(LEN(N163)&gt;1,concatll("#### Author's Note",N163,"-"&amp;B163),"")</f>
        <v/>
      </c>
      <c r="BY163" s="117" t="s">
        <v>53</v>
      </c>
      <c r="BZ163" s="117" t="s">
        <v>53</v>
      </c>
      <c r="CA163" s="6" t="str">
        <f>IF(AS163,concatll(concatl("---",AT163:AV163,BL163,"---"),#REF!,BW163:BX163),"")</f>
        <v/>
      </c>
      <c r="CB163" s="14" t="str">
        <f>IF(AS163,"places\"&amp;VLOOKUP(C163,'[1]Country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"&amp;IF(AS163,GetTagPage(C163,VLOOKUP(C163,'[1]Country Tags'!C:E,3,)),C163)&amp; " "</f>
        <v xml:space="preserve">| Italy </v>
      </c>
      <c r="CM163" s="12" t="str">
        <f t="shared" si="163"/>
        <v xml:space="preserve">|  </v>
      </c>
      <c r="CN163" s="12" t="str">
        <f t="shared" si="164"/>
        <v xml:space="preserve">| </v>
      </c>
      <c r="CO163" s="12" t="e">
        <f t="shared" si="165"/>
        <v>#VALUE!</v>
      </c>
    </row>
    <row r="164" spans="1:93" s="158" customFormat="1" ht="51" x14ac:dyDescent="0.25">
      <c r="A164" s="129" t="s">
        <v>1651</v>
      </c>
      <c r="B164" s="156" t="s">
        <v>1654</v>
      </c>
      <c r="C164" s="156" t="s">
        <v>1</v>
      </c>
      <c r="D164" s="156" t="s">
        <v>709</v>
      </c>
      <c r="E164" s="158">
        <v>41.893752200000002</v>
      </c>
      <c r="F164" s="159">
        <v>12.492819000000001</v>
      </c>
      <c r="G164" s="156" t="s">
        <v>2328</v>
      </c>
      <c r="H164" s="157" t="s">
        <v>2328</v>
      </c>
      <c r="I164" s="156"/>
      <c r="J164" s="156"/>
      <c r="K164" s="156" t="s">
        <v>1640</v>
      </c>
      <c r="L164" s="156" t="s">
        <v>1641</v>
      </c>
      <c r="M164" s="156" t="s">
        <v>2329</v>
      </c>
      <c r="N164" s="157"/>
      <c r="O164" s="156" t="s">
        <v>2330</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"&amp;VLOOKUP(C164,'[1]Country Tags'!C:E,3,)</f>
        <v>- it</v>
      </c>
      <c r="AX164" s="117" t="str">
        <f t="shared" si="137"/>
        <v>- rome</v>
      </c>
      <c r="AY164" s="117" t="str">
        <f t="shared" si="167"/>
        <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IF(AS164,"places\"&amp;VLOOKUP(C164,'[1]Country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"&amp;IF(AS164,GetTagPage(C164,VLOOKUP(C164,'[1]Country Tags'!C:E,3,)),C164)&amp; " "</f>
        <v xml:space="preserve">| Italy </v>
      </c>
      <c r="CM164" s="12" t="str">
        <f t="shared" si="163"/>
        <v xml:space="preserve">|  </v>
      </c>
      <c r="CN164" s="12" t="str">
        <f t="shared" si="164"/>
        <v xml:space="preserve">| </v>
      </c>
      <c r="CO164" s="12" t="e">
        <f t="shared" si="165"/>
        <v>#VALUE!</v>
      </c>
    </row>
    <row r="165" spans="1:93" s="158" customFormat="1" ht="51" x14ac:dyDescent="0.25">
      <c r="A165" s="129" t="s">
        <v>1651</v>
      </c>
      <c r="B165" s="156" t="s">
        <v>1654</v>
      </c>
      <c r="C165" s="156" t="s">
        <v>1</v>
      </c>
      <c r="D165" s="156" t="s">
        <v>709</v>
      </c>
      <c r="E165" s="158">
        <v>41.275281499999998</v>
      </c>
      <c r="F165" s="159">
        <v>13.8002664</v>
      </c>
      <c r="G165" s="156" t="s">
        <v>2331</v>
      </c>
      <c r="H165" s="157" t="s">
        <v>2331</v>
      </c>
      <c r="I165" s="156"/>
      <c r="J165" s="156"/>
      <c r="K165" s="156" t="s">
        <v>1640</v>
      </c>
      <c r="L165" s="156" t="s">
        <v>1641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"&amp;VLOOKUP(C165,'[1]Country Tags'!C:E,3,)</f>
        <v>- it</v>
      </c>
      <c r="AX165" s="117" t="str">
        <f t="shared" si="137"/>
        <v>- rome</v>
      </c>
      <c r="AY165" s="117" t="str">
        <f t="shared" si="167"/>
        <v/>
      </c>
      <c r="AZ165" s="117" t="e">
        <f t="shared" si="139"/>
        <v>#VALUE!</v>
      </c>
      <c r="BA165" s="117" t="e">
        <f t="shared" si="140"/>
        <v>#VALUE!</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IF(AS165,"places\"&amp;VLOOKUP(C165,'[1]Country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"&amp;IF(AS165,GetTagPage(C165,VLOOKUP(C165,'[1]Country Tags'!C:E,3,)),C165)&amp; " "</f>
        <v xml:space="preserve">| Italy </v>
      </c>
      <c r="CM165" s="12" t="str">
        <f t="shared" si="163"/>
        <v xml:space="preserve">|  </v>
      </c>
      <c r="CN165" s="12" t="str">
        <f t="shared" si="164"/>
        <v xml:space="preserve">| </v>
      </c>
      <c r="CO165" s="12" t="e">
        <f t="shared" si="165"/>
        <v>#VALUE!</v>
      </c>
    </row>
    <row r="166" spans="1:93" s="158" customFormat="1" ht="51" x14ac:dyDescent="0.25">
      <c r="A166" s="129" t="s">
        <v>1651</v>
      </c>
      <c r="B166" s="156" t="s">
        <v>1654</v>
      </c>
      <c r="C166" s="156" t="s">
        <v>1</v>
      </c>
      <c r="D166" s="156" t="s">
        <v>709</v>
      </c>
      <c r="E166" s="158">
        <v>41.890332899999997</v>
      </c>
      <c r="F166" s="159">
        <v>12.478211399999999</v>
      </c>
      <c r="G166" s="156" t="s">
        <v>2332</v>
      </c>
      <c r="H166" s="157" t="s">
        <v>2332</v>
      </c>
      <c r="I166" s="156"/>
      <c r="J166" s="156"/>
      <c r="K166" s="156" t="s">
        <v>1640</v>
      </c>
      <c r="L166" s="156" t="s">
        <v>1641</v>
      </c>
      <c r="M166" s="156" t="s">
        <v>2333</v>
      </c>
      <c r="N166" s="157"/>
      <c r="O166" s="156" t="s">
        <v>2334</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&amp; a martyrs' memorial.</v>
      </c>
      <c r="AW166" s="117" t="str">
        <f>"- "&amp;VLOOKUP(C166,'[1]Country Tags'!C:E,3,)</f>
        <v>- it</v>
      </c>
      <c r="AX166" s="117" t="str">
        <f t="shared" ref="AX166:AX176" si="172">IF(LEN(D166)&gt;1,"- "&amp;LOWER(SUBSTITUTE(D166," ","-")),"")</f>
        <v>- rome</v>
      </c>
      <c r="AY166" s="117" t="str">
        <f t="shared" si="167"/>
        <v/>
      </c>
      <c r="AZ166" s="117" t="e">
        <f t="shared" ref="AZ166:AZ176" si="173">IF(K166,"- marian-sites","")</f>
        <v>#VALUE!</v>
      </c>
      <c r="BA166" s="117" t="e">
        <f t="shared" ref="BA166:BA176" si="174">IF(L166,"- holy-persons","")</f>
        <v>#VALUE!</v>
      </c>
      <c r="BB166" s="117" t="str">
        <f t="shared" ref="BB166:BB177" si="175">IF(LEN(Z166)&gt;0,"- "&amp;Z166,"")</f>
        <v>- Additional Tags (must add to tag sheet)</v>
      </c>
      <c r="BC166" s="117" t="str">
        <f t="shared" ref="BC166:BC177" si="176">IF(LEN(AA166)&gt;0,"- "&amp;AA166,"")</f>
        <v/>
      </c>
      <c r="BD166" s="117" t="str">
        <f t="shared" ref="BD166:BD177" si="177">IF(LEN(AB166)&gt;0,"- "&amp;AB166,"")</f>
        <v/>
      </c>
      <c r="BE166" s="117" t="str">
        <f t="shared" ref="BE166:BE177" si="178">IF(LEN(AC166)&gt;0,"- "&amp;AC166,"")</f>
        <v/>
      </c>
      <c r="BF166" s="117" t="str">
        <f t="shared" ref="BF166:BF177" si="179">IF(LEN(AD166)&gt;0,"- "&amp;AD166,"")</f>
        <v/>
      </c>
      <c r="BG166" s="117" t="str">
        <f t="shared" ref="BG166:BG177" si="180">IF(LEN(AE166)&gt;0,"- "&amp;AE166,"")</f>
        <v/>
      </c>
      <c r="BH166" s="117" t="str">
        <f t="shared" ref="BH166:BH177" si="181">IF(LEN(AF166)&gt;0,"- "&amp;AF166,"")</f>
        <v/>
      </c>
      <c r="BI166" s="117" t="str">
        <f t="shared" ref="BI166:BI177" si="182">IF(LEN(AG166)&gt;0,"- "&amp;AG166,"")</f>
        <v/>
      </c>
      <c r="BJ166" s="117" t="str">
        <f t="shared" ref="BJ166:BJ177" si="183">IF(LEN(AH166)&gt;0,"- "&amp;AH166,"")</f>
        <v/>
      </c>
      <c r="BK166" s="117" t="str">
        <f t="shared" ref="BK166:BK177" si="184">IF(LEN(AI166)&gt;0,"- "&amp;AI166,"")</f>
        <v/>
      </c>
      <c r="BL166" s="117" t="e">
        <f t="shared" ref="BL166:BL176" si="185">"tags:"&amp;CHAR(10)&amp;concatl(AW166:BK166)</f>
        <v>#VALUE!</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e">
        <f t="shared" ref="BV166:BV176" si="193">IF(K166,concatl("| The Real Presence | Miracle Hunter | MaryPages |","| --- | --- | --- |",BU166),"")</f>
        <v>#VALUE!</v>
      </c>
      <c r="BW166" s="117" t="e">
        <f>IF(LEN(BQ166&amp;BV166)&gt;0,concatll("#### More Information",BQ166,BV166),"")</f>
        <v>#VALUE!</v>
      </c>
      <c r="BX166" s="117" t="str">
        <f>IF(LEN(N166)&gt;1,concatll("#### Author's Note",N166,"-"&amp;B166),"")</f>
        <v/>
      </c>
      <c r="BY166" s="117" t="s">
        <v>53</v>
      </c>
      <c r="BZ166" s="117" t="s">
        <v>53</v>
      </c>
      <c r="CA166" s="6" t="str">
        <f>IF(AS166,concatll(concatl("---",AT166:AV166,BL166,"---"),#REF!,BW166:BX166),"")</f>
        <v/>
      </c>
      <c r="CB166" s="14" t="str">
        <f>IF(AS166,"places\"&amp;VLOOKUP(C166,'[1]Country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"&amp;IF(AS166,GetTagPage(C166,VLOOKUP(C166,'[1]Country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76.5" x14ac:dyDescent="0.25">
      <c r="A167" s="129" t="s">
        <v>1651</v>
      </c>
      <c r="B167" s="156" t="s">
        <v>1654</v>
      </c>
      <c r="C167" s="156" t="s">
        <v>1</v>
      </c>
      <c r="D167" s="156" t="s">
        <v>709</v>
      </c>
      <c r="E167" s="158">
        <v>41.893252899999901</v>
      </c>
      <c r="F167" s="159">
        <v>12.484503999999999</v>
      </c>
      <c r="G167" s="156" t="s">
        <v>2335</v>
      </c>
      <c r="H167" s="157" t="s">
        <v>2335</v>
      </c>
      <c r="I167" s="156" t="s">
        <v>919</v>
      </c>
      <c r="J167" s="156"/>
      <c r="K167" s="156" t="s">
        <v>1640</v>
      </c>
      <c r="L167" s="156" t="s">
        <v>1641</v>
      </c>
      <c r="M167" s="156" t="s">
        <v>2336</v>
      </c>
      <c r="N167" s="157"/>
      <c r="O167" s="156" t="s">
        <v>2337</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"&amp;VLOOKUP(C167,'[1]Country Tags'!C:E,3,)</f>
        <v>- it</v>
      </c>
      <c r="AX167" s="117" t="str">
        <f t="shared" si="172"/>
        <v>- rome</v>
      </c>
      <c r="AY167" s="117" t="str">
        <f t="shared" si="167"/>
        <v/>
      </c>
      <c r="AZ167" s="117" t="e">
        <f t="shared" si="173"/>
        <v>#VALUE!</v>
      </c>
      <c r="BA167" s="117" t="e">
        <f t="shared" si="174"/>
        <v>#VALUE!</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e">
        <f t="shared" si="185"/>
        <v>#VALUE!</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e">
        <f t="shared" si="193"/>
        <v>#VALUE!</v>
      </c>
      <c r="BW167" s="117" t="e">
        <f>IF(LEN(BQ167&amp;BV167)&gt;0,concatll("#### More Information",BQ167,BV167),"")</f>
        <v>#VALUE!</v>
      </c>
      <c r="BX167" s="117" t="str">
        <f>IF(LEN(N167)&gt;1,concatll("#### Author's Note",N167,"-"&amp;B167),"")</f>
        <v/>
      </c>
      <c r="BY167" s="117" t="s">
        <v>53</v>
      </c>
      <c r="BZ167" s="117" t="s">
        <v>53</v>
      </c>
      <c r="CA167" s="6" t="str">
        <f>IF(AS167,concatll(concatl("---",AT167:AV167,BL167,"---"),#REF!,BW167:BX167),"")</f>
        <v/>
      </c>
      <c r="CB167" s="14" t="str">
        <f>IF(AS167,"places\"&amp;VLOOKUP(C167,'[1]Country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"&amp;IF(AS167,GetTagPage(C167,VLOOKUP(C167,'[1]Country Tags'!C:E,3,)),C167)&amp; " "</f>
        <v xml:space="preserve">| Italy </v>
      </c>
      <c r="CM167" s="12" t="str">
        <f t="shared" si="196"/>
        <v xml:space="preserve">|  </v>
      </c>
      <c r="CN167" s="12" t="str">
        <f t="shared" si="197"/>
        <v xml:space="preserve">| </v>
      </c>
      <c r="CO167" s="12" t="e">
        <f t="shared" si="198"/>
        <v>#VALUE!</v>
      </c>
    </row>
    <row r="168" spans="1:93" s="158" customFormat="1" ht="51" x14ac:dyDescent="0.25">
      <c r="A168" s="129" t="s">
        <v>1651</v>
      </c>
      <c r="B168" s="156" t="s">
        <v>1654</v>
      </c>
      <c r="C168" s="156" t="s">
        <v>1</v>
      </c>
      <c r="D168" s="156" t="s">
        <v>709</v>
      </c>
      <c r="E168" s="158">
        <v>41.895474499999999</v>
      </c>
      <c r="F168" s="159">
        <v>12.488057299999999</v>
      </c>
      <c r="G168" s="156" t="s">
        <v>2338</v>
      </c>
      <c r="H168" s="157" t="s">
        <v>2338</v>
      </c>
      <c r="I168" s="156"/>
      <c r="J168" s="156"/>
      <c r="K168" s="156" t="s">
        <v>1640</v>
      </c>
      <c r="L168" s="156" t="s">
        <v>1641</v>
      </c>
      <c r="M168" s="156"/>
      <c r="N168" s="157"/>
      <c r="O168" s="156" t="s">
        <v>2339</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"&amp;VLOOKUP(C168,'[1]Country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IF(AS168,"places\"&amp;VLOOKUP(C168,'[1]Country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"&amp;IF(AS168,GetTagPage(C168,VLOOKUP(C168,'[1]Country Tags'!C:E,3,)),C168)&amp; " "</f>
        <v xml:space="preserve">| Italy </v>
      </c>
      <c r="CM168" s="12" t="str">
        <f t="shared" si="196"/>
        <v xml:space="preserve">|  </v>
      </c>
      <c r="CN168" s="12" t="str">
        <f t="shared" si="197"/>
        <v xml:space="preserve">| </v>
      </c>
      <c r="CO168" s="12" t="e">
        <f t="shared" si="198"/>
        <v>#VALUE!</v>
      </c>
    </row>
    <row r="169" spans="1:93" s="158" customFormat="1" ht="51" x14ac:dyDescent="0.25">
      <c r="A169" s="129" t="s">
        <v>1651</v>
      </c>
      <c r="B169" s="156" t="s">
        <v>1654</v>
      </c>
      <c r="C169" s="156" t="s">
        <v>1</v>
      </c>
      <c r="D169" s="156" t="s">
        <v>709</v>
      </c>
      <c r="E169" s="158">
        <v>41.903633299999903</v>
      </c>
      <c r="F169" s="159">
        <v>12.4835265</v>
      </c>
      <c r="G169" s="156" t="s">
        <v>2340</v>
      </c>
      <c r="H169" s="157" t="s">
        <v>2340</v>
      </c>
      <c r="I169" s="156"/>
      <c r="J169" s="156"/>
      <c r="K169" s="156" t="s">
        <v>1640</v>
      </c>
      <c r="L169" s="156" t="s">
        <v>1641</v>
      </c>
      <c r="M169" s="156" t="s">
        <v>2341</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"&amp;VLOOKUP(C169,'[1]Country Tags'!C:E,3,)</f>
        <v>- it</v>
      </c>
      <c r="AX169" s="117" t="str">
        <f t="shared" si="172"/>
        <v>- rome</v>
      </c>
      <c r="AY169" s="117" t="str">
        <f t="shared" si="167"/>
        <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IF(AS169,"places\"&amp;VLOOKUP(C169,'[1]Country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"&amp;IF(AS169,GetTagPage(C169,VLOOKUP(C169,'[1]Country Tags'!C:E,3,)),C169)&amp; " "</f>
        <v xml:space="preserve">| Italy </v>
      </c>
      <c r="CM169" s="12" t="str">
        <f t="shared" si="196"/>
        <v xml:space="preserve">|  </v>
      </c>
      <c r="CN169" s="12" t="str">
        <f t="shared" si="197"/>
        <v xml:space="preserve">| </v>
      </c>
      <c r="CO169" s="12" t="e">
        <f t="shared" si="198"/>
        <v>#VALUE!</v>
      </c>
    </row>
    <row r="170" spans="1:93" s="158" customFormat="1" ht="51" x14ac:dyDescent="0.25">
      <c r="A170" s="129" t="s">
        <v>1651</v>
      </c>
      <c r="B170" s="156" t="s">
        <v>1654</v>
      </c>
      <c r="C170" s="156" t="s">
        <v>1</v>
      </c>
      <c r="D170" s="156" t="s">
        <v>709</v>
      </c>
      <c r="E170" s="158">
        <v>41.898936599999999</v>
      </c>
      <c r="F170" s="159">
        <v>12.484488600000001</v>
      </c>
      <c r="G170" s="156" t="s">
        <v>2342</v>
      </c>
      <c r="H170" s="157" t="s">
        <v>2342</v>
      </c>
      <c r="I170" s="156"/>
      <c r="J170" s="156"/>
      <c r="K170" s="156" t="s">
        <v>1640</v>
      </c>
      <c r="L170" s="156" t="s">
        <v>1641</v>
      </c>
      <c r="M170" s="156"/>
      <c r="N170" s="157"/>
      <c r="O170" s="156" t="s">
        <v>2343</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"&amp;VLOOKUP(C170,'[1]Country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IF(AS170,"places\"&amp;VLOOKUP(C170,'[1]Country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"&amp;IF(AS170,GetTagPage(C170,VLOOKUP(C170,'[1]Country Tags'!C:E,3,)),C170)&amp; " "</f>
        <v xml:space="preserve">| Italy </v>
      </c>
      <c r="CM170" s="12" t="str">
        <f t="shared" si="196"/>
        <v xml:space="preserve">|  </v>
      </c>
      <c r="CN170" s="12" t="str">
        <f t="shared" si="197"/>
        <v xml:space="preserve">| </v>
      </c>
      <c r="CO170" s="12" t="e">
        <f t="shared" si="198"/>
        <v>#VALUE!</v>
      </c>
    </row>
    <row r="171" spans="1:93" s="158" customFormat="1" ht="51" x14ac:dyDescent="0.25">
      <c r="A171" s="129" t="s">
        <v>1651</v>
      </c>
      <c r="B171" s="156" t="s">
        <v>1654</v>
      </c>
      <c r="C171" s="156" t="s">
        <v>1</v>
      </c>
      <c r="D171" s="156" t="s">
        <v>709</v>
      </c>
      <c r="E171" s="158">
        <v>41.898087799999999</v>
      </c>
      <c r="F171" s="159">
        <v>12.483071799999999</v>
      </c>
      <c r="G171" s="156" t="s">
        <v>2344</v>
      </c>
      <c r="H171" s="157" t="s">
        <v>2344</v>
      </c>
      <c r="I171" s="156"/>
      <c r="J171" s="156"/>
      <c r="K171" s="156" t="s">
        <v>1640</v>
      </c>
      <c r="L171" s="156" t="s">
        <v>1641</v>
      </c>
      <c r="M171" s="156" t="s">
        <v>2345</v>
      </c>
      <c r="N171" s="157"/>
      <c r="O171" s="156" t="s">
        <v>2346</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"&amp;VLOOKUP(C171,'[1]Country Tags'!C:E,3,)</f>
        <v>- it</v>
      </c>
      <c r="AX171" s="117" t="str">
        <f t="shared" si="172"/>
        <v>- rome</v>
      </c>
      <c r="AY171" s="117" t="str">
        <f t="shared" si="167"/>
        <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"&amp;IF(AS171,GetTagPage(C171,VLOOKUP(C171,'[1]Country Tags'!C:E,3,)),C171)&amp; " "</f>
        <v xml:space="preserve">| Italy </v>
      </c>
      <c r="CM171" s="12" t="str">
        <f t="shared" si="196"/>
        <v xml:space="preserve">|  </v>
      </c>
      <c r="CN171" s="12" t="str">
        <f t="shared" si="197"/>
        <v xml:space="preserve">| </v>
      </c>
      <c r="CO171" s="12" t="e">
        <f t="shared" si="198"/>
        <v>#VALUE!</v>
      </c>
    </row>
    <row r="172" spans="1:93" s="158" customFormat="1" ht="51" x14ac:dyDescent="0.25">
      <c r="A172" s="129" t="s">
        <v>1651</v>
      </c>
      <c r="B172" s="156" t="s">
        <v>1654</v>
      </c>
      <c r="C172" s="156" t="s">
        <v>1</v>
      </c>
      <c r="D172" s="156" t="s">
        <v>709</v>
      </c>
      <c r="E172" s="158">
        <v>41.899186700000001</v>
      </c>
      <c r="F172" s="159">
        <v>12.4797362</v>
      </c>
      <c r="G172" s="156" t="s">
        <v>2347</v>
      </c>
      <c r="H172" s="157" t="s">
        <v>2347</v>
      </c>
      <c r="I172" s="156"/>
      <c r="J172" s="156"/>
      <c r="K172" s="156" t="s">
        <v>1640</v>
      </c>
      <c r="L172" s="156" t="s">
        <v>1641</v>
      </c>
      <c r="M172" s="156" t="s">
        <v>2348</v>
      </c>
      <c r="N172" s="157"/>
      <c r="O172" s="156" t="s">
        <v>2349</v>
      </c>
      <c r="P172" s="158" t="s">
        <v>1646</v>
      </c>
      <c r="Q172" s="161" t="s">
        <v>1658</v>
      </c>
      <c r="R172" s="158" t="s">
        <v>1659</v>
      </c>
      <c r="S172" s="162" t="s">
        <v>1660</v>
      </c>
      <c r="T172" s="161" t="s">
        <v>53</v>
      </c>
      <c r="U172" s="158" t="s">
        <v>53</v>
      </c>
      <c r="V172" s="162" t="s">
        <v>53</v>
      </c>
      <c r="W172" s="158" t="s">
        <v>53</v>
      </c>
      <c r="X172" s="158" t="s">
        <v>53</v>
      </c>
      <c r="Y172" s="159" t="s">
        <v>53</v>
      </c>
      <c r="Z172" s="158" t="s">
        <v>1650</v>
      </c>
      <c r="AJ172" s="60" t="s">
        <v>53</v>
      </c>
      <c r="AK172" s="166" t="s">
        <v>53</v>
      </c>
      <c r="AL172" s="158" t="s">
        <v>53</v>
      </c>
      <c r="AM172" s="158" t="s">
        <v>53</v>
      </c>
      <c r="AN172" s="158" t="s">
        <v>53</v>
      </c>
      <c r="AO172" s="158" t="s">
        <v>53</v>
      </c>
      <c r="AP172" s="158" t="s">
        <v>53</v>
      </c>
      <c r="AQ172" s="159" t="s">
        <v>53</v>
      </c>
      <c r="AR172" s="165"/>
      <c r="AS172" s="116" t="b">
        <f t="shared" si="169"/>
        <v>0</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v>
      </c>
      <c r="AW172" s="117" t="str">
        <f>"- "&amp;VLOOKUP(C172,'[1]Country Tags'!C:E,3,)</f>
        <v>- it</v>
      </c>
      <c r="AX172" s="117" t="str">
        <f t="shared" si="172"/>
        <v>- rome</v>
      </c>
      <c r="AY172" s="117" t="str">
        <f t="shared" si="167"/>
        <v/>
      </c>
      <c r="AZ172" s="117" t="e">
        <f t="shared" si="173"/>
        <v>#VALUE!</v>
      </c>
      <c r="BA172" s="117" t="e">
        <f t="shared" si="174"/>
        <v>#VALUE!</v>
      </c>
      <c r="BB172" s="117" t="str">
        <f t="shared" si="175"/>
        <v>- Additional Tags (must add to tag sheet)</v>
      </c>
      <c r="BC172" s="117" t="str">
        <f t="shared" si="176"/>
        <v/>
      </c>
      <c r="BD172" s="117" t="str">
        <f t="shared" si="177"/>
        <v/>
      </c>
      <c r="BE172" s="117" t="str">
        <f t="shared" si="178"/>
        <v/>
      </c>
      <c r="BF172" s="117" t="str">
        <f t="shared" si="179"/>
        <v/>
      </c>
      <c r="BG172" s="117" t="str">
        <f t="shared" si="180"/>
        <v/>
      </c>
      <c r="BH172" s="117" t="str">
        <f t="shared" si="181"/>
        <v/>
      </c>
      <c r="BI172" s="117" t="str">
        <f t="shared" si="182"/>
        <v/>
      </c>
      <c r="BJ172" s="117" t="str">
        <f t="shared" si="183"/>
        <v/>
      </c>
      <c r="BK172" s="117" t="str">
        <f t="shared" si="184"/>
        <v/>
      </c>
      <c r="BL172" s="117" t="e">
        <f t="shared" si="185"/>
        <v>#VALUE!</v>
      </c>
      <c r="BM172" s="117" t="str">
        <f t="shared" si="168"/>
        <v>[Official site](https://santignazio.gesuiti.it/) - Comment</v>
      </c>
      <c r="BN172" s="117" t="str">
        <f t="shared" si="186"/>
        <v>[Link Name](Link URL) - Link Comment</v>
      </c>
      <c r="BO172" s="117" t="str">
        <f t="shared" si="187"/>
        <v/>
      </c>
      <c r="BP172" s="117" t="str">
        <f t="shared" si="188"/>
        <v/>
      </c>
      <c r="BQ172" s="117" t="str">
        <f t="shared" si="189"/>
        <v xml:space="preserve">* [Official site](https://santignazio.gesuiti.it/) - Comment
* [Link Name](Link URL) - Link Comment
</v>
      </c>
      <c r="BR172" s="117" t="str">
        <f t="shared" si="190"/>
        <v/>
      </c>
      <c r="BS172" s="117" t="str">
        <f t="shared" si="191"/>
        <v/>
      </c>
      <c r="BT172" s="117" t="str">
        <f t="shared" si="192"/>
        <v/>
      </c>
      <c r="BU172" s="117" t="str">
        <f>IF(LEN(_xludf.concat(BR172:BT172))&gt;0,_xludf.concat("| ",BR172," | ",BS172," | ",BT172," |"),"")</f>
        <v/>
      </c>
      <c r="BV172" s="117" t="e">
        <f t="shared" si="193"/>
        <v>#VALUE!</v>
      </c>
      <c r="BW172" s="117" t="e">
        <f>IF(LEN(BQ172&amp;BV172)&gt;0,concatll("#### More Information",BQ172,BV172),"")</f>
        <v>#VALUE!</v>
      </c>
      <c r="BX172" s="117" t="str">
        <f>IF(LEN(N172)&gt;1,concatll("#### Author's Note",N172,"-"&amp;B172),"")</f>
        <v/>
      </c>
      <c r="BY172" s="117" t="s">
        <v>53</v>
      </c>
      <c r="BZ172" s="117" t="s">
        <v>53</v>
      </c>
      <c r="CA172" s="6" t="str">
        <f>IF(AS172,concatll(concatl("---",AT172:AV172,BL172,"---"),#REF!,BW172:BX172),"")</f>
        <v/>
      </c>
      <c r="CB172" s="14" t="str">
        <f>IF(AS172,"places\"&amp;VLOOKUP(C172,'[1]Country Tags'!C:D,2,)&amp;IF(LEN(D172)&gt;1,"-"&amp;LOWER(SUBSTITUTE(D172," ","-")),"")&amp;"-"&amp;LOWER(SUBSTITUTE(SUBSTITUTE(H172," ","-"),".",""))&amp;".md","")</f>
        <v/>
      </c>
      <c r="CC172" s="14"/>
      <c r="CD172" s="12" t="e">
        <f>IF(LEN(Z172)&gt;1,VLOOKUP(Z172,#REF!,2,),"")</f>
        <v>#REF!</v>
      </c>
      <c r="CE172" s="12" t="str">
        <f>IF(LEN(AA172)&gt;1,VLOOKUP(AA172,#REF!,2,),"")</f>
        <v/>
      </c>
      <c r="CF172" s="12" t="str">
        <f>IF(LEN(AB172)&gt;1,VLOOKUP(AB172,#REF!,2,),"")</f>
        <v/>
      </c>
      <c r="CG172" s="12" t="e">
        <f>IF(LEN(Z172)&gt;1,GetTagPage(CD172,Z172),"")</f>
        <v>#VALUE!</v>
      </c>
      <c r="CH172" s="12" t="str">
        <f>IF(LEN(AA172)&gt;1,GetTagPage(CE172,AA172),"")</f>
        <v/>
      </c>
      <c r="CI172" s="12" t="str">
        <f>IF(LEN(AB172)&gt;1,GetTagPage(CF172,AB172),"")</f>
        <v/>
      </c>
      <c r="CJ172" s="12" t="e">
        <f t="shared" si="194"/>
        <v>#VALUE!</v>
      </c>
      <c r="CK172" s="12" t="str">
        <f t="shared" si="195"/>
        <v xml:space="preserve">|  </v>
      </c>
      <c r="CL172" s="12" t="str">
        <f>"| "&amp;IF(AS172,GetTagPage(C172,VLOOKUP(C172,'[1]Country Tags'!C:E,3,)),C172)&amp; " "</f>
        <v xml:space="preserve">| Italy </v>
      </c>
      <c r="CM172" s="12" t="str">
        <f t="shared" si="196"/>
        <v xml:space="preserve">|  </v>
      </c>
      <c r="CN172" s="12" t="str">
        <f t="shared" si="197"/>
        <v xml:space="preserve">| </v>
      </c>
      <c r="CO172" s="12" t="e">
        <f t="shared" si="198"/>
        <v>#VALUE!</v>
      </c>
    </row>
    <row r="173" spans="1:93" s="158" customFormat="1" ht="63.75" x14ac:dyDescent="0.25">
      <c r="A173" s="129" t="s">
        <v>1651</v>
      </c>
      <c r="B173" s="156" t="s">
        <v>1654</v>
      </c>
      <c r="C173" s="156" t="s">
        <v>1</v>
      </c>
      <c r="D173" s="156" t="s">
        <v>709</v>
      </c>
      <c r="E173" s="158">
        <v>41.893815099999898</v>
      </c>
      <c r="F173" s="159">
        <v>12.483479600000001</v>
      </c>
      <c r="G173" s="156" t="s">
        <v>2350</v>
      </c>
      <c r="H173" s="157" t="s">
        <v>2350</v>
      </c>
      <c r="I173" s="156"/>
      <c r="J173" s="156"/>
      <c r="K173" s="156" t="s">
        <v>1640</v>
      </c>
      <c r="L173" s="156" t="s">
        <v>1641</v>
      </c>
      <c r="M173" s="156" t="s">
        <v>2351</v>
      </c>
      <c r="N173" s="157"/>
      <c r="O173" s="156" t="s">
        <v>2352</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"&amp;VLOOKUP(C173,'[1]Country Tags'!C:E,3,)</f>
        <v>- it</v>
      </c>
      <c r="AX173" s="117" t="str">
        <f t="shared" si="172"/>
        <v>- rome</v>
      </c>
      <c r="AY173" s="117" t="str">
        <f t="shared" si="167"/>
        <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IF(AS173,"places\"&amp;VLOOKUP(C173,'[1]Country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"&amp;IF(AS173,GetTagPage(C173,VLOOKUP(C173,'[1]Country Tags'!C:E,3,)),C173)&amp; " "</f>
        <v xml:space="preserve">| Italy </v>
      </c>
      <c r="CM173" s="12" t="str">
        <f t="shared" si="196"/>
        <v xml:space="preserve">|  </v>
      </c>
      <c r="CN173" s="12" t="str">
        <f t="shared" si="197"/>
        <v xml:space="preserve">| </v>
      </c>
      <c r="CO173" s="12" t="e">
        <f t="shared" si="198"/>
        <v>#VALUE!</v>
      </c>
    </row>
    <row r="174" spans="1:93" s="158" customFormat="1" ht="63.75" x14ac:dyDescent="0.25">
      <c r="A174" s="129" t="s">
        <v>1651</v>
      </c>
      <c r="B174" s="156" t="s">
        <v>1654</v>
      </c>
      <c r="C174" s="156" t="s">
        <v>1</v>
      </c>
      <c r="D174" s="156" t="s">
        <v>709</v>
      </c>
      <c r="E174" s="158">
        <v>41.895551099999999</v>
      </c>
      <c r="F174" s="159">
        <v>12.479462699999999</v>
      </c>
      <c r="G174" s="156" t="s">
        <v>2353</v>
      </c>
      <c r="H174" s="157" t="s">
        <v>2353</v>
      </c>
      <c r="I174" s="156"/>
      <c r="J174" s="156"/>
      <c r="K174" s="156" t="s">
        <v>1640</v>
      </c>
      <c r="L174" s="156" t="s">
        <v>1641</v>
      </c>
      <c r="M174" s="156"/>
      <c r="N174" s="157"/>
      <c r="O174" s="156" t="s">
        <v>2354</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"&amp;VLOOKUP(C174,'[1]Country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IF(AS174,"places\"&amp;VLOOKUP(C174,'[1]Country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"&amp;IF(AS174,GetTagPage(C174,VLOOKUP(C174,'[1]Country Tags'!C:E,3,)),C174)&amp; " "</f>
        <v xml:space="preserve">| Italy </v>
      </c>
      <c r="CM174" s="12" t="str">
        <f t="shared" si="196"/>
        <v xml:space="preserve">|  </v>
      </c>
      <c r="CN174" s="12" t="str">
        <f t="shared" si="197"/>
        <v xml:space="preserve">| </v>
      </c>
      <c r="CO174" s="12" t="e">
        <f t="shared" si="198"/>
        <v>#VALUE!</v>
      </c>
    </row>
    <row r="175" spans="1:93" s="158" customFormat="1" ht="51" x14ac:dyDescent="0.25">
      <c r="A175" s="129" t="s">
        <v>1651</v>
      </c>
      <c r="B175" s="156" t="s">
        <v>1654</v>
      </c>
      <c r="C175" s="156" t="s">
        <v>1</v>
      </c>
      <c r="D175" s="156" t="s">
        <v>709</v>
      </c>
      <c r="E175" s="158">
        <v>41.8979888</v>
      </c>
      <c r="F175" s="159">
        <v>12.478022599999999</v>
      </c>
      <c r="G175" s="156" t="s">
        <v>2355</v>
      </c>
      <c r="H175" s="157" t="s">
        <v>2355</v>
      </c>
      <c r="I175" s="156"/>
      <c r="J175" s="156"/>
      <c r="K175" s="156" t="s">
        <v>1640</v>
      </c>
      <c r="L175" s="156" t="s">
        <v>1641</v>
      </c>
      <c r="M175" s="156" t="s">
        <v>2356</v>
      </c>
      <c r="N175" s="157"/>
      <c r="O175" s="156" t="s">
        <v>2357</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"&amp;VLOOKUP(C175,'[1]Country Tags'!C:E,3,)</f>
        <v>- it</v>
      </c>
      <c r="AX175" s="117" t="str">
        <f t="shared" si="172"/>
        <v>- rome</v>
      </c>
      <c r="AY175" s="117" t="str">
        <f t="shared" si="167"/>
        <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IF(AS175,"places\"&amp;VLOOKUP(C175,'[1]Country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"&amp;IF(AS175,GetTagPage(C175,VLOOKUP(C175,'[1]Country Tags'!C:E,3,)),C175)&amp; " "</f>
        <v xml:space="preserve">| Italy </v>
      </c>
      <c r="CM175" s="12" t="str">
        <f t="shared" si="196"/>
        <v xml:space="preserve">|  </v>
      </c>
      <c r="CN175" s="12" t="str">
        <f t="shared" si="197"/>
        <v xml:space="preserve">| </v>
      </c>
      <c r="CO175" s="12" t="e">
        <f t="shared" si="198"/>
        <v>#VALUE!</v>
      </c>
    </row>
    <row r="176" spans="1:93" s="158" customFormat="1" ht="51" x14ac:dyDescent="0.25">
      <c r="A176" s="129" t="s">
        <v>1651</v>
      </c>
      <c r="B176" s="156" t="s">
        <v>1654</v>
      </c>
      <c r="C176" s="156" t="s">
        <v>1</v>
      </c>
      <c r="D176" s="156" t="s">
        <v>709</v>
      </c>
      <c r="E176" s="158">
        <v>41.899636600000001</v>
      </c>
      <c r="F176" s="159">
        <v>12.4748126</v>
      </c>
      <c r="G176" s="156" t="s">
        <v>2358</v>
      </c>
      <c r="H176" s="157" t="s">
        <v>2358</v>
      </c>
      <c r="I176" s="156"/>
      <c r="J176" s="156"/>
      <c r="K176" s="156" t="s">
        <v>1640</v>
      </c>
      <c r="L176" s="156" t="s">
        <v>1641</v>
      </c>
      <c r="M176" s="156" t="s">
        <v>2359</v>
      </c>
      <c r="N176" s="157"/>
      <c r="O176" s="156" t="s">
        <v>2360</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"&amp;VLOOKUP(C176,'[1]Country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IF(AS176,"places\"&amp;VLOOKUP(C176,'[1]Country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"&amp;IF(AS176,GetTagPage(C176,VLOOKUP(C176,'[1]Country Tags'!C:E,3,)),C176)&amp; " "</f>
        <v xml:space="preserve">| Italy </v>
      </c>
      <c r="CM176" s="12" t="str">
        <f t="shared" si="196"/>
        <v xml:space="preserve">|  </v>
      </c>
      <c r="CN176" s="12" t="str">
        <f t="shared" si="197"/>
        <v xml:space="preserve">| </v>
      </c>
      <c r="CO176" s="12" t="e">
        <f t="shared" si="198"/>
        <v>#VALUE!</v>
      </c>
    </row>
    <row r="177" spans="1:93" ht="51" x14ac:dyDescent="0.25">
      <c r="A177" s="129" t="s">
        <v>786</v>
      </c>
      <c r="B177" s="156" t="s">
        <v>1654</v>
      </c>
      <c r="C177" s="7" t="s">
        <v>1106</v>
      </c>
      <c r="D177" s="156" t="s">
        <v>2390</v>
      </c>
      <c r="E177" s="1">
        <v>36.034022602041802</v>
      </c>
      <c r="F177" s="30">
        <v>-95.195827206764307</v>
      </c>
      <c r="G177" s="156" t="s">
        <v>2391</v>
      </c>
      <c r="H177" s="156" t="s">
        <v>2391</v>
      </c>
      <c r="I177" s="156" t="s">
        <v>941</v>
      </c>
      <c r="J177" s="7" t="b">
        <v>1</v>
      </c>
      <c r="M177" s="156" t="s">
        <v>2401</v>
      </c>
      <c r="N177" s="157" t="s">
        <v>2400</v>
      </c>
      <c r="O177" s="1" t="s">
        <v>2392</v>
      </c>
      <c r="T177" s="40" t="s">
        <v>53</v>
      </c>
      <c r="U177" s="1" t="s">
        <v>53</v>
      </c>
      <c r="V177" s="44" t="s">
        <v>53</v>
      </c>
      <c r="W177" s="1" t="s">
        <v>53</v>
      </c>
      <c r="X177" s="1" t="s">
        <v>53</v>
      </c>
      <c r="Y177" s="30" t="s">
        <v>53</v>
      </c>
      <c r="Z177" s="158" t="s">
        <v>2402</v>
      </c>
      <c r="AA177" s="158" t="s">
        <v>2403</v>
      </c>
      <c r="AB177" s="158" t="s">
        <v>2404</v>
      </c>
      <c r="AJ177" s="60" t="s">
        <v>53</v>
      </c>
      <c r="AK177" s="57" t="s">
        <v>53</v>
      </c>
      <c r="AL177" s="1" t="s">
        <v>53</v>
      </c>
      <c r="AM177" s="1" t="s">
        <v>53</v>
      </c>
      <c r="AN177" s="1" t="s">
        <v>53</v>
      </c>
      <c r="AO177" s="1" t="s">
        <v>53</v>
      </c>
      <c r="AP177" s="1" t="s">
        <v>53</v>
      </c>
      <c r="AQ177" s="30" t="s">
        <v>53</v>
      </c>
      <c r="AS177" s="116" t="b">
        <f>IF(OR(A177="Done",A177="In Progress"),TRUE)</f>
        <v>1</v>
      </c>
      <c r="AT177" s="117" t="str">
        <f>"title: """&amp;G177&amp;""""</f>
        <v>title: "Our Lady of Clear Creek Abbey"</v>
      </c>
      <c r="AU177" s="117" t="str">
        <f>"location: {lat: "&amp;E177&amp;", lng: "&amp;F177&amp;"}"</f>
        <v>location: {lat: 36.0340226020418, lng: -95.1958272067643}</v>
      </c>
      <c r="AV177" s="117" t="str">
        <f>"interest: "&amp;I177</f>
        <v>interest: regional</v>
      </c>
      <c r="AW177" s="117" t="str">
        <f>"- "&amp;VLOOKUP(C177,'Country Tags'!C:E,3,)</f>
        <v>- us
- us-ok</v>
      </c>
      <c r="AX177" s="117" t="str">
        <f>IF(LEN(D177)&gt;1,"- "&amp;LOWER(SUBSTITUTE(D177," ","-")),"")</f>
        <v>- tulsa</v>
      </c>
      <c r="AY177" s="117" t="str">
        <f>IF(J177,"- churches","")</f>
        <v>- churches</v>
      </c>
      <c r="AZ177" s="117" t="str">
        <f>IF(K177,"- marian-sites","")</f>
        <v/>
      </c>
      <c r="BA177" s="117" t="str">
        <f>IF(L177,"- holy-persons","")</f>
        <v/>
      </c>
      <c r="BB177" s="117" t="str">
        <f t="shared" si="175"/>
        <v>- benedictine</v>
      </c>
      <c r="BC177" s="117" t="str">
        <f t="shared" si="176"/>
        <v>- solesmes</v>
      </c>
      <c r="BD177" s="117" t="str">
        <f t="shared" si="177"/>
        <v>- benedictine-abbey</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"tags:"&amp;CHAR(10)&amp;concatl(AW177:BK177)</f>
        <v xml:space="preserve">tags:
- us
- us-ok_x000D_
- tulsa_x000D_
- churches_x000D_
- benedictine_x000D_
- solesmes_x000D_
- benedictine-abbey_x000D_
</v>
      </c>
      <c r="BM177" s="117" t="str">
        <f>IF(LEN(O177)&gt;0,TRIM(CONCATENATE("[Official site](",O177,") ",IF(LEN(P177)&gt;0,"- "&amp;P177,P177))),"")</f>
        <v>[Official site](https://clearcreekmonks.org)</v>
      </c>
      <c r="BN177" s="117" t="str">
        <f>IF(LEN(R177)&gt;0,TRIM(CONCATENATE("["&amp;Q177&amp;"](",R177,") ",IF(LEN(S177)&gt;0,"- "&amp;S177,S177))),"")</f>
        <v/>
      </c>
      <c r="BO177" s="117" t="str">
        <f>IF(LEN(U177)&gt;0,TRIM(CONCATENATE("["&amp;T177&amp;"](",U177,") ",IF(LEN(V177)&gt;0,"- "&amp;V177,V177))),"")</f>
        <v/>
      </c>
      <c r="BP177" s="117" t="str">
        <f>IF(LEN(X177)&gt;0,TRIM(CONCATENATE("["&amp;W177&amp;"](",X177,") ",IF(LEN(Y177)&gt;0,"- "&amp;Y177,Y177))),"")</f>
        <v/>
      </c>
      <c r="BQ177" s="117" t="str">
        <f>IF(LEN(BM177)&gt;0,"* "&amp;BM177&amp;CHAR(10),"")&amp;
IF(LEN(BN177)&gt;0,"* "&amp;BN177&amp;CHAR(10),"")&amp;
IF(LEN(BO177)&gt;0,"* "&amp;BO177&amp;CHAR(10),"")&amp;
IF(LEN(BP177)&gt;0,"* "&amp;BP177&amp;CHAR(10),"")</f>
        <v xml:space="preserve">* [Official site](https://clearcreekmonks.org)
</v>
      </c>
      <c r="BR177" s="117" t="str">
        <f>IF(LEN(AL177)&gt;0,TRIM(CONCATENATE("[Link](",AL177,") ",AM177)),"")</f>
        <v/>
      </c>
      <c r="BS177" s="117" t="str">
        <f>IF(LEN(AN177)&gt;0,TRIM(CONCATENATE("[Link](",AN177,") ",AO177)),"")</f>
        <v/>
      </c>
      <c r="BT177" s="117" t="str">
        <f>IF(LEN(AP177)&gt;0,TRIM(CONCATENATE("[Link](",AP177,") ",AQ177)),"")</f>
        <v/>
      </c>
      <c r="BU177" s="117" t="str">
        <f>IF(LEN(_xludf.concat(BR177:BT177))&gt;0,_xludf.concat("| ",BR177," | ",BS177," | ",BT177," |"),"")</f>
        <v/>
      </c>
      <c r="BV177" s="117" t="str">
        <f>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benedictine_x000D_
- solesmes_x000D_
- benedictine-abbey_x000D_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e">
        <f>IF(LEN(AB177)&gt;1,VLOOKUP(AB177,#REF!,2,),"")</f>
        <v>#REF!</v>
      </c>
      <c r="CG177" s="12" t="e">
        <f>IF(LEN(Z177)&gt;1,GetTagPage(CD177,Z177),"")</f>
        <v>#VALUE!</v>
      </c>
      <c r="CH177" s="12" t="e">
        <f>IF(LEN(AA177)&gt;1,GetTagPage(CE177,AA177),"")</f>
        <v>#VALUE!</v>
      </c>
      <c r="CI177" s="12" t="e">
        <f>IF(LEN(AB177)&gt;1,GetTagPage(CF177,AB177),"")</f>
        <v>#VALUE!</v>
      </c>
      <c r="CJ177" s="12" t="e">
        <f>"|"&amp;IF(LEN(CG177)&gt;1," "&amp;CG177,"")&amp;IF(LEN(CH177)&gt;1,", "&amp;CH177,"")&amp;IF(LEN(CI177)&gt;1,", "&amp;CI177,"")&amp;" "</f>
        <v>#VALUE!</v>
      </c>
      <c r="CK177" s="12" t="str">
        <f>"|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"&amp;AK177&amp;" "</f>
        <v xml:space="preserve">|  </v>
      </c>
      <c r="CN177" s="12" t="str">
        <f>"|"&amp;IF(AS177," [Link](/places/"&amp;SUBSTITUTE(CB177,".md","")&amp;")","")&amp;" "</f>
        <v xml:space="preserve">| [Link](/places/places\us_ok-tulsa-our-lady-of-clear-creek-abbey) </v>
      </c>
      <c r="CO177" s="12" t="e">
        <f>"
"&amp;CK177&amp;CL177&amp;CM177&amp;CN177&amp;BM177&amp;BR177&amp;BS177&amp;BT177&amp;CJ177&amp;"|"</f>
        <v>#VALUE!</v>
      </c>
    </row>
  </sheetData>
  <autoFilter ref="A5:CP141" xr:uid="{1F42FE33-8E3C-4CCA-BACD-45C80E7F4A0D}"/>
  <conditionalFormatting sqref="AJ1:AQ145 AJ177:AQ1048576">
    <cfRule type="expression" dxfId="36" priority="127">
      <formula>IF(AND($A1&lt;&gt;0,$K1=0),TRUE,FALSE)</formula>
    </cfRule>
  </conditionalFormatting>
  <conditionalFormatting sqref="A1:AQ145 A178:AQ1048576 A177:Y177 AC177:AQ177">
    <cfRule type="expression" dxfId="35" priority="121" stopIfTrue="1">
      <formula>IF($A1="New (change to Done when complete)",TRUE,FALSE)</formula>
    </cfRule>
    <cfRule type="expression" dxfId="34" priority="122" stopIfTrue="1">
      <formula>IF($A1="Blocked",TRUE,FALSE)</formula>
    </cfRule>
    <cfRule type="expression" dxfId="33" priority="123">
      <formula>IF(AND(LEN($A1)&gt;0,$A1&lt;&gt;"Done",$A1&lt;&gt;"Status"),TRUE,FALSE)</formula>
    </cfRule>
  </conditionalFormatting>
  <conditionalFormatting sqref="B1:AQ145 B178:AQ1048576 B177:Y177 AC177:AQ177">
    <cfRule type="expression" dxfId="32" priority="20">
      <formula>IF(B1=B$1,TRUE,FALSE)</formula>
    </cfRule>
  </conditionalFormatting>
  <conditionalFormatting sqref="AJ146:AQ176">
    <cfRule type="expression" dxfId="31" priority="17">
      <formula>IF(AND($A146&lt;&gt;0,$K146=0),TRUE,FALSE)</formula>
    </cfRule>
  </conditionalFormatting>
  <conditionalFormatting sqref="K146:AQ147 K148:M176 O148:AQ176 A146:H176">
    <cfRule type="expression" dxfId="30" priority="14" stopIfTrue="1">
      <formula>IF($A146="New (change to Done when complete)",TRUE,FALSE)</formula>
    </cfRule>
    <cfRule type="expression" dxfId="29" priority="15" stopIfTrue="1">
      <formula>IF($A146="Blocked",TRUE,FALSE)</formula>
    </cfRule>
    <cfRule type="expression" dxfId="28" priority="16">
      <formula>IF(AND(LEN($A146)&gt;0,$A146&lt;&gt;"Done",$A146&lt;&gt;"Status"),TRUE,FALSE)</formula>
    </cfRule>
  </conditionalFormatting>
  <conditionalFormatting sqref="K146:L176 O146:AQ176 B146:H176">
    <cfRule type="expression" dxfId="27" priority="13">
      <formula>IF(B146=B$1,TRUE,FALSE)</formula>
    </cfRule>
  </conditionalFormatting>
  <conditionalFormatting sqref="M146:N147 M148:M176">
    <cfRule type="expression" dxfId="26" priority="18">
      <formula>IF(M146=I$1,TRUE,FALSE)</formula>
    </cfRule>
  </conditionalFormatting>
  <conditionalFormatting sqref="O148:O176">
    <cfRule type="expression" dxfId="25" priority="19">
      <formula>IF(O148=J$1,TRUE,FALSE)</formula>
    </cfRule>
  </conditionalFormatting>
  <conditionalFormatting sqref="Z177">
    <cfRule type="expression" dxfId="11" priority="10" stopIfTrue="1">
      <formula>IF($A177="New (change to Done when complete)",TRUE,FALSE)</formula>
    </cfRule>
    <cfRule type="expression" dxfId="10" priority="11" stopIfTrue="1">
      <formula>IF($A177="Blocked",TRUE,FALSE)</formula>
    </cfRule>
    <cfRule type="expression" dxfId="9" priority="12">
      <formula>IF(AND(LEN($A177)&gt;0,$A177&lt;&gt;"Done",$A177&lt;&gt;"Status"),TRUE,FALSE)</formula>
    </cfRule>
  </conditionalFormatting>
  <conditionalFormatting sqref="Z177">
    <cfRule type="expression" dxfId="8" priority="9">
      <formula>IF(Z177=Z$1,TRUE,FALSE)</formula>
    </cfRule>
  </conditionalFormatting>
  <conditionalFormatting sqref="AA177">
    <cfRule type="expression" dxfId="7" priority="6" stopIfTrue="1">
      <formula>IF($A177="New (change to Done when complete)",TRUE,FALSE)</formula>
    </cfRule>
    <cfRule type="expression" dxfId="6" priority="7" stopIfTrue="1">
      <formula>IF($A177="Blocked",TRUE,FALSE)</formula>
    </cfRule>
    <cfRule type="expression" dxfId="5" priority="8">
      <formula>IF(AND(LEN($A177)&gt;0,$A177&lt;&gt;"Done",$A177&lt;&gt;"Status"),TRUE,FALSE)</formula>
    </cfRule>
  </conditionalFormatting>
  <conditionalFormatting sqref="AA177">
    <cfRule type="expression" dxfId="4" priority="5">
      <formula>IF(AA177=AA$1,TRUE,FALSE)</formula>
    </cfRule>
  </conditionalFormatting>
  <conditionalFormatting sqref="AB177">
    <cfRule type="expression" dxfId="3" priority="2" stopIfTrue="1">
      <formula>IF($A177="New (change to Done when complete)",TRUE,FALSE)</formula>
    </cfRule>
    <cfRule type="expression" dxfId="2" priority="3" stopIfTrue="1">
      <formula>IF($A177="Blocked",TRUE,FALSE)</formula>
    </cfRule>
    <cfRule type="expression" dxfId="1" priority="4">
      <formula>IF(AND(LEN($A177)&gt;0,$A177&lt;&gt;"Done",$A177&lt;&gt;"Status"),TRUE,FALSE)</formula>
    </cfRule>
  </conditionalFormatting>
  <conditionalFormatting sqref="AB177">
    <cfRule type="expression" dxfId="0" priority="1">
      <formula>IF(AB177=AB$1,TRUE,FALSE)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Z1:AI145 AC177:AI1048576 Z178:AB1048576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51" x14ac:dyDescent="0.2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51" x14ac:dyDescent="0.2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C71" s="81"/>
      <c r="D71" s="80"/>
      <c r="F71" s="71"/>
      <c r="I71" s="72"/>
      <c r="K71" s="76"/>
      <c r="CB71" s="6"/>
    </row>
    <row r="72" spans="1:80" x14ac:dyDescent="0.25">
      <c r="C72" s="73"/>
      <c r="D72" s="80"/>
      <c r="E72" s="73"/>
      <c r="F72" s="71"/>
      <c r="I72" s="72"/>
      <c r="CB72" s="6"/>
    </row>
    <row r="73" spans="1:80" x14ac:dyDescent="0.25">
      <c r="C73" s="73"/>
      <c r="D73" s="80"/>
      <c r="F73" s="71"/>
      <c r="G73" s="130"/>
      <c r="H73" s="139"/>
      <c r="I73" s="72"/>
      <c r="CB73" s="6"/>
    </row>
    <row r="74" spans="1:80" x14ac:dyDescent="0.25">
      <c r="C74" s="73"/>
      <c r="D74" s="71"/>
      <c r="F74" s="71"/>
      <c r="I74" s="72"/>
      <c r="CB74" s="6"/>
    </row>
    <row r="75" spans="1:80" x14ac:dyDescent="0.25">
      <c r="C75" s="73"/>
      <c r="D75" s="80"/>
      <c r="F75" s="71"/>
      <c r="G75" s="130"/>
      <c r="H75" s="139"/>
      <c r="I75" s="72"/>
      <c r="L75" s="78"/>
      <c r="CB75" s="6"/>
    </row>
    <row r="76" spans="1:80" x14ac:dyDescent="0.25">
      <c r="C76" s="73"/>
      <c r="D76" s="71"/>
      <c r="E76" s="73"/>
      <c r="F76" s="71"/>
      <c r="CB76" s="6"/>
    </row>
    <row r="77" spans="1:80" x14ac:dyDescent="0.25">
      <c r="D77" s="71"/>
      <c r="E77" s="73"/>
      <c r="F77" s="71"/>
      <c r="CB77" s="6"/>
    </row>
    <row r="78" spans="1:80" x14ac:dyDescent="0.25">
      <c r="F78" s="71"/>
      <c r="G78" s="130"/>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23" priority="3" stopIfTrue="1">
      <formula>IF($A1="New (change to Done when complete)",TRUE,FALSE)</formula>
    </cfRule>
    <cfRule type="expression" dxfId="22" priority="4" stopIfTrue="1">
      <formula>IF($A1="Blocked",TRUE,FALSE)</formula>
    </cfRule>
    <cfRule type="expression" dxfId="21" priority="5">
      <formula>IF(AND(LEN($A1)&gt;0,$A1&lt;&gt;"Done",$A1&lt;&gt;"Status"),TRUE,FALSE)</formula>
    </cfRule>
  </conditionalFormatting>
  <conditionalFormatting sqref="B1:Q1048576">
    <cfRule type="expression" dxfId="2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9" priority="2" stopIfTrue="1">
      <formula>IF($A1="New (change to Done when complete)",TRUE,FALSE)</formula>
    </cfRule>
    <cfRule type="expression" dxfId="18" priority="3" stopIfTrue="1">
      <formula>IF($A1="Blocked",TRUE,FALSE)</formula>
    </cfRule>
    <cfRule type="expression" dxfId="17" priority="4">
      <formula>IF(AND(LEN($A1)&gt;0,$A1&lt;&gt;"Done",$A1&lt;&gt;"Status"),TRUE,FALSE)</formula>
    </cfRule>
  </conditionalFormatting>
  <conditionalFormatting sqref="B1:Q1048576">
    <cfRule type="expression" dxfId="16"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8"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15" priority="2" stopIfTrue="1">
      <formula>IF($A1="New (change to Done when complete)",TRUE,FALSE)</formula>
    </cfRule>
    <cfRule type="expression" dxfId="14" priority="3" stopIfTrue="1">
      <formula>IF($A1="Blocked",TRUE,FALSE)</formula>
    </cfRule>
    <cfRule type="expression" dxfId="13" priority="4">
      <formula>IF(AND(LEN($A1)&gt;0,$A1&lt;&gt;"Done",$A1&lt;&gt;"Status"),TRUE,FALSE)</formula>
    </cfRule>
  </conditionalFormatting>
  <conditionalFormatting sqref="B1:T1048576">
    <cfRule type="expression" dxfId="12"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2024-07-29T02:41:09Z</dcterms:modified>
</cp:coreProperties>
</file>