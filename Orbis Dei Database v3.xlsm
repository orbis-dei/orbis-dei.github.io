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jmuel\Documents\GitHub\orbis-dei.github.io\"/>
    </mc:Choice>
  </mc:AlternateContent>
  <xr:revisionPtr revIDLastSave="0" documentId="13_ncr:1_{4057EE01-8BAA-49B1-85DD-260ECA8D95BA}" xr6:coauthVersionLast="47" xr6:coauthVersionMax="47" xr10:uidLastSave="{00000000-0000-0000-0000-000000000000}"/>
  <bookViews>
    <workbookView xWindow="-120" yWindow="-120" windowWidth="29040" windowHeight="17520" firstSheet="1" activeTab="1" xr2:uid="{8DFEE2B0-96F0-470A-9396-053C4BBAF42B}"/>
  </bookViews>
  <sheets>
    <sheet name="WP Site" sheetId="4" state="hidden" r:id="rId1"/>
    <sheet name="Places" sheetId="11" r:id="rId2"/>
    <sheet name="Tags" sheetId="13" r:id="rId3"/>
    <sheet name="Local Tags" sheetId="14" r:id="rId4"/>
    <sheet name="Country Tags" sheetId="16" r:id="rId5"/>
  </sheets>
  <functionGroups builtInGroupCount="19"/>
  <definedNames>
    <definedName name="_xlnm._FilterDatabase" localSheetId="4" hidden="1">'Country Tags'!$A$5:$CB$140</definedName>
    <definedName name="_xlnm._FilterDatabase" localSheetId="3" hidden="1">'Local Tags'!$A$5:$CB$140</definedName>
    <definedName name="_xlnm._FilterDatabase" localSheetId="1" hidden="1">Places!$A$5:$CP$141</definedName>
    <definedName name="_xlnm._FilterDatabase" localSheetId="2" hidden="1">Tags!$A$5:$CB$140</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257" i="16" l="1"/>
  <c r="E258" i="16"/>
  <c r="E259" i="16"/>
  <c r="E260" i="16"/>
  <c r="E261" i="16"/>
  <c r="E262" i="16"/>
  <c r="E263" i="16"/>
  <c r="E264" i="16"/>
  <c r="E265" i="16"/>
  <c r="E266" i="16"/>
  <c r="E267" i="16"/>
  <c r="E268" i="16"/>
  <c r="E269" i="16"/>
  <c r="E270" i="16"/>
  <c r="E271" i="16"/>
  <c r="E272" i="16"/>
  <c r="E273" i="16"/>
  <c r="E274" i="16"/>
  <c r="E275" i="16"/>
  <c r="E276" i="16"/>
  <c r="E277" i="16"/>
  <c r="E278" i="16"/>
  <c r="E279" i="16"/>
  <c r="E280" i="16"/>
  <c r="E281" i="16"/>
  <c r="E282" i="16"/>
  <c r="E283" i="16"/>
  <c r="E284" i="16"/>
  <c r="E285" i="16"/>
  <c r="E286" i="16"/>
  <c r="E287" i="16"/>
  <c r="E288" i="16"/>
  <c r="E289" i="16"/>
  <c r="E290" i="16"/>
  <c r="E291" i="16"/>
  <c r="E292" i="16"/>
  <c r="E293" i="16"/>
  <c r="E294" i="16"/>
  <c r="E295" i="16"/>
  <c r="E296" i="16"/>
  <c r="E297" i="16"/>
  <c r="E298" i="16"/>
  <c r="E299" i="16"/>
  <c r="E300" i="16"/>
  <c r="E301" i="16"/>
  <c r="E302" i="16"/>
  <c r="E303" i="16"/>
  <c r="E304" i="16"/>
  <c r="E305" i="16"/>
  <c r="E256" i="16"/>
  <c r="AW7" i="11"/>
  <c r="AW8" i="11"/>
  <c r="AW9" i="11"/>
  <c r="AW10" i="11"/>
  <c r="AW11" i="11"/>
  <c r="AW12" i="11"/>
  <c r="AW13" i="11"/>
  <c r="AW14" i="11"/>
  <c r="AW15" i="11"/>
  <c r="AW16" i="11"/>
  <c r="AW17" i="11"/>
  <c r="AW18" i="11"/>
  <c r="AW19" i="11"/>
  <c r="AW20" i="11"/>
  <c r="AW21" i="11"/>
  <c r="AW22" i="11"/>
  <c r="AW23" i="11"/>
  <c r="AW24" i="11"/>
  <c r="AW25" i="11"/>
  <c r="AW26" i="11"/>
  <c r="AW27" i="11"/>
  <c r="AW28" i="11"/>
  <c r="AW29" i="11"/>
  <c r="AW30" i="11"/>
  <c r="AW31" i="11"/>
  <c r="AW32" i="11"/>
  <c r="AW33" i="11"/>
  <c r="AW34" i="11"/>
  <c r="AW35" i="11"/>
  <c r="AW36" i="11"/>
  <c r="AW37" i="11"/>
  <c r="AW38" i="11"/>
  <c r="AW39" i="11"/>
  <c r="AW40" i="11"/>
  <c r="AW41" i="11"/>
  <c r="AW42" i="11"/>
  <c r="AW43" i="11"/>
  <c r="AW44" i="11"/>
  <c r="AW45" i="11"/>
  <c r="AW46" i="11"/>
  <c r="AW47" i="11"/>
  <c r="AW48" i="11"/>
  <c r="AW49" i="11"/>
  <c r="AW50" i="11"/>
  <c r="AW51" i="11"/>
  <c r="AW52" i="11"/>
  <c r="AW53" i="11"/>
  <c r="AW54" i="11"/>
  <c r="AW55" i="11"/>
  <c r="AW56" i="11"/>
  <c r="AW57" i="11"/>
  <c r="AW58" i="11"/>
  <c r="AW59" i="11"/>
  <c r="AW60" i="11"/>
  <c r="AW61" i="11"/>
  <c r="AW62" i="11"/>
  <c r="AW63" i="11"/>
  <c r="AW64" i="11"/>
  <c r="AW65" i="11"/>
  <c r="AW66" i="11"/>
  <c r="AW67" i="11"/>
  <c r="AW68" i="11"/>
  <c r="AW69" i="11"/>
  <c r="AW70" i="11"/>
  <c r="AW71" i="11"/>
  <c r="AW72" i="11"/>
  <c r="AW73" i="11"/>
  <c r="AW74" i="11"/>
  <c r="AW75" i="11"/>
  <c r="AW76" i="11"/>
  <c r="AW77" i="11"/>
  <c r="AW78" i="11"/>
  <c r="AW79" i="11"/>
  <c r="AW80" i="11"/>
  <c r="AW81" i="11"/>
  <c r="AW82" i="11"/>
  <c r="AW83" i="11"/>
  <c r="AW84" i="11"/>
  <c r="AW85" i="11"/>
  <c r="AW86" i="11"/>
  <c r="AW127" i="11"/>
  <c r="AW128" i="11"/>
  <c r="AW129" i="11"/>
  <c r="AW130" i="11"/>
  <c r="AW131" i="11"/>
  <c r="AW132" i="11"/>
  <c r="AW133" i="11"/>
  <c r="AW134" i="11"/>
  <c r="AW135" i="11"/>
  <c r="AW136" i="11"/>
  <c r="AW137" i="11"/>
  <c r="AW138" i="11"/>
  <c r="AW139" i="11"/>
  <c r="AW6" i="11"/>
  <c r="AW1" i="11"/>
  <c r="V7" i="16"/>
  <c r="W7" i="16"/>
  <c r="X7" i="16"/>
  <c r="Y7" i="16"/>
  <c r="Z7" i="16"/>
  <c r="AC7" i="16"/>
  <c r="AD7" i="16"/>
  <c r="CB7" i="16"/>
  <c r="V8" i="16"/>
  <c r="W8" i="16"/>
  <c r="X8" i="16"/>
  <c r="AA8" i="16" s="1"/>
  <c r="AB8" i="16" s="1"/>
  <c r="Y8" i="16"/>
  <c r="Z8" i="16"/>
  <c r="AC8" i="16"/>
  <c r="AD8" i="16"/>
  <c r="V9" i="16"/>
  <c r="CB9" i="16" s="1"/>
  <c r="W9" i="16"/>
  <c r="X9" i="16"/>
  <c r="Y9" i="16"/>
  <c r="Z9" i="16"/>
  <c r="AA9" i="16" s="1"/>
  <c r="AB9" i="16" s="1"/>
  <c r="AC9" i="16"/>
  <c r="AD9" i="16"/>
  <c r="V10" i="16"/>
  <c r="W10" i="16"/>
  <c r="X10" i="16"/>
  <c r="AA10" i="16" s="1"/>
  <c r="Y10" i="16"/>
  <c r="Z10" i="16"/>
  <c r="AB10" i="16"/>
  <c r="AC10" i="16"/>
  <c r="AD10" i="16"/>
  <c r="CB10" i="16"/>
  <c r="V11" i="16"/>
  <c r="W11" i="16"/>
  <c r="X11" i="16"/>
  <c r="Y11" i="16"/>
  <c r="Z11" i="16"/>
  <c r="AC11" i="16"/>
  <c r="AD11" i="16"/>
  <c r="CB11" i="16"/>
  <c r="V12" i="16"/>
  <c r="W12" i="16"/>
  <c r="X12" i="16"/>
  <c r="AA12" i="16" s="1"/>
  <c r="AB12" i="16" s="1"/>
  <c r="Y12" i="16"/>
  <c r="Z12" i="16"/>
  <c r="AC12" i="16"/>
  <c r="AD12" i="16"/>
  <c r="V13" i="16"/>
  <c r="CB13" i="16" s="1"/>
  <c r="W13" i="16"/>
  <c r="X13" i="16"/>
  <c r="Y13" i="16"/>
  <c r="Z13" i="16"/>
  <c r="AA13" i="16" s="1"/>
  <c r="AB13" i="16" s="1"/>
  <c r="AC13" i="16"/>
  <c r="AD13" i="16"/>
  <c r="V14" i="16"/>
  <c r="W14" i="16"/>
  <c r="X14" i="16"/>
  <c r="AA14" i="16" s="1"/>
  <c r="AB14" i="16" s="1"/>
  <c r="Y14" i="16"/>
  <c r="Z14" i="16"/>
  <c r="AC14" i="16"/>
  <c r="AD14" i="16"/>
  <c r="CB14" i="16"/>
  <c r="V15" i="16"/>
  <c r="W15" i="16"/>
  <c r="X15" i="16"/>
  <c r="Y15" i="16"/>
  <c r="Z15" i="16"/>
  <c r="AC15" i="16"/>
  <c r="AD15" i="16"/>
  <c r="CB15" i="16"/>
  <c r="V16" i="16"/>
  <c r="W16" i="16"/>
  <c r="X16" i="16"/>
  <c r="AA16" i="16" s="1"/>
  <c r="AB16" i="16" s="1"/>
  <c r="Y16" i="16"/>
  <c r="Z16" i="16"/>
  <c r="AC16" i="16"/>
  <c r="AD16" i="16"/>
  <c r="V17" i="16"/>
  <c r="CB17" i="16" s="1"/>
  <c r="W17" i="16"/>
  <c r="X17" i="16"/>
  <c r="Y17" i="16"/>
  <c r="Z17" i="16"/>
  <c r="AA17" i="16" s="1"/>
  <c r="AB17" i="16" s="1"/>
  <c r="AC17" i="16"/>
  <c r="AD17" i="16"/>
  <c r="V18" i="16"/>
  <c r="W18" i="16"/>
  <c r="X18" i="16"/>
  <c r="AA18" i="16" s="1"/>
  <c r="Y18" i="16"/>
  <c r="Z18" i="16"/>
  <c r="AB18" i="16"/>
  <c r="AC18" i="16"/>
  <c r="AD18" i="16"/>
  <c r="CB18" i="16"/>
  <c r="V19" i="16"/>
  <c r="W19" i="16"/>
  <c r="X19" i="16"/>
  <c r="Y19" i="16"/>
  <c r="Z19" i="16"/>
  <c r="AC19" i="16"/>
  <c r="AD19" i="16"/>
  <c r="CB19" i="16"/>
  <c r="V20" i="16"/>
  <c r="W20" i="16"/>
  <c r="X20" i="16"/>
  <c r="AA20" i="16" s="1"/>
  <c r="AB20" i="16" s="1"/>
  <c r="Y20" i="16"/>
  <c r="Z20" i="16"/>
  <c r="AC20" i="16"/>
  <c r="AD20" i="16"/>
  <c r="V21" i="16"/>
  <c r="CB21" i="16" s="1"/>
  <c r="W21" i="16"/>
  <c r="X21" i="16"/>
  <c r="Y21" i="16"/>
  <c r="Z21" i="16"/>
  <c r="AA21" i="16" s="1"/>
  <c r="AB21" i="16" s="1"/>
  <c r="AC21" i="16"/>
  <c r="AD21" i="16"/>
  <c r="V22" i="16"/>
  <c r="W22" i="16"/>
  <c r="X22" i="16"/>
  <c r="AA22" i="16" s="1"/>
  <c r="AB22" i="16" s="1"/>
  <c r="Y22" i="16"/>
  <c r="Z22" i="16"/>
  <c r="AC22" i="16"/>
  <c r="AD22" i="16"/>
  <c r="CB22" i="16"/>
  <c r="V23" i="16"/>
  <c r="W23" i="16"/>
  <c r="X23" i="16"/>
  <c r="Y23" i="16"/>
  <c r="Z23" i="16"/>
  <c r="AC23" i="16"/>
  <c r="AD23" i="16"/>
  <c r="CB23" i="16"/>
  <c r="V24" i="16"/>
  <c r="W24" i="16"/>
  <c r="X24" i="16"/>
  <c r="AA24" i="16" s="1"/>
  <c r="AB24" i="16" s="1"/>
  <c r="Y24" i="16"/>
  <c r="Z24" i="16"/>
  <c r="AC24" i="16"/>
  <c r="AD24" i="16"/>
  <c r="V25" i="16"/>
  <c r="CB25" i="16" s="1"/>
  <c r="W25" i="16"/>
  <c r="X25" i="16"/>
  <c r="Y25" i="16"/>
  <c r="Z25" i="16"/>
  <c r="AA25" i="16" s="1"/>
  <c r="AB25" i="16" s="1"/>
  <c r="AC25" i="16"/>
  <c r="AD25" i="16"/>
  <c r="V26" i="16"/>
  <c r="W26" i="16"/>
  <c r="X26" i="16"/>
  <c r="AA26" i="16" s="1"/>
  <c r="Y26" i="16"/>
  <c r="Z26" i="16"/>
  <c r="AB26" i="16"/>
  <c r="AC26" i="16"/>
  <c r="AD26" i="16"/>
  <c r="CB26" i="16"/>
  <c r="V27" i="16"/>
  <c r="W27" i="16"/>
  <c r="X27" i="16"/>
  <c r="Y27" i="16"/>
  <c r="Z27" i="16"/>
  <c r="AC27" i="16"/>
  <c r="AD27" i="16"/>
  <c r="CB27" i="16"/>
  <c r="V28" i="16"/>
  <c r="W28" i="16"/>
  <c r="X28" i="16"/>
  <c r="AA28" i="16" s="1"/>
  <c r="AB28" i="16" s="1"/>
  <c r="Y28" i="16"/>
  <c r="Z28" i="16"/>
  <c r="AC28" i="16"/>
  <c r="AD28" i="16"/>
  <c r="V29" i="16"/>
  <c r="CB29" i="16" s="1"/>
  <c r="W29" i="16"/>
  <c r="X29" i="16"/>
  <c r="Y29" i="16"/>
  <c r="Z29" i="16"/>
  <c r="AA29" i="16" s="1"/>
  <c r="AB29" i="16" s="1"/>
  <c r="AC29" i="16"/>
  <c r="AD29" i="16"/>
  <c r="V30" i="16"/>
  <c r="W30" i="16"/>
  <c r="X30" i="16"/>
  <c r="AA30" i="16" s="1"/>
  <c r="AB30" i="16" s="1"/>
  <c r="Y30" i="16"/>
  <c r="Z30" i="16"/>
  <c r="AC30" i="16"/>
  <c r="AD30" i="16"/>
  <c r="CB30" i="16"/>
  <c r="V31" i="16"/>
  <c r="W31" i="16"/>
  <c r="X31" i="16"/>
  <c r="Y31" i="16"/>
  <c r="Z31" i="16"/>
  <c r="AC31" i="16"/>
  <c r="AD31" i="16"/>
  <c r="CB31" i="16"/>
  <c r="V32" i="16"/>
  <c r="W32" i="16"/>
  <c r="X32" i="16"/>
  <c r="Y32" i="16"/>
  <c r="AA32" i="16" s="1"/>
  <c r="AB32" i="16" s="1"/>
  <c r="Z32" i="16"/>
  <c r="AC32" i="16"/>
  <c r="AD32" i="16"/>
  <c r="V33" i="16"/>
  <c r="CB33" i="16" s="1"/>
  <c r="W33" i="16"/>
  <c r="X33" i="16"/>
  <c r="Y33" i="16"/>
  <c r="Z33" i="16"/>
  <c r="AA33" i="16" s="1"/>
  <c r="AB33" i="16" s="1"/>
  <c r="AC33" i="16"/>
  <c r="AD33" i="16"/>
  <c r="V34" i="16"/>
  <c r="W34" i="16"/>
  <c r="X34" i="16"/>
  <c r="AA34" i="16" s="1"/>
  <c r="Y34" i="16"/>
  <c r="Z34" i="16"/>
  <c r="AB34" i="16"/>
  <c r="AC34" i="16"/>
  <c r="AD34" i="16"/>
  <c r="CB34" i="16"/>
  <c r="V35" i="16"/>
  <c r="W35" i="16"/>
  <c r="X35" i="16"/>
  <c r="Y35" i="16"/>
  <c r="Z35" i="16"/>
  <c r="AC35" i="16"/>
  <c r="AD35" i="16"/>
  <c r="CB35" i="16"/>
  <c r="V36" i="16"/>
  <c r="W36" i="16"/>
  <c r="X36" i="16"/>
  <c r="Y36" i="16"/>
  <c r="AA36" i="16" s="1"/>
  <c r="AB36" i="16" s="1"/>
  <c r="Z36" i="16"/>
  <c r="AC36" i="16"/>
  <c r="AD36" i="16"/>
  <c r="V37" i="16"/>
  <c r="CB37" i="16" s="1"/>
  <c r="W37" i="16"/>
  <c r="X37" i="16"/>
  <c r="Y37" i="16"/>
  <c r="Z37" i="16"/>
  <c r="AA37" i="16" s="1"/>
  <c r="AB37" i="16" s="1"/>
  <c r="AC37" i="16"/>
  <c r="AD37" i="16"/>
  <c r="V38" i="16"/>
  <c r="W38" i="16"/>
  <c r="X38" i="16"/>
  <c r="AA38" i="16" s="1"/>
  <c r="AB38" i="16" s="1"/>
  <c r="Y38" i="16"/>
  <c r="Z38" i="16"/>
  <c r="AC38" i="16"/>
  <c r="AD38" i="16"/>
  <c r="CB38" i="16"/>
  <c r="V39" i="16"/>
  <c r="W39" i="16"/>
  <c r="X39" i="16"/>
  <c r="Y39" i="16"/>
  <c r="Z39" i="16"/>
  <c r="AC39" i="16"/>
  <c r="AD39" i="16"/>
  <c r="CB39" i="16"/>
  <c r="V40" i="16"/>
  <c r="W40" i="16"/>
  <c r="X40" i="16"/>
  <c r="Y40" i="16"/>
  <c r="AA40" i="16" s="1"/>
  <c r="AB40" i="16" s="1"/>
  <c r="Z40" i="16"/>
  <c r="AC40" i="16"/>
  <c r="AD40" i="16"/>
  <c r="V41" i="16"/>
  <c r="CB41" i="16" s="1"/>
  <c r="W41" i="16"/>
  <c r="X41" i="16"/>
  <c r="Y41" i="16"/>
  <c r="Z41" i="16"/>
  <c r="AA41" i="16" s="1"/>
  <c r="AB41" i="16" s="1"/>
  <c r="AC41" i="16"/>
  <c r="AD41" i="16"/>
  <c r="V42" i="16"/>
  <c r="W42" i="16"/>
  <c r="X42" i="16"/>
  <c r="AA42" i="16" s="1"/>
  <c r="Y42" i="16"/>
  <c r="Z42" i="16"/>
  <c r="AB42" i="16"/>
  <c r="AC42" i="16"/>
  <c r="AD42" i="16"/>
  <c r="CB42" i="16"/>
  <c r="V43" i="16"/>
  <c r="W43" i="16"/>
  <c r="X43" i="16"/>
  <c r="Y43" i="16"/>
  <c r="Z43" i="16"/>
  <c r="AC43" i="16"/>
  <c r="AD43" i="16"/>
  <c r="CB43" i="16"/>
  <c r="V44" i="16"/>
  <c r="W44" i="16"/>
  <c r="X44" i="16"/>
  <c r="Y44" i="16"/>
  <c r="AA44" i="16" s="1"/>
  <c r="AB44" i="16" s="1"/>
  <c r="Z44" i="16"/>
  <c r="AC44" i="16"/>
  <c r="AD44" i="16"/>
  <c r="V45" i="16"/>
  <c r="CB45" i="16" s="1"/>
  <c r="W45" i="16"/>
  <c r="X45" i="16"/>
  <c r="Y45" i="16"/>
  <c r="Z45" i="16"/>
  <c r="AA45" i="16" s="1"/>
  <c r="AB45" i="16" s="1"/>
  <c r="AC45" i="16"/>
  <c r="AD45" i="16"/>
  <c r="V46" i="16"/>
  <c r="W46" i="16"/>
  <c r="X46" i="16"/>
  <c r="AA46" i="16" s="1"/>
  <c r="AB46" i="16" s="1"/>
  <c r="Y46" i="16"/>
  <c r="Z46" i="16"/>
  <c r="AC46" i="16"/>
  <c r="AD46" i="16"/>
  <c r="CB46" i="16"/>
  <c r="V47" i="16"/>
  <c r="W47" i="16"/>
  <c r="X47" i="16"/>
  <c r="Y47" i="16"/>
  <c r="Z47" i="16"/>
  <c r="AC47" i="16"/>
  <c r="AD47" i="16"/>
  <c r="CB47" i="16"/>
  <c r="V48" i="16"/>
  <c r="W48" i="16"/>
  <c r="X48" i="16"/>
  <c r="Y48" i="16"/>
  <c r="AA48" i="16" s="1"/>
  <c r="AB48" i="16" s="1"/>
  <c r="Z48" i="16"/>
  <c r="AC48" i="16"/>
  <c r="AD48" i="16"/>
  <c r="V49" i="16"/>
  <c r="CB49" i="16" s="1"/>
  <c r="W49" i="16"/>
  <c r="X49" i="16"/>
  <c r="Y49" i="16"/>
  <c r="Z49" i="16"/>
  <c r="AA49" i="16" s="1"/>
  <c r="AB49" i="16" s="1"/>
  <c r="AC49" i="16"/>
  <c r="AD49" i="16"/>
  <c r="V50" i="16"/>
  <c r="W50" i="16"/>
  <c r="X50" i="16"/>
  <c r="AA50" i="16" s="1"/>
  <c r="Y50" i="16"/>
  <c r="Z50" i="16"/>
  <c r="AB50" i="16"/>
  <c r="AC50" i="16"/>
  <c r="AD50" i="16"/>
  <c r="CB50" i="16"/>
  <c r="V51" i="16"/>
  <c r="W51" i="16"/>
  <c r="X51" i="16"/>
  <c r="Y51" i="16"/>
  <c r="Z51" i="16"/>
  <c r="AC51" i="16"/>
  <c r="AD51" i="16"/>
  <c r="CB51" i="16"/>
  <c r="V52" i="16"/>
  <c r="W52" i="16"/>
  <c r="X52" i="16"/>
  <c r="Y52" i="16"/>
  <c r="AA52" i="16" s="1"/>
  <c r="AB52" i="16" s="1"/>
  <c r="Z52" i="16"/>
  <c r="AC52" i="16"/>
  <c r="AD52" i="16"/>
  <c r="V53" i="16"/>
  <c r="CB53" i="16" s="1"/>
  <c r="W53" i="16"/>
  <c r="X53" i="16"/>
  <c r="Y53" i="16"/>
  <c r="Z53" i="16"/>
  <c r="AA53" i="16" s="1"/>
  <c r="AB53" i="16" s="1"/>
  <c r="AC53" i="16"/>
  <c r="AD53" i="16"/>
  <c r="V54" i="16"/>
  <c r="W54" i="16"/>
  <c r="X54" i="16"/>
  <c r="AA54" i="16" s="1"/>
  <c r="AB54" i="16" s="1"/>
  <c r="Y54" i="16"/>
  <c r="Z54" i="16"/>
  <c r="AC54" i="16"/>
  <c r="AD54" i="16"/>
  <c r="CB54" i="16"/>
  <c r="V55" i="16"/>
  <c r="W55" i="16"/>
  <c r="X55" i="16"/>
  <c r="Y55" i="16"/>
  <c r="Z55" i="16"/>
  <c r="AC55" i="16"/>
  <c r="AD55" i="16"/>
  <c r="CB55" i="16"/>
  <c r="V56" i="16"/>
  <c r="W56" i="16"/>
  <c r="X56" i="16"/>
  <c r="Y56" i="16"/>
  <c r="AA56" i="16" s="1"/>
  <c r="AB56" i="16" s="1"/>
  <c r="Z56" i="16"/>
  <c r="AC56" i="16"/>
  <c r="AD56" i="16"/>
  <c r="V57" i="16"/>
  <c r="CB57" i="16" s="1"/>
  <c r="W57" i="16"/>
  <c r="X57" i="16"/>
  <c r="Y57" i="16"/>
  <c r="Z57" i="16"/>
  <c r="AA57" i="16" s="1"/>
  <c r="AB57" i="16" s="1"/>
  <c r="AC57" i="16"/>
  <c r="AD57" i="16"/>
  <c r="V58" i="16"/>
  <c r="W58" i="16"/>
  <c r="X58" i="16"/>
  <c r="AA58" i="16" s="1"/>
  <c r="Y58" i="16"/>
  <c r="Z58" i="16"/>
  <c r="AB58" i="16"/>
  <c r="AC58" i="16"/>
  <c r="AD58" i="16"/>
  <c r="CB58" i="16"/>
  <c r="V59" i="16"/>
  <c r="W59" i="16"/>
  <c r="X59" i="16"/>
  <c r="Y59" i="16"/>
  <c r="Z59" i="16"/>
  <c r="AC59" i="16"/>
  <c r="AD59" i="16"/>
  <c r="CB59" i="16"/>
  <c r="V60" i="16"/>
  <c r="W60" i="16"/>
  <c r="X60" i="16"/>
  <c r="Y60" i="16"/>
  <c r="AA60" i="16" s="1"/>
  <c r="AB60" i="16" s="1"/>
  <c r="Z60" i="16"/>
  <c r="AC60" i="16"/>
  <c r="AD60" i="16"/>
  <c r="V61" i="16"/>
  <c r="CB61" i="16" s="1"/>
  <c r="W61" i="16"/>
  <c r="X61" i="16"/>
  <c r="Y61" i="16"/>
  <c r="Z61" i="16"/>
  <c r="AA61" i="16" s="1"/>
  <c r="AB61" i="16" s="1"/>
  <c r="AC61" i="16"/>
  <c r="AD61" i="16"/>
  <c r="V62" i="16"/>
  <c r="W62" i="16"/>
  <c r="X62" i="16"/>
  <c r="AA62" i="16" s="1"/>
  <c r="AB62" i="16" s="1"/>
  <c r="Y62" i="16"/>
  <c r="Z62" i="16"/>
  <c r="AC62" i="16"/>
  <c r="AD62" i="16"/>
  <c r="CB62" i="16"/>
  <c r="V63" i="16"/>
  <c r="W63" i="16"/>
  <c r="X63" i="16"/>
  <c r="Y63" i="16"/>
  <c r="Z63" i="16"/>
  <c r="AC63" i="16"/>
  <c r="AD63" i="16"/>
  <c r="CB63" i="16"/>
  <c r="V64" i="16"/>
  <c r="W64" i="16"/>
  <c r="X64" i="16"/>
  <c r="Y64" i="16"/>
  <c r="AA64" i="16" s="1"/>
  <c r="AB64" i="16" s="1"/>
  <c r="Z64" i="16"/>
  <c r="AC64" i="16"/>
  <c r="AD64" i="16"/>
  <c r="V65" i="16"/>
  <c r="CB65" i="16" s="1"/>
  <c r="W65" i="16"/>
  <c r="X65" i="16"/>
  <c r="Y65" i="16"/>
  <c r="Z65" i="16"/>
  <c r="AA65" i="16" s="1"/>
  <c r="AB65" i="16" s="1"/>
  <c r="AC65" i="16"/>
  <c r="AD65" i="16"/>
  <c r="V66" i="16"/>
  <c r="W66" i="16"/>
  <c r="X66" i="16"/>
  <c r="AA66" i="16" s="1"/>
  <c r="Y66" i="16"/>
  <c r="Z66" i="16"/>
  <c r="AB66" i="16"/>
  <c r="AC66" i="16"/>
  <c r="AD66" i="16"/>
  <c r="CB66" i="16"/>
  <c r="V67" i="16"/>
  <c r="W67" i="16"/>
  <c r="X67" i="16"/>
  <c r="Y67" i="16"/>
  <c r="Z67" i="16"/>
  <c r="AC67" i="16"/>
  <c r="AD67" i="16"/>
  <c r="CB67" i="16"/>
  <c r="V68" i="16"/>
  <c r="W68" i="16"/>
  <c r="X68" i="16"/>
  <c r="Y68" i="16"/>
  <c r="AA68" i="16" s="1"/>
  <c r="AB68" i="16" s="1"/>
  <c r="Z68" i="16"/>
  <c r="AC68" i="16"/>
  <c r="AD68" i="16"/>
  <c r="V69" i="16"/>
  <c r="CB69" i="16" s="1"/>
  <c r="W69" i="16"/>
  <c r="X69" i="16"/>
  <c r="Y69" i="16"/>
  <c r="Z69" i="16"/>
  <c r="AA69" i="16" s="1"/>
  <c r="AB69" i="16" s="1"/>
  <c r="AC69" i="16"/>
  <c r="AD69" i="16"/>
  <c r="V70" i="16"/>
  <c r="W70" i="16"/>
  <c r="X70" i="16"/>
  <c r="AA70" i="16" s="1"/>
  <c r="AB70" i="16" s="1"/>
  <c r="Y70" i="16"/>
  <c r="Z70" i="16"/>
  <c r="AC70" i="16"/>
  <c r="AD70" i="16"/>
  <c r="CB70" i="16"/>
  <c r="V71" i="16"/>
  <c r="W71" i="16"/>
  <c r="X71" i="16"/>
  <c r="Y71" i="16"/>
  <c r="Z71" i="16"/>
  <c r="AC71" i="16"/>
  <c r="AD71" i="16"/>
  <c r="CB71" i="16"/>
  <c r="V72" i="16"/>
  <c r="CB72" i="16" s="1"/>
  <c r="W72" i="16"/>
  <c r="X72" i="16"/>
  <c r="Y72" i="16"/>
  <c r="AA72" i="16" s="1"/>
  <c r="AB72" i="16" s="1"/>
  <c r="Z72" i="16"/>
  <c r="AC72" i="16"/>
  <c r="AD72" i="16"/>
  <c r="V73" i="16"/>
  <c r="W73" i="16"/>
  <c r="X73" i="16"/>
  <c r="Y73" i="16"/>
  <c r="Z73" i="16"/>
  <c r="AA73" i="16"/>
  <c r="AB73" i="16" s="1"/>
  <c r="AC73" i="16"/>
  <c r="AD73" i="16"/>
  <c r="CB73" i="16"/>
  <c r="V74" i="16"/>
  <c r="W74" i="16"/>
  <c r="X74" i="16"/>
  <c r="AA74" i="16" s="1"/>
  <c r="AB74" i="16" s="1"/>
  <c r="Y74" i="16"/>
  <c r="Z74" i="16"/>
  <c r="AC74" i="16"/>
  <c r="AD74" i="16"/>
  <c r="CB74" i="16"/>
  <c r="V75" i="16"/>
  <c r="W75" i="16"/>
  <c r="X75" i="16"/>
  <c r="Y75" i="16"/>
  <c r="Z75" i="16"/>
  <c r="AC75" i="16"/>
  <c r="AD75" i="16"/>
  <c r="CB75" i="16"/>
  <c r="V76" i="16"/>
  <c r="CB76" i="16" s="1"/>
  <c r="W76" i="16"/>
  <c r="X76" i="16"/>
  <c r="Y76" i="16"/>
  <c r="AA76" i="16" s="1"/>
  <c r="AB76" i="16" s="1"/>
  <c r="Z76" i="16"/>
  <c r="AC76" i="16"/>
  <c r="AD76" i="16"/>
  <c r="V77" i="16"/>
  <c r="W77" i="16"/>
  <c r="X77" i="16"/>
  <c r="Y77" i="16"/>
  <c r="Z77" i="16"/>
  <c r="AA77" i="16"/>
  <c r="AB77" i="16" s="1"/>
  <c r="AC77" i="16"/>
  <c r="AD77" i="16"/>
  <c r="CB77" i="16"/>
  <c r="V78" i="16"/>
  <c r="W78" i="16"/>
  <c r="X78" i="16"/>
  <c r="AA78" i="16" s="1"/>
  <c r="AB78" i="16" s="1"/>
  <c r="Y78" i="16"/>
  <c r="Z78" i="16"/>
  <c r="AC78" i="16"/>
  <c r="AD78" i="16"/>
  <c r="CB78" i="16"/>
  <c r="V79" i="16"/>
  <c r="W79" i="16"/>
  <c r="X79" i="16"/>
  <c r="Y79" i="16"/>
  <c r="Z79" i="16"/>
  <c r="AC79" i="16"/>
  <c r="AD79" i="16"/>
  <c r="CB79" i="16"/>
  <c r="V80" i="16"/>
  <c r="CB80" i="16" s="1"/>
  <c r="W80" i="16"/>
  <c r="X80" i="16"/>
  <c r="Y80" i="16"/>
  <c r="AA80" i="16" s="1"/>
  <c r="AB80" i="16" s="1"/>
  <c r="Z80" i="16"/>
  <c r="AC80" i="16"/>
  <c r="AD80" i="16"/>
  <c r="V81" i="16"/>
  <c r="W81" i="16"/>
  <c r="X81" i="16"/>
  <c r="Y81" i="16"/>
  <c r="Z81" i="16"/>
  <c r="AA81" i="16"/>
  <c r="AB81" i="16" s="1"/>
  <c r="AC81" i="16"/>
  <c r="AD81" i="16"/>
  <c r="CB81" i="16"/>
  <c r="V82" i="16"/>
  <c r="W82" i="16"/>
  <c r="X82" i="16"/>
  <c r="AA82" i="16" s="1"/>
  <c r="AB82" i="16" s="1"/>
  <c r="Y82" i="16"/>
  <c r="Z82" i="16"/>
  <c r="AC82" i="16"/>
  <c r="AD82" i="16"/>
  <c r="CB82" i="16"/>
  <c r="V83" i="16"/>
  <c r="W83" i="16"/>
  <c r="X83" i="16"/>
  <c r="Y83" i="16"/>
  <c r="Z83" i="16"/>
  <c r="AC83" i="16"/>
  <c r="AD83" i="16"/>
  <c r="CB83" i="16"/>
  <c r="V84" i="16"/>
  <c r="CB84" i="16" s="1"/>
  <c r="W84" i="16"/>
  <c r="X84" i="16"/>
  <c r="Y84" i="16"/>
  <c r="AA84" i="16" s="1"/>
  <c r="AB84" i="16" s="1"/>
  <c r="Z84" i="16"/>
  <c r="AC84" i="16"/>
  <c r="AD84" i="16"/>
  <c r="V85" i="16"/>
  <c r="W85" i="16"/>
  <c r="X85" i="16"/>
  <c r="Y85" i="16"/>
  <c r="Z85" i="16"/>
  <c r="AA85" i="16"/>
  <c r="AB85" i="16" s="1"/>
  <c r="AC85" i="16"/>
  <c r="AD85" i="16"/>
  <c r="CB85" i="16"/>
  <c r="V86" i="16"/>
  <c r="W86" i="16"/>
  <c r="X86" i="16"/>
  <c r="AA86" i="16" s="1"/>
  <c r="AB86" i="16" s="1"/>
  <c r="Y86" i="16"/>
  <c r="Z86" i="16"/>
  <c r="AC86" i="16"/>
  <c r="AD86" i="16"/>
  <c r="CB86" i="16"/>
  <c r="V87" i="16"/>
  <c r="W87" i="16"/>
  <c r="X87" i="16"/>
  <c r="Y87" i="16"/>
  <c r="Z87" i="16"/>
  <c r="AC87" i="16"/>
  <c r="AD87" i="16"/>
  <c r="CB87" i="16"/>
  <c r="V88" i="16"/>
  <c r="CB88" i="16" s="1"/>
  <c r="W88" i="16"/>
  <c r="X88" i="16"/>
  <c r="Y88" i="16"/>
  <c r="AA88" i="16" s="1"/>
  <c r="AB88" i="16" s="1"/>
  <c r="Z88" i="16"/>
  <c r="AC88" i="16"/>
  <c r="AD88" i="16"/>
  <c r="V89" i="16"/>
  <c r="W89" i="16"/>
  <c r="X89" i="16"/>
  <c r="Y89" i="16"/>
  <c r="Z89" i="16"/>
  <c r="AA89" i="16"/>
  <c r="AB89" i="16" s="1"/>
  <c r="AC89" i="16"/>
  <c r="AD89" i="16"/>
  <c r="CB89" i="16"/>
  <c r="V90" i="16"/>
  <c r="W90" i="16"/>
  <c r="X90" i="16"/>
  <c r="AA90" i="16" s="1"/>
  <c r="AB90" i="16" s="1"/>
  <c r="Y90" i="16"/>
  <c r="Z90" i="16"/>
  <c r="AC90" i="16"/>
  <c r="AD90" i="16"/>
  <c r="CB90" i="16"/>
  <c r="V91" i="16"/>
  <c r="W91" i="16"/>
  <c r="X91" i="16"/>
  <c r="Y91" i="16"/>
  <c r="Z91" i="16"/>
  <c r="AC91" i="16"/>
  <c r="AD91" i="16"/>
  <c r="CB91" i="16"/>
  <c r="V92" i="16"/>
  <c r="W92" i="16"/>
  <c r="X92" i="16"/>
  <c r="Y92" i="16"/>
  <c r="AA92" i="16" s="1"/>
  <c r="AB92" i="16" s="1"/>
  <c r="Z92" i="16"/>
  <c r="AC92" i="16"/>
  <c r="AD92" i="16"/>
  <c r="CB92" i="16"/>
  <c r="V93" i="16"/>
  <c r="W93" i="16"/>
  <c r="X93" i="16"/>
  <c r="Y93" i="16"/>
  <c r="Z93" i="16"/>
  <c r="AA93" i="16" s="1"/>
  <c r="AB93" i="16" s="1"/>
  <c r="AC93" i="16"/>
  <c r="AD93" i="16"/>
  <c r="V94" i="16"/>
  <c r="W94" i="16"/>
  <c r="X94" i="16"/>
  <c r="Y94" i="16"/>
  <c r="Z94" i="16"/>
  <c r="AA94" i="16"/>
  <c r="AB94" i="16" s="1"/>
  <c r="AC94" i="16"/>
  <c r="AD94" i="16"/>
  <c r="CB94" i="16"/>
  <c r="V95" i="16"/>
  <c r="W95" i="16"/>
  <c r="X95" i="16"/>
  <c r="AA95" i="16" s="1"/>
  <c r="AB95" i="16" s="1"/>
  <c r="Y95" i="16"/>
  <c r="Z95" i="16"/>
  <c r="AC95" i="16"/>
  <c r="AD95" i="16"/>
  <c r="CB95" i="16"/>
  <c r="V96" i="16"/>
  <c r="W96" i="16"/>
  <c r="X96" i="16"/>
  <c r="Y96" i="16"/>
  <c r="Z96" i="16"/>
  <c r="AC96" i="16"/>
  <c r="AD96" i="16"/>
  <c r="V97" i="16"/>
  <c r="W97" i="16"/>
  <c r="X97" i="16"/>
  <c r="Y97" i="16"/>
  <c r="Z97" i="16"/>
  <c r="AA97" i="16" s="1"/>
  <c r="AB97" i="16" s="1"/>
  <c r="AC97" i="16"/>
  <c r="AD97" i="16"/>
  <c r="V98" i="16"/>
  <c r="W98" i="16"/>
  <c r="X98" i="16"/>
  <c r="Y98" i="16"/>
  <c r="Z98" i="16"/>
  <c r="AA98" i="16"/>
  <c r="AB98" i="16" s="1"/>
  <c r="AC98" i="16"/>
  <c r="AD98" i="16"/>
  <c r="CB98" i="16"/>
  <c r="V99" i="16"/>
  <c r="W99" i="16"/>
  <c r="X99" i="16"/>
  <c r="AA99" i="16" s="1"/>
  <c r="Y99" i="16"/>
  <c r="Z99" i="16"/>
  <c r="AB99" i="16"/>
  <c r="AC99" i="16"/>
  <c r="AD99" i="16"/>
  <c r="CB99" i="16"/>
  <c r="V100" i="16"/>
  <c r="W100" i="16"/>
  <c r="X100" i="16"/>
  <c r="AA100" i="16" s="1"/>
  <c r="AB100" i="16" s="1"/>
  <c r="Y100" i="16"/>
  <c r="Z100" i="16"/>
  <c r="AC100" i="16"/>
  <c r="AD100" i="16"/>
  <c r="V101" i="16"/>
  <c r="W101" i="16"/>
  <c r="X101" i="16"/>
  <c r="Y101" i="16"/>
  <c r="Z101" i="16"/>
  <c r="AA101" i="16" s="1"/>
  <c r="AB101" i="16" s="1"/>
  <c r="AC101" i="16"/>
  <c r="AD101" i="16"/>
  <c r="V102" i="16"/>
  <c r="W102" i="16"/>
  <c r="X102" i="16"/>
  <c r="Y102" i="16"/>
  <c r="Z102" i="16"/>
  <c r="AA102" i="16"/>
  <c r="AB102" i="16" s="1"/>
  <c r="AC102" i="16"/>
  <c r="AD102" i="16"/>
  <c r="CB102" i="16"/>
  <c r="V103" i="16"/>
  <c r="W103" i="16"/>
  <c r="X103" i="16"/>
  <c r="AA103" i="16" s="1"/>
  <c r="AB103" i="16" s="1"/>
  <c r="Y103" i="16"/>
  <c r="Z103" i="16"/>
  <c r="AC103" i="16"/>
  <c r="AD103" i="16"/>
  <c r="CB103" i="16"/>
  <c r="V104" i="16"/>
  <c r="W104" i="16"/>
  <c r="X104" i="16"/>
  <c r="Y104" i="16"/>
  <c r="Z104" i="16"/>
  <c r="AC104" i="16"/>
  <c r="AD104" i="16"/>
  <c r="V105" i="16"/>
  <c r="CB105" i="16" s="1"/>
  <c r="W105" i="16"/>
  <c r="X105" i="16"/>
  <c r="Y105" i="16"/>
  <c r="Z105" i="16"/>
  <c r="AA105" i="16" s="1"/>
  <c r="AB105" i="16" s="1"/>
  <c r="AC105" i="16"/>
  <c r="AD105" i="16"/>
  <c r="V106" i="16"/>
  <c r="W106" i="16"/>
  <c r="X106" i="16"/>
  <c r="Y106" i="16"/>
  <c r="Z106" i="16"/>
  <c r="AA106" i="16"/>
  <c r="AB106" i="16" s="1"/>
  <c r="AC106" i="16"/>
  <c r="AD106" i="16"/>
  <c r="CB106" i="16"/>
  <c r="V107" i="16"/>
  <c r="W107" i="16"/>
  <c r="X107" i="16"/>
  <c r="AA107" i="16" s="1"/>
  <c r="AB107" i="16" s="1"/>
  <c r="Y107" i="16"/>
  <c r="Z107" i="16"/>
  <c r="AC107" i="16"/>
  <c r="AD107" i="16"/>
  <c r="CB107" i="16"/>
  <c r="V108" i="16"/>
  <c r="W108" i="16"/>
  <c r="X108" i="16"/>
  <c r="Y108" i="16"/>
  <c r="Z108" i="16"/>
  <c r="AC108" i="16"/>
  <c r="AD108" i="16"/>
  <c r="V109" i="16"/>
  <c r="CB109" i="16" s="1"/>
  <c r="W109" i="16"/>
  <c r="X109" i="16"/>
  <c r="Y109" i="16"/>
  <c r="Z109" i="16"/>
  <c r="AA109" i="16" s="1"/>
  <c r="AB109" i="16" s="1"/>
  <c r="AC109" i="16"/>
  <c r="AD109" i="16"/>
  <c r="V110" i="16"/>
  <c r="W110" i="16"/>
  <c r="X110" i="16"/>
  <c r="Y110" i="16"/>
  <c r="Z110" i="16"/>
  <c r="AA110" i="16"/>
  <c r="AB110" i="16" s="1"/>
  <c r="AC110" i="16"/>
  <c r="AD110" i="16"/>
  <c r="CB110" i="16"/>
  <c r="V111" i="16"/>
  <c r="W111" i="16"/>
  <c r="X111" i="16"/>
  <c r="AA111" i="16" s="1"/>
  <c r="AB111" i="16" s="1"/>
  <c r="Y111" i="16"/>
  <c r="Z111" i="16"/>
  <c r="AC111" i="16"/>
  <c r="AD111" i="16"/>
  <c r="CB111" i="16"/>
  <c r="V112" i="16"/>
  <c r="W112" i="16"/>
  <c r="X112" i="16"/>
  <c r="Y112" i="16"/>
  <c r="Z112" i="16"/>
  <c r="AC112" i="16"/>
  <c r="AD112" i="16"/>
  <c r="V113" i="16"/>
  <c r="CB113" i="16" s="1"/>
  <c r="W113" i="16"/>
  <c r="X113" i="16"/>
  <c r="Y113" i="16"/>
  <c r="Z113" i="16"/>
  <c r="AA113" i="16" s="1"/>
  <c r="AB113" i="16" s="1"/>
  <c r="AC113" i="16"/>
  <c r="AD113" i="16"/>
  <c r="V114" i="16"/>
  <c r="W114" i="16"/>
  <c r="X114" i="16"/>
  <c r="Y114" i="16"/>
  <c r="Z114" i="16"/>
  <c r="AA114" i="16"/>
  <c r="AB114" i="16" s="1"/>
  <c r="AC114" i="16"/>
  <c r="AD114" i="16"/>
  <c r="CB114" i="16"/>
  <c r="V115" i="16"/>
  <c r="W115" i="16"/>
  <c r="X115" i="16"/>
  <c r="AA115" i="16" s="1"/>
  <c r="AB115" i="16" s="1"/>
  <c r="Y115" i="16"/>
  <c r="Z115" i="16"/>
  <c r="AC115" i="16"/>
  <c r="AD115" i="16"/>
  <c r="CB115" i="16"/>
  <c r="V116" i="16"/>
  <c r="W116" i="16"/>
  <c r="X116" i="16"/>
  <c r="Y116" i="16"/>
  <c r="Z116" i="16"/>
  <c r="AC116" i="16"/>
  <c r="AD116" i="16"/>
  <c r="V117" i="16"/>
  <c r="CB117" i="16" s="1"/>
  <c r="W117" i="16"/>
  <c r="X117" i="16"/>
  <c r="Y117" i="16"/>
  <c r="AA117" i="16" s="1"/>
  <c r="AB117" i="16" s="1"/>
  <c r="Z117" i="16"/>
  <c r="AC117" i="16"/>
  <c r="AD117" i="16"/>
  <c r="V118" i="16"/>
  <c r="W118" i="16"/>
  <c r="X118" i="16"/>
  <c r="Y118" i="16"/>
  <c r="Z118" i="16"/>
  <c r="AA118" i="16"/>
  <c r="AB118" i="16" s="1"/>
  <c r="AC118" i="16"/>
  <c r="AD118" i="16"/>
  <c r="CB118" i="16"/>
  <c r="V119" i="16"/>
  <c r="W119" i="16"/>
  <c r="X119" i="16"/>
  <c r="AA119" i="16" s="1"/>
  <c r="AB119" i="16" s="1"/>
  <c r="Y119" i="16"/>
  <c r="Z119" i="16"/>
  <c r="AC119" i="16"/>
  <c r="AD119" i="16"/>
  <c r="CB119" i="16"/>
  <c r="V120" i="16"/>
  <c r="W120" i="16"/>
  <c r="X120" i="16"/>
  <c r="Y120" i="16"/>
  <c r="Z120" i="16"/>
  <c r="AC120" i="16"/>
  <c r="AD120" i="16"/>
  <c r="CB120" i="16"/>
  <c r="V121" i="16"/>
  <c r="CB121" i="16" s="1"/>
  <c r="W121" i="16"/>
  <c r="X121" i="16"/>
  <c r="Y121" i="16"/>
  <c r="AA121" i="16" s="1"/>
  <c r="AB121" i="16" s="1"/>
  <c r="Z121" i="16"/>
  <c r="AC121" i="16"/>
  <c r="AD121" i="16"/>
  <c r="V122" i="16"/>
  <c r="W122" i="16"/>
  <c r="X122" i="16"/>
  <c r="Y122" i="16"/>
  <c r="Z122" i="16"/>
  <c r="AA122" i="16"/>
  <c r="AB122" i="16" s="1"/>
  <c r="AC122" i="16"/>
  <c r="AD122" i="16"/>
  <c r="CB122" i="16"/>
  <c r="V123" i="16"/>
  <c r="W123" i="16"/>
  <c r="X123" i="16"/>
  <c r="AA123" i="16" s="1"/>
  <c r="AB123" i="16" s="1"/>
  <c r="Y123" i="16"/>
  <c r="Z123" i="16"/>
  <c r="AC123" i="16"/>
  <c r="AD123" i="16"/>
  <c r="CB123" i="16"/>
  <c r="V124" i="16"/>
  <c r="W124" i="16"/>
  <c r="X124" i="16"/>
  <c r="Y124" i="16"/>
  <c r="Z124" i="16"/>
  <c r="AC124" i="16"/>
  <c r="AD124" i="16"/>
  <c r="CB124" i="16"/>
  <c r="V125" i="16"/>
  <c r="CB125" i="16" s="1"/>
  <c r="W125" i="16"/>
  <c r="X125" i="16"/>
  <c r="Y125" i="16"/>
  <c r="AA125" i="16" s="1"/>
  <c r="AB125" i="16" s="1"/>
  <c r="Z125" i="16"/>
  <c r="AC125" i="16"/>
  <c r="AD125" i="16"/>
  <c r="V126" i="16"/>
  <c r="W126" i="16"/>
  <c r="X126" i="16"/>
  <c r="Y126" i="16"/>
  <c r="Z126" i="16"/>
  <c r="AA126" i="16"/>
  <c r="AB126" i="16" s="1"/>
  <c r="AC126" i="16"/>
  <c r="AD126" i="16"/>
  <c r="CB126" i="16"/>
  <c r="V127" i="16"/>
  <c r="W127" i="16"/>
  <c r="X127" i="16"/>
  <c r="AA127" i="16" s="1"/>
  <c r="AB127" i="16" s="1"/>
  <c r="Y127" i="16"/>
  <c r="Z127" i="16"/>
  <c r="AC127" i="16"/>
  <c r="AD127" i="16"/>
  <c r="CB127" i="16"/>
  <c r="V128" i="16"/>
  <c r="W128" i="16"/>
  <c r="X128" i="16"/>
  <c r="Y128" i="16"/>
  <c r="Z128" i="16"/>
  <c r="AC128" i="16"/>
  <c r="AD128" i="16"/>
  <c r="CB128" i="16"/>
  <c r="V129" i="16"/>
  <c r="CB129" i="16" s="1"/>
  <c r="W129" i="16"/>
  <c r="X129" i="16"/>
  <c r="Y129" i="16"/>
  <c r="AA129" i="16" s="1"/>
  <c r="AB129" i="16" s="1"/>
  <c r="Z129" i="16"/>
  <c r="AC129" i="16"/>
  <c r="AD129" i="16"/>
  <c r="V130" i="16"/>
  <c r="W130" i="16"/>
  <c r="X130" i="16"/>
  <c r="Y130" i="16"/>
  <c r="Z130" i="16"/>
  <c r="AA130" i="16"/>
  <c r="AB130" i="16" s="1"/>
  <c r="AC130" i="16"/>
  <c r="AD130" i="16"/>
  <c r="CB130" i="16"/>
  <c r="V131" i="16"/>
  <c r="W131" i="16"/>
  <c r="X131" i="16"/>
  <c r="AA131" i="16" s="1"/>
  <c r="AB131" i="16" s="1"/>
  <c r="Y131" i="16"/>
  <c r="Z131" i="16"/>
  <c r="AC131" i="16"/>
  <c r="AD131" i="16"/>
  <c r="CB131" i="16"/>
  <c r="V132" i="16"/>
  <c r="W132" i="16"/>
  <c r="X132" i="16"/>
  <c r="Y132" i="16"/>
  <c r="Z132" i="16"/>
  <c r="AC132" i="16"/>
  <c r="AD132" i="16"/>
  <c r="CB132" i="16"/>
  <c r="V133" i="16"/>
  <c r="CB133" i="16" s="1"/>
  <c r="W133" i="16"/>
  <c r="X133" i="16"/>
  <c r="Y133" i="16"/>
  <c r="AA133" i="16" s="1"/>
  <c r="AB133" i="16" s="1"/>
  <c r="Z133" i="16"/>
  <c r="AC133" i="16"/>
  <c r="AD133" i="16"/>
  <c r="V134" i="16"/>
  <c r="W134" i="16"/>
  <c r="X134" i="16"/>
  <c r="Y134" i="16"/>
  <c r="Z134" i="16"/>
  <c r="AA134" i="16"/>
  <c r="AB134" i="16" s="1"/>
  <c r="AC134" i="16"/>
  <c r="AD134" i="16"/>
  <c r="CB134" i="16"/>
  <c r="V135" i="16"/>
  <c r="W135" i="16"/>
  <c r="X135" i="16"/>
  <c r="AA135" i="16" s="1"/>
  <c r="AB135" i="16" s="1"/>
  <c r="Y135" i="16"/>
  <c r="Z135" i="16"/>
  <c r="AC135" i="16"/>
  <c r="AD135" i="16"/>
  <c r="CB135" i="16"/>
  <c r="V136" i="16"/>
  <c r="W136" i="16"/>
  <c r="X136" i="16"/>
  <c r="Y136" i="16"/>
  <c r="Z136" i="16"/>
  <c r="AC136" i="16"/>
  <c r="AD136" i="16"/>
  <c r="CB136" i="16"/>
  <c r="V137" i="16"/>
  <c r="CB137" i="16" s="1"/>
  <c r="W137" i="16"/>
  <c r="X137" i="16"/>
  <c r="Y137" i="16"/>
  <c r="AA137" i="16" s="1"/>
  <c r="AB137" i="16" s="1"/>
  <c r="Z137" i="16"/>
  <c r="AC137" i="16"/>
  <c r="AD137" i="16"/>
  <c r="V138" i="16"/>
  <c r="W138" i="16"/>
  <c r="X138" i="16"/>
  <c r="Y138" i="16"/>
  <c r="Z138" i="16"/>
  <c r="AA138" i="16"/>
  <c r="AB138" i="16" s="1"/>
  <c r="AC138" i="16"/>
  <c r="AD138" i="16"/>
  <c r="CB138" i="16"/>
  <c r="V139" i="16"/>
  <c r="W139" i="16"/>
  <c r="X139" i="16"/>
  <c r="AA139" i="16" s="1"/>
  <c r="AB139" i="16" s="1"/>
  <c r="Y139" i="16"/>
  <c r="Z139" i="16"/>
  <c r="AC139" i="16"/>
  <c r="AD139" i="16"/>
  <c r="CB139" i="16"/>
  <c r="V140" i="16"/>
  <c r="W140" i="16"/>
  <c r="X140" i="16"/>
  <c r="Y140" i="16"/>
  <c r="Z140" i="16"/>
  <c r="AC140" i="16"/>
  <c r="AD140" i="16"/>
  <c r="CB140" i="16"/>
  <c r="V141" i="16"/>
  <c r="CB141" i="16" s="1"/>
  <c r="W141" i="16"/>
  <c r="X141" i="16"/>
  <c r="Y141" i="16"/>
  <c r="AA141" i="16" s="1"/>
  <c r="AB141" i="16" s="1"/>
  <c r="Z141" i="16"/>
  <c r="AC141" i="16"/>
  <c r="AD141" i="16"/>
  <c r="V142" i="16"/>
  <c r="W142" i="16"/>
  <c r="X142" i="16"/>
  <c r="Y142" i="16"/>
  <c r="Z142" i="16"/>
  <c r="AA142" i="16"/>
  <c r="AB142" i="16" s="1"/>
  <c r="AC142" i="16"/>
  <c r="AD142" i="16"/>
  <c r="CB142" i="16"/>
  <c r="V143" i="16"/>
  <c r="W143" i="16"/>
  <c r="X143" i="16"/>
  <c r="AA143" i="16" s="1"/>
  <c r="AB143" i="16" s="1"/>
  <c r="Y143" i="16"/>
  <c r="Z143" i="16"/>
  <c r="AC143" i="16"/>
  <c r="AD143" i="16"/>
  <c r="CB143" i="16"/>
  <c r="V144" i="16"/>
  <c r="W144" i="16"/>
  <c r="X144" i="16"/>
  <c r="Y144" i="16"/>
  <c r="Z144" i="16"/>
  <c r="AC144" i="16"/>
  <c r="AD144" i="16"/>
  <c r="CB144" i="16"/>
  <c r="V145" i="16"/>
  <c r="CB145" i="16" s="1"/>
  <c r="W145" i="16"/>
  <c r="X145" i="16"/>
  <c r="Y145" i="16"/>
  <c r="Z145" i="16"/>
  <c r="AC145" i="16"/>
  <c r="AD145" i="16"/>
  <c r="V146" i="16"/>
  <c r="W146" i="16"/>
  <c r="X146" i="16"/>
  <c r="Y146" i="16"/>
  <c r="Z146" i="16"/>
  <c r="AA146" i="16"/>
  <c r="AB146" i="16" s="1"/>
  <c r="AC146" i="16"/>
  <c r="AD146" i="16"/>
  <c r="CB146" i="16"/>
  <c r="V147" i="16"/>
  <c r="W147" i="16"/>
  <c r="X147" i="16"/>
  <c r="AA147" i="16" s="1"/>
  <c r="AB147" i="16" s="1"/>
  <c r="Y147" i="16"/>
  <c r="Z147" i="16"/>
  <c r="AC147" i="16"/>
  <c r="AD147" i="16"/>
  <c r="CB147" i="16"/>
  <c r="V148" i="16"/>
  <c r="W148" i="16"/>
  <c r="X148" i="16"/>
  <c r="Y148" i="16"/>
  <c r="Z148" i="16"/>
  <c r="AC148" i="16"/>
  <c r="AD148" i="16"/>
  <c r="CB148" i="16"/>
  <c r="V149" i="16"/>
  <c r="CB149" i="16" s="1"/>
  <c r="W149" i="16"/>
  <c r="X149" i="16"/>
  <c r="Y149" i="16"/>
  <c r="Z149" i="16"/>
  <c r="AC149" i="16"/>
  <c r="AD149" i="16"/>
  <c r="V150" i="16"/>
  <c r="W150" i="16"/>
  <c r="X150" i="16"/>
  <c r="Y150" i="16"/>
  <c r="Z150" i="16"/>
  <c r="AA150" i="16"/>
  <c r="AB150" i="16" s="1"/>
  <c r="AC150" i="16"/>
  <c r="AD150" i="16"/>
  <c r="CB150" i="16"/>
  <c r="V151" i="16"/>
  <c r="W151" i="16"/>
  <c r="X151" i="16"/>
  <c r="AA151" i="16" s="1"/>
  <c r="AB151" i="16" s="1"/>
  <c r="Y151" i="16"/>
  <c r="Z151" i="16"/>
  <c r="AC151" i="16"/>
  <c r="AD151" i="16"/>
  <c r="CB151" i="16"/>
  <c r="V152" i="16"/>
  <c r="W152" i="16"/>
  <c r="X152" i="16"/>
  <c r="Y152" i="16"/>
  <c r="Z152" i="16"/>
  <c r="AC152" i="16"/>
  <c r="AD152" i="16"/>
  <c r="CB152" i="16"/>
  <c r="V153" i="16"/>
  <c r="CB153" i="16" s="1"/>
  <c r="W153" i="16"/>
  <c r="X153" i="16"/>
  <c r="Y153" i="16"/>
  <c r="Z153" i="16"/>
  <c r="AC153" i="16"/>
  <c r="AD153" i="16"/>
  <c r="V154" i="16"/>
  <c r="W154" i="16"/>
  <c r="X154" i="16"/>
  <c r="Y154" i="16"/>
  <c r="Z154" i="16"/>
  <c r="AA154" i="16"/>
  <c r="AB154" i="16" s="1"/>
  <c r="AC154" i="16"/>
  <c r="AD154" i="16"/>
  <c r="CB154" i="16"/>
  <c r="V155" i="16"/>
  <c r="W155" i="16"/>
  <c r="X155" i="16"/>
  <c r="AA155" i="16" s="1"/>
  <c r="AB155" i="16" s="1"/>
  <c r="Y155" i="16"/>
  <c r="Z155" i="16"/>
  <c r="AC155" i="16"/>
  <c r="AD155" i="16"/>
  <c r="CB155" i="16"/>
  <c r="V156" i="16"/>
  <c r="W156" i="16"/>
  <c r="X156" i="16"/>
  <c r="Y156" i="16"/>
  <c r="Z156" i="16"/>
  <c r="AC156" i="16"/>
  <c r="AD156" i="16"/>
  <c r="CB156" i="16"/>
  <c r="V157" i="16"/>
  <c r="CB157" i="16" s="1"/>
  <c r="W157" i="16"/>
  <c r="X157" i="16"/>
  <c r="Y157" i="16"/>
  <c r="Z157" i="16"/>
  <c r="AC157" i="16"/>
  <c r="AD157" i="16"/>
  <c r="V158" i="16"/>
  <c r="W158" i="16"/>
  <c r="X158" i="16"/>
  <c r="Y158" i="16"/>
  <c r="Z158" i="16"/>
  <c r="AA158" i="16"/>
  <c r="AB158" i="16" s="1"/>
  <c r="AC158" i="16"/>
  <c r="AD158" i="16"/>
  <c r="CB158" i="16"/>
  <c r="V159" i="16"/>
  <c r="W159" i="16"/>
  <c r="X159" i="16"/>
  <c r="Y159" i="16"/>
  <c r="Z159" i="16"/>
  <c r="AC159" i="16"/>
  <c r="AD159" i="16"/>
  <c r="CB159" i="16"/>
  <c r="V160" i="16"/>
  <c r="CB160" i="16" s="1"/>
  <c r="W160" i="16"/>
  <c r="X160" i="16"/>
  <c r="Y160" i="16"/>
  <c r="AA160" i="16" s="1"/>
  <c r="AB160" i="16" s="1"/>
  <c r="Z160" i="16"/>
  <c r="AC160" i="16"/>
  <c r="AD160" i="16"/>
  <c r="V161" i="16"/>
  <c r="W161" i="16"/>
  <c r="X161" i="16"/>
  <c r="AA161" i="16" s="1"/>
  <c r="AB161" i="16" s="1"/>
  <c r="Y161" i="16"/>
  <c r="Z161" i="16"/>
  <c r="AC161" i="16"/>
  <c r="AD161" i="16"/>
  <c r="CB161" i="16"/>
  <c r="V162" i="16"/>
  <c r="W162" i="16"/>
  <c r="X162" i="16"/>
  <c r="Y162" i="16"/>
  <c r="Z162" i="16"/>
  <c r="AA162" i="16"/>
  <c r="AB162" i="16" s="1"/>
  <c r="AC162" i="16"/>
  <c r="AD162" i="16"/>
  <c r="CB162" i="16"/>
  <c r="V163" i="16"/>
  <c r="W163" i="16"/>
  <c r="X163" i="16"/>
  <c r="AA163" i="16" s="1"/>
  <c r="AB163" i="16" s="1"/>
  <c r="Y163" i="16"/>
  <c r="Z163" i="16"/>
  <c r="AC163" i="16"/>
  <c r="AD163" i="16"/>
  <c r="CB163" i="16"/>
  <c r="V164" i="16"/>
  <c r="CB164" i="16" s="1"/>
  <c r="W164" i="16"/>
  <c r="X164" i="16"/>
  <c r="Y164" i="16"/>
  <c r="Z164" i="16"/>
  <c r="AA164" i="16"/>
  <c r="AB164" i="16" s="1"/>
  <c r="AC164" i="16"/>
  <c r="AD164" i="16"/>
  <c r="V165" i="16"/>
  <c r="W165" i="16"/>
  <c r="X165" i="16"/>
  <c r="Y165" i="16"/>
  <c r="Z165" i="16"/>
  <c r="AC165" i="16"/>
  <c r="AD165" i="16"/>
  <c r="CB165" i="16"/>
  <c r="V166" i="16"/>
  <c r="W166" i="16"/>
  <c r="X166" i="16"/>
  <c r="Y166" i="16"/>
  <c r="AA166" i="16" s="1"/>
  <c r="AB166" i="16" s="1"/>
  <c r="Z166" i="16"/>
  <c r="AC166" i="16"/>
  <c r="AD166" i="16"/>
  <c r="CB166" i="16"/>
  <c r="V167" i="16"/>
  <c r="W167" i="16"/>
  <c r="X167" i="16"/>
  <c r="AA167" i="16" s="1"/>
  <c r="AB167" i="16" s="1"/>
  <c r="Y167" i="16"/>
  <c r="Z167" i="16"/>
  <c r="AC167" i="16"/>
  <c r="AD167" i="16"/>
  <c r="CB167" i="16"/>
  <c r="V168" i="16"/>
  <c r="CB168" i="16" s="1"/>
  <c r="W168" i="16"/>
  <c r="X168" i="16"/>
  <c r="Y168" i="16"/>
  <c r="Z168" i="16"/>
  <c r="AA168" i="16"/>
  <c r="AB168" i="16" s="1"/>
  <c r="AC168" i="16"/>
  <c r="AD168" i="16"/>
  <c r="V169" i="16"/>
  <c r="W169" i="16"/>
  <c r="X169" i="16"/>
  <c r="Y169" i="16"/>
  <c r="Z169" i="16"/>
  <c r="AC169" i="16"/>
  <c r="AD169" i="16"/>
  <c r="CB169" i="16"/>
  <c r="V170" i="16"/>
  <c r="W170" i="16"/>
  <c r="X170" i="16"/>
  <c r="Y170" i="16"/>
  <c r="AA170" i="16" s="1"/>
  <c r="AB170" i="16" s="1"/>
  <c r="Z170" i="16"/>
  <c r="AC170" i="16"/>
  <c r="AD170" i="16"/>
  <c r="CB170" i="16"/>
  <c r="V171" i="16"/>
  <c r="W171" i="16"/>
  <c r="X171" i="16"/>
  <c r="Y171" i="16"/>
  <c r="Z171" i="16"/>
  <c r="AC171" i="16"/>
  <c r="AD171" i="16"/>
  <c r="CB171" i="16"/>
  <c r="V172" i="16"/>
  <c r="CB172" i="16" s="1"/>
  <c r="W172" i="16"/>
  <c r="X172" i="16"/>
  <c r="Y172" i="16"/>
  <c r="AA172" i="16" s="1"/>
  <c r="AB172" i="16" s="1"/>
  <c r="Z172" i="16"/>
  <c r="AC172" i="16"/>
  <c r="AD172" i="16"/>
  <c r="V173" i="16"/>
  <c r="W173" i="16"/>
  <c r="X173" i="16"/>
  <c r="AA173" i="16" s="1"/>
  <c r="AB173" i="16" s="1"/>
  <c r="Y173" i="16"/>
  <c r="Z173" i="16"/>
  <c r="AC173" i="16"/>
  <c r="AD173" i="16"/>
  <c r="CB173" i="16"/>
  <c r="V174" i="16"/>
  <c r="W174" i="16"/>
  <c r="X174" i="16"/>
  <c r="Y174" i="16"/>
  <c r="Z174" i="16"/>
  <c r="AA174" i="16"/>
  <c r="AB174" i="16" s="1"/>
  <c r="AC174" i="16"/>
  <c r="AD174" i="16"/>
  <c r="CB174" i="16"/>
  <c r="V175" i="16"/>
  <c r="W175" i="16"/>
  <c r="X175" i="16"/>
  <c r="Y175" i="16"/>
  <c r="Z175" i="16"/>
  <c r="AC175" i="16"/>
  <c r="AD175" i="16"/>
  <c r="CB175" i="16"/>
  <c r="V176" i="16"/>
  <c r="CB176" i="16" s="1"/>
  <c r="W176" i="16"/>
  <c r="X176" i="16"/>
  <c r="Y176" i="16"/>
  <c r="AA176" i="16" s="1"/>
  <c r="AB176" i="16" s="1"/>
  <c r="Z176" i="16"/>
  <c r="AC176" i="16"/>
  <c r="AD176" i="16"/>
  <c r="V177" i="16"/>
  <c r="W177" i="16"/>
  <c r="X177" i="16"/>
  <c r="AA177" i="16" s="1"/>
  <c r="AB177" i="16" s="1"/>
  <c r="Y177" i="16"/>
  <c r="Z177" i="16"/>
  <c r="AC177" i="16"/>
  <c r="AD177" i="16"/>
  <c r="CB177" i="16"/>
  <c r="V178" i="16"/>
  <c r="W178" i="16"/>
  <c r="X178" i="16"/>
  <c r="Y178" i="16"/>
  <c r="Z178" i="16"/>
  <c r="AA178" i="16"/>
  <c r="AB178" i="16" s="1"/>
  <c r="AC178" i="16"/>
  <c r="AD178" i="16"/>
  <c r="CB178" i="16"/>
  <c r="V179" i="16"/>
  <c r="W179" i="16"/>
  <c r="X179" i="16"/>
  <c r="AA179" i="16" s="1"/>
  <c r="AB179" i="16" s="1"/>
  <c r="Y179" i="16"/>
  <c r="Z179" i="16"/>
  <c r="AC179" i="16"/>
  <c r="AD179" i="16"/>
  <c r="CB179" i="16"/>
  <c r="V180" i="16"/>
  <c r="CB180" i="16" s="1"/>
  <c r="W180" i="16"/>
  <c r="X180" i="16"/>
  <c r="Y180" i="16"/>
  <c r="Z180" i="16"/>
  <c r="AA180" i="16"/>
  <c r="AB180" i="16" s="1"/>
  <c r="AC180" i="16"/>
  <c r="AD180" i="16"/>
  <c r="V181" i="16"/>
  <c r="W181" i="16"/>
  <c r="X181" i="16"/>
  <c r="Y181" i="16"/>
  <c r="Z181" i="16"/>
  <c r="AC181" i="16"/>
  <c r="AD181" i="16"/>
  <c r="CB181" i="16"/>
  <c r="V182" i="16"/>
  <c r="W182" i="16"/>
  <c r="X182" i="16"/>
  <c r="Y182" i="16"/>
  <c r="AA182" i="16" s="1"/>
  <c r="AB182" i="16" s="1"/>
  <c r="Z182" i="16"/>
  <c r="AC182" i="16"/>
  <c r="AD182" i="16"/>
  <c r="CB182" i="16"/>
  <c r="V183" i="16"/>
  <c r="W183" i="16"/>
  <c r="X183" i="16"/>
  <c r="AA183" i="16" s="1"/>
  <c r="AB183" i="16" s="1"/>
  <c r="Y183" i="16"/>
  <c r="Z183" i="16"/>
  <c r="AC183" i="16"/>
  <c r="AD183" i="16"/>
  <c r="CB183" i="16"/>
  <c r="V184" i="16"/>
  <c r="CB184" i="16" s="1"/>
  <c r="W184" i="16"/>
  <c r="X184" i="16"/>
  <c r="Y184" i="16"/>
  <c r="Z184" i="16"/>
  <c r="AA184" i="16"/>
  <c r="AB184" i="16" s="1"/>
  <c r="AC184" i="16"/>
  <c r="AD184" i="16"/>
  <c r="V185" i="16"/>
  <c r="W185" i="16"/>
  <c r="X185" i="16"/>
  <c r="Y185" i="16"/>
  <c r="Z185" i="16"/>
  <c r="AC185" i="16"/>
  <c r="AD185" i="16"/>
  <c r="CB185" i="16"/>
  <c r="V186" i="16"/>
  <c r="W186" i="16"/>
  <c r="X186" i="16"/>
  <c r="Y186" i="16"/>
  <c r="AA186" i="16" s="1"/>
  <c r="AB186" i="16" s="1"/>
  <c r="Z186" i="16"/>
  <c r="AC186" i="16"/>
  <c r="AD186" i="16"/>
  <c r="CB186" i="16"/>
  <c r="V187" i="16"/>
  <c r="W187" i="16"/>
  <c r="X187" i="16"/>
  <c r="Y187" i="16"/>
  <c r="Z187" i="16"/>
  <c r="AC187" i="16"/>
  <c r="AD187" i="16"/>
  <c r="CB187" i="16"/>
  <c r="V188" i="16"/>
  <c r="CB188" i="16" s="1"/>
  <c r="W188" i="16"/>
  <c r="X188" i="16"/>
  <c r="Y188" i="16"/>
  <c r="AA188" i="16" s="1"/>
  <c r="AB188" i="16" s="1"/>
  <c r="Z188" i="16"/>
  <c r="AC188" i="16"/>
  <c r="AD188" i="16"/>
  <c r="V189" i="16"/>
  <c r="W189" i="16"/>
  <c r="X189" i="16"/>
  <c r="AA189" i="16" s="1"/>
  <c r="AB189" i="16" s="1"/>
  <c r="Y189" i="16"/>
  <c r="Z189" i="16"/>
  <c r="AC189" i="16"/>
  <c r="AD189" i="16"/>
  <c r="CB189" i="16"/>
  <c r="V190" i="16"/>
  <c r="W190" i="16"/>
  <c r="X190" i="16"/>
  <c r="Y190" i="16"/>
  <c r="Z190" i="16"/>
  <c r="AA190" i="16"/>
  <c r="AB190" i="16" s="1"/>
  <c r="AC190" i="16"/>
  <c r="AD190" i="16"/>
  <c r="CB190" i="16"/>
  <c r="V191" i="16"/>
  <c r="W191" i="16"/>
  <c r="X191" i="16"/>
  <c r="Y191" i="16"/>
  <c r="Z191" i="16"/>
  <c r="AC191" i="16"/>
  <c r="AD191" i="16"/>
  <c r="CB191" i="16"/>
  <c r="V192" i="16"/>
  <c r="CB192" i="16" s="1"/>
  <c r="W192" i="16"/>
  <c r="X192" i="16"/>
  <c r="Y192" i="16"/>
  <c r="AA192" i="16" s="1"/>
  <c r="AB192" i="16" s="1"/>
  <c r="Z192" i="16"/>
  <c r="AC192" i="16"/>
  <c r="AD192" i="16"/>
  <c r="V193" i="16"/>
  <c r="W193" i="16"/>
  <c r="X193" i="16"/>
  <c r="AA193" i="16" s="1"/>
  <c r="AB193" i="16" s="1"/>
  <c r="Y193" i="16"/>
  <c r="Z193" i="16"/>
  <c r="AC193" i="16"/>
  <c r="AD193" i="16"/>
  <c r="CB193" i="16"/>
  <c r="V194" i="16"/>
  <c r="W194" i="16"/>
  <c r="X194" i="16"/>
  <c r="Y194" i="16"/>
  <c r="Z194" i="16"/>
  <c r="AA194" i="16"/>
  <c r="AB194" i="16" s="1"/>
  <c r="AC194" i="16"/>
  <c r="AD194" i="16"/>
  <c r="CB194" i="16"/>
  <c r="V195" i="16"/>
  <c r="W195" i="16"/>
  <c r="X195" i="16"/>
  <c r="AA195" i="16" s="1"/>
  <c r="AB195" i="16" s="1"/>
  <c r="Y195" i="16"/>
  <c r="Z195" i="16"/>
  <c r="AC195" i="16"/>
  <c r="AD195" i="16"/>
  <c r="CB195" i="16"/>
  <c r="V196" i="16"/>
  <c r="CB196" i="16" s="1"/>
  <c r="W196" i="16"/>
  <c r="X196" i="16"/>
  <c r="Y196" i="16"/>
  <c r="Z196" i="16"/>
  <c r="AA196" i="16"/>
  <c r="AB196" i="16" s="1"/>
  <c r="AC196" i="16"/>
  <c r="AD196" i="16"/>
  <c r="V197" i="16"/>
  <c r="W197" i="16"/>
  <c r="X197" i="16"/>
  <c r="Y197" i="16"/>
  <c r="Z197" i="16"/>
  <c r="AC197" i="16"/>
  <c r="AD197" i="16"/>
  <c r="CB197" i="16"/>
  <c r="V198" i="16"/>
  <c r="W198" i="16"/>
  <c r="X198" i="16"/>
  <c r="Y198" i="16"/>
  <c r="AA198" i="16" s="1"/>
  <c r="AB198" i="16" s="1"/>
  <c r="Z198" i="16"/>
  <c r="AC198" i="16"/>
  <c r="AD198" i="16"/>
  <c r="CB198" i="16"/>
  <c r="V199" i="16"/>
  <c r="W199" i="16"/>
  <c r="X199" i="16"/>
  <c r="AA199" i="16" s="1"/>
  <c r="AB199" i="16" s="1"/>
  <c r="Y199" i="16"/>
  <c r="Z199" i="16"/>
  <c r="AC199" i="16"/>
  <c r="AD199" i="16"/>
  <c r="CB199" i="16"/>
  <c r="V200" i="16"/>
  <c r="CB200" i="16" s="1"/>
  <c r="W200" i="16"/>
  <c r="X200" i="16"/>
  <c r="Y200" i="16"/>
  <c r="Z200" i="16"/>
  <c r="AA200" i="16"/>
  <c r="AB200" i="16" s="1"/>
  <c r="AC200" i="16"/>
  <c r="AD200" i="16"/>
  <c r="V201" i="16"/>
  <c r="W201" i="16"/>
  <c r="X201" i="16"/>
  <c r="Y201" i="16"/>
  <c r="Z201" i="16"/>
  <c r="AC201" i="16"/>
  <c r="AD201" i="16"/>
  <c r="CB201" i="16"/>
  <c r="V202" i="16"/>
  <c r="W202" i="16"/>
  <c r="X202" i="16"/>
  <c r="Y202" i="16"/>
  <c r="AA202" i="16" s="1"/>
  <c r="AB202" i="16" s="1"/>
  <c r="Z202" i="16"/>
  <c r="AC202" i="16"/>
  <c r="AD202" i="16"/>
  <c r="CB202" i="16"/>
  <c r="V203" i="16"/>
  <c r="W203" i="16"/>
  <c r="X203" i="16"/>
  <c r="Y203" i="16"/>
  <c r="Z203" i="16"/>
  <c r="AC203" i="16"/>
  <c r="AD203" i="16"/>
  <c r="CB203" i="16"/>
  <c r="V204" i="16"/>
  <c r="CB204" i="16" s="1"/>
  <c r="W204" i="16"/>
  <c r="X204" i="16"/>
  <c r="Y204" i="16"/>
  <c r="AA204" i="16" s="1"/>
  <c r="AB204" i="16" s="1"/>
  <c r="Z204" i="16"/>
  <c r="AC204" i="16"/>
  <c r="AD204" i="16"/>
  <c r="V205" i="16"/>
  <c r="W205" i="16"/>
  <c r="X205" i="16"/>
  <c r="AA205" i="16" s="1"/>
  <c r="AB205" i="16" s="1"/>
  <c r="Y205" i="16"/>
  <c r="Z205" i="16"/>
  <c r="AC205" i="16"/>
  <c r="AD205" i="16"/>
  <c r="CB205" i="16"/>
  <c r="V206" i="16"/>
  <c r="W206" i="16"/>
  <c r="X206" i="16"/>
  <c r="Y206" i="16"/>
  <c r="Z206" i="16"/>
  <c r="AA206" i="16"/>
  <c r="AB206" i="16" s="1"/>
  <c r="AC206" i="16"/>
  <c r="AD206" i="16"/>
  <c r="CB206" i="16"/>
  <c r="V207" i="16"/>
  <c r="W207" i="16"/>
  <c r="X207" i="16"/>
  <c r="Y207" i="16"/>
  <c r="Z207" i="16"/>
  <c r="AC207" i="16"/>
  <c r="AD207" i="16"/>
  <c r="CB207" i="16"/>
  <c r="V208" i="16"/>
  <c r="CB208" i="16" s="1"/>
  <c r="W208" i="16"/>
  <c r="X208" i="16"/>
  <c r="Y208" i="16"/>
  <c r="AA208" i="16" s="1"/>
  <c r="AB208" i="16" s="1"/>
  <c r="Z208" i="16"/>
  <c r="AC208" i="16"/>
  <c r="AD208" i="16"/>
  <c r="V209" i="16"/>
  <c r="W209" i="16"/>
  <c r="X209" i="16"/>
  <c r="AA209" i="16" s="1"/>
  <c r="AB209" i="16" s="1"/>
  <c r="Y209" i="16"/>
  <c r="Z209" i="16"/>
  <c r="AC209" i="16"/>
  <c r="AD209" i="16"/>
  <c r="CB209" i="16"/>
  <c r="V210" i="16"/>
  <c r="W210" i="16"/>
  <c r="X210" i="16"/>
  <c r="Y210" i="16"/>
  <c r="Z210" i="16"/>
  <c r="AA210" i="16"/>
  <c r="AB210" i="16" s="1"/>
  <c r="AC210" i="16"/>
  <c r="AD210" i="16"/>
  <c r="CB210" i="16"/>
  <c r="V211" i="16"/>
  <c r="W211" i="16"/>
  <c r="X211" i="16"/>
  <c r="AA211" i="16" s="1"/>
  <c r="AB211" i="16" s="1"/>
  <c r="Y211" i="16"/>
  <c r="Z211" i="16"/>
  <c r="AC211" i="16"/>
  <c r="AD211" i="16"/>
  <c r="CB211" i="16"/>
  <c r="V212" i="16"/>
  <c r="CB212" i="16" s="1"/>
  <c r="W212" i="16"/>
  <c r="X212" i="16"/>
  <c r="Y212" i="16"/>
  <c r="Z212" i="16"/>
  <c r="AA212" i="16"/>
  <c r="AB212" i="16" s="1"/>
  <c r="AC212" i="16"/>
  <c r="AD212" i="16"/>
  <c r="V213" i="16"/>
  <c r="W213" i="16"/>
  <c r="X213" i="16"/>
  <c r="Y213" i="16"/>
  <c r="Z213" i="16"/>
  <c r="AC213" i="16"/>
  <c r="AD213" i="16"/>
  <c r="CB213" i="16"/>
  <c r="V214" i="16"/>
  <c r="W214" i="16"/>
  <c r="X214" i="16"/>
  <c r="Y214" i="16"/>
  <c r="AA214" i="16" s="1"/>
  <c r="AB214" i="16" s="1"/>
  <c r="Z214" i="16"/>
  <c r="AC214" i="16"/>
  <c r="AD214" i="16"/>
  <c r="CB214" i="16"/>
  <c r="V215" i="16"/>
  <c r="W215" i="16"/>
  <c r="X215" i="16"/>
  <c r="AA215" i="16" s="1"/>
  <c r="AB215" i="16" s="1"/>
  <c r="Y215" i="16"/>
  <c r="Z215" i="16"/>
  <c r="AC215" i="16"/>
  <c r="AD215" i="16"/>
  <c r="CB215" i="16"/>
  <c r="V216" i="16"/>
  <c r="CB216" i="16" s="1"/>
  <c r="W216" i="16"/>
  <c r="X216" i="16"/>
  <c r="Y216" i="16"/>
  <c r="Z216" i="16"/>
  <c r="AA216" i="16"/>
  <c r="AB216" i="16" s="1"/>
  <c r="AC216" i="16"/>
  <c r="AD216" i="16"/>
  <c r="V217" i="16"/>
  <c r="W217" i="16"/>
  <c r="X217" i="16"/>
  <c r="Y217" i="16"/>
  <c r="Z217" i="16"/>
  <c r="AC217" i="16"/>
  <c r="AD217" i="16"/>
  <c r="CB217" i="16"/>
  <c r="V218" i="16"/>
  <c r="W218" i="16"/>
  <c r="X218" i="16"/>
  <c r="Y218" i="16"/>
  <c r="AA218" i="16" s="1"/>
  <c r="AB218" i="16" s="1"/>
  <c r="Z218" i="16"/>
  <c r="AC218" i="16"/>
  <c r="AD218" i="16"/>
  <c r="CB218" i="16"/>
  <c r="V219" i="16"/>
  <c r="W219" i="16"/>
  <c r="X219" i="16"/>
  <c r="Y219" i="16"/>
  <c r="Z219" i="16"/>
  <c r="AC219" i="16"/>
  <c r="AD219" i="16"/>
  <c r="CB219" i="16"/>
  <c r="V220" i="16"/>
  <c r="CB220" i="16" s="1"/>
  <c r="W220" i="16"/>
  <c r="X220" i="16"/>
  <c r="Y220" i="16"/>
  <c r="AA220" i="16" s="1"/>
  <c r="AB220" i="16" s="1"/>
  <c r="Z220" i="16"/>
  <c r="AC220" i="16"/>
  <c r="AD220" i="16"/>
  <c r="V221" i="16"/>
  <c r="W221" i="16"/>
  <c r="X221" i="16"/>
  <c r="AA221" i="16" s="1"/>
  <c r="AB221" i="16" s="1"/>
  <c r="Y221" i="16"/>
  <c r="Z221" i="16"/>
  <c r="AC221" i="16"/>
  <c r="AD221" i="16"/>
  <c r="CB221" i="16"/>
  <c r="V222" i="16"/>
  <c r="W222" i="16"/>
  <c r="X222" i="16"/>
  <c r="Y222" i="16"/>
  <c r="Z222" i="16"/>
  <c r="AA222" i="16"/>
  <c r="AB222" i="16" s="1"/>
  <c r="AC222" i="16"/>
  <c r="AD222" i="16"/>
  <c r="CB222" i="16"/>
  <c r="V223" i="16"/>
  <c r="W223" i="16"/>
  <c r="X223" i="16"/>
  <c r="Y223" i="16"/>
  <c r="Z223" i="16"/>
  <c r="AC223" i="16"/>
  <c r="AD223" i="16"/>
  <c r="CB223" i="16"/>
  <c r="V224" i="16"/>
  <c r="CB224" i="16" s="1"/>
  <c r="W224" i="16"/>
  <c r="X224" i="16"/>
  <c r="Y224" i="16"/>
  <c r="AA224" i="16" s="1"/>
  <c r="AB224" i="16" s="1"/>
  <c r="Z224" i="16"/>
  <c r="AC224" i="16"/>
  <c r="AD224" i="16"/>
  <c r="V225" i="16"/>
  <c r="W225" i="16"/>
  <c r="X225" i="16"/>
  <c r="AA225" i="16" s="1"/>
  <c r="AB225" i="16" s="1"/>
  <c r="Y225" i="16"/>
  <c r="Z225" i="16"/>
  <c r="AC225" i="16"/>
  <c r="AD225" i="16"/>
  <c r="CB225" i="16"/>
  <c r="V226" i="16"/>
  <c r="W226" i="16"/>
  <c r="X226" i="16"/>
  <c r="Y226" i="16"/>
  <c r="Z226" i="16"/>
  <c r="AA226" i="16"/>
  <c r="AB226" i="16" s="1"/>
  <c r="AC226" i="16"/>
  <c r="AD226" i="16"/>
  <c r="CB226" i="16"/>
  <c r="V227" i="16"/>
  <c r="W227" i="16"/>
  <c r="X227" i="16"/>
  <c r="AA227" i="16" s="1"/>
  <c r="AB227" i="16" s="1"/>
  <c r="Y227" i="16"/>
  <c r="Z227" i="16"/>
  <c r="AC227" i="16"/>
  <c r="AD227" i="16"/>
  <c r="CB227" i="16"/>
  <c r="V228" i="16"/>
  <c r="CB228" i="16" s="1"/>
  <c r="W228" i="16"/>
  <c r="X228" i="16"/>
  <c r="Y228" i="16"/>
  <c r="Z228" i="16"/>
  <c r="AA228" i="16"/>
  <c r="AB228" i="16" s="1"/>
  <c r="AC228" i="16"/>
  <c r="AD228" i="16"/>
  <c r="V229" i="16"/>
  <c r="W229" i="16"/>
  <c r="X229" i="16"/>
  <c r="Y229" i="16"/>
  <c r="Z229" i="16"/>
  <c r="AC229" i="16"/>
  <c r="AD229" i="16"/>
  <c r="CB229" i="16"/>
  <c r="V230" i="16"/>
  <c r="W230" i="16"/>
  <c r="X230" i="16"/>
  <c r="AA230" i="16" s="1"/>
  <c r="AB230" i="16" s="1"/>
  <c r="Y230" i="16"/>
  <c r="Z230" i="16"/>
  <c r="AC230" i="16"/>
  <c r="AD230" i="16"/>
  <c r="CB230" i="16"/>
  <c r="V231" i="16"/>
  <c r="W231" i="16"/>
  <c r="X231" i="16"/>
  <c r="Y231" i="16"/>
  <c r="Z231" i="16"/>
  <c r="AC231" i="16"/>
  <c r="AD231" i="16"/>
  <c r="CB231" i="16"/>
  <c r="V232" i="16"/>
  <c r="CB232" i="16" s="1"/>
  <c r="W232" i="16"/>
  <c r="X232" i="16"/>
  <c r="Y232" i="16"/>
  <c r="AA232" i="16" s="1"/>
  <c r="AB232" i="16" s="1"/>
  <c r="Z232" i="16"/>
  <c r="AC232" i="16"/>
  <c r="AD232" i="16"/>
  <c r="V233" i="16"/>
  <c r="W233" i="16"/>
  <c r="X233" i="16"/>
  <c r="AA233" i="16" s="1"/>
  <c r="AB233" i="16" s="1"/>
  <c r="Y233" i="16"/>
  <c r="Z233" i="16"/>
  <c r="AC233" i="16"/>
  <c r="AD233" i="16"/>
  <c r="CB233" i="16"/>
  <c r="V234" i="16"/>
  <c r="W234" i="16"/>
  <c r="X234" i="16"/>
  <c r="AA234" i="16" s="1"/>
  <c r="AB234" i="16" s="1"/>
  <c r="Y234" i="16"/>
  <c r="Z234" i="16"/>
  <c r="AC234" i="16"/>
  <c r="AD234" i="16"/>
  <c r="CB234" i="16"/>
  <c r="V235" i="16"/>
  <c r="W235" i="16"/>
  <c r="X235" i="16"/>
  <c r="Y235" i="16"/>
  <c r="Z235" i="16"/>
  <c r="AC235" i="16"/>
  <c r="AD235" i="16"/>
  <c r="CB235" i="16"/>
  <c r="V236" i="16"/>
  <c r="CB236" i="16" s="1"/>
  <c r="W236" i="16"/>
  <c r="X236" i="16"/>
  <c r="Y236" i="16"/>
  <c r="AA236" i="16" s="1"/>
  <c r="AB236" i="16" s="1"/>
  <c r="Z236" i="16"/>
  <c r="AC236" i="16"/>
  <c r="AD236" i="16"/>
  <c r="V237" i="16"/>
  <c r="W237" i="16"/>
  <c r="X237" i="16"/>
  <c r="AA237" i="16" s="1"/>
  <c r="AB237" i="16" s="1"/>
  <c r="Y237" i="16"/>
  <c r="Z237" i="16"/>
  <c r="AC237" i="16"/>
  <c r="AD237" i="16"/>
  <c r="CB237" i="16"/>
  <c r="V238" i="16"/>
  <c r="W238" i="16"/>
  <c r="X238" i="16"/>
  <c r="AA238" i="16" s="1"/>
  <c r="AB238" i="16" s="1"/>
  <c r="Y238" i="16"/>
  <c r="Z238" i="16"/>
  <c r="AC238" i="16"/>
  <c r="AD238" i="16"/>
  <c r="CB238" i="16"/>
  <c r="V239" i="16"/>
  <c r="W239" i="16"/>
  <c r="X239" i="16"/>
  <c r="Y239" i="16"/>
  <c r="Z239" i="16"/>
  <c r="AC239" i="16"/>
  <c r="AD239" i="16"/>
  <c r="CB239" i="16"/>
  <c r="V240" i="16"/>
  <c r="CB240" i="16" s="1"/>
  <c r="W240" i="16"/>
  <c r="X240" i="16"/>
  <c r="Y240" i="16"/>
  <c r="AA240" i="16" s="1"/>
  <c r="AB240" i="16" s="1"/>
  <c r="Z240" i="16"/>
  <c r="AC240" i="16"/>
  <c r="AD240" i="16"/>
  <c r="V241" i="16"/>
  <c r="W241" i="16"/>
  <c r="X241" i="16"/>
  <c r="AA241" i="16" s="1"/>
  <c r="AB241" i="16" s="1"/>
  <c r="Y241" i="16"/>
  <c r="Z241" i="16"/>
  <c r="AC241" i="16"/>
  <c r="AD241" i="16"/>
  <c r="CB241" i="16"/>
  <c r="V242" i="16"/>
  <c r="W242" i="16"/>
  <c r="X242" i="16"/>
  <c r="AA242" i="16" s="1"/>
  <c r="AB242" i="16" s="1"/>
  <c r="Y242" i="16"/>
  <c r="Z242" i="16"/>
  <c r="AC242" i="16"/>
  <c r="AD242" i="16"/>
  <c r="CB242" i="16"/>
  <c r="V243" i="16"/>
  <c r="W243" i="16"/>
  <c r="X243" i="16"/>
  <c r="Y243" i="16"/>
  <c r="Z243" i="16"/>
  <c r="AC243" i="16"/>
  <c r="AD243" i="16"/>
  <c r="CB243" i="16"/>
  <c r="V244" i="16"/>
  <c r="CB244" i="16" s="1"/>
  <c r="W244" i="16"/>
  <c r="X244" i="16"/>
  <c r="Y244" i="16"/>
  <c r="AA244" i="16" s="1"/>
  <c r="AB244" i="16" s="1"/>
  <c r="Z244" i="16"/>
  <c r="AC244" i="16"/>
  <c r="AD244" i="16"/>
  <c r="V245" i="16"/>
  <c r="W245" i="16"/>
  <c r="X245" i="16"/>
  <c r="AA245" i="16" s="1"/>
  <c r="AB245" i="16" s="1"/>
  <c r="Y245" i="16"/>
  <c r="Z245" i="16"/>
  <c r="AC245" i="16"/>
  <c r="AD245" i="16"/>
  <c r="CB245" i="16"/>
  <c r="V246" i="16"/>
  <c r="W246" i="16"/>
  <c r="X246" i="16"/>
  <c r="AA246" i="16" s="1"/>
  <c r="AB246" i="16" s="1"/>
  <c r="Y246" i="16"/>
  <c r="Z246" i="16"/>
  <c r="AC246" i="16"/>
  <c r="AD246" i="16"/>
  <c r="CB246" i="16"/>
  <c r="V247" i="16"/>
  <c r="W247" i="16"/>
  <c r="X247" i="16"/>
  <c r="Y247" i="16"/>
  <c r="Z247" i="16"/>
  <c r="AC247" i="16"/>
  <c r="AD247" i="16"/>
  <c r="CB247" i="16"/>
  <c r="V248" i="16"/>
  <c r="CB248" i="16" s="1"/>
  <c r="W248" i="16"/>
  <c r="X248" i="16"/>
  <c r="Y248" i="16"/>
  <c r="AA248" i="16" s="1"/>
  <c r="AB248" i="16" s="1"/>
  <c r="Z248" i="16"/>
  <c r="AC248" i="16"/>
  <c r="AD248" i="16"/>
  <c r="V249" i="16"/>
  <c r="W249" i="16"/>
  <c r="X249" i="16"/>
  <c r="AA249" i="16" s="1"/>
  <c r="AB249" i="16" s="1"/>
  <c r="Y249" i="16"/>
  <c r="Z249" i="16"/>
  <c r="AC249" i="16"/>
  <c r="AD249" i="16"/>
  <c r="CB249" i="16"/>
  <c r="V250" i="16"/>
  <c r="W250" i="16"/>
  <c r="X250" i="16"/>
  <c r="AA250" i="16" s="1"/>
  <c r="AB250" i="16" s="1"/>
  <c r="Y250" i="16"/>
  <c r="Z250" i="16"/>
  <c r="AC250" i="16"/>
  <c r="AD250" i="16"/>
  <c r="CB250" i="16"/>
  <c r="V251" i="16"/>
  <c r="W251" i="16"/>
  <c r="X251" i="16"/>
  <c r="Y251" i="16"/>
  <c r="Z251" i="16"/>
  <c r="AC251" i="16"/>
  <c r="AD251" i="16"/>
  <c r="CB251" i="16"/>
  <c r="V252" i="16"/>
  <c r="CB252" i="16" s="1"/>
  <c r="W252" i="16"/>
  <c r="X252" i="16"/>
  <c r="Y252" i="16"/>
  <c r="AA252" i="16" s="1"/>
  <c r="AB252" i="16" s="1"/>
  <c r="Z252" i="16"/>
  <c r="AC252" i="16"/>
  <c r="AD252" i="16"/>
  <c r="V253" i="16"/>
  <c r="W253" i="16"/>
  <c r="X253" i="16"/>
  <c r="AA253" i="16" s="1"/>
  <c r="AB253" i="16" s="1"/>
  <c r="Y253" i="16"/>
  <c r="Z253" i="16"/>
  <c r="AC253" i="16"/>
  <c r="AD253" i="16"/>
  <c r="CB253" i="16"/>
  <c r="V254" i="16"/>
  <c r="W254" i="16"/>
  <c r="X254" i="16"/>
  <c r="AA254" i="16" s="1"/>
  <c r="AB254" i="16" s="1"/>
  <c r="Y254" i="16"/>
  <c r="Z254" i="16"/>
  <c r="AC254" i="16"/>
  <c r="AD254" i="16"/>
  <c r="CB254" i="16"/>
  <c r="V255" i="16"/>
  <c r="W255" i="16"/>
  <c r="X255" i="16"/>
  <c r="Y255" i="16"/>
  <c r="Z255" i="16"/>
  <c r="AC255" i="16"/>
  <c r="AD255" i="16"/>
  <c r="CB255" i="16"/>
  <c r="V256" i="16"/>
  <c r="CB256" i="16" s="1"/>
  <c r="W256" i="16"/>
  <c r="X256" i="16"/>
  <c r="Y256" i="16"/>
  <c r="AA256" i="16" s="1"/>
  <c r="AB256" i="16" s="1"/>
  <c r="Z256" i="16"/>
  <c r="AC256" i="16"/>
  <c r="AD256" i="16"/>
  <c r="V257" i="16"/>
  <c r="W257" i="16"/>
  <c r="X257" i="16"/>
  <c r="AA257" i="16" s="1"/>
  <c r="AB257" i="16" s="1"/>
  <c r="Y257" i="16"/>
  <c r="Z257" i="16"/>
  <c r="AC257" i="16"/>
  <c r="AD257" i="16"/>
  <c r="CB257" i="16"/>
  <c r="V258" i="16"/>
  <c r="W258" i="16"/>
  <c r="X258" i="16"/>
  <c r="AA258" i="16" s="1"/>
  <c r="AB258" i="16" s="1"/>
  <c r="Y258" i="16"/>
  <c r="Z258" i="16"/>
  <c r="AC258" i="16"/>
  <c r="AD258" i="16"/>
  <c r="CB258" i="16"/>
  <c r="V259" i="16"/>
  <c r="W259" i="16"/>
  <c r="X259" i="16"/>
  <c r="Y259" i="16"/>
  <c r="Z259" i="16"/>
  <c r="AC259" i="16"/>
  <c r="AD259" i="16"/>
  <c r="CB259" i="16"/>
  <c r="V260" i="16"/>
  <c r="CB260" i="16" s="1"/>
  <c r="W260" i="16"/>
  <c r="X260" i="16"/>
  <c r="Y260" i="16"/>
  <c r="AA260" i="16" s="1"/>
  <c r="AB260" i="16" s="1"/>
  <c r="Z260" i="16"/>
  <c r="AC260" i="16"/>
  <c r="AD260" i="16"/>
  <c r="V261" i="16"/>
  <c r="W261" i="16"/>
  <c r="X261" i="16"/>
  <c r="AA261" i="16" s="1"/>
  <c r="AB261" i="16" s="1"/>
  <c r="Y261" i="16"/>
  <c r="Z261" i="16"/>
  <c r="AC261" i="16"/>
  <c r="AD261" i="16"/>
  <c r="CB261" i="16"/>
  <c r="V262" i="16"/>
  <c r="W262" i="16"/>
  <c r="X262" i="16"/>
  <c r="AA262" i="16" s="1"/>
  <c r="AB262" i="16" s="1"/>
  <c r="Y262" i="16"/>
  <c r="Z262" i="16"/>
  <c r="AC262" i="16"/>
  <c r="AD262" i="16"/>
  <c r="CB262" i="16"/>
  <c r="V263" i="16"/>
  <c r="W263" i="16"/>
  <c r="X263" i="16"/>
  <c r="Y263" i="16"/>
  <c r="Z263" i="16"/>
  <c r="AC263" i="16"/>
  <c r="AD263" i="16"/>
  <c r="CB263" i="16"/>
  <c r="V264" i="16"/>
  <c r="CB264" i="16" s="1"/>
  <c r="W264" i="16"/>
  <c r="X264" i="16"/>
  <c r="Y264" i="16"/>
  <c r="AA264" i="16" s="1"/>
  <c r="AB264" i="16" s="1"/>
  <c r="Z264" i="16"/>
  <c r="AC264" i="16"/>
  <c r="AD264" i="16"/>
  <c r="V265" i="16"/>
  <c r="W265" i="16"/>
  <c r="X265" i="16"/>
  <c r="AA265" i="16" s="1"/>
  <c r="AB265" i="16" s="1"/>
  <c r="Y265" i="16"/>
  <c r="Z265" i="16"/>
  <c r="AC265" i="16"/>
  <c r="AD265" i="16"/>
  <c r="CB265" i="16"/>
  <c r="V266" i="16"/>
  <c r="W266" i="16"/>
  <c r="X266" i="16"/>
  <c r="AA266" i="16" s="1"/>
  <c r="AB266" i="16" s="1"/>
  <c r="Y266" i="16"/>
  <c r="Z266" i="16"/>
  <c r="AC266" i="16"/>
  <c r="AD266" i="16"/>
  <c r="CB266" i="16"/>
  <c r="V267" i="16"/>
  <c r="W267" i="16"/>
  <c r="X267" i="16"/>
  <c r="Y267" i="16"/>
  <c r="Z267" i="16"/>
  <c r="AC267" i="16"/>
  <c r="AD267" i="16"/>
  <c r="V268" i="16"/>
  <c r="W268" i="16"/>
  <c r="X268" i="16"/>
  <c r="Y268" i="16"/>
  <c r="AA268" i="16" s="1"/>
  <c r="AB268" i="16" s="1"/>
  <c r="Z268" i="16"/>
  <c r="AC268" i="16"/>
  <c r="AD268" i="16"/>
  <c r="CB268" i="16"/>
  <c r="V269" i="16"/>
  <c r="W269" i="16"/>
  <c r="X269" i="16"/>
  <c r="AA269" i="16" s="1"/>
  <c r="AB269" i="16" s="1"/>
  <c r="Y269" i="16"/>
  <c r="Z269" i="16"/>
  <c r="AC269" i="16"/>
  <c r="AD269" i="16"/>
  <c r="V270" i="16"/>
  <c r="CB270" i="16" s="1"/>
  <c r="W270" i="16"/>
  <c r="X270" i="16"/>
  <c r="Y270" i="16"/>
  <c r="Z270" i="16"/>
  <c r="AA270" i="16"/>
  <c r="AB270" i="16" s="1"/>
  <c r="AC270" i="16"/>
  <c r="AD270" i="16"/>
  <c r="V271" i="16"/>
  <c r="W271" i="16"/>
  <c r="X271" i="16"/>
  <c r="AA271" i="16" s="1"/>
  <c r="AB271" i="16" s="1"/>
  <c r="Y271" i="16"/>
  <c r="Z271" i="16"/>
  <c r="AC271" i="16"/>
  <c r="AD271" i="16"/>
  <c r="CB271" i="16"/>
  <c r="V272" i="16"/>
  <c r="W272" i="16"/>
  <c r="X272" i="16"/>
  <c r="AA272" i="16" s="1"/>
  <c r="AB272" i="16" s="1"/>
  <c r="Y272" i="16"/>
  <c r="Z272" i="16"/>
  <c r="AC272" i="16"/>
  <c r="AD272" i="16"/>
  <c r="CB272" i="16"/>
  <c r="V273" i="16"/>
  <c r="W273" i="16"/>
  <c r="X273" i="16"/>
  <c r="AA273" i="16" s="1"/>
  <c r="AB273" i="16" s="1"/>
  <c r="Y273" i="16"/>
  <c r="Z273" i="16"/>
  <c r="AC273" i="16"/>
  <c r="AD273" i="16"/>
  <c r="V274" i="16"/>
  <c r="W274" i="16"/>
  <c r="X274" i="16"/>
  <c r="AA274" i="16" s="1"/>
  <c r="AB274" i="16" s="1"/>
  <c r="Y274" i="16"/>
  <c r="Z274" i="16"/>
  <c r="AC274" i="16"/>
  <c r="AD274" i="16"/>
  <c r="CB274" i="16"/>
  <c r="V275" i="16"/>
  <c r="W275" i="16"/>
  <c r="X275" i="16"/>
  <c r="AA275" i="16" s="1"/>
  <c r="AB275" i="16" s="1"/>
  <c r="Y275" i="16"/>
  <c r="Z275" i="16"/>
  <c r="AC275" i="16"/>
  <c r="AD275" i="16"/>
  <c r="CB275" i="16"/>
  <c r="V276" i="16"/>
  <c r="W276" i="16"/>
  <c r="X276" i="16"/>
  <c r="Y276" i="16"/>
  <c r="Z276" i="16"/>
  <c r="AC276" i="16"/>
  <c r="AD276" i="16"/>
  <c r="V277" i="16"/>
  <c r="CB277" i="16" s="1"/>
  <c r="W277" i="16"/>
  <c r="X277" i="16"/>
  <c r="Y277" i="16"/>
  <c r="Z277" i="16"/>
  <c r="AA277" i="16"/>
  <c r="AB277" i="16" s="1"/>
  <c r="AC277" i="16"/>
  <c r="AD277" i="16"/>
  <c r="V278" i="16"/>
  <c r="W278" i="16"/>
  <c r="X278" i="16"/>
  <c r="Y278" i="16"/>
  <c r="Z278" i="16"/>
  <c r="AA278" i="16"/>
  <c r="AB278" i="16" s="1"/>
  <c r="AC278" i="16"/>
  <c r="AD278" i="16"/>
  <c r="CB278" i="16"/>
  <c r="V279" i="16"/>
  <c r="W279" i="16"/>
  <c r="X279" i="16"/>
  <c r="AA279" i="16" s="1"/>
  <c r="AB279" i="16" s="1"/>
  <c r="Y279" i="16"/>
  <c r="Z279" i="16"/>
  <c r="AC279" i="16"/>
  <c r="AD279" i="16"/>
  <c r="CB279" i="16"/>
  <c r="V280" i="16"/>
  <c r="W280" i="16"/>
  <c r="X280" i="16"/>
  <c r="Y280" i="16"/>
  <c r="Z280" i="16"/>
  <c r="AC280" i="16"/>
  <c r="AD280" i="16"/>
  <c r="V281" i="16"/>
  <c r="CB281" i="16" s="1"/>
  <c r="W281" i="16"/>
  <c r="X281" i="16"/>
  <c r="Y281" i="16"/>
  <c r="Z281" i="16"/>
  <c r="AA281" i="16"/>
  <c r="AB281" i="16" s="1"/>
  <c r="AC281" i="16"/>
  <c r="AD281" i="16"/>
  <c r="V282" i="16"/>
  <c r="W282" i="16"/>
  <c r="X282" i="16"/>
  <c r="Y282" i="16"/>
  <c r="Z282" i="16"/>
  <c r="AA282" i="16"/>
  <c r="AB282" i="16" s="1"/>
  <c r="AC282" i="16"/>
  <c r="AD282" i="16"/>
  <c r="CB282" i="16"/>
  <c r="V283" i="16"/>
  <c r="W283" i="16"/>
  <c r="X283" i="16"/>
  <c r="AA283" i="16" s="1"/>
  <c r="AB283" i="16" s="1"/>
  <c r="Y283" i="16"/>
  <c r="Z283" i="16"/>
  <c r="AC283" i="16"/>
  <c r="AD283" i="16"/>
  <c r="CB283" i="16"/>
  <c r="V284" i="16"/>
  <c r="W284" i="16"/>
  <c r="X284" i="16"/>
  <c r="Y284" i="16"/>
  <c r="Z284" i="16"/>
  <c r="AC284" i="16"/>
  <c r="AD284" i="16"/>
  <c r="V285" i="16"/>
  <c r="CB285" i="16" s="1"/>
  <c r="W285" i="16"/>
  <c r="X285" i="16"/>
  <c r="Y285" i="16"/>
  <c r="Z285" i="16"/>
  <c r="AA285" i="16"/>
  <c r="AB285" i="16" s="1"/>
  <c r="AC285" i="16"/>
  <c r="AD285" i="16"/>
  <c r="V286" i="16"/>
  <c r="W286" i="16"/>
  <c r="X286" i="16"/>
  <c r="Y286" i="16"/>
  <c r="Z286" i="16"/>
  <c r="AA286" i="16"/>
  <c r="AB286" i="16" s="1"/>
  <c r="AC286" i="16"/>
  <c r="AD286" i="16"/>
  <c r="CB286" i="16"/>
  <c r="V287" i="16"/>
  <c r="W287" i="16"/>
  <c r="X287" i="16"/>
  <c r="AA287" i="16" s="1"/>
  <c r="AB287" i="16" s="1"/>
  <c r="Y287" i="16"/>
  <c r="Z287" i="16"/>
  <c r="AC287" i="16"/>
  <c r="AD287" i="16"/>
  <c r="CB287" i="16"/>
  <c r="V288" i="16"/>
  <c r="W288" i="16"/>
  <c r="X288" i="16"/>
  <c r="Y288" i="16"/>
  <c r="Z288" i="16"/>
  <c r="AC288" i="16"/>
  <c r="AD288" i="16"/>
  <c r="V289" i="16"/>
  <c r="CB289" i="16" s="1"/>
  <c r="W289" i="16"/>
  <c r="X289" i="16"/>
  <c r="Y289" i="16"/>
  <c r="Z289" i="16"/>
  <c r="AA289" i="16"/>
  <c r="AB289" i="16" s="1"/>
  <c r="AC289" i="16"/>
  <c r="AD289" i="16"/>
  <c r="V290" i="16"/>
  <c r="W290" i="16"/>
  <c r="X290" i="16"/>
  <c r="Y290" i="16"/>
  <c r="Z290" i="16"/>
  <c r="AA290" i="16"/>
  <c r="AB290" i="16" s="1"/>
  <c r="AC290" i="16"/>
  <c r="AD290" i="16"/>
  <c r="CB290" i="16"/>
  <c r="V291" i="16"/>
  <c r="W291" i="16"/>
  <c r="X291" i="16"/>
  <c r="AA291" i="16" s="1"/>
  <c r="AB291" i="16" s="1"/>
  <c r="Y291" i="16"/>
  <c r="Z291" i="16"/>
  <c r="AC291" i="16"/>
  <c r="AD291" i="16"/>
  <c r="CB291" i="16"/>
  <c r="V292" i="16"/>
  <c r="W292" i="16"/>
  <c r="X292" i="16"/>
  <c r="Y292" i="16"/>
  <c r="Z292" i="16"/>
  <c r="AC292" i="16"/>
  <c r="AD292" i="16"/>
  <c r="V293" i="16"/>
  <c r="CB293" i="16" s="1"/>
  <c r="W293" i="16"/>
  <c r="X293" i="16"/>
  <c r="Y293" i="16"/>
  <c r="Z293" i="16"/>
  <c r="AA293" i="16"/>
  <c r="AB293" i="16" s="1"/>
  <c r="AC293" i="16"/>
  <c r="AD293" i="16"/>
  <c r="V294" i="16"/>
  <c r="W294" i="16"/>
  <c r="X294" i="16"/>
  <c r="Y294" i="16"/>
  <c r="Z294" i="16"/>
  <c r="AA294" i="16"/>
  <c r="AB294" i="16" s="1"/>
  <c r="AC294" i="16"/>
  <c r="AD294" i="16"/>
  <c r="CB294" i="16"/>
  <c r="V295" i="16"/>
  <c r="W295" i="16"/>
  <c r="X295" i="16"/>
  <c r="AA295" i="16" s="1"/>
  <c r="AB295" i="16" s="1"/>
  <c r="Y295" i="16"/>
  <c r="Z295" i="16"/>
  <c r="AC295" i="16"/>
  <c r="AD295" i="16"/>
  <c r="CB295" i="16"/>
  <c r="V296" i="16"/>
  <c r="W296" i="16"/>
  <c r="X296" i="16"/>
  <c r="Y296" i="16"/>
  <c r="Z296" i="16"/>
  <c r="AC296" i="16"/>
  <c r="AD296" i="16"/>
  <c r="V297" i="16"/>
  <c r="CB297" i="16" s="1"/>
  <c r="W297" i="16"/>
  <c r="X297" i="16"/>
  <c r="Y297" i="16"/>
  <c r="Z297" i="16"/>
  <c r="AA297" i="16"/>
  <c r="AB297" i="16" s="1"/>
  <c r="AC297" i="16"/>
  <c r="AD297" i="16"/>
  <c r="V298" i="16"/>
  <c r="W298" i="16"/>
  <c r="X298" i="16"/>
  <c r="Y298" i="16"/>
  <c r="Z298" i="16"/>
  <c r="AA298" i="16"/>
  <c r="AB298" i="16" s="1"/>
  <c r="AC298" i="16"/>
  <c r="AD298" i="16"/>
  <c r="CB298" i="16"/>
  <c r="V299" i="16"/>
  <c r="W299" i="16"/>
  <c r="X299" i="16"/>
  <c r="AA299" i="16" s="1"/>
  <c r="AB299" i="16" s="1"/>
  <c r="Y299" i="16"/>
  <c r="Z299" i="16"/>
  <c r="AC299" i="16"/>
  <c r="AD299" i="16"/>
  <c r="CB299" i="16"/>
  <c r="V300" i="16"/>
  <c r="W300" i="16"/>
  <c r="X300" i="16"/>
  <c r="Y300" i="16"/>
  <c r="Z300" i="16"/>
  <c r="AC300" i="16"/>
  <c r="AD300" i="16"/>
  <c r="V301" i="16"/>
  <c r="CB301" i="16" s="1"/>
  <c r="W301" i="16"/>
  <c r="X301" i="16"/>
  <c r="Y301" i="16"/>
  <c r="Z301" i="16"/>
  <c r="AA301" i="16"/>
  <c r="AB301" i="16" s="1"/>
  <c r="AC301" i="16"/>
  <c r="AD301" i="16"/>
  <c r="V302" i="16"/>
  <c r="W302" i="16"/>
  <c r="X302" i="16"/>
  <c r="Y302" i="16"/>
  <c r="Z302" i="16"/>
  <c r="AA302" i="16"/>
  <c r="AB302" i="16" s="1"/>
  <c r="AC302" i="16"/>
  <c r="AD302" i="16"/>
  <c r="CB302" i="16"/>
  <c r="V303" i="16"/>
  <c r="W303" i="16"/>
  <c r="X303" i="16"/>
  <c r="AA303" i="16" s="1"/>
  <c r="AB303" i="16" s="1"/>
  <c r="Y303" i="16"/>
  <c r="Z303" i="16"/>
  <c r="AC303" i="16"/>
  <c r="AD303" i="16"/>
  <c r="CB303" i="16"/>
  <c r="V304" i="16"/>
  <c r="W304" i="16"/>
  <c r="X304" i="16"/>
  <c r="Y304" i="16"/>
  <c r="Z304" i="16"/>
  <c r="AC304" i="16"/>
  <c r="AD304" i="16"/>
  <c r="V305" i="16"/>
  <c r="CB305" i="16" s="1"/>
  <c r="W305" i="16"/>
  <c r="X305" i="16"/>
  <c r="Y305" i="16"/>
  <c r="Z305" i="16"/>
  <c r="AA305" i="16"/>
  <c r="AB305" i="16" s="1"/>
  <c r="AC305" i="16"/>
  <c r="AD305" i="16"/>
  <c r="AD6" i="16"/>
  <c r="AC6" i="16"/>
  <c r="Z6" i="16"/>
  <c r="Y6" i="16"/>
  <c r="X6" i="16"/>
  <c r="W6" i="16"/>
  <c r="V6" i="16"/>
  <c r="CB6" i="16" s="1"/>
  <c r="W25" i="14"/>
  <c r="V25" i="14"/>
  <c r="U25" i="14"/>
  <c r="T25" i="14"/>
  <c r="S25" i="14"/>
  <c r="CB25" i="14" s="1"/>
  <c r="AA54" i="14"/>
  <c r="Z54" i="14"/>
  <c r="W54" i="14"/>
  <c r="V54" i="14"/>
  <c r="U54" i="14"/>
  <c r="T54" i="14"/>
  <c r="S54" i="14"/>
  <c r="CB54" i="14" s="1"/>
  <c r="AA27" i="14"/>
  <c r="Z27" i="14"/>
  <c r="W27" i="14"/>
  <c r="V27" i="14"/>
  <c r="U27" i="14"/>
  <c r="T27" i="14"/>
  <c r="S27" i="14"/>
  <c r="CB27" i="14" s="1"/>
  <c r="AA53" i="14"/>
  <c r="Z53" i="14"/>
  <c r="W53" i="14"/>
  <c r="V53" i="14"/>
  <c r="U53" i="14"/>
  <c r="T53" i="14"/>
  <c r="S53" i="14"/>
  <c r="CB53" i="14" s="1"/>
  <c r="W24" i="14"/>
  <c r="V24" i="14"/>
  <c r="U24" i="14"/>
  <c r="T24" i="14"/>
  <c r="S24" i="14"/>
  <c r="W15" i="14"/>
  <c r="V15" i="14"/>
  <c r="U15" i="14"/>
  <c r="T15" i="14"/>
  <c r="S15" i="14"/>
  <c r="CB15" i="14" s="1"/>
  <c r="W14" i="14"/>
  <c r="V14" i="14"/>
  <c r="U14" i="14"/>
  <c r="T14" i="14"/>
  <c r="S14" i="14"/>
  <c r="CB14" i="14" s="1"/>
  <c r="W13" i="14"/>
  <c r="V13" i="14"/>
  <c r="U13" i="14"/>
  <c r="T13" i="14"/>
  <c r="S13" i="14"/>
  <c r="W12" i="14"/>
  <c r="V12" i="14"/>
  <c r="U12" i="14"/>
  <c r="T12" i="14"/>
  <c r="S12" i="14"/>
  <c r="CB12" i="14" s="1"/>
  <c r="W23" i="14"/>
  <c r="V23" i="14"/>
  <c r="U23" i="14"/>
  <c r="T23" i="14"/>
  <c r="S23" i="14"/>
  <c r="W22" i="14"/>
  <c r="V22" i="14"/>
  <c r="U22" i="14"/>
  <c r="T22" i="14"/>
  <c r="S22" i="14"/>
  <c r="CB22" i="14" s="1"/>
  <c r="W21" i="14"/>
  <c r="V21" i="14"/>
  <c r="U21" i="14"/>
  <c r="T21" i="14"/>
  <c r="S21" i="14"/>
  <c r="CB21" i="14" s="1"/>
  <c r="W20" i="14"/>
  <c r="V20" i="14"/>
  <c r="U20" i="14"/>
  <c r="T20" i="14"/>
  <c r="S20" i="14"/>
  <c r="CB20" i="14" s="1"/>
  <c r="W19" i="14"/>
  <c r="V19" i="14"/>
  <c r="U19" i="14"/>
  <c r="T19" i="14"/>
  <c r="S19" i="14"/>
  <c r="CB19" i="14" s="1"/>
  <c r="W18" i="14"/>
  <c r="V18" i="14"/>
  <c r="U18" i="14"/>
  <c r="T18" i="14"/>
  <c r="S18" i="14"/>
  <c r="CB18" i="14" s="1"/>
  <c r="W17" i="14"/>
  <c r="V17" i="14"/>
  <c r="U17" i="14"/>
  <c r="T17" i="14"/>
  <c r="S17" i="14"/>
  <c r="CB17" i="14" s="1"/>
  <c r="W16" i="14"/>
  <c r="V16" i="14"/>
  <c r="U16" i="14"/>
  <c r="T16" i="14"/>
  <c r="S16" i="14"/>
  <c r="CB16" i="14" s="1"/>
  <c r="W52" i="14"/>
  <c r="V52" i="14"/>
  <c r="U52" i="14"/>
  <c r="T52" i="14"/>
  <c r="S52" i="14"/>
  <c r="CB52" i="14" s="1"/>
  <c r="W51" i="14"/>
  <c r="V51" i="14"/>
  <c r="U51" i="14"/>
  <c r="T51" i="14"/>
  <c r="S51" i="14"/>
  <c r="CB51" i="14" s="1"/>
  <c r="W50" i="14"/>
  <c r="V50" i="14"/>
  <c r="U50" i="14"/>
  <c r="T50" i="14"/>
  <c r="S50" i="14"/>
  <c r="CB50" i="14" s="1"/>
  <c r="W49" i="14"/>
  <c r="V49" i="14"/>
  <c r="U49" i="14"/>
  <c r="T49" i="14"/>
  <c r="S49" i="14"/>
  <c r="CB49" i="14" s="1"/>
  <c r="W48" i="14"/>
  <c r="V48" i="14"/>
  <c r="U48" i="14"/>
  <c r="T48" i="14"/>
  <c r="S48" i="14"/>
  <c r="CA48" i="14" s="1"/>
  <c r="W47" i="14"/>
  <c r="V47" i="14"/>
  <c r="U47" i="14"/>
  <c r="T47" i="14"/>
  <c r="S47" i="14"/>
  <c r="CB47" i="14" s="1"/>
  <c r="W46" i="14"/>
  <c r="V46" i="14"/>
  <c r="U46" i="14"/>
  <c r="T46" i="14"/>
  <c r="S46" i="14"/>
  <c r="CA46" i="14" s="1"/>
  <c r="W45" i="14"/>
  <c r="V45" i="14"/>
  <c r="U45" i="14"/>
  <c r="T45" i="14"/>
  <c r="S45" i="14"/>
  <c r="CA45" i="14" s="1"/>
  <c r="W44" i="14"/>
  <c r="V44" i="14"/>
  <c r="U44" i="14"/>
  <c r="T44" i="14"/>
  <c r="S44" i="14"/>
  <c r="CB44" i="14" s="1"/>
  <c r="W43" i="14"/>
  <c r="V43" i="14"/>
  <c r="U43" i="14"/>
  <c r="T43" i="14"/>
  <c r="S43" i="14"/>
  <c r="CA43" i="14" s="1"/>
  <c r="W42" i="14"/>
  <c r="V42" i="14"/>
  <c r="U42" i="14"/>
  <c r="T42" i="14"/>
  <c r="S42" i="14"/>
  <c r="CA42" i="14" s="1"/>
  <c r="W41" i="14"/>
  <c r="V41" i="14"/>
  <c r="U41" i="14"/>
  <c r="T41" i="14"/>
  <c r="S41" i="14"/>
  <c r="CA41" i="14" s="1"/>
  <c r="W40" i="14"/>
  <c r="V40" i="14"/>
  <c r="U40" i="14"/>
  <c r="T40" i="14"/>
  <c r="S40" i="14"/>
  <c r="CA40" i="14" s="1"/>
  <c r="W39" i="14"/>
  <c r="V39" i="14"/>
  <c r="U39" i="14"/>
  <c r="T39" i="14"/>
  <c r="S39" i="14"/>
  <c r="CB39" i="14" s="1"/>
  <c r="W38" i="14"/>
  <c r="V38" i="14"/>
  <c r="U38" i="14"/>
  <c r="T38" i="14"/>
  <c r="S38" i="14"/>
  <c r="CB38" i="14" s="1"/>
  <c r="W37" i="14"/>
  <c r="V37" i="14"/>
  <c r="U37" i="14"/>
  <c r="T37" i="14"/>
  <c r="S37" i="14"/>
  <c r="CB37" i="14" s="1"/>
  <c r="W36" i="14"/>
  <c r="V36" i="14"/>
  <c r="U36" i="14"/>
  <c r="T36" i="14"/>
  <c r="S36" i="14"/>
  <c r="CB36" i="14" s="1"/>
  <c r="W35" i="14"/>
  <c r="V35" i="14"/>
  <c r="U35" i="14"/>
  <c r="T35" i="14"/>
  <c r="S35" i="14"/>
  <c r="CB35" i="14" s="1"/>
  <c r="W34" i="14"/>
  <c r="V34" i="14"/>
  <c r="U34" i="14"/>
  <c r="T34" i="14"/>
  <c r="S34" i="14"/>
  <c r="CB34" i="14" s="1"/>
  <c r="W33" i="14"/>
  <c r="V33" i="14"/>
  <c r="U33" i="14"/>
  <c r="T33" i="14"/>
  <c r="S33" i="14"/>
  <c r="CA33" i="14" s="1"/>
  <c r="W32" i="14"/>
  <c r="V32" i="14"/>
  <c r="U32" i="14"/>
  <c r="T32" i="14"/>
  <c r="S32" i="14"/>
  <c r="CA32" i="14" s="1"/>
  <c r="W31" i="14"/>
  <c r="V31" i="14"/>
  <c r="U31" i="14"/>
  <c r="T31" i="14"/>
  <c r="S31" i="14"/>
  <c r="CA31" i="14" s="1"/>
  <c r="W11" i="14"/>
  <c r="V11" i="14"/>
  <c r="U11" i="14"/>
  <c r="T11" i="14"/>
  <c r="S11" i="14"/>
  <c r="CB11" i="14" s="1"/>
  <c r="W30" i="14"/>
  <c r="V30" i="14"/>
  <c r="U30" i="14"/>
  <c r="T30" i="14"/>
  <c r="S30" i="14"/>
  <c r="CB30" i="14" s="1"/>
  <c r="W29" i="14"/>
  <c r="V29" i="14"/>
  <c r="U29" i="14"/>
  <c r="T29" i="14"/>
  <c r="S29" i="14"/>
  <c r="CA29" i="14" s="1"/>
  <c r="W28" i="14"/>
  <c r="V28" i="14"/>
  <c r="U28" i="14"/>
  <c r="T28" i="14"/>
  <c r="S28" i="14"/>
  <c r="CB28" i="14" s="1"/>
  <c r="W10" i="14"/>
  <c r="V10" i="14"/>
  <c r="U10" i="14"/>
  <c r="T10" i="14"/>
  <c r="S10" i="14"/>
  <c r="W9" i="14"/>
  <c r="V9" i="14"/>
  <c r="U9" i="14"/>
  <c r="T9" i="14"/>
  <c r="S9" i="14"/>
  <c r="W26" i="14"/>
  <c r="V26" i="14"/>
  <c r="U26" i="14"/>
  <c r="T26" i="14"/>
  <c r="S26" i="14"/>
  <c r="W8" i="14"/>
  <c r="V8" i="14"/>
  <c r="U8" i="14"/>
  <c r="T8" i="14"/>
  <c r="S8" i="14"/>
  <c r="CB8" i="14" s="1"/>
  <c r="W7" i="14"/>
  <c r="V7" i="14"/>
  <c r="U7" i="14"/>
  <c r="T7" i="14"/>
  <c r="S7" i="14"/>
  <c r="CB7" i="14" s="1"/>
  <c r="W6" i="14"/>
  <c r="V6" i="14"/>
  <c r="U6" i="14"/>
  <c r="T6" i="14"/>
  <c r="S6" i="14"/>
  <c r="CB6" i="14" s="1"/>
  <c r="CA68" i="13"/>
  <c r="AA7" i="13"/>
  <c r="AA8" i="13"/>
  <c r="AA9" i="13"/>
  <c r="AA10" i="13"/>
  <c r="AA11" i="13"/>
  <c r="AA12" i="13"/>
  <c r="AA13" i="13"/>
  <c r="AA14" i="13"/>
  <c r="AA15" i="13"/>
  <c r="AA16" i="13"/>
  <c r="AA17" i="13"/>
  <c r="AA18" i="13"/>
  <c r="AA19" i="13"/>
  <c r="AA20" i="13"/>
  <c r="AA21" i="13"/>
  <c r="AA22" i="13"/>
  <c r="AA23" i="13"/>
  <c r="AA24" i="13"/>
  <c r="AA25" i="13"/>
  <c r="AA26" i="13"/>
  <c r="AA27" i="13"/>
  <c r="AA28" i="13"/>
  <c r="AA29" i="13"/>
  <c r="AA30" i="13"/>
  <c r="AA31" i="13"/>
  <c r="AA32" i="13"/>
  <c r="AA33" i="13"/>
  <c r="AA34" i="13"/>
  <c r="AA35" i="13"/>
  <c r="AA36" i="13"/>
  <c r="AA38" i="13"/>
  <c r="AA39" i="13"/>
  <c r="AA40" i="13"/>
  <c r="AA41" i="13"/>
  <c r="AA42" i="13"/>
  <c r="AA43" i="13"/>
  <c r="AA44" i="13"/>
  <c r="AA45" i="13"/>
  <c r="AA46" i="13"/>
  <c r="AA47" i="13"/>
  <c r="AA48" i="13"/>
  <c r="AA49" i="13"/>
  <c r="AA50" i="13"/>
  <c r="AA51" i="13"/>
  <c r="AA52" i="13"/>
  <c r="AA53" i="13"/>
  <c r="AA54" i="13"/>
  <c r="AA55" i="13"/>
  <c r="AA56" i="13"/>
  <c r="AA57" i="13"/>
  <c r="AA58" i="13"/>
  <c r="AA59" i="13"/>
  <c r="AA60" i="13"/>
  <c r="AA61" i="13"/>
  <c r="AA62" i="13"/>
  <c r="AA63" i="13"/>
  <c r="AA64" i="13"/>
  <c r="AA65" i="13"/>
  <c r="AA66" i="13"/>
  <c r="AA67" i="13"/>
  <c r="AA68" i="13"/>
  <c r="AA6" i="13"/>
  <c r="Z7" i="13"/>
  <c r="Z8" i="13"/>
  <c r="Z9" i="13"/>
  <c r="Z10" i="13"/>
  <c r="Z11" i="13"/>
  <c r="Z12" i="13"/>
  <c r="Z13" i="13"/>
  <c r="Z14" i="13"/>
  <c r="Z15" i="13"/>
  <c r="Z16" i="13"/>
  <c r="Z17" i="13"/>
  <c r="Z18" i="13"/>
  <c r="Z19" i="13"/>
  <c r="Z20" i="13"/>
  <c r="Z21" i="13"/>
  <c r="Z22" i="13"/>
  <c r="Z23" i="13"/>
  <c r="Z24" i="13"/>
  <c r="Z25" i="13"/>
  <c r="Z26" i="13"/>
  <c r="Z27" i="13"/>
  <c r="Z28" i="13"/>
  <c r="Z29" i="13"/>
  <c r="Z30" i="13"/>
  <c r="Z31" i="13"/>
  <c r="Z32" i="13"/>
  <c r="Z33" i="13"/>
  <c r="Z34" i="13"/>
  <c r="Z35" i="13"/>
  <c r="Z36" i="13"/>
  <c r="Z37" i="13"/>
  <c r="Z39" i="13"/>
  <c r="Z40" i="13"/>
  <c r="Z41" i="13"/>
  <c r="Z42" i="13"/>
  <c r="Z43" i="13"/>
  <c r="Z44" i="13"/>
  <c r="Z45" i="13"/>
  <c r="Z46" i="13"/>
  <c r="Z47" i="13"/>
  <c r="Z48" i="13"/>
  <c r="Z49" i="13"/>
  <c r="Z50" i="13"/>
  <c r="Z51" i="13"/>
  <c r="Z52" i="13"/>
  <c r="Z53" i="13"/>
  <c r="Z54" i="13"/>
  <c r="Z55" i="13"/>
  <c r="Z56" i="13"/>
  <c r="Z57" i="13"/>
  <c r="Z58" i="13"/>
  <c r="Z59" i="13"/>
  <c r="Z60" i="13"/>
  <c r="Z61" i="13"/>
  <c r="Z62" i="13"/>
  <c r="Z63" i="13"/>
  <c r="Z64" i="13"/>
  <c r="Z65" i="13"/>
  <c r="Z66" i="13"/>
  <c r="Z67" i="13"/>
  <c r="Z68" i="13"/>
  <c r="Z6" i="13"/>
  <c r="W68" i="13"/>
  <c r="V68" i="13"/>
  <c r="U68" i="13"/>
  <c r="X68" i="13" s="1"/>
  <c r="T68" i="13"/>
  <c r="S68" i="13"/>
  <c r="CB68" i="13" s="1"/>
  <c r="W1" i="14"/>
  <c r="V1" i="14"/>
  <c r="U1" i="14"/>
  <c r="T1" i="14"/>
  <c r="S1" i="14"/>
  <c r="CB1" i="14" s="1"/>
  <c r="W67" i="13"/>
  <c r="V67" i="13"/>
  <c r="U67" i="13"/>
  <c r="T67" i="13"/>
  <c r="S67" i="13"/>
  <c r="CB67" i="13" s="1"/>
  <c r="CM1" i="11"/>
  <c r="CI1" i="11"/>
  <c r="CH1" i="11"/>
  <c r="CF1" i="11"/>
  <c r="CE1" i="11"/>
  <c r="CD1" i="11"/>
  <c r="CA9" i="16"/>
  <c r="CA13" i="16"/>
  <c r="CA17" i="16"/>
  <c r="CA21" i="16"/>
  <c r="CA25" i="16"/>
  <c r="CA29" i="16"/>
  <c r="CA33" i="16"/>
  <c r="CA37" i="16"/>
  <c r="CA41" i="16"/>
  <c r="CA45" i="16"/>
  <c r="CA49" i="16"/>
  <c r="CA53" i="16"/>
  <c r="CA57" i="16"/>
  <c r="CA61" i="16"/>
  <c r="CA65" i="16"/>
  <c r="CA69" i="16"/>
  <c r="CA72" i="16"/>
  <c r="CA76" i="16"/>
  <c r="CA80" i="16"/>
  <c r="CA84" i="16"/>
  <c r="CA88" i="16"/>
  <c r="CA92" i="16"/>
  <c r="CA10" i="16"/>
  <c r="CA14" i="16"/>
  <c r="CA18" i="16"/>
  <c r="CA22" i="16"/>
  <c r="CA26" i="16"/>
  <c r="CA30" i="16"/>
  <c r="CA34" i="16"/>
  <c r="CA38" i="16"/>
  <c r="CA42" i="16"/>
  <c r="CA46" i="16"/>
  <c r="CA50" i="16"/>
  <c r="CA54" i="16"/>
  <c r="CA58" i="16"/>
  <c r="CA62" i="16"/>
  <c r="CA66" i="16"/>
  <c r="CA70" i="16"/>
  <c r="CA74" i="16"/>
  <c r="CA78" i="16"/>
  <c r="CA82" i="16"/>
  <c r="CA86" i="16"/>
  <c r="CA90" i="16"/>
  <c r="CA95" i="16"/>
  <c r="CA99" i="16"/>
  <c r="CA103" i="16"/>
  <c r="CA107" i="16"/>
  <c r="CA111" i="16"/>
  <c r="CA115" i="16"/>
  <c r="CA77" i="16"/>
  <c r="CA85" i="16"/>
  <c r="CA94" i="16"/>
  <c r="CA100" i="16"/>
  <c r="CA105" i="16"/>
  <c r="CA109" i="16"/>
  <c r="CA113" i="16"/>
  <c r="CA117" i="16"/>
  <c r="CA121" i="16"/>
  <c r="CA125" i="16"/>
  <c r="CA129" i="16"/>
  <c r="CA133" i="16"/>
  <c r="CA137" i="16"/>
  <c r="CA141" i="16"/>
  <c r="CA98" i="16"/>
  <c r="CA119" i="16"/>
  <c r="CA123" i="16"/>
  <c r="CA127" i="16"/>
  <c r="CA131" i="16"/>
  <c r="CA135" i="16"/>
  <c r="CA139" i="16"/>
  <c r="CA143" i="16"/>
  <c r="CA147" i="16"/>
  <c r="CA151" i="16"/>
  <c r="CA155" i="16"/>
  <c r="CA81" i="16"/>
  <c r="CA160" i="16"/>
  <c r="CA163" i="16"/>
  <c r="CA170" i="16"/>
  <c r="CA173" i="16"/>
  <c r="CA176" i="16"/>
  <c r="CA179" i="16"/>
  <c r="CA186" i="16"/>
  <c r="CA189" i="16"/>
  <c r="CA192" i="16"/>
  <c r="CA195" i="16"/>
  <c r="CA202" i="16"/>
  <c r="CA205" i="16"/>
  <c r="CA208" i="16"/>
  <c r="CA211" i="16"/>
  <c r="CA218" i="16"/>
  <c r="CA221" i="16"/>
  <c r="CA224" i="16"/>
  <c r="CA227" i="16"/>
  <c r="CA232" i="16"/>
  <c r="CA236" i="16"/>
  <c r="CA240" i="16"/>
  <c r="CA244" i="16"/>
  <c r="CA248" i="16"/>
  <c r="CA252" i="16"/>
  <c r="CA256" i="16"/>
  <c r="CA260" i="16"/>
  <c r="CA264" i="16"/>
  <c r="CA89" i="16"/>
  <c r="CA102" i="16"/>
  <c r="CA106" i="16"/>
  <c r="CA110" i="16"/>
  <c r="CA114" i="16"/>
  <c r="CA118" i="16"/>
  <c r="CA126" i="16"/>
  <c r="CA134" i="16"/>
  <c r="CA142" i="16"/>
  <c r="CA146" i="16"/>
  <c r="CA150" i="16"/>
  <c r="CA154" i="16"/>
  <c r="CA158" i="16"/>
  <c r="CA161" i="16"/>
  <c r="CA164" i="16"/>
  <c r="CA167" i="16"/>
  <c r="CA174" i="16"/>
  <c r="CA177" i="16"/>
  <c r="CA180" i="16"/>
  <c r="CA183" i="16"/>
  <c r="CA190" i="16"/>
  <c r="CA193" i="16"/>
  <c r="CA196" i="16"/>
  <c r="CA199" i="16"/>
  <c r="CA206" i="16"/>
  <c r="CA209" i="16"/>
  <c r="CA212" i="16"/>
  <c r="CA215" i="16"/>
  <c r="CA222" i="16"/>
  <c r="CA225" i="16"/>
  <c r="CA228" i="16"/>
  <c r="CA230" i="16"/>
  <c r="CA234" i="16"/>
  <c r="CA238" i="16"/>
  <c r="CA242" i="16"/>
  <c r="CA246" i="16"/>
  <c r="CA250" i="16"/>
  <c r="CA254" i="16"/>
  <c r="CA258" i="16"/>
  <c r="CA262" i="16"/>
  <c r="CA266" i="16"/>
  <c r="CA268" i="16"/>
  <c r="CA272" i="16"/>
  <c r="CA283" i="16"/>
  <c r="CA287" i="16"/>
  <c r="CA291" i="16"/>
  <c r="CA295" i="16"/>
  <c r="CA299" i="16"/>
  <c r="CA303" i="16"/>
  <c r="CA73" i="16"/>
  <c r="CA122" i="16"/>
  <c r="CA172" i="16"/>
  <c r="CA182" i="16"/>
  <c r="CA188" i="16"/>
  <c r="CA198" i="16"/>
  <c r="CA204" i="16"/>
  <c r="CA220" i="16"/>
  <c r="CA162" i="16"/>
  <c r="CA168" i="16"/>
  <c r="CA178" i="16"/>
  <c r="CA184" i="16"/>
  <c r="CA194" i="16"/>
  <c r="CA200" i="16"/>
  <c r="CA210" i="16"/>
  <c r="CA216" i="16"/>
  <c r="CA226" i="16"/>
  <c r="CA233" i="16"/>
  <c r="CA237" i="16"/>
  <c r="CA241" i="16"/>
  <c r="CA245" i="16"/>
  <c r="CA249" i="16"/>
  <c r="CA253" i="16"/>
  <c r="CA257" i="16"/>
  <c r="CA261" i="16"/>
  <c r="CA265" i="16"/>
  <c r="CA271" i="16"/>
  <c r="CA275" i="16"/>
  <c r="CA279" i="16"/>
  <c r="CA130" i="16"/>
  <c r="CA138" i="16"/>
  <c r="CA166" i="16"/>
  <c r="CA214" i="16"/>
  <c r="CA270" i="16"/>
  <c r="CA273" i="16"/>
  <c r="CA269" i="16"/>
  <c r="CA297" i="16"/>
  <c r="CA301" i="16"/>
  <c r="CA286" i="16"/>
  <c r="CA290" i="16"/>
  <c r="CA294" i="16"/>
  <c r="CA277" i="16"/>
  <c r="CA281" i="16"/>
  <c r="CA285" i="16"/>
  <c r="CA293" i="16"/>
  <c r="CA305" i="16"/>
  <c r="CA282" i="16"/>
  <c r="CA298" i="16"/>
  <c r="CA302" i="16"/>
  <c r="CA274" i="16"/>
  <c r="CA278" i="16"/>
  <c r="AA25" i="14"/>
  <c r="Z25" i="14"/>
  <c r="AA24" i="14"/>
  <c r="Z24" i="14"/>
  <c r="AA15" i="14"/>
  <c r="Z15" i="14"/>
  <c r="AA14" i="14"/>
  <c r="Z14" i="14"/>
  <c r="AA13" i="14"/>
  <c r="Z13" i="14"/>
  <c r="AA12" i="14"/>
  <c r="Z12" i="14"/>
  <c r="AA23" i="14"/>
  <c r="Z23" i="14"/>
  <c r="AA22" i="14"/>
  <c r="Z22" i="14"/>
  <c r="AA21" i="14"/>
  <c r="Z21" i="14"/>
  <c r="AA20" i="14"/>
  <c r="Z20" i="14"/>
  <c r="AA19" i="14"/>
  <c r="Z19" i="14"/>
  <c r="AA18" i="14"/>
  <c r="Z18" i="14"/>
  <c r="AA17" i="14"/>
  <c r="Z17" i="14"/>
  <c r="AA16" i="14"/>
  <c r="Z16" i="14"/>
  <c r="AA52" i="14"/>
  <c r="Z52" i="14"/>
  <c r="AA51" i="14"/>
  <c r="Z51" i="14"/>
  <c r="AA50" i="14"/>
  <c r="Z50" i="14"/>
  <c r="AA49" i="14"/>
  <c r="Z49" i="14"/>
  <c r="AA48" i="14"/>
  <c r="Z48" i="14"/>
  <c r="AA47" i="14"/>
  <c r="Z47" i="14"/>
  <c r="AA46" i="14"/>
  <c r="Z46" i="14"/>
  <c r="AA45" i="14"/>
  <c r="Z45" i="14"/>
  <c r="Z44" i="14"/>
  <c r="AA44" i="14"/>
  <c r="AA43" i="14"/>
  <c r="Z43" i="14"/>
  <c r="AA42" i="14"/>
  <c r="Z42" i="14"/>
  <c r="AA41" i="14"/>
  <c r="Z41" i="14"/>
  <c r="AA40" i="14"/>
  <c r="Z40" i="14"/>
  <c r="AA39" i="14"/>
  <c r="Z39" i="14"/>
  <c r="Z38" i="14"/>
  <c r="AA38" i="14"/>
  <c r="AA37" i="14"/>
  <c r="Z37" i="14"/>
  <c r="AA36" i="14"/>
  <c r="Z36" i="14"/>
  <c r="AA35" i="14"/>
  <c r="Z35" i="14"/>
  <c r="AA34" i="14"/>
  <c r="Z34" i="14"/>
  <c r="AA33" i="14"/>
  <c r="Z33" i="14"/>
  <c r="AA32" i="14"/>
  <c r="Z32" i="14"/>
  <c r="AA31" i="14"/>
  <c r="Z31" i="14"/>
  <c r="Z11" i="14"/>
  <c r="AA11" i="14"/>
  <c r="AA30" i="14"/>
  <c r="Z30" i="14"/>
  <c r="AA29" i="14"/>
  <c r="Z29" i="14"/>
  <c r="AA28" i="14"/>
  <c r="Z28" i="14"/>
  <c r="AA10" i="14"/>
  <c r="Z10" i="14"/>
  <c r="AA9" i="14"/>
  <c r="Z9" i="14"/>
  <c r="AA26" i="14"/>
  <c r="Z26" i="14"/>
  <c r="AA8" i="14"/>
  <c r="Z8" i="14"/>
  <c r="AA7" i="14"/>
  <c r="Z7" i="14"/>
  <c r="AA6" i="14"/>
  <c r="Z6" i="14"/>
  <c r="AA1" i="14"/>
  <c r="AA37" i="13"/>
  <c r="AA1" i="13"/>
  <c r="Z38" i="13"/>
  <c r="Z1" i="13"/>
  <c r="Y68" i="13"/>
  <c r="BX1" i="11"/>
  <c r="CG1" i="11"/>
  <c r="Z1" i="14"/>
  <c r="E255" i="16"/>
  <c r="AW113" i="11" l="1"/>
  <c r="AW114" i="11"/>
  <c r="AW112" i="11"/>
  <c r="AW109" i="11"/>
  <c r="AW89" i="11"/>
  <c r="AW93" i="11"/>
  <c r="AW97" i="11"/>
  <c r="AW101" i="11"/>
  <c r="AW105" i="11"/>
  <c r="AW90" i="11"/>
  <c r="AW91" i="11"/>
  <c r="AW95" i="11"/>
  <c r="AW99" i="11"/>
  <c r="AW103" i="11"/>
  <c r="AW107" i="11"/>
  <c r="AW98" i="11"/>
  <c r="AW106" i="11"/>
  <c r="AW88" i="11"/>
  <c r="AW92" i="11"/>
  <c r="AW96" i="11"/>
  <c r="AW100" i="11"/>
  <c r="AW104" i="11"/>
  <c r="AW108" i="11"/>
  <c r="AW94" i="11"/>
  <c r="AW102" i="11"/>
  <c r="AW117" i="11"/>
  <c r="AW121" i="11"/>
  <c r="AW125" i="11"/>
  <c r="AW115" i="11"/>
  <c r="AW119" i="11"/>
  <c r="AW123" i="11"/>
  <c r="AW122" i="11"/>
  <c r="AW126" i="11"/>
  <c r="AW116" i="11"/>
  <c r="AW120" i="11"/>
  <c r="AW124" i="11"/>
  <c r="AW118" i="11"/>
  <c r="AW111" i="11"/>
  <c r="AW110" i="11"/>
  <c r="AW87" i="11"/>
  <c r="CA1" i="14"/>
  <c r="CB304" i="16"/>
  <c r="CB288" i="16"/>
  <c r="CB300" i="16"/>
  <c r="CB296" i="16"/>
  <c r="CB292" i="16"/>
  <c r="CB284" i="16"/>
  <c r="CB280" i="16"/>
  <c r="CB276" i="16"/>
  <c r="AA304" i="16"/>
  <c r="AB304" i="16" s="1"/>
  <c r="AA300" i="16"/>
  <c r="AB300" i="16" s="1"/>
  <c r="AA296" i="16"/>
  <c r="AB296" i="16" s="1"/>
  <c r="AA292" i="16"/>
  <c r="AB292" i="16" s="1"/>
  <c r="AA288" i="16"/>
  <c r="AB288" i="16" s="1"/>
  <c r="AA284" i="16"/>
  <c r="AB284" i="16" s="1"/>
  <c r="AA280" i="16"/>
  <c r="AB280" i="16" s="1"/>
  <c r="AA276" i="16"/>
  <c r="AB276" i="16" s="1"/>
  <c r="CB97" i="16"/>
  <c r="CB267" i="16"/>
  <c r="CB273" i="16"/>
  <c r="CB269" i="16"/>
  <c r="AA267" i="16"/>
  <c r="AB267" i="16" s="1"/>
  <c r="AA263" i="16"/>
  <c r="AB263" i="16" s="1"/>
  <c r="AA259" i="16"/>
  <c r="AB259" i="16" s="1"/>
  <c r="AA255" i="16"/>
  <c r="AB255" i="16" s="1"/>
  <c r="AA251" i="16"/>
  <c r="AB251" i="16" s="1"/>
  <c r="AA247" i="16"/>
  <c r="AB247" i="16" s="1"/>
  <c r="AA243" i="16"/>
  <c r="AB243" i="16" s="1"/>
  <c r="AA239" i="16"/>
  <c r="AB239" i="16" s="1"/>
  <c r="AA235" i="16"/>
  <c r="AB235" i="16" s="1"/>
  <c r="AA231" i="16"/>
  <c r="AB231" i="16" s="1"/>
  <c r="AA223" i="16"/>
  <c r="AB223" i="16" s="1"/>
  <c r="AA217" i="16"/>
  <c r="AB217" i="16" s="1"/>
  <c r="AA207" i="16"/>
  <c r="AB207" i="16" s="1"/>
  <c r="AA201" i="16"/>
  <c r="AB201" i="16" s="1"/>
  <c r="AA191" i="16"/>
  <c r="AB191" i="16" s="1"/>
  <c r="AA185" i="16"/>
  <c r="AB185" i="16" s="1"/>
  <c r="AA175" i="16"/>
  <c r="AB175" i="16" s="1"/>
  <c r="AA169" i="16"/>
  <c r="AB169" i="16" s="1"/>
  <c r="AA159" i="16"/>
  <c r="AB159" i="16" s="1"/>
  <c r="AA229" i="16"/>
  <c r="AB229" i="16" s="1"/>
  <c r="AA219" i="16"/>
  <c r="AB219" i="16" s="1"/>
  <c r="AA213" i="16"/>
  <c r="AB213" i="16" s="1"/>
  <c r="AA203" i="16"/>
  <c r="AB203" i="16" s="1"/>
  <c r="AA197" i="16"/>
  <c r="AB197" i="16" s="1"/>
  <c r="AA187" i="16"/>
  <c r="AB187" i="16" s="1"/>
  <c r="AA181" i="16"/>
  <c r="AB181" i="16" s="1"/>
  <c r="AA171" i="16"/>
  <c r="AB171" i="16" s="1"/>
  <c r="AA165" i="16"/>
  <c r="AB165" i="16" s="1"/>
  <c r="AA157" i="16"/>
  <c r="AB157" i="16" s="1"/>
  <c r="AA153" i="16"/>
  <c r="AB153" i="16" s="1"/>
  <c r="AA149" i="16"/>
  <c r="AB149" i="16" s="1"/>
  <c r="AA145" i="16"/>
  <c r="AB145" i="16" s="1"/>
  <c r="AA156" i="16"/>
  <c r="AB156" i="16" s="1"/>
  <c r="AA152" i="16"/>
  <c r="AB152" i="16" s="1"/>
  <c r="AA148" i="16"/>
  <c r="AB148" i="16" s="1"/>
  <c r="AA144" i="16"/>
  <c r="AB144" i="16" s="1"/>
  <c r="AA140" i="16"/>
  <c r="AB140" i="16" s="1"/>
  <c r="AA136" i="16"/>
  <c r="AB136" i="16" s="1"/>
  <c r="AA132" i="16"/>
  <c r="AB132" i="16" s="1"/>
  <c r="AA128" i="16"/>
  <c r="AB128" i="16" s="1"/>
  <c r="AA124" i="16"/>
  <c r="AB124" i="16" s="1"/>
  <c r="AA120" i="16"/>
  <c r="AB120" i="16" s="1"/>
  <c r="CB116" i="16"/>
  <c r="CB112" i="16"/>
  <c r="CB108" i="16"/>
  <c r="CB104" i="16"/>
  <c r="AA96" i="16"/>
  <c r="AB96" i="16" s="1"/>
  <c r="CB93" i="16"/>
  <c r="AA116" i="16"/>
  <c r="AB116" i="16" s="1"/>
  <c r="AA112" i="16"/>
  <c r="AB112" i="16" s="1"/>
  <c r="AA108" i="16"/>
  <c r="AB108" i="16" s="1"/>
  <c r="AA104" i="16"/>
  <c r="AB104" i="16" s="1"/>
  <c r="CB101" i="16"/>
  <c r="CB100" i="16"/>
  <c r="CB96" i="16"/>
  <c r="AA91" i="16"/>
  <c r="AB91" i="16" s="1"/>
  <c r="AA87" i="16"/>
  <c r="AB87" i="16" s="1"/>
  <c r="AA83" i="16"/>
  <c r="AB83" i="16" s="1"/>
  <c r="AA79" i="16"/>
  <c r="AB79" i="16" s="1"/>
  <c r="AA75" i="16"/>
  <c r="AB75" i="16" s="1"/>
  <c r="AA71" i="16"/>
  <c r="AB71" i="16" s="1"/>
  <c r="AA67" i="16"/>
  <c r="AB67" i="16" s="1"/>
  <c r="AA63" i="16"/>
  <c r="AB63" i="16" s="1"/>
  <c r="AA59" i="16"/>
  <c r="AB59" i="16" s="1"/>
  <c r="AA55" i="16"/>
  <c r="AB55" i="16" s="1"/>
  <c r="AA51" i="16"/>
  <c r="AB51" i="16" s="1"/>
  <c r="AA47" i="16"/>
  <c r="AB47" i="16" s="1"/>
  <c r="AA43" i="16"/>
  <c r="AB43" i="16" s="1"/>
  <c r="AA39" i="16"/>
  <c r="AB39" i="16" s="1"/>
  <c r="AA35" i="16"/>
  <c r="AB35" i="16" s="1"/>
  <c r="AA31" i="16"/>
  <c r="AB31" i="16" s="1"/>
  <c r="AA27" i="16"/>
  <c r="AB27" i="16" s="1"/>
  <c r="AA23" i="16"/>
  <c r="AB23" i="16" s="1"/>
  <c r="AA19" i="16"/>
  <c r="AB19" i="16" s="1"/>
  <c r="AA15" i="16"/>
  <c r="AB15" i="16" s="1"/>
  <c r="AA11" i="16"/>
  <c r="AB11" i="16" s="1"/>
  <c r="AA7" i="16"/>
  <c r="AB7" i="16" s="1"/>
  <c r="CB68" i="16"/>
  <c r="CB64" i="16"/>
  <c r="CB60" i="16"/>
  <c r="CB56" i="16"/>
  <c r="CB52" i="16"/>
  <c r="CB48" i="16"/>
  <c r="CB44" i="16"/>
  <c r="CB40" i="16"/>
  <c r="CB36" i="16"/>
  <c r="CB32" i="16"/>
  <c r="CB28" i="16"/>
  <c r="CB24" i="16"/>
  <c r="CB20" i="16"/>
  <c r="CB16" i="16"/>
  <c r="CB12" i="16"/>
  <c r="CB8" i="16"/>
  <c r="AA6" i="16"/>
  <c r="AB6" i="16" s="1"/>
  <c r="X27" i="14"/>
  <c r="Y27" i="14" s="1"/>
  <c r="CA34" i="14"/>
  <c r="X23" i="14"/>
  <c r="X15" i="14"/>
  <c r="X53" i="14"/>
  <c r="Y53" i="14" s="1"/>
  <c r="X24" i="14"/>
  <c r="Y24" i="14" s="1"/>
  <c r="X54" i="14"/>
  <c r="Y54" i="14" s="1"/>
  <c r="X25" i="14"/>
  <c r="CA53" i="14"/>
  <c r="CA54" i="14"/>
  <c r="X43" i="14"/>
  <c r="X47" i="14"/>
  <c r="X51" i="14"/>
  <c r="CB24" i="14"/>
  <c r="CB41" i="14"/>
  <c r="X8" i="14"/>
  <c r="X28" i="14"/>
  <c r="X31" i="14"/>
  <c r="X37" i="14"/>
  <c r="X41" i="14"/>
  <c r="X35" i="14"/>
  <c r="CA36" i="14"/>
  <c r="X21" i="14"/>
  <c r="X6" i="14"/>
  <c r="X30" i="14"/>
  <c r="CB33" i="14"/>
  <c r="X39" i="14"/>
  <c r="X45" i="14"/>
  <c r="X7" i="14"/>
  <c r="X10" i="14"/>
  <c r="X11" i="14"/>
  <c r="X40" i="14"/>
  <c r="X42" i="14"/>
  <c r="X46" i="14"/>
  <c r="X50" i="14"/>
  <c r="X18" i="14"/>
  <c r="X20" i="14"/>
  <c r="X14" i="14"/>
  <c r="X26" i="14"/>
  <c r="X29" i="14"/>
  <c r="X32" i="14"/>
  <c r="X34" i="14"/>
  <c r="X36" i="14"/>
  <c r="X38" i="14"/>
  <c r="X44" i="14"/>
  <c r="X48" i="14"/>
  <c r="X52" i="14"/>
  <c r="X16" i="14"/>
  <c r="X22" i="14"/>
  <c r="X12" i="14"/>
  <c r="X9" i="14"/>
  <c r="X33" i="14"/>
  <c r="X49" i="14"/>
  <c r="X17" i="14"/>
  <c r="X19" i="14"/>
  <c r="X13" i="14"/>
  <c r="CB13" i="14"/>
  <c r="CB23" i="14"/>
  <c r="CA52" i="14"/>
  <c r="CA51" i="14"/>
  <c r="CA50" i="14"/>
  <c r="CA49" i="14"/>
  <c r="CB48" i="14"/>
  <c r="CA47" i="14"/>
  <c r="CB46" i="14"/>
  <c r="CB45" i="14"/>
  <c r="CA44" i="14"/>
  <c r="CB43" i="14"/>
  <c r="CB42" i="14"/>
  <c r="CB40" i="14"/>
  <c r="CA39" i="14"/>
  <c r="CA38" i="14"/>
  <c r="CA37" i="14"/>
  <c r="CA35" i="14"/>
  <c r="CB32" i="14"/>
  <c r="CB31" i="14"/>
  <c r="CA30" i="14"/>
  <c r="CB29" i="14"/>
  <c r="CA28" i="14"/>
  <c r="CB10" i="14"/>
  <c r="CB9" i="14"/>
  <c r="CB26" i="14"/>
  <c r="CA67" i="13"/>
  <c r="X67" i="13"/>
  <c r="Y67" i="13" s="1"/>
  <c r="X1" i="14"/>
  <c r="CJ1" i="11"/>
  <c r="BV1" i="11"/>
  <c r="BT1" i="11"/>
  <c r="BS1" i="11"/>
  <c r="BR1" i="11"/>
  <c r="BP1" i="11"/>
  <c r="BO1" i="11"/>
  <c r="BN1" i="11"/>
  <c r="BM1" i="11"/>
  <c r="CA304" i="16"/>
  <c r="CA300" i="16"/>
  <c r="CA292" i="16"/>
  <c r="CA280" i="16"/>
  <c r="CA289" i="16"/>
  <c r="CA259" i="16"/>
  <c r="CA243" i="16"/>
  <c r="CA223" i="16"/>
  <c r="CA191" i="16"/>
  <c r="CA159" i="16"/>
  <c r="CA203" i="16"/>
  <c r="CA171" i="16"/>
  <c r="CA153" i="16"/>
  <c r="CA145" i="16"/>
  <c r="CA148" i="16"/>
  <c r="CA132" i="16"/>
  <c r="CA116" i="16"/>
  <c r="CA108" i="16"/>
  <c r="CA96" i="16"/>
  <c r="CA87" i="16"/>
  <c r="CA71" i="16"/>
  <c r="CA55" i="16"/>
  <c r="CA39" i="16"/>
  <c r="CA23" i="16"/>
  <c r="CA7" i="16"/>
  <c r="CA231" i="16"/>
  <c r="CA213" i="16"/>
  <c r="CA120" i="16"/>
  <c r="CA91" i="16"/>
  <c r="CA43" i="16"/>
  <c r="CA64" i="16"/>
  <c r="CA48" i="16"/>
  <c r="CA24" i="16"/>
  <c r="CA97" i="16"/>
  <c r="CA255" i="16"/>
  <c r="CA239" i="16"/>
  <c r="CA217" i="16"/>
  <c r="CA185" i="16"/>
  <c r="CA229" i="16"/>
  <c r="CA197" i="16"/>
  <c r="CA165" i="16"/>
  <c r="CA144" i="16"/>
  <c r="CA128" i="16"/>
  <c r="CA93" i="16"/>
  <c r="CA83" i="16"/>
  <c r="CA67" i="16"/>
  <c r="CA51" i="16"/>
  <c r="CA35" i="16"/>
  <c r="CA19" i="16"/>
  <c r="CA68" i="16"/>
  <c r="CA60" i="16"/>
  <c r="CA52" i="16"/>
  <c r="CA44" i="16"/>
  <c r="CA36" i="16"/>
  <c r="CA28" i="16"/>
  <c r="CA20" i="16"/>
  <c r="CA12" i="16"/>
  <c r="CA263" i="16"/>
  <c r="CA201" i="16"/>
  <c r="CA181" i="16"/>
  <c r="CA136" i="16"/>
  <c r="CA101" i="16"/>
  <c r="CA59" i="16"/>
  <c r="CA11" i="16"/>
  <c r="CA40" i="16"/>
  <c r="CA16" i="16"/>
  <c r="CA288" i="16"/>
  <c r="CA296" i="16"/>
  <c r="CA284" i="16"/>
  <c r="CA276" i="16"/>
  <c r="CA267" i="16"/>
  <c r="CA251" i="16"/>
  <c r="CA235" i="16"/>
  <c r="CA207" i="16"/>
  <c r="CA175" i="16"/>
  <c r="CA219" i="16"/>
  <c r="CA187" i="16"/>
  <c r="CA157" i="16"/>
  <c r="CA149" i="16"/>
  <c r="CA156" i="16"/>
  <c r="CA140" i="16"/>
  <c r="CA124" i="16"/>
  <c r="CA112" i="16"/>
  <c r="CA104" i="16"/>
  <c r="CA79" i="16"/>
  <c r="CA63" i="16"/>
  <c r="CA47" i="16"/>
  <c r="CA31" i="16"/>
  <c r="CA15" i="16"/>
  <c r="CA247" i="16"/>
  <c r="CA169" i="16"/>
  <c r="CA152" i="16"/>
  <c r="CA75" i="16"/>
  <c r="CA27" i="16"/>
  <c r="CA56" i="16"/>
  <c r="CA32" i="16"/>
  <c r="CA8" i="16"/>
  <c r="CA6" i="16"/>
  <c r="CA27" i="14"/>
  <c r="Y15" i="14"/>
  <c r="Y23" i="14"/>
  <c r="CA23" i="14" s="1"/>
  <c r="CA24" i="14"/>
  <c r="Y25" i="14"/>
  <c r="CA25" i="14"/>
  <c r="Y47" i="14"/>
  <c r="Y51" i="14"/>
  <c r="Y43" i="14"/>
  <c r="Y8" i="14"/>
  <c r="CA8" i="14" s="1"/>
  <c r="Y41" i="14"/>
  <c r="Y31" i="14"/>
  <c r="Y37" i="14"/>
  <c r="Y28" i="14"/>
  <c r="Y35" i="14"/>
  <c r="Y21" i="14"/>
  <c r="CA21" i="14"/>
  <c r="Y30" i="14"/>
  <c r="Y7" i="14"/>
  <c r="Y42" i="14"/>
  <c r="Y26" i="14"/>
  <c r="CA26" i="14" s="1"/>
  <c r="Y36" i="14"/>
  <c r="Y52" i="14"/>
  <c r="Y12" i="14"/>
  <c r="Y9" i="14"/>
  <c r="CA9" i="14" s="1"/>
  <c r="Y17" i="14"/>
  <c r="CA17" i="14" s="1"/>
  <c r="Y10" i="14"/>
  <c r="CA10" i="14" s="1"/>
  <c r="Y46" i="14"/>
  <c r="Y18" i="14"/>
  <c r="CA18" i="14" s="1"/>
  <c r="Y29" i="14"/>
  <c r="Y38" i="14"/>
  <c r="Y16" i="14"/>
  <c r="CA16" i="14" s="1"/>
  <c r="Y33" i="14"/>
  <c r="Y19" i="14"/>
  <c r="CA19" i="14" s="1"/>
  <c r="Y39" i="14"/>
  <c r="Y11" i="14"/>
  <c r="CA11" i="14" s="1"/>
  <c r="Y50" i="14"/>
  <c r="Y20" i="14"/>
  <c r="CA20" i="14" s="1"/>
  <c r="Y32" i="14"/>
  <c r="Y44" i="14"/>
  <c r="Y22" i="14"/>
  <c r="CA22" i="14" s="1"/>
  <c r="Y49" i="14"/>
  <c r="Y13" i="14"/>
  <c r="CA13" i="14" s="1"/>
  <c r="Y6" i="14"/>
  <c r="Y45" i="14"/>
  <c r="Y40" i="14"/>
  <c r="Y14" i="14"/>
  <c r="Y34" i="14"/>
  <c r="Y48" i="14"/>
  <c r="CA15" i="14"/>
  <c r="CA14" i="14"/>
  <c r="CA12" i="14"/>
  <c r="CA7" i="14"/>
  <c r="CA6" i="14"/>
  <c r="BU1" i="11"/>
  <c r="Y1" i="14"/>
  <c r="BQ1" i="11" l="1"/>
  <c r="BW1" i="11" s="1"/>
  <c r="BK1" i="11"/>
  <c r="BJ1" i="11"/>
  <c r="BI1" i="11"/>
  <c r="BH1" i="11"/>
  <c r="BG1" i="11"/>
  <c r="BF1" i="11"/>
  <c r="BE1" i="11"/>
  <c r="BD1" i="11"/>
  <c r="BC1" i="11"/>
  <c r="BB1" i="11"/>
  <c r="BA1" i="11"/>
  <c r="AZ1" i="11"/>
  <c r="AY1" i="11"/>
  <c r="AX1" i="11"/>
  <c r="AV1" i="11"/>
  <c r="AU1" i="11"/>
  <c r="AT1" i="11"/>
  <c r="AS1" i="11"/>
  <c r="W1" i="13"/>
  <c r="V1" i="13"/>
  <c r="U1" i="13"/>
  <c r="X1" i="13" s="1"/>
  <c r="T1" i="13"/>
  <c r="S1" i="13"/>
  <c r="BP7" i="11"/>
  <c r="BP8" i="11"/>
  <c r="BP9" i="11"/>
  <c r="BP10" i="11"/>
  <c r="BP11" i="11"/>
  <c r="BP12" i="11"/>
  <c r="BP13" i="11"/>
  <c r="BP14" i="11"/>
  <c r="BP15" i="11"/>
  <c r="BP16" i="11"/>
  <c r="BP17" i="11"/>
  <c r="BP18" i="11"/>
  <c r="BP19" i="11"/>
  <c r="BP20" i="11"/>
  <c r="BP21" i="11"/>
  <c r="BP22" i="11"/>
  <c r="BP23" i="11"/>
  <c r="BP24" i="11"/>
  <c r="BP25" i="11"/>
  <c r="BP26" i="11"/>
  <c r="BP27" i="11"/>
  <c r="BP28" i="11"/>
  <c r="BP29" i="11"/>
  <c r="BP30" i="11"/>
  <c r="BP31" i="11"/>
  <c r="BP32" i="11"/>
  <c r="BP33" i="11"/>
  <c r="BP34" i="11"/>
  <c r="BP35" i="11"/>
  <c r="BP36" i="11"/>
  <c r="BP37" i="11"/>
  <c r="BP38" i="11"/>
  <c r="BP39" i="11"/>
  <c r="BP40" i="11"/>
  <c r="BP41" i="11"/>
  <c r="BP42" i="11"/>
  <c r="BP43" i="11"/>
  <c r="BP44" i="11"/>
  <c r="BP45" i="11"/>
  <c r="BP46" i="11"/>
  <c r="BP47" i="11"/>
  <c r="BP48" i="11"/>
  <c r="BP49" i="11"/>
  <c r="BP50" i="11"/>
  <c r="BP51" i="11"/>
  <c r="BP52" i="11"/>
  <c r="BP53" i="11"/>
  <c r="BP54" i="11"/>
  <c r="BP55" i="11"/>
  <c r="BP56" i="11"/>
  <c r="BP57" i="11"/>
  <c r="BP58" i="11"/>
  <c r="BP59" i="11"/>
  <c r="BP60" i="11"/>
  <c r="BP61" i="11"/>
  <c r="BP62" i="11"/>
  <c r="BP63" i="11"/>
  <c r="BP64" i="11"/>
  <c r="BP65" i="11"/>
  <c r="BP66" i="11"/>
  <c r="BP67" i="11"/>
  <c r="BP68" i="11"/>
  <c r="BP69" i="11"/>
  <c r="BP70" i="11"/>
  <c r="BP71" i="11"/>
  <c r="BP72" i="11"/>
  <c r="BP73" i="11"/>
  <c r="BP74" i="11"/>
  <c r="BP75" i="11"/>
  <c r="BP76" i="11"/>
  <c r="BP77" i="11"/>
  <c r="BP78" i="11"/>
  <c r="BP79" i="11"/>
  <c r="BP80" i="11"/>
  <c r="BP81" i="11"/>
  <c r="BP82" i="11"/>
  <c r="BP83" i="11"/>
  <c r="BP84" i="11"/>
  <c r="BP85" i="11"/>
  <c r="BP86" i="11"/>
  <c r="BP87" i="11"/>
  <c r="BP88" i="11"/>
  <c r="BP89" i="11"/>
  <c r="BP90" i="11"/>
  <c r="BP91" i="11"/>
  <c r="BP92" i="11"/>
  <c r="BP93" i="11"/>
  <c r="BP94" i="11"/>
  <c r="BP95" i="11"/>
  <c r="BP96" i="11"/>
  <c r="BP97" i="11"/>
  <c r="BP98" i="11"/>
  <c r="BP99" i="11"/>
  <c r="BP100" i="11"/>
  <c r="BP101" i="11"/>
  <c r="BP102" i="11"/>
  <c r="BP103" i="11"/>
  <c r="BP104" i="11"/>
  <c r="BP105" i="11"/>
  <c r="BP106" i="11"/>
  <c r="BP107" i="11"/>
  <c r="BP108" i="11"/>
  <c r="BP109" i="11"/>
  <c r="BP110" i="11"/>
  <c r="BP111" i="11"/>
  <c r="BP112" i="11"/>
  <c r="BP113" i="11"/>
  <c r="BP114" i="11"/>
  <c r="BP115" i="11"/>
  <c r="BP116" i="11"/>
  <c r="BP117" i="11"/>
  <c r="BP118" i="11"/>
  <c r="BP119" i="11"/>
  <c r="BP120" i="11"/>
  <c r="BP121" i="11"/>
  <c r="BP122" i="11"/>
  <c r="BP123" i="11"/>
  <c r="BP124" i="11"/>
  <c r="BP125" i="11"/>
  <c r="BP126" i="11"/>
  <c r="BP127" i="11"/>
  <c r="BP128" i="11"/>
  <c r="BP129" i="11"/>
  <c r="BP130" i="11"/>
  <c r="BP131" i="11"/>
  <c r="BP132" i="11"/>
  <c r="BP133" i="11"/>
  <c r="BP134" i="11"/>
  <c r="BP135" i="11"/>
  <c r="BP136" i="11"/>
  <c r="BP137" i="11"/>
  <c r="BP138" i="11"/>
  <c r="BP139" i="11"/>
  <c r="BP6" i="11"/>
  <c r="BO7" i="11"/>
  <c r="BO8" i="11"/>
  <c r="BO9" i="11"/>
  <c r="BO10" i="11"/>
  <c r="BO11" i="11"/>
  <c r="BO12" i="11"/>
  <c r="BO13" i="11"/>
  <c r="BO14" i="11"/>
  <c r="BO15" i="11"/>
  <c r="BO16" i="11"/>
  <c r="BO17" i="11"/>
  <c r="BO18" i="11"/>
  <c r="BO19" i="11"/>
  <c r="BO20" i="11"/>
  <c r="BO21" i="11"/>
  <c r="BO22" i="11"/>
  <c r="BO23" i="11"/>
  <c r="BO24" i="11"/>
  <c r="BO25" i="11"/>
  <c r="BO26" i="11"/>
  <c r="BO27" i="11"/>
  <c r="BO28" i="11"/>
  <c r="BO29" i="11"/>
  <c r="BO30" i="11"/>
  <c r="BO31" i="11"/>
  <c r="BO32" i="11"/>
  <c r="BO33" i="11"/>
  <c r="BO34" i="11"/>
  <c r="BO35" i="11"/>
  <c r="BO36" i="11"/>
  <c r="BO37" i="11"/>
  <c r="BO38" i="11"/>
  <c r="BO39" i="11"/>
  <c r="BO40" i="11"/>
  <c r="BO41" i="11"/>
  <c r="BO42" i="11"/>
  <c r="BO43" i="11"/>
  <c r="BO44" i="11"/>
  <c r="BO45" i="11"/>
  <c r="BO46" i="11"/>
  <c r="BO47" i="11"/>
  <c r="BO48" i="11"/>
  <c r="BO49" i="11"/>
  <c r="BO50" i="11"/>
  <c r="BO51" i="11"/>
  <c r="BO52" i="11"/>
  <c r="BO53" i="11"/>
  <c r="BO54" i="11"/>
  <c r="BO55" i="11"/>
  <c r="BO56" i="11"/>
  <c r="BO57" i="11"/>
  <c r="BO58" i="11"/>
  <c r="BO59" i="11"/>
  <c r="BO60" i="11"/>
  <c r="BO61" i="11"/>
  <c r="BO62" i="11"/>
  <c r="BO63" i="11"/>
  <c r="BO64" i="11"/>
  <c r="BO65" i="11"/>
  <c r="BO66" i="11"/>
  <c r="BO67" i="11"/>
  <c r="BO68" i="11"/>
  <c r="BO69" i="11"/>
  <c r="BO70" i="11"/>
  <c r="BO71" i="11"/>
  <c r="BO72" i="11"/>
  <c r="BO73" i="11"/>
  <c r="BO74" i="11"/>
  <c r="BO75" i="11"/>
  <c r="BO76" i="11"/>
  <c r="BO77" i="11"/>
  <c r="BO78" i="11"/>
  <c r="BO79" i="11"/>
  <c r="BO80" i="11"/>
  <c r="BO81" i="11"/>
  <c r="BO82" i="11"/>
  <c r="BO83" i="11"/>
  <c r="BO84" i="11"/>
  <c r="BO85" i="11"/>
  <c r="BO86" i="11"/>
  <c r="BO87" i="11"/>
  <c r="BO88" i="11"/>
  <c r="BO89" i="11"/>
  <c r="BO90" i="11"/>
  <c r="BO91" i="11"/>
  <c r="BO92" i="11"/>
  <c r="BO93" i="11"/>
  <c r="BO94" i="11"/>
  <c r="BO95" i="11"/>
  <c r="BO96" i="11"/>
  <c r="BO97" i="11"/>
  <c r="BO98" i="11"/>
  <c r="BO99" i="11"/>
  <c r="BO100" i="11"/>
  <c r="BO101" i="11"/>
  <c r="BO102" i="11"/>
  <c r="BO103" i="11"/>
  <c r="BO104" i="11"/>
  <c r="BO105" i="11"/>
  <c r="BO106" i="11"/>
  <c r="BO107" i="11"/>
  <c r="BO108" i="11"/>
  <c r="BO109" i="11"/>
  <c r="BO110" i="11"/>
  <c r="BO111" i="11"/>
  <c r="BO112" i="11"/>
  <c r="BO113" i="11"/>
  <c r="BO114" i="11"/>
  <c r="BO115" i="11"/>
  <c r="BO116" i="11"/>
  <c r="BO117" i="11"/>
  <c r="BO118" i="11"/>
  <c r="BO119" i="11"/>
  <c r="BO120" i="11"/>
  <c r="BO121" i="11"/>
  <c r="BO122" i="11"/>
  <c r="BO123" i="11"/>
  <c r="BO124" i="11"/>
  <c r="BO125" i="11"/>
  <c r="BO126" i="11"/>
  <c r="BO127" i="11"/>
  <c r="BO128" i="11"/>
  <c r="BO129" i="11"/>
  <c r="BO130" i="11"/>
  <c r="BO131" i="11"/>
  <c r="BO132" i="11"/>
  <c r="BO133" i="11"/>
  <c r="BO134" i="11"/>
  <c r="BO135" i="11"/>
  <c r="BO136" i="11"/>
  <c r="BO137" i="11"/>
  <c r="BO138" i="11"/>
  <c r="BO139" i="11"/>
  <c r="BO6" i="11"/>
  <c r="BN7" i="11"/>
  <c r="BN8" i="11"/>
  <c r="BN9" i="11"/>
  <c r="BN10" i="11"/>
  <c r="BN11" i="11"/>
  <c r="BN12" i="11"/>
  <c r="BN13" i="11"/>
  <c r="BN14" i="11"/>
  <c r="BN15" i="11"/>
  <c r="BN16" i="11"/>
  <c r="BN17" i="11"/>
  <c r="BN18" i="11"/>
  <c r="BN19" i="11"/>
  <c r="BN20" i="11"/>
  <c r="BN21" i="11"/>
  <c r="BN22" i="11"/>
  <c r="BN23" i="11"/>
  <c r="BN24" i="11"/>
  <c r="BN25" i="11"/>
  <c r="BN26" i="11"/>
  <c r="BN27" i="11"/>
  <c r="BN28" i="11"/>
  <c r="BN29" i="11"/>
  <c r="BN30" i="11"/>
  <c r="BN31" i="11"/>
  <c r="BN32" i="11"/>
  <c r="BN33" i="11"/>
  <c r="BN34" i="11"/>
  <c r="BN35" i="11"/>
  <c r="BN36" i="11"/>
  <c r="BN37" i="11"/>
  <c r="BN38" i="11"/>
  <c r="BN39" i="11"/>
  <c r="BN40" i="11"/>
  <c r="BN41" i="11"/>
  <c r="BN42" i="11"/>
  <c r="BN43" i="11"/>
  <c r="BN44" i="11"/>
  <c r="BN45" i="11"/>
  <c r="BN46" i="11"/>
  <c r="BN47" i="11"/>
  <c r="BN48" i="11"/>
  <c r="BN49" i="11"/>
  <c r="BN50" i="11"/>
  <c r="BN51" i="11"/>
  <c r="BN52" i="11"/>
  <c r="BN53" i="11"/>
  <c r="BN54" i="11"/>
  <c r="BN55" i="11"/>
  <c r="BN56" i="11"/>
  <c r="BN57" i="11"/>
  <c r="BN58" i="11"/>
  <c r="BN59" i="11"/>
  <c r="BN60" i="11"/>
  <c r="BN61" i="11"/>
  <c r="BN62" i="11"/>
  <c r="BN63" i="11"/>
  <c r="BN64" i="11"/>
  <c r="BN65" i="11"/>
  <c r="BN66" i="11"/>
  <c r="BN67" i="11"/>
  <c r="BN68" i="11"/>
  <c r="BN69" i="11"/>
  <c r="BN70" i="11"/>
  <c r="BN71" i="11"/>
  <c r="BN72" i="11"/>
  <c r="BN73" i="11"/>
  <c r="BN74" i="11"/>
  <c r="BN75" i="11"/>
  <c r="BN76" i="11"/>
  <c r="BN77" i="11"/>
  <c r="BN78" i="11"/>
  <c r="BN79" i="11"/>
  <c r="BN80" i="11"/>
  <c r="BN81" i="11"/>
  <c r="BN82" i="11"/>
  <c r="BN83" i="11"/>
  <c r="BN84" i="11"/>
  <c r="BN85" i="11"/>
  <c r="BN86" i="11"/>
  <c r="BN87" i="11"/>
  <c r="BN88" i="11"/>
  <c r="BN89" i="11"/>
  <c r="BN90" i="11"/>
  <c r="BN91" i="11"/>
  <c r="BN92" i="11"/>
  <c r="BN93" i="11"/>
  <c r="BN94" i="11"/>
  <c r="BN95" i="11"/>
  <c r="BN96" i="11"/>
  <c r="BN97" i="11"/>
  <c r="BN98" i="11"/>
  <c r="BN99" i="11"/>
  <c r="BN100" i="11"/>
  <c r="BN101" i="11"/>
  <c r="BN102" i="11"/>
  <c r="BN103" i="11"/>
  <c r="BN104" i="11"/>
  <c r="BN105" i="11"/>
  <c r="BN106" i="11"/>
  <c r="BN107" i="11"/>
  <c r="BN108" i="11"/>
  <c r="BN109" i="11"/>
  <c r="BN110" i="11"/>
  <c r="BN111" i="11"/>
  <c r="BN112" i="11"/>
  <c r="BN113" i="11"/>
  <c r="BN114" i="11"/>
  <c r="BN115" i="11"/>
  <c r="BN116" i="11"/>
  <c r="BN117" i="11"/>
  <c r="BN118" i="11"/>
  <c r="BN119" i="11"/>
  <c r="BN120" i="11"/>
  <c r="BN121" i="11"/>
  <c r="BN122" i="11"/>
  <c r="BN123" i="11"/>
  <c r="BN124" i="11"/>
  <c r="BN125" i="11"/>
  <c r="BN126" i="11"/>
  <c r="BN127" i="11"/>
  <c r="BN128" i="11"/>
  <c r="BN129" i="11"/>
  <c r="BN130" i="11"/>
  <c r="BN131" i="11"/>
  <c r="BN132" i="11"/>
  <c r="BN133" i="11"/>
  <c r="BN134" i="11"/>
  <c r="BN135" i="11"/>
  <c r="BN136" i="11"/>
  <c r="BN137" i="11"/>
  <c r="BN138" i="11"/>
  <c r="BN139" i="11"/>
  <c r="BN6" i="11"/>
  <c r="BM7" i="11"/>
  <c r="BM8" i="11"/>
  <c r="BM9" i="11"/>
  <c r="BM10" i="11"/>
  <c r="BM11" i="11"/>
  <c r="BM12" i="11"/>
  <c r="BM13" i="11"/>
  <c r="BM14" i="11"/>
  <c r="BM15" i="11"/>
  <c r="BM16" i="11"/>
  <c r="BM17" i="11"/>
  <c r="BM18" i="11"/>
  <c r="BM19" i="11"/>
  <c r="BM20" i="11"/>
  <c r="BM21" i="11"/>
  <c r="BM22" i="11"/>
  <c r="BM23" i="11"/>
  <c r="BM24" i="11"/>
  <c r="BM25" i="11"/>
  <c r="BM26" i="11"/>
  <c r="BM27" i="11"/>
  <c r="BM28" i="11"/>
  <c r="BM29" i="11"/>
  <c r="BM30" i="11"/>
  <c r="BM31" i="11"/>
  <c r="BM32" i="11"/>
  <c r="BM33" i="11"/>
  <c r="BM34" i="11"/>
  <c r="BM35" i="11"/>
  <c r="BM36" i="11"/>
  <c r="BM37" i="11"/>
  <c r="BM38" i="11"/>
  <c r="BM39" i="11"/>
  <c r="BM40" i="11"/>
  <c r="BM41" i="11"/>
  <c r="BM42" i="11"/>
  <c r="BM43" i="11"/>
  <c r="BM44" i="11"/>
  <c r="BM45" i="11"/>
  <c r="BM46" i="11"/>
  <c r="BM47" i="11"/>
  <c r="BM48" i="11"/>
  <c r="BM49" i="11"/>
  <c r="BM50" i="11"/>
  <c r="BM51" i="11"/>
  <c r="BM52" i="11"/>
  <c r="BM53" i="11"/>
  <c r="BM54" i="11"/>
  <c r="BM55" i="11"/>
  <c r="BM56" i="11"/>
  <c r="BM57" i="11"/>
  <c r="BM58" i="11"/>
  <c r="BM59" i="11"/>
  <c r="BM60" i="11"/>
  <c r="BM61" i="11"/>
  <c r="BM62" i="11"/>
  <c r="BM63" i="11"/>
  <c r="BM64" i="11"/>
  <c r="BM65" i="11"/>
  <c r="BM66" i="11"/>
  <c r="BM67" i="11"/>
  <c r="BM68" i="11"/>
  <c r="BM69" i="11"/>
  <c r="BM70" i="11"/>
  <c r="BM71" i="11"/>
  <c r="BM72" i="11"/>
  <c r="BM73" i="11"/>
  <c r="BM74" i="11"/>
  <c r="BM75" i="11"/>
  <c r="BM76" i="11"/>
  <c r="BM77" i="11"/>
  <c r="BM78" i="11"/>
  <c r="BM79" i="11"/>
  <c r="BM80" i="11"/>
  <c r="BM81" i="11"/>
  <c r="BM82" i="11"/>
  <c r="BM83" i="11"/>
  <c r="BM84" i="11"/>
  <c r="BM85" i="11"/>
  <c r="BM86" i="11"/>
  <c r="BM87" i="11"/>
  <c r="BM88" i="11"/>
  <c r="BM89" i="11"/>
  <c r="BM90" i="11"/>
  <c r="BM91" i="11"/>
  <c r="BM92" i="11"/>
  <c r="BM93" i="11"/>
  <c r="BM94" i="11"/>
  <c r="BM95" i="11"/>
  <c r="BM96" i="11"/>
  <c r="BM97" i="11"/>
  <c r="BM98" i="11"/>
  <c r="BM99" i="11"/>
  <c r="BM100" i="11"/>
  <c r="BM101" i="11"/>
  <c r="BM102" i="11"/>
  <c r="BM103" i="11"/>
  <c r="BM104" i="11"/>
  <c r="BM105" i="11"/>
  <c r="BM106" i="11"/>
  <c r="BM107" i="11"/>
  <c r="BM108" i="11"/>
  <c r="BM109" i="11"/>
  <c r="BM110" i="11"/>
  <c r="BM111" i="11"/>
  <c r="BM112" i="11"/>
  <c r="BM113" i="11"/>
  <c r="BM114" i="11"/>
  <c r="BM115" i="11"/>
  <c r="BM116" i="11"/>
  <c r="BM117" i="11"/>
  <c r="BM118" i="11"/>
  <c r="BM119" i="11"/>
  <c r="BM120" i="11"/>
  <c r="BM121" i="11"/>
  <c r="BM122" i="11"/>
  <c r="BM123" i="11"/>
  <c r="BM124" i="11"/>
  <c r="BM125" i="11"/>
  <c r="BM126" i="11"/>
  <c r="BM127" i="11"/>
  <c r="BM128" i="11"/>
  <c r="BM129" i="11"/>
  <c r="BM130" i="11"/>
  <c r="BM131" i="11"/>
  <c r="BM132" i="11"/>
  <c r="BM133" i="11"/>
  <c r="BM134" i="11"/>
  <c r="BM135" i="11"/>
  <c r="BM136" i="11"/>
  <c r="BM137" i="11"/>
  <c r="BM138" i="11"/>
  <c r="BM139" i="11"/>
  <c r="BM6" i="11"/>
  <c r="U7" i="13"/>
  <c r="V7" i="13"/>
  <c r="W7" i="13"/>
  <c r="U8" i="13"/>
  <c r="V8" i="13"/>
  <c r="W8" i="13"/>
  <c r="U9" i="13"/>
  <c r="V9" i="13"/>
  <c r="W9" i="13"/>
  <c r="U10" i="13"/>
  <c r="V10" i="13"/>
  <c r="W10" i="13"/>
  <c r="U11" i="13"/>
  <c r="V11" i="13"/>
  <c r="W11" i="13"/>
  <c r="U12" i="13"/>
  <c r="V12" i="13"/>
  <c r="W12" i="13"/>
  <c r="U13" i="13"/>
  <c r="V13" i="13"/>
  <c r="W13" i="13"/>
  <c r="U14" i="13"/>
  <c r="V14" i="13"/>
  <c r="W14" i="13"/>
  <c r="U16" i="13"/>
  <c r="V16" i="13"/>
  <c r="W16" i="13"/>
  <c r="U17" i="13"/>
  <c r="V17" i="13"/>
  <c r="W17" i="13"/>
  <c r="U18" i="13"/>
  <c r="V18" i="13"/>
  <c r="W18" i="13"/>
  <c r="U19" i="13"/>
  <c r="V19" i="13"/>
  <c r="W19" i="13"/>
  <c r="U20" i="13"/>
  <c r="V20" i="13"/>
  <c r="W20" i="13"/>
  <c r="U21" i="13"/>
  <c r="V21" i="13"/>
  <c r="W21" i="13"/>
  <c r="U22" i="13"/>
  <c r="V22" i="13"/>
  <c r="W22" i="13"/>
  <c r="U23" i="13"/>
  <c r="V23" i="13"/>
  <c r="W23" i="13"/>
  <c r="U24" i="13"/>
  <c r="V24" i="13"/>
  <c r="W24" i="13"/>
  <c r="U25" i="13"/>
  <c r="V25" i="13"/>
  <c r="W25" i="13"/>
  <c r="U26" i="13"/>
  <c r="V26" i="13"/>
  <c r="W26" i="13"/>
  <c r="U27" i="13"/>
  <c r="V27" i="13"/>
  <c r="W27" i="13"/>
  <c r="U28" i="13"/>
  <c r="V28" i="13"/>
  <c r="W28" i="13"/>
  <c r="U29" i="13"/>
  <c r="V29" i="13"/>
  <c r="W29" i="13"/>
  <c r="U30" i="13"/>
  <c r="V30" i="13"/>
  <c r="W30" i="13"/>
  <c r="U31" i="13"/>
  <c r="V31" i="13"/>
  <c r="W31" i="13"/>
  <c r="U32" i="13"/>
  <c r="V32" i="13"/>
  <c r="W32" i="13"/>
  <c r="U33" i="13"/>
  <c r="V33" i="13"/>
  <c r="W33" i="13"/>
  <c r="U34" i="13"/>
  <c r="V34" i="13"/>
  <c r="W34" i="13"/>
  <c r="U35" i="13"/>
  <c r="V35" i="13"/>
  <c r="W35" i="13"/>
  <c r="U36" i="13"/>
  <c r="V36" i="13"/>
  <c r="W36" i="13"/>
  <c r="U37" i="13"/>
  <c r="V37" i="13"/>
  <c r="W37" i="13"/>
  <c r="U38" i="13"/>
  <c r="V38" i="13"/>
  <c r="W38" i="13"/>
  <c r="U39" i="13"/>
  <c r="V39" i="13"/>
  <c r="W39" i="13"/>
  <c r="U40" i="13"/>
  <c r="V40" i="13"/>
  <c r="W40" i="13"/>
  <c r="U41" i="13"/>
  <c r="V41" i="13"/>
  <c r="W41" i="13"/>
  <c r="U42" i="13"/>
  <c r="V42" i="13"/>
  <c r="W42" i="13"/>
  <c r="U43" i="13"/>
  <c r="V43" i="13"/>
  <c r="W43" i="13"/>
  <c r="U44" i="13"/>
  <c r="V44" i="13"/>
  <c r="W44" i="13"/>
  <c r="U45" i="13"/>
  <c r="V45" i="13"/>
  <c r="W45" i="13"/>
  <c r="U46" i="13"/>
  <c r="V46" i="13"/>
  <c r="W46" i="13"/>
  <c r="U47" i="13"/>
  <c r="V47" i="13"/>
  <c r="W47" i="13"/>
  <c r="U48" i="13"/>
  <c r="V48" i="13"/>
  <c r="W48" i="13"/>
  <c r="U49" i="13"/>
  <c r="V49" i="13"/>
  <c r="W49" i="13"/>
  <c r="U50" i="13"/>
  <c r="V50" i="13"/>
  <c r="W50" i="13"/>
  <c r="U51" i="13"/>
  <c r="V51" i="13"/>
  <c r="W51" i="13"/>
  <c r="U52" i="13"/>
  <c r="V52" i="13"/>
  <c r="W52" i="13"/>
  <c r="U53" i="13"/>
  <c r="V53" i="13"/>
  <c r="W53" i="13"/>
  <c r="U54" i="13"/>
  <c r="V54" i="13"/>
  <c r="W54" i="13"/>
  <c r="U55" i="13"/>
  <c r="V55" i="13"/>
  <c r="W55" i="13"/>
  <c r="U56" i="13"/>
  <c r="V56" i="13"/>
  <c r="W56" i="13"/>
  <c r="U57" i="13"/>
  <c r="V57" i="13"/>
  <c r="W57" i="13"/>
  <c r="U58" i="13"/>
  <c r="V58" i="13"/>
  <c r="W58" i="13"/>
  <c r="U59" i="13"/>
  <c r="V59" i="13"/>
  <c r="W59" i="13"/>
  <c r="U60" i="13"/>
  <c r="V60" i="13"/>
  <c r="W60" i="13"/>
  <c r="U61" i="13"/>
  <c r="V61" i="13"/>
  <c r="W61" i="13"/>
  <c r="U62" i="13"/>
  <c r="V62" i="13"/>
  <c r="W62" i="13"/>
  <c r="U63" i="13"/>
  <c r="V63" i="13"/>
  <c r="W63" i="13"/>
  <c r="U64" i="13"/>
  <c r="V64" i="13"/>
  <c r="W64" i="13"/>
  <c r="U65" i="13"/>
  <c r="V65" i="13"/>
  <c r="W65" i="13"/>
  <c r="U66" i="13"/>
  <c r="V66" i="13"/>
  <c r="W66" i="13"/>
  <c r="U15" i="13"/>
  <c r="V15" i="13"/>
  <c r="W15" i="13"/>
  <c r="W6" i="13"/>
  <c r="V6" i="13"/>
  <c r="U6" i="13"/>
  <c r="T15" i="13"/>
  <c r="S15" i="13"/>
  <c r="T66" i="13"/>
  <c r="S66" i="13"/>
  <c r="T65" i="13"/>
  <c r="S65" i="13"/>
  <c r="T64" i="13"/>
  <c r="S64" i="13"/>
  <c r="CA64" i="13" s="1"/>
  <c r="T63" i="13"/>
  <c r="S63" i="13"/>
  <c r="T62" i="13"/>
  <c r="S62" i="13"/>
  <c r="CA62" i="13" s="1"/>
  <c r="T61" i="13"/>
  <c r="S61" i="13"/>
  <c r="CA61" i="13" s="1"/>
  <c r="T60" i="13"/>
  <c r="S60" i="13"/>
  <c r="CA60" i="13" s="1"/>
  <c r="T59" i="13"/>
  <c r="S59" i="13"/>
  <c r="T58" i="13"/>
  <c r="S58" i="13"/>
  <c r="T57" i="13"/>
  <c r="S57" i="13"/>
  <c r="T56" i="13"/>
  <c r="S56" i="13"/>
  <c r="CA56" i="13" s="1"/>
  <c r="T55" i="13"/>
  <c r="S55" i="13"/>
  <c r="CA55" i="13" s="1"/>
  <c r="T54" i="13"/>
  <c r="S54" i="13"/>
  <c r="T53" i="13"/>
  <c r="S53" i="13"/>
  <c r="CA53" i="13" s="1"/>
  <c r="T52" i="13"/>
  <c r="S52" i="13"/>
  <c r="T51" i="13"/>
  <c r="S51" i="13"/>
  <c r="CA51" i="13" s="1"/>
  <c r="T50" i="13"/>
  <c r="S50" i="13"/>
  <c r="CA50" i="13" s="1"/>
  <c r="T49" i="13"/>
  <c r="S49" i="13"/>
  <c r="CA49" i="13" s="1"/>
  <c r="T48" i="13"/>
  <c r="S48" i="13"/>
  <c r="T47" i="13"/>
  <c r="S47" i="13"/>
  <c r="CA47" i="13" s="1"/>
  <c r="T46" i="13"/>
  <c r="S46" i="13"/>
  <c r="CA46" i="13" s="1"/>
  <c r="T45" i="13"/>
  <c r="S45" i="13"/>
  <c r="CA45" i="13" s="1"/>
  <c r="T44" i="13"/>
  <c r="S44" i="13"/>
  <c r="T43" i="13"/>
  <c r="S43" i="13"/>
  <c r="CA43" i="13" s="1"/>
  <c r="T42" i="13"/>
  <c r="S42" i="13"/>
  <c r="CA42" i="13" s="1"/>
  <c r="T41" i="13"/>
  <c r="S41" i="13"/>
  <c r="CA41" i="13" s="1"/>
  <c r="T40" i="13"/>
  <c r="S40" i="13"/>
  <c r="T39" i="13"/>
  <c r="S39" i="13"/>
  <c r="CA39" i="13" s="1"/>
  <c r="T38" i="13"/>
  <c r="S38" i="13"/>
  <c r="T37" i="13"/>
  <c r="S37" i="13"/>
  <c r="T36" i="13"/>
  <c r="S36" i="13"/>
  <c r="CA36" i="13" s="1"/>
  <c r="T35" i="13"/>
  <c r="S35" i="13"/>
  <c r="CA35" i="13" s="1"/>
  <c r="T34" i="13"/>
  <c r="S34" i="13"/>
  <c r="T33" i="13"/>
  <c r="S33" i="13"/>
  <c r="T32" i="13"/>
  <c r="S32" i="13"/>
  <c r="CA32" i="13" s="1"/>
  <c r="T31" i="13"/>
  <c r="S31" i="13"/>
  <c r="T30" i="13"/>
  <c r="S30" i="13"/>
  <c r="CA30" i="13" s="1"/>
  <c r="T29" i="13"/>
  <c r="S29" i="13"/>
  <c r="CA29" i="13" s="1"/>
  <c r="T28" i="13"/>
  <c r="S28" i="13"/>
  <c r="T27" i="13"/>
  <c r="S27" i="13"/>
  <c r="CA27" i="13" s="1"/>
  <c r="T26" i="13"/>
  <c r="S26" i="13"/>
  <c r="CA26" i="13" s="1"/>
  <c r="T25" i="13"/>
  <c r="S25" i="13"/>
  <c r="CA25" i="13" s="1"/>
  <c r="T24" i="13"/>
  <c r="S24" i="13"/>
  <c r="T23" i="13"/>
  <c r="S23" i="13"/>
  <c r="CA23" i="13" s="1"/>
  <c r="T22" i="13"/>
  <c r="S22" i="13"/>
  <c r="CA22" i="13" s="1"/>
  <c r="T21" i="13"/>
  <c r="S21" i="13"/>
  <c r="CA21" i="13" s="1"/>
  <c r="T20" i="13"/>
  <c r="S20" i="13"/>
  <c r="T19" i="13"/>
  <c r="S19" i="13"/>
  <c r="T17" i="13"/>
  <c r="S17" i="13"/>
  <c r="CA17" i="13" s="1"/>
  <c r="T16" i="13"/>
  <c r="S16" i="13"/>
  <c r="T14" i="13"/>
  <c r="S14" i="13"/>
  <c r="CA14" i="13" s="1"/>
  <c r="T13" i="13"/>
  <c r="S13" i="13"/>
  <c r="T12" i="13"/>
  <c r="S12" i="13"/>
  <c r="CA12" i="13" s="1"/>
  <c r="T11" i="13"/>
  <c r="S11" i="13"/>
  <c r="T10" i="13"/>
  <c r="S10" i="13"/>
  <c r="CA10" i="13" s="1"/>
  <c r="T9" i="13"/>
  <c r="S9" i="13"/>
  <c r="CA9" i="13" s="1"/>
  <c r="T8" i="13"/>
  <c r="S8" i="13"/>
  <c r="CA8" i="13" s="1"/>
  <c r="T7" i="13"/>
  <c r="S7" i="13"/>
  <c r="T6" i="13"/>
  <c r="S6" i="13"/>
  <c r="T18" i="13"/>
  <c r="S18" i="13"/>
  <c r="BX139" i="11"/>
  <c r="BX138" i="11"/>
  <c r="BX135" i="11"/>
  <c r="BX134" i="11"/>
  <c r="BX133" i="11"/>
  <c r="BX131" i="11"/>
  <c r="BX130" i="11"/>
  <c r="BX127" i="11"/>
  <c r="BX126" i="11"/>
  <c r="BX125" i="11"/>
  <c r="BX124" i="11"/>
  <c r="BX123" i="11"/>
  <c r="BX122" i="11"/>
  <c r="BX121" i="11"/>
  <c r="BX120" i="11"/>
  <c r="BX119" i="11"/>
  <c r="BX118" i="11"/>
  <c r="BX116" i="11"/>
  <c r="BX115" i="11"/>
  <c r="BX114" i="11"/>
  <c r="BX113" i="11"/>
  <c r="BX112" i="11"/>
  <c r="BX111" i="11"/>
  <c r="BX110" i="11"/>
  <c r="BX109" i="11"/>
  <c r="BX108" i="11"/>
  <c r="BX107" i="11"/>
  <c r="BX106" i="11"/>
  <c r="BX105" i="11"/>
  <c r="BX104" i="11"/>
  <c r="BX103" i="11"/>
  <c r="BX102" i="11"/>
  <c r="BX101" i="11"/>
  <c r="BX100" i="11"/>
  <c r="BX99" i="11"/>
  <c r="BX98" i="11"/>
  <c r="BX97" i="11"/>
  <c r="BX96" i="11"/>
  <c r="BX95" i="11"/>
  <c r="BX94" i="11"/>
  <c r="BX93" i="11"/>
  <c r="BX92" i="11"/>
  <c r="BX91" i="11"/>
  <c r="BX90" i="11"/>
  <c r="BX89" i="11"/>
  <c r="BX88" i="11"/>
  <c r="BX87" i="11"/>
  <c r="BX86" i="11"/>
  <c r="BX85" i="11"/>
  <c r="BX84" i="11"/>
  <c r="BX82" i="11"/>
  <c r="BX81" i="11"/>
  <c r="BX80" i="11"/>
  <c r="BX79" i="11"/>
  <c r="BX77" i="11"/>
  <c r="BX76" i="11"/>
  <c r="BX74" i="11"/>
  <c r="BX72" i="11"/>
  <c r="BX71" i="11"/>
  <c r="BX70" i="11"/>
  <c r="BX69" i="11"/>
  <c r="BX68" i="11"/>
  <c r="BX67" i="11"/>
  <c r="BX66" i="11"/>
  <c r="BX65" i="11"/>
  <c r="BX64" i="11"/>
  <c r="BX63" i="11"/>
  <c r="BX62" i="11"/>
  <c r="BX61" i="11"/>
  <c r="BX60" i="11"/>
  <c r="BX59" i="11"/>
  <c r="BX58" i="11"/>
  <c r="BX57" i="11"/>
  <c r="BX55" i="11"/>
  <c r="BX53" i="11"/>
  <c r="BX52" i="11"/>
  <c r="BX51" i="11"/>
  <c r="BX50" i="11"/>
  <c r="BX49" i="11"/>
  <c r="BX45" i="11"/>
  <c r="BX42" i="11"/>
  <c r="BX41" i="11"/>
  <c r="BX39" i="11"/>
  <c r="BX38" i="11"/>
  <c r="BX37" i="11"/>
  <c r="BX36" i="11"/>
  <c r="BX35" i="11"/>
  <c r="BX34" i="11"/>
  <c r="BX33" i="11"/>
  <c r="BX32" i="11"/>
  <c r="BX30" i="11"/>
  <c r="BX29" i="11"/>
  <c r="BX28" i="11"/>
  <c r="BX26" i="11"/>
  <c r="BX24" i="11"/>
  <c r="BX23" i="11"/>
  <c r="BX20" i="11"/>
  <c r="BX19" i="11"/>
  <c r="BX17" i="11"/>
  <c r="BX16" i="11"/>
  <c r="BX15" i="11"/>
  <c r="BX12" i="11"/>
  <c r="BX6" i="11"/>
  <c r="AV7" i="11"/>
  <c r="AV8" i="11"/>
  <c r="AV9" i="11"/>
  <c r="AV10" i="11"/>
  <c r="AV11" i="11"/>
  <c r="AV12" i="11"/>
  <c r="AV13" i="11"/>
  <c r="AV14" i="11"/>
  <c r="AV15" i="11"/>
  <c r="AV16" i="11"/>
  <c r="AV17" i="11"/>
  <c r="AV18" i="11"/>
  <c r="AV19" i="11"/>
  <c r="AV20" i="11"/>
  <c r="AV21" i="11"/>
  <c r="AV22" i="11"/>
  <c r="AV23" i="11"/>
  <c r="AV24" i="11"/>
  <c r="AV25" i="11"/>
  <c r="AV26" i="11"/>
  <c r="AV27" i="11"/>
  <c r="AV28" i="11"/>
  <c r="AV29" i="11"/>
  <c r="AV30" i="11"/>
  <c r="AV31" i="11"/>
  <c r="AV32" i="11"/>
  <c r="AV33" i="11"/>
  <c r="AV34" i="11"/>
  <c r="AV35" i="11"/>
  <c r="AV36" i="11"/>
  <c r="AV37" i="11"/>
  <c r="AV38" i="11"/>
  <c r="AV39" i="11"/>
  <c r="AV40" i="11"/>
  <c r="AV41" i="11"/>
  <c r="AV42" i="11"/>
  <c r="AV43" i="11"/>
  <c r="AV44" i="11"/>
  <c r="AV45" i="11"/>
  <c r="AV46" i="11"/>
  <c r="AV47" i="11"/>
  <c r="AV48" i="11"/>
  <c r="AV49" i="11"/>
  <c r="AV50" i="11"/>
  <c r="AV51" i="11"/>
  <c r="AV52" i="11"/>
  <c r="AV53" i="11"/>
  <c r="AV54" i="11"/>
  <c r="AV55" i="11"/>
  <c r="AV56" i="11"/>
  <c r="AV57" i="11"/>
  <c r="AV58" i="11"/>
  <c r="AV59" i="11"/>
  <c r="AV60" i="11"/>
  <c r="AV61" i="11"/>
  <c r="AV62" i="11"/>
  <c r="AV63" i="11"/>
  <c r="AV64" i="11"/>
  <c r="AV65" i="11"/>
  <c r="AV66" i="11"/>
  <c r="AV67" i="11"/>
  <c r="AV68" i="11"/>
  <c r="AV69" i="11"/>
  <c r="AV70" i="11"/>
  <c r="AV71" i="11"/>
  <c r="AV72" i="11"/>
  <c r="AV73" i="11"/>
  <c r="AV74" i="11"/>
  <c r="AV75" i="11"/>
  <c r="AV76" i="11"/>
  <c r="AV77" i="11"/>
  <c r="AV78" i="11"/>
  <c r="AV79" i="11"/>
  <c r="AV80" i="11"/>
  <c r="AV81" i="11"/>
  <c r="AV83" i="11"/>
  <c r="AV84" i="11"/>
  <c r="AV86" i="11"/>
  <c r="AV87" i="11"/>
  <c r="AV88" i="11"/>
  <c r="AV89" i="11"/>
  <c r="AV90" i="11"/>
  <c r="AV91" i="11"/>
  <c r="AV92" i="11"/>
  <c r="AV93" i="11"/>
  <c r="AV94" i="11"/>
  <c r="AV95" i="11"/>
  <c r="AV96" i="11"/>
  <c r="AV97" i="11"/>
  <c r="AV98" i="11"/>
  <c r="AV99" i="11"/>
  <c r="AV100" i="11"/>
  <c r="AV101" i="11"/>
  <c r="AV102" i="11"/>
  <c r="AV103" i="11"/>
  <c r="AV104" i="11"/>
  <c r="AV105" i="11"/>
  <c r="AV106" i="11"/>
  <c r="AV107" i="11"/>
  <c r="AV108" i="11"/>
  <c r="AV109" i="11"/>
  <c r="AV110" i="11"/>
  <c r="AV111" i="11"/>
  <c r="AV112" i="11"/>
  <c r="AV113" i="11"/>
  <c r="AV114" i="11"/>
  <c r="AV115" i="11"/>
  <c r="AV116" i="11"/>
  <c r="AV117" i="11"/>
  <c r="AV118" i="11"/>
  <c r="AV119" i="11"/>
  <c r="AV120" i="11"/>
  <c r="AV121" i="11"/>
  <c r="AV122" i="11"/>
  <c r="AV123" i="11"/>
  <c r="AV124" i="11"/>
  <c r="AV125" i="11"/>
  <c r="AV126" i="11"/>
  <c r="AV127" i="11"/>
  <c r="AV128" i="11"/>
  <c r="AV129" i="11"/>
  <c r="AV130" i="11"/>
  <c r="AV131" i="11"/>
  <c r="AV132" i="11"/>
  <c r="AV133" i="11"/>
  <c r="AV134" i="11"/>
  <c r="AV135" i="11"/>
  <c r="AV136" i="11"/>
  <c r="AV137" i="11"/>
  <c r="AV138" i="11"/>
  <c r="AV82" i="11"/>
  <c r="AV85" i="11"/>
  <c r="AV139" i="11"/>
  <c r="AV6" i="11"/>
  <c r="Y1" i="13"/>
  <c r="BL1" i="11"/>
  <c r="CL1" i="11" l="1"/>
  <c r="CB1" i="11"/>
  <c r="CB6" i="13"/>
  <c r="CB20" i="13"/>
  <c r="CB24" i="13"/>
  <c r="CA24" i="13"/>
  <c r="CB28" i="13"/>
  <c r="CA28" i="13"/>
  <c r="CB44" i="13"/>
  <c r="CA44" i="13"/>
  <c r="CB54" i="13"/>
  <c r="CA54" i="13"/>
  <c r="CB58" i="13"/>
  <c r="CA58" i="13"/>
  <c r="CB18" i="13"/>
  <c r="CB7" i="13"/>
  <c r="CA7" i="13"/>
  <c r="CB11" i="13"/>
  <c r="CA11" i="13"/>
  <c r="CB13" i="13"/>
  <c r="CA13" i="13"/>
  <c r="CB16" i="13"/>
  <c r="CA16" i="13"/>
  <c r="CB19" i="13"/>
  <c r="CB33" i="13"/>
  <c r="CA33" i="13"/>
  <c r="CB57" i="13"/>
  <c r="CA57" i="13"/>
  <c r="CB59" i="13"/>
  <c r="CA59" i="13"/>
  <c r="CB63" i="13"/>
  <c r="CA63" i="13"/>
  <c r="CB65" i="13"/>
  <c r="CB15" i="13"/>
  <c r="CB34" i="13"/>
  <c r="CA34" i="13"/>
  <c r="CB38" i="13"/>
  <c r="CB40" i="13"/>
  <c r="CA40" i="13"/>
  <c r="CB48" i="13"/>
  <c r="CA48" i="13"/>
  <c r="CB52" i="13"/>
  <c r="CA52" i="13"/>
  <c r="CB66" i="13"/>
  <c r="CB1" i="13"/>
  <c r="CA1" i="13"/>
  <c r="X53" i="13"/>
  <c r="Y53" i="13" s="1"/>
  <c r="X41" i="13"/>
  <c r="Y41" i="13" s="1"/>
  <c r="X29" i="13"/>
  <c r="Y29" i="13" s="1"/>
  <c r="X12" i="13"/>
  <c r="Y12" i="13" s="1"/>
  <c r="X35" i="13"/>
  <c r="Y35" i="13" s="1"/>
  <c r="X60" i="13"/>
  <c r="Y60" i="13" s="1"/>
  <c r="X50" i="13"/>
  <c r="Y50" i="13" s="1"/>
  <c r="X22" i="13"/>
  <c r="Y22" i="13" s="1"/>
  <c r="X44" i="13"/>
  <c r="Y44" i="13" s="1"/>
  <c r="X7" i="13"/>
  <c r="Y7" i="13" s="1"/>
  <c r="CB8" i="13"/>
  <c r="CB21" i="13"/>
  <c r="CB64" i="13"/>
  <c r="X66" i="13"/>
  <c r="X65" i="13"/>
  <c r="X62" i="13"/>
  <c r="Y62" i="13" s="1"/>
  <c r="X61" i="13"/>
  <c r="Y61" i="13" s="1"/>
  <c r="X58" i="13"/>
  <c r="Y58" i="13" s="1"/>
  <c r="X57" i="13"/>
  <c r="Y57" i="13" s="1"/>
  <c r="X54" i="13"/>
  <c r="Y54" i="13" s="1"/>
  <c r="X49" i="13"/>
  <c r="Y49" i="13" s="1"/>
  <c r="X46" i="13"/>
  <c r="Y46" i="13" s="1"/>
  <c r="X45" i="13"/>
  <c r="Y45" i="13" s="1"/>
  <c r="X42" i="13"/>
  <c r="Y42" i="13" s="1"/>
  <c r="X38" i="13"/>
  <c r="Y38" i="13" s="1"/>
  <c r="X37" i="13"/>
  <c r="X34" i="13"/>
  <c r="Y34" i="13" s="1"/>
  <c r="X33" i="13"/>
  <c r="Y33" i="13" s="1"/>
  <c r="X31" i="13"/>
  <c r="X30" i="13"/>
  <c r="Y30" i="13" s="1"/>
  <c r="X26" i="13"/>
  <c r="Y26" i="13" s="1"/>
  <c r="X25" i="13"/>
  <c r="Y25" i="13" s="1"/>
  <c r="X21" i="13"/>
  <c r="Y21" i="13" s="1"/>
  <c r="X17" i="13"/>
  <c r="Y17" i="13" s="1"/>
  <c r="X13" i="13"/>
  <c r="Y13" i="13" s="1"/>
  <c r="X9" i="13"/>
  <c r="Y9" i="13" s="1"/>
  <c r="X8" i="13"/>
  <c r="Y8" i="13" s="1"/>
  <c r="CB12" i="13"/>
  <c r="CB42" i="13"/>
  <c r="CB17" i="13"/>
  <c r="CB46" i="13"/>
  <c r="CB50" i="13"/>
  <c r="CA38" i="13"/>
  <c r="BX18" i="11"/>
  <c r="BX21" i="11"/>
  <c r="BX40" i="11"/>
  <c r="BX137" i="11"/>
  <c r="BX56" i="11"/>
  <c r="BX129" i="11"/>
  <c r="BX25" i="11"/>
  <c r="BX75" i="11"/>
  <c r="BX31" i="11"/>
  <c r="BX128" i="11"/>
  <c r="BX9" i="11"/>
  <c r="Y66" i="13"/>
  <c r="CA66" i="13" s="1"/>
  <c r="BX73" i="11"/>
  <c r="BX132" i="11"/>
  <c r="BX43" i="11"/>
  <c r="BX78" i="11"/>
  <c r="BX136" i="11"/>
  <c r="BX27" i="11"/>
  <c r="BX10" i="11"/>
  <c r="BX48" i="11"/>
  <c r="BX46" i="11"/>
  <c r="BX117" i="11"/>
  <c r="BX8" i="11"/>
  <c r="BX13" i="11"/>
  <c r="BX44" i="11"/>
  <c r="BX47" i="11"/>
  <c r="Y37" i="13"/>
  <c r="CA37" i="13" s="1"/>
  <c r="BX11" i="11"/>
  <c r="BX22" i="11"/>
  <c r="BX83" i="11"/>
  <c r="Y31" i="13"/>
  <c r="CA31" i="13" s="1"/>
  <c r="Y65" i="13"/>
  <c r="CA65" i="13" s="1"/>
  <c r="BX54" i="11"/>
  <c r="BX7" i="11"/>
  <c r="BX14" i="11"/>
  <c r="CB9" i="13" l="1"/>
  <c r="CB10" i="13"/>
  <c r="CB14" i="13"/>
  <c r="CB22" i="13"/>
  <c r="CB26" i="13"/>
  <c r="CB30" i="13"/>
  <c r="CB25" i="13"/>
  <c r="CB29" i="13"/>
  <c r="CB23" i="13"/>
  <c r="CB27" i="13"/>
  <c r="CB32" i="13"/>
  <c r="CB36" i="13"/>
  <c r="CB35" i="13"/>
  <c r="CB39" i="13"/>
  <c r="CB43" i="13"/>
  <c r="CB47" i="13"/>
  <c r="CB51" i="13"/>
  <c r="CB55" i="13"/>
  <c r="CB61" i="13"/>
  <c r="CB60" i="13"/>
  <c r="CB56" i="13"/>
  <c r="CB62" i="13"/>
  <c r="CB41" i="13"/>
  <c r="CB45" i="13"/>
  <c r="CB49" i="13"/>
  <c r="CB53" i="13"/>
  <c r="CK1" i="11"/>
  <c r="CN1" i="11"/>
  <c r="CA1" i="11"/>
  <c r="X15" i="13"/>
  <c r="X47" i="13"/>
  <c r="Y47" i="13" s="1"/>
  <c r="CB37" i="13"/>
  <c r="X63" i="13"/>
  <c r="Y63" i="13" s="1"/>
  <c r="X59" i="13"/>
  <c r="Y59" i="13" s="1"/>
  <c r="X55" i="13"/>
  <c r="Y55" i="13" s="1"/>
  <c r="X51" i="13"/>
  <c r="Y51" i="13" s="1"/>
  <c r="X43" i="13"/>
  <c r="Y43" i="13" s="1"/>
  <c r="X39" i="13"/>
  <c r="Y39" i="13" s="1"/>
  <c r="X11" i="13"/>
  <c r="Y11" i="13" s="1"/>
  <c r="X16" i="13"/>
  <c r="Y16" i="13" s="1"/>
  <c r="X28" i="13"/>
  <c r="Y28" i="13" s="1"/>
  <c r="X6" i="13"/>
  <c r="X10" i="13"/>
  <c r="Y10" i="13" s="1"/>
  <c r="X14" i="13"/>
  <c r="Y14" i="13" s="1"/>
  <c r="X19" i="13"/>
  <c r="Y19" i="13" s="1"/>
  <c r="X23" i="13"/>
  <c r="Y23" i="13" s="1"/>
  <c r="X27" i="13"/>
  <c r="Y27" i="13" s="1"/>
  <c r="X40" i="13"/>
  <c r="Y40" i="13" s="1"/>
  <c r="X56" i="13"/>
  <c r="Y56" i="13" s="1"/>
  <c r="X36" i="13"/>
  <c r="Y36" i="13" s="1"/>
  <c r="X52" i="13"/>
  <c r="Y52" i="13" s="1"/>
  <c r="X32" i="13"/>
  <c r="X48" i="13"/>
  <c r="Y48" i="13" s="1"/>
  <c r="X64" i="13"/>
  <c r="Y64" i="13" s="1"/>
  <c r="X24" i="13"/>
  <c r="Y24" i="13" s="1"/>
  <c r="X20" i="13"/>
  <c r="Y20" i="13" s="1"/>
  <c r="CB31" i="13"/>
  <c r="X18" i="13"/>
  <c r="Y18" i="13" s="1"/>
  <c r="CM6" i="11"/>
  <c r="CI6" i="11"/>
  <c r="CH6" i="11"/>
  <c r="CG6" i="11"/>
  <c r="CF6" i="11"/>
  <c r="CE6" i="11"/>
  <c r="CD6" i="11"/>
  <c r="BT6" i="11"/>
  <c r="BS6" i="11"/>
  <c r="BR6" i="11"/>
  <c r="BK6" i="11"/>
  <c r="BJ6" i="11"/>
  <c r="BI6" i="11"/>
  <c r="BH6" i="11"/>
  <c r="BG6" i="11"/>
  <c r="BF6" i="11"/>
  <c r="BE6" i="11"/>
  <c r="BD6" i="11"/>
  <c r="BC6" i="11"/>
  <c r="BB6" i="11"/>
  <c r="BA6" i="11"/>
  <c r="AZ6" i="11"/>
  <c r="AY6" i="11"/>
  <c r="AX6" i="11"/>
  <c r="AU6" i="11"/>
  <c r="AT6" i="11"/>
  <c r="AS6" i="11"/>
  <c r="AS129" i="11"/>
  <c r="AT129" i="11"/>
  <c r="AU129" i="11"/>
  <c r="AX129" i="11"/>
  <c r="AY129" i="11"/>
  <c r="AZ129" i="11"/>
  <c r="BA129" i="11"/>
  <c r="BB129" i="11"/>
  <c r="BC129" i="11"/>
  <c r="BD129" i="11"/>
  <c r="BE129" i="11"/>
  <c r="BF129" i="11"/>
  <c r="BG129" i="11"/>
  <c r="BH129" i="11"/>
  <c r="BI129" i="11"/>
  <c r="BJ129" i="11"/>
  <c r="BK129" i="11"/>
  <c r="BR129" i="11"/>
  <c r="BS129" i="11"/>
  <c r="BT129" i="11"/>
  <c r="BV129" i="11"/>
  <c r="CD129" i="11"/>
  <c r="CE129" i="11"/>
  <c r="CF129" i="11"/>
  <c r="CI129" i="11"/>
  <c r="CM129" i="11"/>
  <c r="CM127" i="11"/>
  <c r="CI127" i="11"/>
  <c r="CF127" i="11"/>
  <c r="CE127" i="11"/>
  <c r="CD127" i="11"/>
  <c r="BV127" i="11"/>
  <c r="BT127" i="11"/>
  <c r="BS127" i="11"/>
  <c r="BR127" i="11"/>
  <c r="BK127" i="11"/>
  <c r="BJ127" i="11"/>
  <c r="BI127" i="11"/>
  <c r="BH127" i="11"/>
  <c r="BG127" i="11"/>
  <c r="BF127" i="11"/>
  <c r="BE127" i="11"/>
  <c r="BD127" i="11"/>
  <c r="BC127" i="11"/>
  <c r="BB127" i="11"/>
  <c r="BA127" i="11"/>
  <c r="AZ127" i="11"/>
  <c r="AY127" i="11"/>
  <c r="AX127" i="11"/>
  <c r="AU127" i="11"/>
  <c r="AT127" i="11"/>
  <c r="AS127" i="11"/>
  <c r="CM84" i="11"/>
  <c r="CH84" i="11"/>
  <c r="CF84" i="11"/>
  <c r="CE84" i="11"/>
  <c r="CD84" i="11"/>
  <c r="BT84" i="11"/>
  <c r="BS84" i="11"/>
  <c r="BR84" i="11"/>
  <c r="BK84" i="11"/>
  <c r="BJ84" i="11"/>
  <c r="BI84" i="11"/>
  <c r="BH84" i="11"/>
  <c r="BG84" i="11"/>
  <c r="BF84" i="11"/>
  <c r="BE84" i="11"/>
  <c r="BD84" i="11"/>
  <c r="BC84" i="11"/>
  <c r="BB84" i="11"/>
  <c r="BA84" i="11"/>
  <c r="AZ84" i="11"/>
  <c r="AY84" i="11"/>
  <c r="AX84" i="11"/>
  <c r="AU84" i="11"/>
  <c r="AT84" i="11"/>
  <c r="AS84" i="11"/>
  <c r="CM83" i="11"/>
  <c r="CI83" i="11"/>
  <c r="CF83" i="11"/>
  <c r="CE83" i="11"/>
  <c r="CD83" i="11"/>
  <c r="BT83" i="11"/>
  <c r="BS83" i="11"/>
  <c r="BR83" i="11"/>
  <c r="BK83" i="11"/>
  <c r="BJ83" i="11"/>
  <c r="BI83" i="11"/>
  <c r="BH83" i="11"/>
  <c r="BG83" i="11"/>
  <c r="BF83" i="11"/>
  <c r="BE83" i="11"/>
  <c r="BD83" i="11"/>
  <c r="BC83" i="11"/>
  <c r="BB83" i="11"/>
  <c r="BA83" i="11"/>
  <c r="AZ83" i="11"/>
  <c r="AY83" i="11"/>
  <c r="AX83" i="11"/>
  <c r="AU83" i="11"/>
  <c r="AT83" i="11"/>
  <c r="AS83" i="11"/>
  <c r="CM85" i="11"/>
  <c r="CF85" i="11"/>
  <c r="CE85" i="11"/>
  <c r="CD85" i="11"/>
  <c r="BV85" i="11"/>
  <c r="BT85" i="11"/>
  <c r="BS85" i="11"/>
  <c r="BR85" i="11"/>
  <c r="BK85" i="11"/>
  <c r="BJ85" i="11"/>
  <c r="BI85" i="11"/>
  <c r="BH85" i="11"/>
  <c r="BG85" i="11"/>
  <c r="BF85" i="11"/>
  <c r="BE85" i="11"/>
  <c r="BD85" i="11"/>
  <c r="BC85" i="11"/>
  <c r="BB85" i="11"/>
  <c r="BA85" i="11"/>
  <c r="AZ85" i="11"/>
  <c r="AY85" i="11"/>
  <c r="AX85" i="11"/>
  <c r="AU85" i="11"/>
  <c r="AT85" i="11"/>
  <c r="AS85" i="11"/>
  <c r="CM26" i="11"/>
  <c r="CI26" i="11"/>
  <c r="CF26" i="11"/>
  <c r="CE26" i="11"/>
  <c r="CD26" i="11"/>
  <c r="BV26" i="11"/>
  <c r="BT26" i="11"/>
  <c r="BS26" i="11"/>
  <c r="BR26" i="11"/>
  <c r="BK26" i="11"/>
  <c r="BJ26" i="11"/>
  <c r="BI26" i="11"/>
  <c r="BH26" i="11"/>
  <c r="BG26" i="11"/>
  <c r="BF26" i="11"/>
  <c r="BE26" i="11"/>
  <c r="BD26" i="11"/>
  <c r="BC26" i="11"/>
  <c r="BB26" i="11"/>
  <c r="BA26" i="11"/>
  <c r="AZ26" i="11"/>
  <c r="AY26" i="11"/>
  <c r="AX26" i="11"/>
  <c r="AU26" i="11"/>
  <c r="AT26" i="11"/>
  <c r="AS26" i="11"/>
  <c r="CM108" i="11"/>
  <c r="CF108" i="11"/>
  <c r="CE108" i="11"/>
  <c r="CD108" i="11"/>
  <c r="BV108" i="11"/>
  <c r="BT108" i="11"/>
  <c r="BS108" i="11"/>
  <c r="BR108" i="11"/>
  <c r="BK108" i="11"/>
  <c r="BJ108" i="11"/>
  <c r="BI108" i="11"/>
  <c r="BH108" i="11"/>
  <c r="BG108" i="11"/>
  <c r="BF108" i="11"/>
  <c r="BE108" i="11"/>
  <c r="BD108" i="11"/>
  <c r="BC108" i="11"/>
  <c r="BB108" i="11"/>
  <c r="BA108" i="11"/>
  <c r="AZ108" i="11"/>
  <c r="AY108" i="11"/>
  <c r="AX108" i="11"/>
  <c r="AU108" i="11"/>
  <c r="AT108" i="11"/>
  <c r="AS108" i="11"/>
  <c r="CM107" i="11"/>
  <c r="CI107" i="11"/>
  <c r="CF107" i="11"/>
  <c r="CE107" i="11"/>
  <c r="CD107" i="11"/>
  <c r="BV107" i="11"/>
  <c r="BT107" i="11"/>
  <c r="BS107" i="11"/>
  <c r="BR107" i="11"/>
  <c r="BK107" i="11"/>
  <c r="BJ107" i="11"/>
  <c r="BI107" i="11"/>
  <c r="BH107" i="11"/>
  <c r="BG107" i="11"/>
  <c r="BF107" i="11"/>
  <c r="BE107" i="11"/>
  <c r="BD107" i="11"/>
  <c r="BC107" i="11"/>
  <c r="BB107" i="11"/>
  <c r="BA107" i="11"/>
  <c r="AZ107" i="11"/>
  <c r="AY107" i="11"/>
  <c r="AX107" i="11"/>
  <c r="AU107" i="11"/>
  <c r="AT107" i="11"/>
  <c r="AS107" i="11"/>
  <c r="CM106" i="11"/>
  <c r="CF106" i="11"/>
  <c r="CE106" i="11"/>
  <c r="CD106" i="11"/>
  <c r="BV106" i="11"/>
  <c r="BT106" i="11"/>
  <c r="BS106" i="11"/>
  <c r="BR106" i="11"/>
  <c r="BK106" i="11"/>
  <c r="BJ106" i="11"/>
  <c r="BI106" i="11"/>
  <c r="BH106" i="11"/>
  <c r="BG106" i="11"/>
  <c r="BF106" i="11"/>
  <c r="BE106" i="11"/>
  <c r="BD106" i="11"/>
  <c r="BC106" i="11"/>
  <c r="BB106" i="11"/>
  <c r="BA106" i="11"/>
  <c r="AZ106" i="11"/>
  <c r="AY106" i="11"/>
  <c r="AX106" i="11"/>
  <c r="AU106" i="11"/>
  <c r="AT106" i="11"/>
  <c r="AS106" i="11"/>
  <c r="CM105" i="11"/>
  <c r="CF105" i="11"/>
  <c r="CE105" i="11"/>
  <c r="CD105" i="11"/>
  <c r="BV105" i="11"/>
  <c r="BT105" i="11"/>
  <c r="BS105" i="11"/>
  <c r="BR105" i="11"/>
  <c r="BK105" i="11"/>
  <c r="BJ105" i="11"/>
  <c r="BI105" i="11"/>
  <c r="BH105" i="11"/>
  <c r="BG105" i="11"/>
  <c r="BF105" i="11"/>
  <c r="BE105" i="11"/>
  <c r="BD105" i="11"/>
  <c r="BC105" i="11"/>
  <c r="BB105" i="11"/>
  <c r="BA105" i="11"/>
  <c r="AZ105" i="11"/>
  <c r="AY105" i="11"/>
  <c r="AX105" i="11"/>
  <c r="AU105" i="11"/>
  <c r="AT105" i="11"/>
  <c r="AS105" i="11"/>
  <c r="CM104" i="11"/>
  <c r="CI104" i="11"/>
  <c r="CF104" i="11"/>
  <c r="CE104" i="11"/>
  <c r="CD104" i="11"/>
  <c r="BV104" i="11"/>
  <c r="BT104" i="11"/>
  <c r="BS104" i="11"/>
  <c r="BR104" i="11"/>
  <c r="BK104" i="11"/>
  <c r="BJ104" i="11"/>
  <c r="BI104" i="11"/>
  <c r="BH104" i="11"/>
  <c r="BG104" i="11"/>
  <c r="BF104" i="11"/>
  <c r="BE104" i="11"/>
  <c r="BD104" i="11"/>
  <c r="BC104" i="11"/>
  <c r="BB104" i="11"/>
  <c r="BA104" i="11"/>
  <c r="AZ104" i="11"/>
  <c r="AY104" i="11"/>
  <c r="AX104" i="11"/>
  <c r="AU104" i="11"/>
  <c r="AT104" i="11"/>
  <c r="AS104" i="11"/>
  <c r="CM103" i="11"/>
  <c r="CI103" i="11"/>
  <c r="CF103" i="11"/>
  <c r="CE103" i="11"/>
  <c r="CD103" i="11"/>
  <c r="BV103" i="11"/>
  <c r="BT103" i="11"/>
  <c r="BS103" i="11"/>
  <c r="BR103" i="11"/>
  <c r="BK103" i="11"/>
  <c r="BJ103" i="11"/>
  <c r="BI103" i="11"/>
  <c r="BH103" i="11"/>
  <c r="BG103" i="11"/>
  <c r="BF103" i="11"/>
  <c r="BE103" i="11"/>
  <c r="BD103" i="11"/>
  <c r="BC103" i="11"/>
  <c r="BB103" i="11"/>
  <c r="BA103" i="11"/>
  <c r="AZ103" i="11"/>
  <c r="AY103" i="11"/>
  <c r="AX103" i="11"/>
  <c r="AU103" i="11"/>
  <c r="AT103" i="11"/>
  <c r="AS103" i="11"/>
  <c r="CM102" i="11"/>
  <c r="CI102" i="11"/>
  <c r="CF102" i="11"/>
  <c r="CE102" i="11"/>
  <c r="CD102" i="11"/>
  <c r="BV102" i="11"/>
  <c r="BT102" i="11"/>
  <c r="BS102" i="11"/>
  <c r="BR102" i="11"/>
  <c r="BK102" i="11"/>
  <c r="BJ102" i="11"/>
  <c r="BI102" i="11"/>
  <c r="BH102" i="11"/>
  <c r="BG102" i="11"/>
  <c r="BF102" i="11"/>
  <c r="BE102" i="11"/>
  <c r="BD102" i="11"/>
  <c r="BC102" i="11"/>
  <c r="BB102" i="11"/>
  <c r="BA102" i="11"/>
  <c r="AZ102" i="11"/>
  <c r="AY102" i="11"/>
  <c r="AX102" i="11"/>
  <c r="AU102" i="11"/>
  <c r="AT102" i="11"/>
  <c r="AS102" i="11"/>
  <c r="CM101" i="11"/>
  <c r="CI101" i="11"/>
  <c r="CF101" i="11"/>
  <c r="CE101" i="11"/>
  <c r="CD101" i="11"/>
  <c r="BV101" i="11"/>
  <c r="BT101" i="11"/>
  <c r="BS101" i="11"/>
  <c r="BR101" i="11"/>
  <c r="BK101" i="11"/>
  <c r="BJ101" i="11"/>
  <c r="BI101" i="11"/>
  <c r="BH101" i="11"/>
  <c r="BG101" i="11"/>
  <c r="BF101" i="11"/>
  <c r="BE101" i="11"/>
  <c r="BD101" i="11"/>
  <c r="BC101" i="11"/>
  <c r="BB101" i="11"/>
  <c r="BA101" i="11"/>
  <c r="AZ101" i="11"/>
  <c r="AY101" i="11"/>
  <c r="AX101" i="11"/>
  <c r="AU101" i="11"/>
  <c r="AT101" i="11"/>
  <c r="AS101" i="11"/>
  <c r="CM100" i="11"/>
  <c r="CI100" i="11"/>
  <c r="CF100" i="11"/>
  <c r="CE100" i="11"/>
  <c r="CD100" i="11"/>
  <c r="BV100" i="11"/>
  <c r="BT100" i="11"/>
  <c r="BS100" i="11"/>
  <c r="BR100" i="11"/>
  <c r="BK100" i="11"/>
  <c r="BJ100" i="11"/>
  <c r="BI100" i="11"/>
  <c r="BH100" i="11"/>
  <c r="BG100" i="11"/>
  <c r="BF100" i="11"/>
  <c r="BE100" i="11"/>
  <c r="BD100" i="11"/>
  <c r="BC100" i="11"/>
  <c r="BB100" i="11"/>
  <c r="BA100" i="11"/>
  <c r="AZ100" i="11"/>
  <c r="AY100" i="11"/>
  <c r="AX100" i="11"/>
  <c r="AU100" i="11"/>
  <c r="AT100" i="11"/>
  <c r="AS100" i="11"/>
  <c r="CM99" i="11"/>
  <c r="CI99" i="11"/>
  <c r="CF99" i="11"/>
  <c r="CE99" i="11"/>
  <c r="CD99" i="11"/>
  <c r="BV99" i="11"/>
  <c r="BT99" i="11"/>
  <c r="BS99" i="11"/>
  <c r="BR99" i="11"/>
  <c r="BK99" i="11"/>
  <c r="BJ99" i="11"/>
  <c r="BI99" i="11"/>
  <c r="BH99" i="11"/>
  <c r="BG99" i="11"/>
  <c r="BF99" i="11"/>
  <c r="BE99" i="11"/>
  <c r="BD99" i="11"/>
  <c r="BC99" i="11"/>
  <c r="BB99" i="11"/>
  <c r="BA99" i="11"/>
  <c r="AZ99" i="11"/>
  <c r="AY99" i="11"/>
  <c r="AX99" i="11"/>
  <c r="AU99" i="11"/>
  <c r="AT99" i="11"/>
  <c r="AS99" i="11"/>
  <c r="CM98" i="11"/>
  <c r="CF98" i="11"/>
  <c r="CE98" i="11"/>
  <c r="CD98" i="11"/>
  <c r="BV98" i="11"/>
  <c r="BT98" i="11"/>
  <c r="BS98" i="11"/>
  <c r="BR98" i="11"/>
  <c r="BK98" i="11"/>
  <c r="BJ98" i="11"/>
  <c r="BI98" i="11"/>
  <c r="BH98" i="11"/>
  <c r="BG98" i="11"/>
  <c r="BF98" i="11"/>
  <c r="BE98" i="11"/>
  <c r="BD98" i="11"/>
  <c r="BC98" i="11"/>
  <c r="BB98" i="11"/>
  <c r="BA98" i="11"/>
  <c r="AZ98" i="11"/>
  <c r="AY98" i="11"/>
  <c r="AX98" i="11"/>
  <c r="AU98" i="11"/>
  <c r="AT98" i="11"/>
  <c r="AS98" i="11"/>
  <c r="CM97" i="11"/>
  <c r="CF97" i="11"/>
  <c r="CE97" i="11"/>
  <c r="CD97" i="11"/>
  <c r="BV97" i="11"/>
  <c r="BT97" i="11"/>
  <c r="BS97" i="11"/>
  <c r="BR97" i="11"/>
  <c r="BK97" i="11"/>
  <c r="BJ97" i="11"/>
  <c r="BI97" i="11"/>
  <c r="BH97" i="11"/>
  <c r="BG97" i="11"/>
  <c r="BF97" i="11"/>
  <c r="BE97" i="11"/>
  <c r="BD97" i="11"/>
  <c r="BC97" i="11"/>
  <c r="BB97" i="11"/>
  <c r="BA97" i="11"/>
  <c r="AZ97" i="11"/>
  <c r="AY97" i="11"/>
  <c r="AX97" i="11"/>
  <c r="AU97" i="11"/>
  <c r="AT97" i="11"/>
  <c r="AS97" i="11"/>
  <c r="CM96" i="11"/>
  <c r="CF96" i="11"/>
  <c r="CE96" i="11"/>
  <c r="CD96" i="11"/>
  <c r="BV96" i="11"/>
  <c r="BT96" i="11"/>
  <c r="BS96" i="11"/>
  <c r="BR96" i="11"/>
  <c r="BK96" i="11"/>
  <c r="BJ96" i="11"/>
  <c r="BI96" i="11"/>
  <c r="BH96" i="11"/>
  <c r="BG96" i="11"/>
  <c r="BF96" i="11"/>
  <c r="BE96" i="11"/>
  <c r="BD96" i="11"/>
  <c r="BC96" i="11"/>
  <c r="BB96" i="11"/>
  <c r="BA96" i="11"/>
  <c r="AZ96" i="11"/>
  <c r="AY96" i="11"/>
  <c r="AX96" i="11"/>
  <c r="AU96" i="11"/>
  <c r="AT96" i="11"/>
  <c r="AS96" i="11"/>
  <c r="CM95" i="11"/>
  <c r="CF95" i="11"/>
  <c r="CE95" i="11"/>
  <c r="CD95" i="11"/>
  <c r="BV95" i="11"/>
  <c r="BT95" i="11"/>
  <c r="BS95" i="11"/>
  <c r="BR95" i="11"/>
  <c r="BK95" i="11"/>
  <c r="BJ95" i="11"/>
  <c r="BI95" i="11"/>
  <c r="BH95" i="11"/>
  <c r="BG95" i="11"/>
  <c r="BF95" i="11"/>
  <c r="BE95" i="11"/>
  <c r="BD95" i="11"/>
  <c r="BC95" i="11"/>
  <c r="BB95" i="11"/>
  <c r="BA95" i="11"/>
  <c r="AZ95" i="11"/>
  <c r="AY95" i="11"/>
  <c r="AX95" i="11"/>
  <c r="AU95" i="11"/>
  <c r="AT95" i="11"/>
  <c r="AS95" i="11"/>
  <c r="CM94" i="11"/>
  <c r="CF94" i="11"/>
  <c r="CE94" i="11"/>
  <c r="CD94" i="11"/>
  <c r="BV94" i="11"/>
  <c r="BT94" i="11"/>
  <c r="BS94" i="11"/>
  <c r="BR94" i="11"/>
  <c r="BK94" i="11"/>
  <c r="BJ94" i="11"/>
  <c r="BI94" i="11"/>
  <c r="BH94" i="11"/>
  <c r="BG94" i="11"/>
  <c r="BF94" i="11"/>
  <c r="BE94" i="11"/>
  <c r="BD94" i="11"/>
  <c r="BC94" i="11"/>
  <c r="BB94" i="11"/>
  <c r="BA94" i="11"/>
  <c r="AZ94" i="11"/>
  <c r="AY94" i="11"/>
  <c r="AX94" i="11"/>
  <c r="AU94" i="11"/>
  <c r="AT94" i="11"/>
  <c r="AS94" i="11"/>
  <c r="CM93" i="11"/>
  <c r="CF93" i="11"/>
  <c r="CE93" i="11"/>
  <c r="CD93" i="11"/>
  <c r="BV93" i="11"/>
  <c r="BT93" i="11"/>
  <c r="BS93" i="11"/>
  <c r="BR93" i="11"/>
  <c r="BK93" i="11"/>
  <c r="BJ93" i="11"/>
  <c r="BI93" i="11"/>
  <c r="BH93" i="11"/>
  <c r="BG93" i="11"/>
  <c r="BF93" i="11"/>
  <c r="BE93" i="11"/>
  <c r="BD93" i="11"/>
  <c r="BC93" i="11"/>
  <c r="BB93" i="11"/>
  <c r="BA93" i="11"/>
  <c r="AZ93" i="11"/>
  <c r="AY93" i="11"/>
  <c r="AX93" i="11"/>
  <c r="AU93" i="11"/>
  <c r="AT93" i="11"/>
  <c r="AS93" i="11"/>
  <c r="CM92" i="11"/>
  <c r="CF92" i="11"/>
  <c r="CE92" i="11"/>
  <c r="CD92" i="11"/>
  <c r="BV92" i="11"/>
  <c r="BT92" i="11"/>
  <c r="BS92" i="11"/>
  <c r="BR92" i="11"/>
  <c r="BK92" i="11"/>
  <c r="BJ92" i="11"/>
  <c r="BI92" i="11"/>
  <c r="BH92" i="11"/>
  <c r="BG92" i="11"/>
  <c r="BF92" i="11"/>
  <c r="BE92" i="11"/>
  <c r="BD92" i="11"/>
  <c r="BC92" i="11"/>
  <c r="BB92" i="11"/>
  <c r="BA92" i="11"/>
  <c r="AZ92" i="11"/>
  <c r="AY92" i="11"/>
  <c r="AX92" i="11"/>
  <c r="AU92" i="11"/>
  <c r="AT92" i="11"/>
  <c r="AS92" i="11"/>
  <c r="CM91" i="11"/>
  <c r="CF91" i="11"/>
  <c r="CE91" i="11"/>
  <c r="CD91" i="11"/>
  <c r="BV91" i="11"/>
  <c r="BT91" i="11"/>
  <c r="BS91" i="11"/>
  <c r="BR91" i="11"/>
  <c r="BK91" i="11"/>
  <c r="BJ91" i="11"/>
  <c r="BI91" i="11"/>
  <c r="BH91" i="11"/>
  <c r="BG91" i="11"/>
  <c r="BF91" i="11"/>
  <c r="BE91" i="11"/>
  <c r="BD91" i="11"/>
  <c r="BC91" i="11"/>
  <c r="BB91" i="11"/>
  <c r="BA91" i="11"/>
  <c r="AZ91" i="11"/>
  <c r="AY91" i="11"/>
  <c r="AX91" i="11"/>
  <c r="AU91" i="11"/>
  <c r="AT91" i="11"/>
  <c r="AS91" i="11"/>
  <c r="CM90" i="11"/>
  <c r="CF90" i="11"/>
  <c r="CE90" i="11"/>
  <c r="CD90" i="11"/>
  <c r="BV90" i="11"/>
  <c r="BT90" i="11"/>
  <c r="BS90" i="11"/>
  <c r="BR90" i="11"/>
  <c r="BK90" i="11"/>
  <c r="BJ90" i="11"/>
  <c r="BI90" i="11"/>
  <c r="BH90" i="11"/>
  <c r="BG90" i="11"/>
  <c r="BF90" i="11"/>
  <c r="BE90" i="11"/>
  <c r="BD90" i="11"/>
  <c r="BC90" i="11"/>
  <c r="BB90" i="11"/>
  <c r="BA90" i="11"/>
  <c r="AZ90" i="11"/>
  <c r="AY90" i="11"/>
  <c r="AX90" i="11"/>
  <c r="AU90" i="11"/>
  <c r="AT90" i="11"/>
  <c r="AS90" i="11"/>
  <c r="CM89" i="11"/>
  <c r="CF89" i="11"/>
  <c r="CE89" i="11"/>
  <c r="CD89" i="11"/>
  <c r="BV89" i="11"/>
  <c r="BT89" i="11"/>
  <c r="BS89" i="11"/>
  <c r="BR89" i="11"/>
  <c r="BK89" i="11"/>
  <c r="BJ89" i="11"/>
  <c r="BI89" i="11"/>
  <c r="BH89" i="11"/>
  <c r="BG89" i="11"/>
  <c r="BF89" i="11"/>
  <c r="BE89" i="11"/>
  <c r="BD89" i="11"/>
  <c r="BC89" i="11"/>
  <c r="BB89" i="11"/>
  <c r="BA89" i="11"/>
  <c r="AZ89" i="11"/>
  <c r="AY89" i="11"/>
  <c r="AX89" i="11"/>
  <c r="AU89" i="11"/>
  <c r="AT89" i="11"/>
  <c r="AS89" i="11"/>
  <c r="CM88" i="11"/>
  <c r="CF88" i="11"/>
  <c r="CE88" i="11"/>
  <c r="CD88" i="11"/>
  <c r="BV88" i="11"/>
  <c r="BT88" i="11"/>
  <c r="BS88" i="11"/>
  <c r="BR88" i="11"/>
  <c r="BK88" i="11"/>
  <c r="BJ88" i="11"/>
  <c r="BI88" i="11"/>
  <c r="BH88" i="11"/>
  <c r="BG88" i="11"/>
  <c r="BF88" i="11"/>
  <c r="BE88" i="11"/>
  <c r="BD88" i="11"/>
  <c r="BC88" i="11"/>
  <c r="BB88" i="11"/>
  <c r="BA88" i="11"/>
  <c r="AZ88" i="11"/>
  <c r="AY88" i="11"/>
  <c r="AX88" i="11"/>
  <c r="AU88" i="11"/>
  <c r="AT88" i="11"/>
  <c r="AS88" i="11"/>
  <c r="CM86" i="11"/>
  <c r="CF86" i="11"/>
  <c r="CE86" i="11"/>
  <c r="CD86" i="11"/>
  <c r="BV86" i="11"/>
  <c r="BT86" i="11"/>
  <c r="BS86" i="11"/>
  <c r="BR86" i="11"/>
  <c r="BK86" i="11"/>
  <c r="BJ86" i="11"/>
  <c r="BI86" i="11"/>
  <c r="BH86" i="11"/>
  <c r="BG86" i="11"/>
  <c r="BF86" i="11"/>
  <c r="BE86" i="11"/>
  <c r="BD86" i="11"/>
  <c r="BC86" i="11"/>
  <c r="BB86" i="11"/>
  <c r="BA86" i="11"/>
  <c r="AZ86" i="11"/>
  <c r="AY86" i="11"/>
  <c r="AX86" i="11"/>
  <c r="AU86" i="11"/>
  <c r="AT86" i="11"/>
  <c r="AS86" i="11"/>
  <c r="CM82" i="11"/>
  <c r="CF82" i="11"/>
  <c r="CE82" i="11"/>
  <c r="CD82" i="11"/>
  <c r="BV82" i="11"/>
  <c r="BT82" i="11"/>
  <c r="BS82" i="11"/>
  <c r="BR82" i="11"/>
  <c r="BK82" i="11"/>
  <c r="BJ82" i="11"/>
  <c r="BI82" i="11"/>
  <c r="BH82" i="11"/>
  <c r="BG82" i="11"/>
  <c r="BF82" i="11"/>
  <c r="BE82" i="11"/>
  <c r="BD82" i="11"/>
  <c r="BC82" i="11"/>
  <c r="BB82" i="11"/>
  <c r="BA82" i="11"/>
  <c r="AZ82" i="11"/>
  <c r="AY82" i="11"/>
  <c r="AX82" i="11"/>
  <c r="AU82" i="11"/>
  <c r="AT82" i="11"/>
  <c r="AS82" i="11"/>
  <c r="CM81" i="11"/>
  <c r="CF81" i="11"/>
  <c r="CE81" i="11"/>
  <c r="CD81" i="11"/>
  <c r="BV81" i="11"/>
  <c r="BT81" i="11"/>
  <c r="BS81" i="11"/>
  <c r="BR81" i="11"/>
  <c r="BK81" i="11"/>
  <c r="BJ81" i="11"/>
  <c r="BI81" i="11"/>
  <c r="BH81" i="11"/>
  <c r="BG81" i="11"/>
  <c r="BF81" i="11"/>
  <c r="BE81" i="11"/>
  <c r="BD81" i="11"/>
  <c r="BC81" i="11"/>
  <c r="BB81" i="11"/>
  <c r="BA81" i="11"/>
  <c r="AZ81" i="11"/>
  <c r="AY81" i="11"/>
  <c r="AX81" i="11"/>
  <c r="AU81" i="11"/>
  <c r="AT81" i="11"/>
  <c r="AS81" i="11"/>
  <c r="CM80" i="11"/>
  <c r="CF80" i="11"/>
  <c r="CE80" i="11"/>
  <c r="CD80" i="11"/>
  <c r="BV80" i="11"/>
  <c r="BT80" i="11"/>
  <c r="BS80" i="11"/>
  <c r="BR80" i="11"/>
  <c r="BK80" i="11"/>
  <c r="BJ80" i="11"/>
  <c r="BI80" i="11"/>
  <c r="BH80" i="11"/>
  <c r="BG80" i="11"/>
  <c r="BF80" i="11"/>
  <c r="BE80" i="11"/>
  <c r="BD80" i="11"/>
  <c r="BC80" i="11"/>
  <c r="BB80" i="11"/>
  <c r="BA80" i="11"/>
  <c r="AZ80" i="11"/>
  <c r="AY80" i="11"/>
  <c r="AX80" i="11"/>
  <c r="AU80" i="11"/>
  <c r="AT80" i="11"/>
  <c r="AS80" i="11"/>
  <c r="CM79" i="11"/>
  <c r="CF79" i="11"/>
  <c r="CE79" i="11"/>
  <c r="CD79" i="11"/>
  <c r="BV79" i="11"/>
  <c r="BT79" i="11"/>
  <c r="BS79" i="11"/>
  <c r="BR79" i="11"/>
  <c r="BK79" i="11"/>
  <c r="BJ79" i="11"/>
  <c r="BI79" i="11"/>
  <c r="BH79" i="11"/>
  <c r="BG79" i="11"/>
  <c r="BF79" i="11"/>
  <c r="BE79" i="11"/>
  <c r="BD79" i="11"/>
  <c r="BC79" i="11"/>
  <c r="BB79" i="11"/>
  <c r="BA79" i="11"/>
  <c r="AZ79" i="11"/>
  <c r="AY79" i="11"/>
  <c r="AX79" i="11"/>
  <c r="AU79" i="11"/>
  <c r="AT79" i="11"/>
  <c r="AS79" i="11"/>
  <c r="CM78" i="11"/>
  <c r="CF78" i="11"/>
  <c r="CE78" i="11"/>
  <c r="CD78" i="11"/>
  <c r="BV78" i="11"/>
  <c r="BT78" i="11"/>
  <c r="BS78" i="11"/>
  <c r="BR78" i="11"/>
  <c r="BK78" i="11"/>
  <c r="BJ78" i="11"/>
  <c r="BI78" i="11"/>
  <c r="BH78" i="11"/>
  <c r="BG78" i="11"/>
  <c r="BF78" i="11"/>
  <c r="BE78" i="11"/>
  <c r="BD78" i="11"/>
  <c r="BC78" i="11"/>
  <c r="BB78" i="11"/>
  <c r="BA78" i="11"/>
  <c r="AZ78" i="11"/>
  <c r="AY78" i="11"/>
  <c r="AX78" i="11"/>
  <c r="AU78" i="11"/>
  <c r="AT78" i="11"/>
  <c r="AS78" i="11"/>
  <c r="CM77" i="11"/>
  <c r="CF77" i="11"/>
  <c r="CE77" i="11"/>
  <c r="CD77" i="11"/>
  <c r="BV77" i="11"/>
  <c r="BT77" i="11"/>
  <c r="BS77" i="11"/>
  <c r="BR77" i="11"/>
  <c r="BK77" i="11"/>
  <c r="BJ77" i="11"/>
  <c r="BI77" i="11"/>
  <c r="BH77" i="11"/>
  <c r="BG77" i="11"/>
  <c r="BF77" i="11"/>
  <c r="BE77" i="11"/>
  <c r="BD77" i="11"/>
  <c r="BC77" i="11"/>
  <c r="BB77" i="11"/>
  <c r="BA77" i="11"/>
  <c r="AZ77" i="11"/>
  <c r="AY77" i="11"/>
  <c r="AX77" i="11"/>
  <c r="AU77" i="11"/>
  <c r="AT77" i="11"/>
  <c r="AS77" i="11"/>
  <c r="CM76" i="11"/>
  <c r="CI76" i="11"/>
  <c r="CH76" i="11"/>
  <c r="CG76" i="11"/>
  <c r="CF76" i="11"/>
  <c r="CE76" i="11"/>
  <c r="CD76" i="11"/>
  <c r="BV76" i="11"/>
  <c r="BT76" i="11"/>
  <c r="BS76" i="11"/>
  <c r="BR76" i="11"/>
  <c r="BK76" i="11"/>
  <c r="BJ76" i="11"/>
  <c r="BI76" i="11"/>
  <c r="BH76" i="11"/>
  <c r="BG76" i="11"/>
  <c r="BF76" i="11"/>
  <c r="BE76" i="11"/>
  <c r="BD76" i="11"/>
  <c r="BC76" i="11"/>
  <c r="BB76" i="11"/>
  <c r="BA76" i="11"/>
  <c r="AZ76" i="11"/>
  <c r="AY76" i="11"/>
  <c r="AX76" i="11"/>
  <c r="AU76" i="11"/>
  <c r="AT76" i="11"/>
  <c r="AS76" i="11"/>
  <c r="CM75" i="11"/>
  <c r="CF75" i="11"/>
  <c r="CE75" i="11"/>
  <c r="CD75" i="11"/>
  <c r="BV75" i="11"/>
  <c r="BT75" i="11"/>
  <c r="BS75" i="11"/>
  <c r="BR75" i="11"/>
  <c r="BK75" i="11"/>
  <c r="BJ75" i="11"/>
  <c r="BI75" i="11"/>
  <c r="BH75" i="11"/>
  <c r="BG75" i="11"/>
  <c r="BF75" i="11"/>
  <c r="BE75" i="11"/>
  <c r="BD75" i="11"/>
  <c r="BC75" i="11"/>
  <c r="BB75" i="11"/>
  <c r="BA75" i="11"/>
  <c r="AZ75" i="11"/>
  <c r="AY75" i="11"/>
  <c r="AX75" i="11"/>
  <c r="AU75" i="11"/>
  <c r="AT75" i="11"/>
  <c r="AS75" i="11"/>
  <c r="CM74" i="11"/>
  <c r="CF74" i="11"/>
  <c r="CE74" i="11"/>
  <c r="CD74" i="11"/>
  <c r="BV74" i="11"/>
  <c r="BT74" i="11"/>
  <c r="BS74" i="11"/>
  <c r="BR74" i="11"/>
  <c r="BK74" i="11"/>
  <c r="BJ74" i="11"/>
  <c r="BI74" i="11"/>
  <c r="BH74" i="11"/>
  <c r="BG74" i="11"/>
  <c r="BF74" i="11"/>
  <c r="BE74" i="11"/>
  <c r="BD74" i="11"/>
  <c r="BC74" i="11"/>
  <c r="BB74" i="11"/>
  <c r="BA74" i="11"/>
  <c r="AZ74" i="11"/>
  <c r="AY74" i="11"/>
  <c r="AX74" i="11"/>
  <c r="AU74" i="11"/>
  <c r="AT74" i="11"/>
  <c r="AS74" i="11"/>
  <c r="CM73" i="11"/>
  <c r="CF73" i="11"/>
  <c r="CE73" i="11"/>
  <c r="CD73" i="11"/>
  <c r="BV73" i="11"/>
  <c r="BT73" i="11"/>
  <c r="BS73" i="11"/>
  <c r="BR73" i="11"/>
  <c r="BK73" i="11"/>
  <c r="BJ73" i="11"/>
  <c r="BI73" i="11"/>
  <c r="BH73" i="11"/>
  <c r="BG73" i="11"/>
  <c r="BF73" i="11"/>
  <c r="BE73" i="11"/>
  <c r="BD73" i="11"/>
  <c r="BC73" i="11"/>
  <c r="BB73" i="11"/>
  <c r="BA73" i="11"/>
  <c r="AZ73" i="11"/>
  <c r="AY73" i="11"/>
  <c r="AX73" i="11"/>
  <c r="AU73" i="11"/>
  <c r="AT73" i="11"/>
  <c r="AS73" i="11"/>
  <c r="CM72" i="11"/>
  <c r="CF72" i="11"/>
  <c r="CE72" i="11"/>
  <c r="CD72" i="11"/>
  <c r="BV72" i="11"/>
  <c r="BT72" i="11"/>
  <c r="BS72" i="11"/>
  <c r="BR72" i="11"/>
  <c r="BK72" i="11"/>
  <c r="BJ72" i="11"/>
  <c r="BI72" i="11"/>
  <c r="BH72" i="11"/>
  <c r="BG72" i="11"/>
  <c r="BF72" i="11"/>
  <c r="BE72" i="11"/>
  <c r="BD72" i="11"/>
  <c r="BC72" i="11"/>
  <c r="BB72" i="11"/>
  <c r="BA72" i="11"/>
  <c r="AZ72" i="11"/>
  <c r="AY72" i="11"/>
  <c r="AX72" i="11"/>
  <c r="AU72" i="11"/>
  <c r="AT72" i="11"/>
  <c r="AS72" i="11"/>
  <c r="CM71" i="11"/>
  <c r="CF71" i="11"/>
  <c r="CE71" i="11"/>
  <c r="CD71" i="11"/>
  <c r="BV71" i="11"/>
  <c r="BT71" i="11"/>
  <c r="BS71" i="11"/>
  <c r="BR71" i="11"/>
  <c r="BK71" i="11"/>
  <c r="BJ71" i="11"/>
  <c r="BI71" i="11"/>
  <c r="BH71" i="11"/>
  <c r="BG71" i="11"/>
  <c r="BF71" i="11"/>
  <c r="BE71" i="11"/>
  <c r="BD71" i="11"/>
  <c r="BC71" i="11"/>
  <c r="BB71" i="11"/>
  <c r="BA71" i="11"/>
  <c r="AZ71" i="11"/>
  <c r="AY71" i="11"/>
  <c r="AX71" i="11"/>
  <c r="AU71" i="11"/>
  <c r="AT71" i="11"/>
  <c r="AS71" i="11"/>
  <c r="CM70" i="11"/>
  <c r="CF70" i="11"/>
  <c r="CE70" i="11"/>
  <c r="CD70" i="11"/>
  <c r="BV70" i="11"/>
  <c r="BT70" i="11"/>
  <c r="BS70" i="11"/>
  <c r="BR70" i="11"/>
  <c r="BK70" i="11"/>
  <c r="BJ70" i="11"/>
  <c r="BI70" i="11"/>
  <c r="BH70" i="11"/>
  <c r="BG70" i="11"/>
  <c r="BF70" i="11"/>
  <c r="BE70" i="11"/>
  <c r="BD70" i="11"/>
  <c r="BC70" i="11"/>
  <c r="BB70" i="11"/>
  <c r="BA70" i="11"/>
  <c r="AZ70" i="11"/>
  <c r="AY70" i="11"/>
  <c r="AX70" i="11"/>
  <c r="AU70" i="11"/>
  <c r="AT70" i="11"/>
  <c r="AS70" i="11"/>
  <c r="CM69" i="11"/>
  <c r="CF69" i="11"/>
  <c r="CE69" i="11"/>
  <c r="CD69" i="11"/>
  <c r="BV69" i="11"/>
  <c r="BT69" i="11"/>
  <c r="BS69" i="11"/>
  <c r="BR69" i="11"/>
  <c r="BK69" i="11"/>
  <c r="BJ69" i="11"/>
  <c r="BI69" i="11"/>
  <c r="BH69" i="11"/>
  <c r="BG69" i="11"/>
  <c r="BF69" i="11"/>
  <c r="BE69" i="11"/>
  <c r="BD69" i="11"/>
  <c r="BC69" i="11"/>
  <c r="BB69" i="11"/>
  <c r="BA69" i="11"/>
  <c r="AZ69" i="11"/>
  <c r="AY69" i="11"/>
  <c r="AX69" i="11"/>
  <c r="AU69" i="11"/>
  <c r="AT69" i="11"/>
  <c r="AS69" i="11"/>
  <c r="CM68" i="11"/>
  <c r="CF68" i="11"/>
  <c r="CE68" i="11"/>
  <c r="CD68" i="11"/>
  <c r="BV68" i="11"/>
  <c r="BT68" i="11"/>
  <c r="BS68" i="11"/>
  <c r="BR68" i="11"/>
  <c r="BK68" i="11"/>
  <c r="BJ68" i="11"/>
  <c r="BI68" i="11"/>
  <c r="BH68" i="11"/>
  <c r="BG68" i="11"/>
  <c r="BF68" i="11"/>
  <c r="BE68" i="11"/>
  <c r="BD68" i="11"/>
  <c r="BC68" i="11"/>
  <c r="BB68" i="11"/>
  <c r="BA68" i="11"/>
  <c r="AZ68" i="11"/>
  <c r="AY68" i="11"/>
  <c r="AX68" i="11"/>
  <c r="AU68" i="11"/>
  <c r="AT68" i="11"/>
  <c r="AS68" i="11"/>
  <c r="CM67" i="11"/>
  <c r="CF67" i="11"/>
  <c r="CE67" i="11"/>
  <c r="CD67" i="11"/>
  <c r="BV67" i="11"/>
  <c r="BT67" i="11"/>
  <c r="BS67" i="11"/>
  <c r="BR67" i="11"/>
  <c r="BK67" i="11"/>
  <c r="BJ67" i="11"/>
  <c r="BI67" i="11"/>
  <c r="BH67" i="11"/>
  <c r="BG67" i="11"/>
  <c r="BF67" i="11"/>
  <c r="BE67" i="11"/>
  <c r="BD67" i="11"/>
  <c r="BC67" i="11"/>
  <c r="BB67" i="11"/>
  <c r="BA67" i="11"/>
  <c r="AZ67" i="11"/>
  <c r="AY67" i="11"/>
  <c r="AX67" i="11"/>
  <c r="AU67" i="11"/>
  <c r="AT67" i="11"/>
  <c r="AS67" i="11"/>
  <c r="CM66" i="11"/>
  <c r="CF66" i="11"/>
  <c r="CE66" i="11"/>
  <c r="CD66" i="11"/>
  <c r="BV66" i="11"/>
  <c r="BT66" i="11"/>
  <c r="BS66" i="11"/>
  <c r="BR66" i="11"/>
  <c r="BK66" i="11"/>
  <c r="BJ66" i="11"/>
  <c r="BI66" i="11"/>
  <c r="BH66" i="11"/>
  <c r="BG66" i="11"/>
  <c r="BF66" i="11"/>
  <c r="BE66" i="11"/>
  <c r="BD66" i="11"/>
  <c r="BC66" i="11"/>
  <c r="BB66" i="11"/>
  <c r="BA66" i="11"/>
  <c r="AZ66" i="11"/>
  <c r="AY66" i="11"/>
  <c r="AX66" i="11"/>
  <c r="AU66" i="11"/>
  <c r="AT66" i="11"/>
  <c r="AS66" i="11"/>
  <c r="CM65" i="11"/>
  <c r="CF65" i="11"/>
  <c r="CE65" i="11"/>
  <c r="CD65" i="11"/>
  <c r="BV65" i="11"/>
  <c r="BT65" i="11"/>
  <c r="BS65" i="11"/>
  <c r="BR65" i="11"/>
  <c r="BK65" i="11"/>
  <c r="BJ65" i="11"/>
  <c r="BI65" i="11"/>
  <c r="BH65" i="11"/>
  <c r="BG65" i="11"/>
  <c r="BF65" i="11"/>
  <c r="BE65" i="11"/>
  <c r="BD65" i="11"/>
  <c r="BC65" i="11"/>
  <c r="BB65" i="11"/>
  <c r="BA65" i="11"/>
  <c r="AZ65" i="11"/>
  <c r="AY65" i="11"/>
  <c r="AX65" i="11"/>
  <c r="AU65" i="11"/>
  <c r="AT65" i="11"/>
  <c r="AS65" i="11"/>
  <c r="CM64" i="11"/>
  <c r="CF64" i="11"/>
  <c r="CE64" i="11"/>
  <c r="CD64" i="11"/>
  <c r="BV64" i="11"/>
  <c r="BT64" i="11"/>
  <c r="BS64" i="11"/>
  <c r="BR64" i="11"/>
  <c r="BK64" i="11"/>
  <c r="BJ64" i="11"/>
  <c r="BI64" i="11"/>
  <c r="BH64" i="11"/>
  <c r="BG64" i="11"/>
  <c r="BF64" i="11"/>
  <c r="BE64" i="11"/>
  <c r="BD64" i="11"/>
  <c r="BC64" i="11"/>
  <c r="BB64" i="11"/>
  <c r="BA64" i="11"/>
  <c r="AZ64" i="11"/>
  <c r="AY64" i="11"/>
  <c r="AX64" i="11"/>
  <c r="AU64" i="11"/>
  <c r="AT64" i="11"/>
  <c r="AS64" i="11"/>
  <c r="CM63" i="11"/>
  <c r="CF63" i="11"/>
  <c r="CE63" i="11"/>
  <c r="CD63" i="11"/>
  <c r="BV63" i="11"/>
  <c r="BT63" i="11"/>
  <c r="BS63" i="11"/>
  <c r="BR63" i="11"/>
  <c r="BK63" i="11"/>
  <c r="BJ63" i="11"/>
  <c r="BI63" i="11"/>
  <c r="BH63" i="11"/>
  <c r="BG63" i="11"/>
  <c r="BF63" i="11"/>
  <c r="BE63" i="11"/>
  <c r="BD63" i="11"/>
  <c r="BC63" i="11"/>
  <c r="BB63" i="11"/>
  <c r="BA63" i="11"/>
  <c r="AZ63" i="11"/>
  <c r="AY63" i="11"/>
  <c r="AX63" i="11"/>
  <c r="AU63" i="11"/>
  <c r="AT63" i="11"/>
  <c r="AS63" i="11"/>
  <c r="CM62" i="11"/>
  <c r="CF62" i="11"/>
  <c r="CE62" i="11"/>
  <c r="CD62" i="11"/>
  <c r="BV62" i="11"/>
  <c r="BT62" i="11"/>
  <c r="BS62" i="11"/>
  <c r="BR62" i="11"/>
  <c r="BK62" i="11"/>
  <c r="BJ62" i="11"/>
  <c r="BI62" i="11"/>
  <c r="BH62" i="11"/>
  <c r="BG62" i="11"/>
  <c r="BF62" i="11"/>
  <c r="BE62" i="11"/>
  <c r="BD62" i="11"/>
  <c r="BC62" i="11"/>
  <c r="BB62" i="11"/>
  <c r="BA62" i="11"/>
  <c r="AZ62" i="11"/>
  <c r="AY62" i="11"/>
  <c r="AX62" i="11"/>
  <c r="AU62" i="11"/>
  <c r="AT62" i="11"/>
  <c r="AS62" i="11"/>
  <c r="CM61" i="11"/>
  <c r="CF61" i="11"/>
  <c r="CE61" i="11"/>
  <c r="CD61" i="11"/>
  <c r="BV61" i="11"/>
  <c r="BT61" i="11"/>
  <c r="BS61" i="11"/>
  <c r="BR61" i="11"/>
  <c r="BK61" i="11"/>
  <c r="BJ61" i="11"/>
  <c r="BI61" i="11"/>
  <c r="BH61" i="11"/>
  <c r="BG61" i="11"/>
  <c r="BF61" i="11"/>
  <c r="BE61" i="11"/>
  <c r="BD61" i="11"/>
  <c r="BC61" i="11"/>
  <c r="BB61" i="11"/>
  <c r="BA61" i="11"/>
  <c r="AZ61" i="11"/>
  <c r="AY61" i="11"/>
  <c r="AX61" i="11"/>
  <c r="AU61" i="11"/>
  <c r="AT61" i="11"/>
  <c r="AS61" i="11"/>
  <c r="CM60" i="11"/>
  <c r="CF60" i="11"/>
  <c r="CE60" i="11"/>
  <c r="CD60" i="11"/>
  <c r="BV60" i="11"/>
  <c r="BT60" i="11"/>
  <c r="BS60" i="11"/>
  <c r="BR60" i="11"/>
  <c r="BK60" i="11"/>
  <c r="BJ60" i="11"/>
  <c r="BI60" i="11"/>
  <c r="BH60" i="11"/>
  <c r="BG60" i="11"/>
  <c r="BF60" i="11"/>
  <c r="BE60" i="11"/>
  <c r="BD60" i="11"/>
  <c r="BC60" i="11"/>
  <c r="BB60" i="11"/>
  <c r="BA60" i="11"/>
  <c r="AZ60" i="11"/>
  <c r="AY60" i="11"/>
  <c r="AX60" i="11"/>
  <c r="AU60" i="11"/>
  <c r="AT60" i="11"/>
  <c r="AS60" i="11"/>
  <c r="CM59" i="11"/>
  <c r="CF59" i="11"/>
  <c r="CE59" i="11"/>
  <c r="CD59" i="11"/>
  <c r="BV59" i="11"/>
  <c r="BT59" i="11"/>
  <c r="BS59" i="11"/>
  <c r="BR59" i="11"/>
  <c r="BK59" i="11"/>
  <c r="BJ59" i="11"/>
  <c r="BI59" i="11"/>
  <c r="BH59" i="11"/>
  <c r="BG59" i="11"/>
  <c r="BF59" i="11"/>
  <c r="BE59" i="11"/>
  <c r="BD59" i="11"/>
  <c r="BC59" i="11"/>
  <c r="BB59" i="11"/>
  <c r="BA59" i="11"/>
  <c r="AZ59" i="11"/>
  <c r="AY59" i="11"/>
  <c r="AX59" i="11"/>
  <c r="AU59" i="11"/>
  <c r="AT59" i="11"/>
  <c r="AS59" i="11"/>
  <c r="CM58" i="11"/>
  <c r="CF58" i="11"/>
  <c r="CE58" i="11"/>
  <c r="CD58" i="11"/>
  <c r="BV58" i="11"/>
  <c r="BT58" i="11"/>
  <c r="BS58" i="11"/>
  <c r="BR58" i="11"/>
  <c r="BK58" i="11"/>
  <c r="BJ58" i="11"/>
  <c r="BI58" i="11"/>
  <c r="BH58" i="11"/>
  <c r="BG58" i="11"/>
  <c r="BF58" i="11"/>
  <c r="BE58" i="11"/>
  <c r="BD58" i="11"/>
  <c r="BC58" i="11"/>
  <c r="BB58" i="11"/>
  <c r="BA58" i="11"/>
  <c r="AZ58" i="11"/>
  <c r="AY58" i="11"/>
  <c r="AX58" i="11"/>
  <c r="AU58" i="11"/>
  <c r="AT58" i="11"/>
  <c r="AS58" i="11"/>
  <c r="CM57" i="11"/>
  <c r="CF57" i="11"/>
  <c r="CE57" i="11"/>
  <c r="CD57" i="11"/>
  <c r="BV57" i="11"/>
  <c r="BT57" i="11"/>
  <c r="BS57" i="11"/>
  <c r="BR57" i="11"/>
  <c r="BK57" i="11"/>
  <c r="BJ57" i="11"/>
  <c r="BI57" i="11"/>
  <c r="BH57" i="11"/>
  <c r="BG57" i="11"/>
  <c r="BF57" i="11"/>
  <c r="BE57" i="11"/>
  <c r="BD57" i="11"/>
  <c r="BC57" i="11"/>
  <c r="BB57" i="11"/>
  <c r="BA57" i="11"/>
  <c r="AZ57" i="11"/>
  <c r="AY57" i="11"/>
  <c r="AX57" i="11"/>
  <c r="AU57" i="11"/>
  <c r="AT57" i="11"/>
  <c r="AS57" i="11"/>
  <c r="CM126" i="11"/>
  <c r="CI126" i="11"/>
  <c r="CH126" i="11"/>
  <c r="CG126" i="11"/>
  <c r="CF126" i="11"/>
  <c r="CE126" i="11"/>
  <c r="CD126" i="11"/>
  <c r="BV126" i="11"/>
  <c r="BT126" i="11"/>
  <c r="BS126" i="11"/>
  <c r="BR126" i="11"/>
  <c r="BK126" i="11"/>
  <c r="BJ126" i="11"/>
  <c r="BI126" i="11"/>
  <c r="BH126" i="11"/>
  <c r="BG126" i="11"/>
  <c r="BF126" i="11"/>
  <c r="BE126" i="11"/>
  <c r="BD126" i="11"/>
  <c r="BC126" i="11"/>
  <c r="BB126" i="11"/>
  <c r="BA126" i="11"/>
  <c r="AZ126" i="11"/>
  <c r="AY126" i="11"/>
  <c r="AX126" i="11"/>
  <c r="AU126" i="11"/>
  <c r="AT126" i="11"/>
  <c r="AS126" i="11"/>
  <c r="CM124" i="11"/>
  <c r="CI124" i="11"/>
  <c r="CH124" i="11"/>
  <c r="CF124" i="11"/>
  <c r="CE124" i="11"/>
  <c r="CD124" i="11"/>
  <c r="BV124" i="11"/>
  <c r="BT124" i="11"/>
  <c r="BS124" i="11"/>
  <c r="BR124" i="11"/>
  <c r="BK124" i="11"/>
  <c r="BJ124" i="11"/>
  <c r="BI124" i="11"/>
  <c r="BH124" i="11"/>
  <c r="BG124" i="11"/>
  <c r="BF124" i="11"/>
  <c r="BE124" i="11"/>
  <c r="BD124" i="11"/>
  <c r="BC124" i="11"/>
  <c r="BB124" i="11"/>
  <c r="BA124" i="11"/>
  <c r="AZ124" i="11"/>
  <c r="AY124" i="11"/>
  <c r="AX124" i="11"/>
  <c r="AU124" i="11"/>
  <c r="AT124" i="11"/>
  <c r="AS124" i="11"/>
  <c r="CM125" i="11"/>
  <c r="CI125" i="11"/>
  <c r="CH125" i="11"/>
  <c r="CF125" i="11"/>
  <c r="CE125" i="11"/>
  <c r="CD125" i="11"/>
  <c r="BV125" i="11"/>
  <c r="BT125" i="11"/>
  <c r="BS125" i="11"/>
  <c r="BR125" i="11"/>
  <c r="BK125" i="11"/>
  <c r="BJ125" i="11"/>
  <c r="BI125" i="11"/>
  <c r="BH125" i="11"/>
  <c r="BG125" i="11"/>
  <c r="BF125" i="11"/>
  <c r="BE125" i="11"/>
  <c r="BD125" i="11"/>
  <c r="BC125" i="11"/>
  <c r="BB125" i="11"/>
  <c r="BA125" i="11"/>
  <c r="AZ125" i="11"/>
  <c r="AY125" i="11"/>
  <c r="AX125" i="11"/>
  <c r="AU125" i="11"/>
  <c r="AT125" i="11"/>
  <c r="AS125" i="11"/>
  <c r="CM123" i="11"/>
  <c r="CI123" i="11"/>
  <c r="CH123" i="11"/>
  <c r="CF123" i="11"/>
  <c r="CE123" i="11"/>
  <c r="CD123" i="11"/>
  <c r="BV123" i="11"/>
  <c r="BT123" i="11"/>
  <c r="BS123" i="11"/>
  <c r="BR123" i="11"/>
  <c r="BK123" i="11"/>
  <c r="BJ123" i="11"/>
  <c r="BI123" i="11"/>
  <c r="BH123" i="11"/>
  <c r="BG123" i="11"/>
  <c r="BF123" i="11"/>
  <c r="BE123" i="11"/>
  <c r="BD123" i="11"/>
  <c r="BC123" i="11"/>
  <c r="BB123" i="11"/>
  <c r="BA123" i="11"/>
  <c r="AZ123" i="11"/>
  <c r="AY123" i="11"/>
  <c r="AX123" i="11"/>
  <c r="AU123" i="11"/>
  <c r="AT123" i="11"/>
  <c r="AS123" i="11"/>
  <c r="CM122" i="11"/>
  <c r="CI122" i="11"/>
  <c r="CH122" i="11"/>
  <c r="CF122" i="11"/>
  <c r="CE122" i="11"/>
  <c r="CD122" i="11"/>
  <c r="BV122" i="11"/>
  <c r="BT122" i="11"/>
  <c r="BS122" i="11"/>
  <c r="BR122" i="11"/>
  <c r="BK122" i="11"/>
  <c r="BJ122" i="11"/>
  <c r="BI122" i="11"/>
  <c r="BH122" i="11"/>
  <c r="BG122" i="11"/>
  <c r="BF122" i="11"/>
  <c r="BE122" i="11"/>
  <c r="BD122" i="11"/>
  <c r="BC122" i="11"/>
  <c r="BB122" i="11"/>
  <c r="BA122" i="11"/>
  <c r="AZ122" i="11"/>
  <c r="AY122" i="11"/>
  <c r="AX122" i="11"/>
  <c r="AU122" i="11"/>
  <c r="AT122" i="11"/>
  <c r="AS122" i="11"/>
  <c r="CM121" i="11"/>
  <c r="CI121" i="11"/>
  <c r="CH121" i="11"/>
  <c r="CF121" i="11"/>
  <c r="CE121" i="11"/>
  <c r="CD121" i="11"/>
  <c r="BV121" i="11"/>
  <c r="BT121" i="11"/>
  <c r="BS121" i="11"/>
  <c r="BR121" i="11"/>
  <c r="BK121" i="11"/>
  <c r="BJ121" i="11"/>
  <c r="BI121" i="11"/>
  <c r="BH121" i="11"/>
  <c r="BG121" i="11"/>
  <c r="BF121" i="11"/>
  <c r="BE121" i="11"/>
  <c r="BD121" i="11"/>
  <c r="BC121" i="11"/>
  <c r="BB121" i="11"/>
  <c r="BA121" i="11"/>
  <c r="AZ121" i="11"/>
  <c r="AY121" i="11"/>
  <c r="AX121" i="11"/>
  <c r="AU121" i="11"/>
  <c r="AT121" i="11"/>
  <c r="AS121" i="11"/>
  <c r="CM120" i="11"/>
  <c r="CI120" i="11"/>
  <c r="CH120" i="11"/>
  <c r="CF120" i="11"/>
  <c r="CE120" i="11"/>
  <c r="CD120" i="11"/>
  <c r="BV120" i="11"/>
  <c r="BT120" i="11"/>
  <c r="BS120" i="11"/>
  <c r="BR120" i="11"/>
  <c r="BK120" i="11"/>
  <c r="BJ120" i="11"/>
  <c r="BI120" i="11"/>
  <c r="BH120" i="11"/>
  <c r="BG120" i="11"/>
  <c r="BF120" i="11"/>
  <c r="BE120" i="11"/>
  <c r="BD120" i="11"/>
  <c r="BC120" i="11"/>
  <c r="BB120" i="11"/>
  <c r="BA120" i="11"/>
  <c r="AZ120" i="11"/>
  <c r="AY120" i="11"/>
  <c r="AX120" i="11"/>
  <c r="AU120" i="11"/>
  <c r="AT120" i="11"/>
  <c r="AS120" i="11"/>
  <c r="CM119" i="11"/>
  <c r="CI119" i="11"/>
  <c r="CH119" i="11"/>
  <c r="CF119" i="11"/>
  <c r="CE119" i="11"/>
  <c r="CD119" i="11"/>
  <c r="BV119" i="11"/>
  <c r="BT119" i="11"/>
  <c r="BS119" i="11"/>
  <c r="BR119" i="11"/>
  <c r="BK119" i="11"/>
  <c r="BJ119" i="11"/>
  <c r="BI119" i="11"/>
  <c r="BH119" i="11"/>
  <c r="BG119" i="11"/>
  <c r="BF119" i="11"/>
  <c r="BE119" i="11"/>
  <c r="BD119" i="11"/>
  <c r="BC119" i="11"/>
  <c r="BB119" i="11"/>
  <c r="BA119" i="11"/>
  <c r="AZ119" i="11"/>
  <c r="AY119" i="11"/>
  <c r="AX119" i="11"/>
  <c r="AU119" i="11"/>
  <c r="AT119" i="11"/>
  <c r="AS119" i="11"/>
  <c r="CM118" i="11"/>
  <c r="CI118" i="11"/>
  <c r="CH118" i="11"/>
  <c r="CF118" i="11"/>
  <c r="CE118" i="11"/>
  <c r="CD118" i="11"/>
  <c r="BV118" i="11"/>
  <c r="BT118" i="11"/>
  <c r="BS118" i="11"/>
  <c r="BR118" i="11"/>
  <c r="BK118" i="11"/>
  <c r="BJ118" i="11"/>
  <c r="BI118" i="11"/>
  <c r="BH118" i="11"/>
  <c r="BG118" i="11"/>
  <c r="BF118" i="11"/>
  <c r="BE118" i="11"/>
  <c r="BD118" i="11"/>
  <c r="BC118" i="11"/>
  <c r="BB118" i="11"/>
  <c r="BA118" i="11"/>
  <c r="AZ118" i="11"/>
  <c r="AY118" i="11"/>
  <c r="AX118" i="11"/>
  <c r="AU118" i="11"/>
  <c r="AT118" i="11"/>
  <c r="AS118" i="11"/>
  <c r="CM117" i="11"/>
  <c r="CI117" i="11"/>
  <c r="CH117" i="11"/>
  <c r="CG117" i="11"/>
  <c r="CF117" i="11"/>
  <c r="CE117" i="11"/>
  <c r="CD117" i="11"/>
  <c r="BV117" i="11"/>
  <c r="BT117" i="11"/>
  <c r="BS117" i="11"/>
  <c r="BR117" i="11"/>
  <c r="BK117" i="11"/>
  <c r="BJ117" i="11"/>
  <c r="BI117" i="11"/>
  <c r="BH117" i="11"/>
  <c r="BG117" i="11"/>
  <c r="BF117" i="11"/>
  <c r="BE117" i="11"/>
  <c r="BD117" i="11"/>
  <c r="BC117" i="11"/>
  <c r="BB117" i="11"/>
  <c r="BA117" i="11"/>
  <c r="AZ117" i="11"/>
  <c r="AY117" i="11"/>
  <c r="AX117" i="11"/>
  <c r="AU117" i="11"/>
  <c r="AT117" i="11"/>
  <c r="AS117" i="11"/>
  <c r="CM116" i="11"/>
  <c r="CF116" i="11"/>
  <c r="CE116" i="11"/>
  <c r="CD116" i="11"/>
  <c r="BV116" i="11"/>
  <c r="BT116" i="11"/>
  <c r="BS116" i="11"/>
  <c r="BR116" i="11"/>
  <c r="BK116" i="11"/>
  <c r="BJ116" i="11"/>
  <c r="BI116" i="11"/>
  <c r="BH116" i="11"/>
  <c r="BG116" i="11"/>
  <c r="BF116" i="11"/>
  <c r="BE116" i="11"/>
  <c r="BD116" i="11"/>
  <c r="BC116" i="11"/>
  <c r="BB116" i="11"/>
  <c r="BA116" i="11"/>
  <c r="AZ116" i="11"/>
  <c r="AY116" i="11"/>
  <c r="AX116" i="11"/>
  <c r="AU116" i="11"/>
  <c r="AT116" i="11"/>
  <c r="AS116" i="11"/>
  <c r="CM112" i="11"/>
  <c r="CF112" i="11"/>
  <c r="CE112" i="11"/>
  <c r="CD112" i="11"/>
  <c r="BV112" i="11"/>
  <c r="BT112" i="11"/>
  <c r="BS112" i="11"/>
  <c r="BR112" i="11"/>
  <c r="BK112" i="11"/>
  <c r="BJ112" i="11"/>
  <c r="BI112" i="11"/>
  <c r="BH112" i="11"/>
  <c r="BG112" i="11"/>
  <c r="BF112" i="11"/>
  <c r="BE112" i="11"/>
  <c r="BD112" i="11"/>
  <c r="BC112" i="11"/>
  <c r="BB112" i="11"/>
  <c r="BA112" i="11"/>
  <c r="AZ112" i="11"/>
  <c r="AY112" i="11"/>
  <c r="AX112" i="11"/>
  <c r="AU112" i="11"/>
  <c r="AT112" i="11"/>
  <c r="AS112" i="11"/>
  <c r="CM111" i="11"/>
  <c r="CI111" i="11"/>
  <c r="CH111" i="11"/>
  <c r="CF111" i="11"/>
  <c r="CE111" i="11"/>
  <c r="CD111" i="11"/>
  <c r="BV111" i="11"/>
  <c r="BT111" i="11"/>
  <c r="BS111" i="11"/>
  <c r="BR111" i="11"/>
  <c r="BK111" i="11"/>
  <c r="BJ111" i="11"/>
  <c r="BI111" i="11"/>
  <c r="BH111" i="11"/>
  <c r="BG111" i="11"/>
  <c r="BF111" i="11"/>
  <c r="BE111" i="11"/>
  <c r="BD111" i="11"/>
  <c r="BC111" i="11"/>
  <c r="BB111" i="11"/>
  <c r="BA111" i="11"/>
  <c r="AZ111" i="11"/>
  <c r="AY111" i="11"/>
  <c r="AX111" i="11"/>
  <c r="AU111" i="11"/>
  <c r="AT111" i="11"/>
  <c r="AS111" i="11"/>
  <c r="CM110" i="11"/>
  <c r="CI110" i="11"/>
  <c r="CH110" i="11"/>
  <c r="CF110" i="11"/>
  <c r="CE110" i="11"/>
  <c r="CD110" i="11"/>
  <c r="BV110" i="11"/>
  <c r="BT110" i="11"/>
  <c r="BS110" i="11"/>
  <c r="BR110" i="11"/>
  <c r="BK110" i="11"/>
  <c r="BJ110" i="11"/>
  <c r="BI110" i="11"/>
  <c r="BH110" i="11"/>
  <c r="BG110" i="11"/>
  <c r="BF110" i="11"/>
  <c r="BE110" i="11"/>
  <c r="BD110" i="11"/>
  <c r="BC110" i="11"/>
  <c r="BB110" i="11"/>
  <c r="BA110" i="11"/>
  <c r="AZ110" i="11"/>
  <c r="AY110" i="11"/>
  <c r="AX110" i="11"/>
  <c r="AU110" i="11"/>
  <c r="AT110" i="11"/>
  <c r="AS110" i="11"/>
  <c r="CM115" i="11"/>
  <c r="CI115" i="11"/>
  <c r="CH115" i="11"/>
  <c r="CF115" i="11"/>
  <c r="CE115" i="11"/>
  <c r="CD115" i="11"/>
  <c r="BV115" i="11"/>
  <c r="BT115" i="11"/>
  <c r="BS115" i="11"/>
  <c r="BR115" i="11"/>
  <c r="BK115" i="11"/>
  <c r="BJ115" i="11"/>
  <c r="BI115" i="11"/>
  <c r="BH115" i="11"/>
  <c r="BG115" i="11"/>
  <c r="BF115" i="11"/>
  <c r="BE115" i="11"/>
  <c r="BD115" i="11"/>
  <c r="BC115" i="11"/>
  <c r="BB115" i="11"/>
  <c r="BA115" i="11"/>
  <c r="AZ115" i="11"/>
  <c r="AY115" i="11"/>
  <c r="AX115" i="11"/>
  <c r="AU115" i="11"/>
  <c r="AT115" i="11"/>
  <c r="AS115" i="11"/>
  <c r="CM114" i="11"/>
  <c r="CI114" i="11"/>
  <c r="CH114" i="11"/>
  <c r="CF114" i="11"/>
  <c r="CE114" i="11"/>
  <c r="CD114" i="11"/>
  <c r="BV114" i="11"/>
  <c r="BT114" i="11"/>
  <c r="BS114" i="11"/>
  <c r="BR114" i="11"/>
  <c r="BK114" i="11"/>
  <c r="BJ114" i="11"/>
  <c r="BI114" i="11"/>
  <c r="BH114" i="11"/>
  <c r="BG114" i="11"/>
  <c r="BF114" i="11"/>
  <c r="BE114" i="11"/>
  <c r="BD114" i="11"/>
  <c r="BC114" i="11"/>
  <c r="BB114" i="11"/>
  <c r="BA114" i="11"/>
  <c r="AZ114" i="11"/>
  <c r="AY114" i="11"/>
  <c r="AX114" i="11"/>
  <c r="AU114" i="11"/>
  <c r="AT114" i="11"/>
  <c r="AS114" i="11"/>
  <c r="CM113" i="11"/>
  <c r="CI113" i="11"/>
  <c r="CH113" i="11"/>
  <c r="CF113" i="11"/>
  <c r="CE113" i="11"/>
  <c r="CD113" i="11"/>
  <c r="BV113" i="11"/>
  <c r="BT113" i="11"/>
  <c r="BS113" i="11"/>
  <c r="BR113" i="11"/>
  <c r="BK113" i="11"/>
  <c r="BJ113" i="11"/>
  <c r="BI113" i="11"/>
  <c r="BH113" i="11"/>
  <c r="BG113" i="11"/>
  <c r="BF113" i="11"/>
  <c r="BE113" i="11"/>
  <c r="BD113" i="11"/>
  <c r="BC113" i="11"/>
  <c r="BB113" i="11"/>
  <c r="BA113" i="11"/>
  <c r="AZ113" i="11"/>
  <c r="AY113" i="11"/>
  <c r="AX113" i="11"/>
  <c r="AU113" i="11"/>
  <c r="AT113" i="11"/>
  <c r="AS113" i="11"/>
  <c r="CM109" i="11"/>
  <c r="CI109" i="11"/>
  <c r="CH109" i="11"/>
  <c r="CF109" i="11"/>
  <c r="CE109" i="11"/>
  <c r="CD109" i="11"/>
  <c r="BV109" i="11"/>
  <c r="BT109" i="11"/>
  <c r="BS109" i="11"/>
  <c r="BR109" i="11"/>
  <c r="BK109" i="11"/>
  <c r="BJ109" i="11"/>
  <c r="BI109" i="11"/>
  <c r="BH109" i="11"/>
  <c r="BG109" i="11"/>
  <c r="BF109" i="11"/>
  <c r="BE109" i="11"/>
  <c r="BD109" i="11"/>
  <c r="BC109" i="11"/>
  <c r="BB109" i="11"/>
  <c r="BA109" i="11"/>
  <c r="AZ109" i="11"/>
  <c r="AY109" i="11"/>
  <c r="AX109" i="11"/>
  <c r="AU109" i="11"/>
  <c r="AT109" i="11"/>
  <c r="AS109" i="11"/>
  <c r="CM87" i="11"/>
  <c r="CI87" i="11"/>
  <c r="CH87" i="11"/>
  <c r="CF87" i="11"/>
  <c r="CE87" i="11"/>
  <c r="CD87" i="11"/>
  <c r="BV87" i="11"/>
  <c r="BT87" i="11"/>
  <c r="BS87" i="11"/>
  <c r="BR87" i="11"/>
  <c r="BK87" i="11"/>
  <c r="BJ87" i="11"/>
  <c r="BI87" i="11"/>
  <c r="BH87" i="11"/>
  <c r="BG87" i="11"/>
  <c r="BF87" i="11"/>
  <c r="BE87" i="11"/>
  <c r="BD87" i="11"/>
  <c r="BC87" i="11"/>
  <c r="BB87" i="11"/>
  <c r="BA87" i="11"/>
  <c r="AZ87" i="11"/>
  <c r="AY87" i="11"/>
  <c r="AX87" i="11"/>
  <c r="AU87" i="11"/>
  <c r="AT87" i="11"/>
  <c r="AS87" i="11"/>
  <c r="CM23" i="11"/>
  <c r="CI23" i="11"/>
  <c r="CH23" i="11"/>
  <c r="CF23" i="11"/>
  <c r="CE23" i="11"/>
  <c r="CD23" i="11"/>
  <c r="BV23" i="11"/>
  <c r="BT23" i="11"/>
  <c r="BS23" i="11"/>
  <c r="BR23" i="11"/>
  <c r="BK23" i="11"/>
  <c r="BJ23" i="11"/>
  <c r="BI23" i="11"/>
  <c r="BH23" i="11"/>
  <c r="BG23" i="11"/>
  <c r="BF23" i="11"/>
  <c r="BE23" i="11"/>
  <c r="BD23" i="11"/>
  <c r="BC23" i="11"/>
  <c r="BB23" i="11"/>
  <c r="BA23" i="11"/>
  <c r="AZ23" i="11"/>
  <c r="AY23" i="11"/>
  <c r="AX23" i="11"/>
  <c r="AU23" i="11"/>
  <c r="AT23" i="11"/>
  <c r="AS23" i="11"/>
  <c r="CM44" i="11"/>
  <c r="CI44" i="11"/>
  <c r="CF44" i="11"/>
  <c r="CE44" i="11"/>
  <c r="CD44" i="11"/>
  <c r="BV44" i="11"/>
  <c r="BT44" i="11"/>
  <c r="BS44" i="11"/>
  <c r="BR44" i="11"/>
  <c r="BK44" i="11"/>
  <c r="BJ44" i="11"/>
  <c r="BI44" i="11"/>
  <c r="BH44" i="11"/>
  <c r="BG44" i="11"/>
  <c r="BF44" i="11"/>
  <c r="BE44" i="11"/>
  <c r="BD44" i="11"/>
  <c r="BC44" i="11"/>
  <c r="BB44" i="11"/>
  <c r="BA44" i="11"/>
  <c r="AZ44" i="11"/>
  <c r="AY44" i="11"/>
  <c r="AX44" i="11"/>
  <c r="AU44" i="11"/>
  <c r="AT44" i="11"/>
  <c r="AS44" i="11"/>
  <c r="CM43" i="11"/>
  <c r="CI43" i="11"/>
  <c r="CF43" i="11"/>
  <c r="CE43" i="11"/>
  <c r="CD43" i="11"/>
  <c r="BV43" i="11"/>
  <c r="BT43" i="11"/>
  <c r="BS43" i="11"/>
  <c r="BR43" i="11"/>
  <c r="BK43" i="11"/>
  <c r="BJ43" i="11"/>
  <c r="BI43" i="11"/>
  <c r="BH43" i="11"/>
  <c r="BG43" i="11"/>
  <c r="BF43" i="11"/>
  <c r="BE43" i="11"/>
  <c r="BD43" i="11"/>
  <c r="BC43" i="11"/>
  <c r="BB43" i="11"/>
  <c r="BA43" i="11"/>
  <c r="AZ43" i="11"/>
  <c r="AY43" i="11"/>
  <c r="AX43" i="11"/>
  <c r="AU43" i="11"/>
  <c r="AT43" i="11"/>
  <c r="AS43" i="11"/>
  <c r="CM42" i="11"/>
  <c r="CI42" i="11"/>
  <c r="CF42" i="11"/>
  <c r="CE42" i="11"/>
  <c r="CD42" i="11"/>
  <c r="BT42" i="11"/>
  <c r="BS42" i="11"/>
  <c r="BR42" i="11"/>
  <c r="BK42" i="11"/>
  <c r="BJ42" i="11"/>
  <c r="BI42" i="11"/>
  <c r="BH42" i="11"/>
  <c r="BG42" i="11"/>
  <c r="BF42" i="11"/>
  <c r="BE42" i="11"/>
  <c r="BD42" i="11"/>
  <c r="BC42" i="11"/>
  <c r="BB42" i="11"/>
  <c r="BA42" i="11"/>
  <c r="AZ42" i="11"/>
  <c r="AY42" i="11"/>
  <c r="AX42" i="11"/>
  <c r="AU42" i="11"/>
  <c r="AT42" i="11"/>
  <c r="AS42" i="11"/>
  <c r="CM38" i="11"/>
  <c r="CI38" i="11"/>
  <c r="CH38" i="11"/>
  <c r="CF38" i="11"/>
  <c r="CE38" i="11"/>
  <c r="CD38" i="11"/>
  <c r="BV38" i="11"/>
  <c r="BT38" i="11"/>
  <c r="BS38" i="11"/>
  <c r="BR38" i="11"/>
  <c r="BK38" i="11"/>
  <c r="BJ38" i="11"/>
  <c r="BI38" i="11"/>
  <c r="BH38" i="11"/>
  <c r="BG38" i="11"/>
  <c r="BF38" i="11"/>
  <c r="BE38" i="11"/>
  <c r="BD38" i="11"/>
  <c r="BC38" i="11"/>
  <c r="BB38" i="11"/>
  <c r="BA38" i="11"/>
  <c r="AZ38" i="11"/>
  <c r="AY38" i="11"/>
  <c r="AX38" i="11"/>
  <c r="AU38" i="11"/>
  <c r="AT38" i="11"/>
  <c r="AS38" i="11"/>
  <c r="CM37" i="11"/>
  <c r="CI37" i="11"/>
  <c r="CH37" i="11"/>
  <c r="CF37" i="11"/>
  <c r="CE37" i="11"/>
  <c r="CD37" i="11"/>
  <c r="BV37" i="11"/>
  <c r="BT37" i="11"/>
  <c r="BS37" i="11"/>
  <c r="BR37" i="11"/>
  <c r="BK37" i="11"/>
  <c r="BJ37" i="11"/>
  <c r="BI37" i="11"/>
  <c r="BH37" i="11"/>
  <c r="BG37" i="11"/>
  <c r="BF37" i="11"/>
  <c r="BE37" i="11"/>
  <c r="BD37" i="11"/>
  <c r="BC37" i="11"/>
  <c r="BB37" i="11"/>
  <c r="BA37" i="11"/>
  <c r="AZ37" i="11"/>
  <c r="AY37" i="11"/>
  <c r="AX37" i="11"/>
  <c r="AU37" i="11"/>
  <c r="AT37" i="11"/>
  <c r="AS37" i="11"/>
  <c r="CM36" i="11"/>
  <c r="CI36" i="11"/>
  <c r="CH36" i="11"/>
  <c r="CF36" i="11"/>
  <c r="CE36" i="11"/>
  <c r="CD36" i="11"/>
  <c r="BV36" i="11"/>
  <c r="BT36" i="11"/>
  <c r="BS36" i="11"/>
  <c r="BR36" i="11"/>
  <c r="BK36" i="11"/>
  <c r="BJ36" i="11"/>
  <c r="BI36" i="11"/>
  <c r="BH36" i="11"/>
  <c r="BG36" i="11"/>
  <c r="BF36" i="11"/>
  <c r="BE36" i="11"/>
  <c r="BD36" i="11"/>
  <c r="BC36" i="11"/>
  <c r="BB36" i="11"/>
  <c r="BA36" i="11"/>
  <c r="AZ36" i="11"/>
  <c r="AY36" i="11"/>
  <c r="AX36" i="11"/>
  <c r="AU36" i="11"/>
  <c r="AT36" i="11"/>
  <c r="AS36" i="11"/>
  <c r="CM35" i="11"/>
  <c r="CI35" i="11"/>
  <c r="CH35" i="11"/>
  <c r="CF35" i="11"/>
  <c r="CE35" i="11"/>
  <c r="CD35" i="11"/>
  <c r="BV35" i="11"/>
  <c r="BT35" i="11"/>
  <c r="BS35" i="11"/>
  <c r="BR35" i="11"/>
  <c r="BK35" i="11"/>
  <c r="BJ35" i="11"/>
  <c r="BI35" i="11"/>
  <c r="BH35" i="11"/>
  <c r="BG35" i="11"/>
  <c r="BF35" i="11"/>
  <c r="BE35" i="11"/>
  <c r="BD35" i="11"/>
  <c r="BC35" i="11"/>
  <c r="BB35" i="11"/>
  <c r="BA35" i="11"/>
  <c r="AZ35" i="11"/>
  <c r="AY35" i="11"/>
  <c r="AX35" i="11"/>
  <c r="AU35" i="11"/>
  <c r="AT35" i="11"/>
  <c r="AS35" i="11"/>
  <c r="CM34" i="11"/>
  <c r="CI34" i="11"/>
  <c r="CH34" i="11"/>
  <c r="CF34" i="11"/>
  <c r="CE34" i="11"/>
  <c r="CD34" i="11"/>
  <c r="BV34" i="11"/>
  <c r="BT34" i="11"/>
  <c r="BS34" i="11"/>
  <c r="BR34" i="11"/>
  <c r="BK34" i="11"/>
  <c r="BJ34" i="11"/>
  <c r="BI34" i="11"/>
  <c r="BH34" i="11"/>
  <c r="BG34" i="11"/>
  <c r="BF34" i="11"/>
  <c r="BE34" i="11"/>
  <c r="BD34" i="11"/>
  <c r="BC34" i="11"/>
  <c r="BB34" i="11"/>
  <c r="BA34" i="11"/>
  <c r="AZ34" i="11"/>
  <c r="AY34" i="11"/>
  <c r="AX34" i="11"/>
  <c r="AU34" i="11"/>
  <c r="AT34" i="11"/>
  <c r="AS34" i="11"/>
  <c r="CM33" i="11"/>
  <c r="CI33" i="11"/>
  <c r="CF33" i="11"/>
  <c r="CE33" i="11"/>
  <c r="CD33" i="11"/>
  <c r="BV33" i="11"/>
  <c r="BT33" i="11"/>
  <c r="BS33" i="11"/>
  <c r="BR33" i="11"/>
  <c r="BK33" i="11"/>
  <c r="BJ33" i="11"/>
  <c r="BI33" i="11"/>
  <c r="BH33" i="11"/>
  <c r="BG33" i="11"/>
  <c r="BF33" i="11"/>
  <c r="BE33" i="11"/>
  <c r="BD33" i="11"/>
  <c r="BC33" i="11"/>
  <c r="BB33" i="11"/>
  <c r="BA33" i="11"/>
  <c r="AZ33" i="11"/>
  <c r="AY33" i="11"/>
  <c r="AX33" i="11"/>
  <c r="AU33" i="11"/>
  <c r="AT33" i="11"/>
  <c r="AS33" i="11"/>
  <c r="CM18" i="11"/>
  <c r="CF18" i="11"/>
  <c r="CE18" i="11"/>
  <c r="CD18" i="11"/>
  <c r="BV18" i="11"/>
  <c r="BT18" i="11"/>
  <c r="BS18" i="11"/>
  <c r="BR18" i="11"/>
  <c r="BK18" i="11"/>
  <c r="BJ18" i="11"/>
  <c r="BI18" i="11"/>
  <c r="BH18" i="11"/>
  <c r="BG18" i="11"/>
  <c r="BF18" i="11"/>
  <c r="BE18" i="11"/>
  <c r="BD18" i="11"/>
  <c r="BC18" i="11"/>
  <c r="BB18" i="11"/>
  <c r="BA18" i="11"/>
  <c r="AZ18" i="11"/>
  <c r="AY18" i="11"/>
  <c r="AX18" i="11"/>
  <c r="AU18" i="11"/>
  <c r="AT18" i="11"/>
  <c r="AS18" i="11"/>
  <c r="CM22" i="11"/>
  <c r="CF22" i="11"/>
  <c r="CE22" i="11"/>
  <c r="CD22" i="11"/>
  <c r="BV22" i="11"/>
  <c r="BT22" i="11"/>
  <c r="BS22" i="11"/>
  <c r="BR22" i="11"/>
  <c r="BK22" i="11"/>
  <c r="BJ22" i="11"/>
  <c r="BI22" i="11"/>
  <c r="BH22" i="11"/>
  <c r="BG22" i="11"/>
  <c r="BF22" i="11"/>
  <c r="BE22" i="11"/>
  <c r="BD22" i="11"/>
  <c r="BC22" i="11"/>
  <c r="BB22" i="11"/>
  <c r="BA22" i="11"/>
  <c r="AZ22" i="11"/>
  <c r="AY22" i="11"/>
  <c r="AX22" i="11"/>
  <c r="AU22" i="11"/>
  <c r="AT22" i="11"/>
  <c r="AS22" i="11"/>
  <c r="CM21" i="11"/>
  <c r="CF21" i="11"/>
  <c r="CE21" i="11"/>
  <c r="CD21" i="11"/>
  <c r="BV21" i="11"/>
  <c r="BT21" i="11"/>
  <c r="BS21" i="11"/>
  <c r="BR21" i="11"/>
  <c r="BK21" i="11"/>
  <c r="BJ21" i="11"/>
  <c r="BI21" i="11"/>
  <c r="BH21" i="11"/>
  <c r="BG21" i="11"/>
  <c r="BF21" i="11"/>
  <c r="BE21" i="11"/>
  <c r="BD21" i="11"/>
  <c r="BC21" i="11"/>
  <c r="BB21" i="11"/>
  <c r="BA21" i="11"/>
  <c r="AZ21" i="11"/>
  <c r="AY21" i="11"/>
  <c r="AX21" i="11"/>
  <c r="AU21" i="11"/>
  <c r="AT21" i="11"/>
  <c r="AS21" i="11"/>
  <c r="CM20" i="11"/>
  <c r="CF20" i="11"/>
  <c r="CE20" i="11"/>
  <c r="CD20" i="11"/>
  <c r="BV20" i="11"/>
  <c r="BT20" i="11"/>
  <c r="BS20" i="11"/>
  <c r="BR20" i="11"/>
  <c r="BK20" i="11"/>
  <c r="BJ20" i="11"/>
  <c r="BI20" i="11"/>
  <c r="BH20" i="11"/>
  <c r="BG20" i="11"/>
  <c r="BF20" i="11"/>
  <c r="BE20" i="11"/>
  <c r="BD20" i="11"/>
  <c r="BC20" i="11"/>
  <c r="BB20" i="11"/>
  <c r="BA20" i="11"/>
  <c r="AZ20" i="11"/>
  <c r="AY20" i="11"/>
  <c r="AX20" i="11"/>
  <c r="AU20" i="11"/>
  <c r="AT20" i="11"/>
  <c r="AS20" i="11"/>
  <c r="CM19" i="11"/>
  <c r="CF19" i="11"/>
  <c r="CE19" i="11"/>
  <c r="CD19" i="11"/>
  <c r="BV19" i="11"/>
  <c r="BT19" i="11"/>
  <c r="BS19" i="11"/>
  <c r="BR19" i="11"/>
  <c r="BK19" i="11"/>
  <c r="BJ19" i="11"/>
  <c r="BI19" i="11"/>
  <c r="BH19" i="11"/>
  <c r="BG19" i="11"/>
  <c r="BF19" i="11"/>
  <c r="BE19" i="11"/>
  <c r="BD19" i="11"/>
  <c r="BC19" i="11"/>
  <c r="BB19" i="11"/>
  <c r="BA19" i="11"/>
  <c r="AZ19" i="11"/>
  <c r="AY19" i="11"/>
  <c r="AX19" i="11"/>
  <c r="AU19" i="11"/>
  <c r="AT19" i="11"/>
  <c r="AS19" i="11"/>
  <c r="CM8" i="11"/>
  <c r="CI8" i="11"/>
  <c r="CH8" i="11"/>
  <c r="CG8" i="11"/>
  <c r="CF8" i="11"/>
  <c r="CE8" i="11"/>
  <c r="CD8" i="11"/>
  <c r="BV8" i="11"/>
  <c r="BT8" i="11"/>
  <c r="BS8" i="11"/>
  <c r="BR8" i="11"/>
  <c r="BK8" i="11"/>
  <c r="BJ8" i="11"/>
  <c r="BI8" i="11"/>
  <c r="BH8" i="11"/>
  <c r="BG8" i="11"/>
  <c r="BF8" i="11"/>
  <c r="BE8" i="11"/>
  <c r="BD8" i="11"/>
  <c r="BC8" i="11"/>
  <c r="BB8" i="11"/>
  <c r="BA8" i="11"/>
  <c r="AZ8" i="11"/>
  <c r="AY8" i="11"/>
  <c r="AX8" i="11"/>
  <c r="AU8" i="11"/>
  <c r="AT8" i="11"/>
  <c r="AS8" i="11"/>
  <c r="AS7" i="11"/>
  <c r="AT7" i="11"/>
  <c r="AU7" i="11"/>
  <c r="AX7" i="11"/>
  <c r="AY7" i="11"/>
  <c r="AZ7" i="11"/>
  <c r="BA7" i="11"/>
  <c r="BB7" i="11"/>
  <c r="BC7" i="11"/>
  <c r="BD7" i="11"/>
  <c r="BE7" i="11"/>
  <c r="BF7" i="11"/>
  <c r="BG7" i="11"/>
  <c r="BH7" i="11"/>
  <c r="BI7" i="11"/>
  <c r="BJ7" i="11"/>
  <c r="BK7" i="11"/>
  <c r="BR7" i="11"/>
  <c r="BS7" i="11"/>
  <c r="BT7" i="11"/>
  <c r="BV7" i="11"/>
  <c r="CD7" i="11"/>
  <c r="CE7" i="11"/>
  <c r="CF7" i="11"/>
  <c r="CG7" i="11"/>
  <c r="CH7" i="11"/>
  <c r="CI7" i="11"/>
  <c r="CM7" i="11"/>
  <c r="CM32" i="11"/>
  <c r="CI32" i="11"/>
  <c r="CH32" i="11"/>
  <c r="CF32" i="11"/>
  <c r="CE32" i="11"/>
  <c r="CD32" i="11"/>
  <c r="BT32" i="11"/>
  <c r="BS32" i="11"/>
  <c r="BR32" i="11"/>
  <c r="BK32" i="11"/>
  <c r="BJ32" i="11"/>
  <c r="BI32" i="11"/>
  <c r="BH32" i="11"/>
  <c r="BG32" i="11"/>
  <c r="BF32" i="11"/>
  <c r="BE32" i="11"/>
  <c r="BD32" i="11"/>
  <c r="BC32" i="11"/>
  <c r="BB32" i="11"/>
  <c r="BA32" i="11"/>
  <c r="AZ32" i="11"/>
  <c r="AY32" i="11"/>
  <c r="AX32" i="11"/>
  <c r="AU32" i="11"/>
  <c r="AT32" i="11"/>
  <c r="AS32" i="11"/>
  <c r="CM31" i="11"/>
  <c r="CF31" i="11"/>
  <c r="CE31" i="11"/>
  <c r="CD31" i="11"/>
  <c r="BT31" i="11"/>
  <c r="BS31" i="11"/>
  <c r="BR31" i="11"/>
  <c r="BK31" i="11"/>
  <c r="BJ31" i="11"/>
  <c r="BI31" i="11"/>
  <c r="BH31" i="11"/>
  <c r="BG31" i="11"/>
  <c r="BF31" i="11"/>
  <c r="BE31" i="11"/>
  <c r="BD31" i="11"/>
  <c r="BC31" i="11"/>
  <c r="BB31" i="11"/>
  <c r="BA31" i="11"/>
  <c r="AZ31" i="11"/>
  <c r="AY31" i="11"/>
  <c r="AX31" i="11"/>
  <c r="AU31" i="11"/>
  <c r="AT31" i="11"/>
  <c r="AS31" i="11"/>
  <c r="CM132" i="11"/>
  <c r="CI132" i="11"/>
  <c r="CH132" i="11"/>
  <c r="CG132" i="11"/>
  <c r="CF132" i="11"/>
  <c r="CE132" i="11"/>
  <c r="CD132" i="11"/>
  <c r="BT132" i="11"/>
  <c r="BS132" i="11"/>
  <c r="BR132" i="11"/>
  <c r="BK132" i="11"/>
  <c r="BJ132" i="11"/>
  <c r="BI132" i="11"/>
  <c r="BH132" i="11"/>
  <c r="BG132" i="11"/>
  <c r="BF132" i="11"/>
  <c r="BE132" i="11"/>
  <c r="BD132" i="11"/>
  <c r="BC132" i="11"/>
  <c r="BB132" i="11"/>
  <c r="BA132" i="11"/>
  <c r="AZ132" i="11"/>
  <c r="AY132" i="11"/>
  <c r="AX132" i="11"/>
  <c r="AU132" i="11"/>
  <c r="AT132" i="11"/>
  <c r="AS132" i="11"/>
  <c r="CM51" i="11"/>
  <c r="CI51" i="11"/>
  <c r="CF51" i="11"/>
  <c r="CE51" i="11"/>
  <c r="CD51" i="11"/>
  <c r="BT51" i="11"/>
  <c r="BS51" i="11"/>
  <c r="BR51" i="11"/>
  <c r="BK51" i="11"/>
  <c r="BJ51" i="11"/>
  <c r="BI51" i="11"/>
  <c r="BH51" i="11"/>
  <c r="BG51" i="11"/>
  <c r="BF51" i="11"/>
  <c r="BE51" i="11"/>
  <c r="BD51" i="11"/>
  <c r="BC51" i="11"/>
  <c r="BB51" i="11"/>
  <c r="BA51" i="11"/>
  <c r="AZ51" i="11"/>
  <c r="AY51" i="11"/>
  <c r="AX51" i="11"/>
  <c r="AU51" i="11"/>
  <c r="AT51" i="11"/>
  <c r="AS51" i="11"/>
  <c r="CM53" i="11"/>
  <c r="CI53" i="11"/>
  <c r="CH53" i="11"/>
  <c r="CG53" i="11"/>
  <c r="CF53" i="11"/>
  <c r="CE53" i="11"/>
  <c r="CD53" i="11"/>
  <c r="BT53" i="11"/>
  <c r="BS53" i="11"/>
  <c r="BR53" i="11"/>
  <c r="BK53" i="11"/>
  <c r="BJ53" i="11"/>
  <c r="BI53" i="11"/>
  <c r="BH53" i="11"/>
  <c r="BG53" i="11"/>
  <c r="BF53" i="11"/>
  <c r="BE53" i="11"/>
  <c r="BD53" i="11"/>
  <c r="BC53" i="11"/>
  <c r="BB53" i="11"/>
  <c r="BA53" i="11"/>
  <c r="AZ53" i="11"/>
  <c r="AY53" i="11"/>
  <c r="AX53" i="11"/>
  <c r="AU53" i="11"/>
  <c r="AT53" i="11"/>
  <c r="AS53" i="11"/>
  <c r="CM136" i="11"/>
  <c r="CI136" i="11"/>
  <c r="CH136" i="11"/>
  <c r="CG136" i="11"/>
  <c r="CF136" i="11"/>
  <c r="CE136" i="11"/>
  <c r="CD136" i="11"/>
  <c r="BT136" i="11"/>
  <c r="BS136" i="11"/>
  <c r="BR136" i="11"/>
  <c r="BK136" i="11"/>
  <c r="BJ136" i="11"/>
  <c r="BI136" i="11"/>
  <c r="BH136" i="11"/>
  <c r="BG136" i="11"/>
  <c r="BF136" i="11"/>
  <c r="BE136" i="11"/>
  <c r="BD136" i="11"/>
  <c r="BC136" i="11"/>
  <c r="BB136" i="11"/>
  <c r="BA136" i="11"/>
  <c r="AZ136" i="11"/>
  <c r="AY136" i="11"/>
  <c r="AX136" i="11"/>
  <c r="AU136" i="11"/>
  <c r="AT136" i="11"/>
  <c r="AS136" i="11"/>
  <c r="CM39" i="11"/>
  <c r="CI39" i="11"/>
  <c r="CH39" i="11"/>
  <c r="CG39" i="11"/>
  <c r="CF39" i="11"/>
  <c r="CE39" i="11"/>
  <c r="CD39" i="11"/>
  <c r="BT39" i="11"/>
  <c r="BS39" i="11"/>
  <c r="BR39" i="11"/>
  <c r="BK39" i="11"/>
  <c r="BJ39" i="11"/>
  <c r="BI39" i="11"/>
  <c r="BH39" i="11"/>
  <c r="BG39" i="11"/>
  <c r="BF39" i="11"/>
  <c r="BE39" i="11"/>
  <c r="BD39" i="11"/>
  <c r="BC39" i="11"/>
  <c r="BB39" i="11"/>
  <c r="BA39" i="11"/>
  <c r="AZ39" i="11"/>
  <c r="AY39" i="11"/>
  <c r="AX39" i="11"/>
  <c r="AU39" i="11"/>
  <c r="AT39" i="11"/>
  <c r="AS39" i="11"/>
  <c r="CM11" i="11"/>
  <c r="CI11" i="11"/>
  <c r="CH11" i="11"/>
  <c r="CF11" i="11"/>
  <c r="CE11" i="11"/>
  <c r="CD11" i="11"/>
  <c r="BT11" i="11"/>
  <c r="BS11" i="11"/>
  <c r="BR11" i="11"/>
  <c r="BK11" i="11"/>
  <c r="BJ11" i="11"/>
  <c r="BI11" i="11"/>
  <c r="BH11" i="11"/>
  <c r="BG11" i="11"/>
  <c r="BF11" i="11"/>
  <c r="BE11" i="11"/>
  <c r="BD11" i="11"/>
  <c r="BC11" i="11"/>
  <c r="BB11" i="11"/>
  <c r="BA11" i="11"/>
  <c r="AZ11" i="11"/>
  <c r="AY11" i="11"/>
  <c r="AX11" i="11"/>
  <c r="AU11" i="11"/>
  <c r="AT11" i="11"/>
  <c r="AS11" i="11"/>
  <c r="CM138" i="11"/>
  <c r="CI138" i="11"/>
  <c r="CH138" i="11"/>
  <c r="CF138" i="11"/>
  <c r="CE138" i="11"/>
  <c r="CD138" i="11"/>
  <c r="BT138" i="11"/>
  <c r="BS138" i="11"/>
  <c r="BR138" i="11"/>
  <c r="BK138" i="11"/>
  <c r="BJ138" i="11"/>
  <c r="BI138" i="11"/>
  <c r="BH138" i="11"/>
  <c r="BG138" i="11"/>
  <c r="BF138" i="11"/>
  <c r="BE138" i="11"/>
  <c r="BD138" i="11"/>
  <c r="BC138" i="11"/>
  <c r="BB138" i="11"/>
  <c r="BA138" i="11"/>
  <c r="AZ138" i="11"/>
  <c r="AY138" i="11"/>
  <c r="AX138" i="11"/>
  <c r="AU138" i="11"/>
  <c r="AT138" i="11"/>
  <c r="AS138" i="11"/>
  <c r="CM133" i="11"/>
  <c r="CI133" i="11"/>
  <c r="CH133" i="11"/>
  <c r="CG133" i="11"/>
  <c r="CF133" i="11"/>
  <c r="CE133" i="11"/>
  <c r="CD133" i="11"/>
  <c r="BT133" i="11"/>
  <c r="BS133" i="11"/>
  <c r="BR133" i="11"/>
  <c r="BK133" i="11"/>
  <c r="BJ133" i="11"/>
  <c r="BI133" i="11"/>
  <c r="BH133" i="11"/>
  <c r="BG133" i="11"/>
  <c r="BF133" i="11"/>
  <c r="BE133" i="11"/>
  <c r="BD133" i="11"/>
  <c r="BC133" i="11"/>
  <c r="BB133" i="11"/>
  <c r="BA133" i="11"/>
  <c r="AZ133" i="11"/>
  <c r="AY133" i="11"/>
  <c r="AX133" i="11"/>
  <c r="AU133" i="11"/>
  <c r="AT133" i="11"/>
  <c r="AS133" i="11"/>
  <c r="CM52" i="11"/>
  <c r="CI52" i="11"/>
  <c r="CF52" i="11"/>
  <c r="CE52" i="11"/>
  <c r="CD52" i="11"/>
  <c r="BT52" i="11"/>
  <c r="BS52" i="11"/>
  <c r="BR52" i="11"/>
  <c r="BK52" i="11"/>
  <c r="BJ52" i="11"/>
  <c r="BI52" i="11"/>
  <c r="BH52" i="11"/>
  <c r="BG52" i="11"/>
  <c r="BF52" i="11"/>
  <c r="BE52" i="11"/>
  <c r="BD52" i="11"/>
  <c r="BC52" i="11"/>
  <c r="BB52" i="11"/>
  <c r="BA52" i="11"/>
  <c r="AZ52" i="11"/>
  <c r="AY52" i="11"/>
  <c r="AX52" i="11"/>
  <c r="AU52" i="11"/>
  <c r="AT52" i="11"/>
  <c r="AS52" i="11"/>
  <c r="CM27" i="11"/>
  <c r="CI27" i="11"/>
  <c r="CH27" i="11"/>
  <c r="CG27" i="11"/>
  <c r="CF27" i="11"/>
  <c r="CE27" i="11"/>
  <c r="CD27" i="11"/>
  <c r="BT27" i="11"/>
  <c r="BS27" i="11"/>
  <c r="BR27" i="11"/>
  <c r="BK27" i="11"/>
  <c r="BJ27" i="11"/>
  <c r="BI27" i="11"/>
  <c r="BH27" i="11"/>
  <c r="BG27" i="11"/>
  <c r="BF27" i="11"/>
  <c r="BE27" i="11"/>
  <c r="BD27" i="11"/>
  <c r="BC27" i="11"/>
  <c r="BB27" i="11"/>
  <c r="BA27" i="11"/>
  <c r="AZ27" i="11"/>
  <c r="AY27" i="11"/>
  <c r="AX27" i="11"/>
  <c r="AU27" i="11"/>
  <c r="AT27" i="11"/>
  <c r="AS27" i="11"/>
  <c r="CM50" i="11"/>
  <c r="CI50" i="11"/>
  <c r="CH50" i="11"/>
  <c r="CG50" i="11"/>
  <c r="CF50" i="11"/>
  <c r="CE50" i="11"/>
  <c r="CD50" i="11"/>
  <c r="BT50" i="11"/>
  <c r="BS50" i="11"/>
  <c r="BR50" i="11"/>
  <c r="BK50" i="11"/>
  <c r="BJ50" i="11"/>
  <c r="BI50" i="11"/>
  <c r="BH50" i="11"/>
  <c r="BG50" i="11"/>
  <c r="BF50" i="11"/>
  <c r="BE50" i="11"/>
  <c r="BD50" i="11"/>
  <c r="BC50" i="11"/>
  <c r="BB50" i="11"/>
  <c r="BA50" i="11"/>
  <c r="AZ50" i="11"/>
  <c r="AY50" i="11"/>
  <c r="AX50" i="11"/>
  <c r="AU50" i="11"/>
  <c r="AT50" i="11"/>
  <c r="AS50" i="11"/>
  <c r="CM131" i="11"/>
  <c r="CI131" i="11"/>
  <c r="CH131" i="11"/>
  <c r="CG131" i="11"/>
  <c r="CF131" i="11"/>
  <c r="CE131" i="11"/>
  <c r="CD131" i="11"/>
  <c r="BT131" i="11"/>
  <c r="BS131" i="11"/>
  <c r="BR131" i="11"/>
  <c r="BK131" i="11"/>
  <c r="BJ131" i="11"/>
  <c r="BI131" i="11"/>
  <c r="BH131" i="11"/>
  <c r="BG131" i="11"/>
  <c r="BF131" i="11"/>
  <c r="BE131" i="11"/>
  <c r="BD131" i="11"/>
  <c r="BC131" i="11"/>
  <c r="BB131" i="11"/>
  <c r="BA131" i="11"/>
  <c r="AZ131" i="11"/>
  <c r="AY131" i="11"/>
  <c r="AX131" i="11"/>
  <c r="AU131" i="11"/>
  <c r="AT131" i="11"/>
  <c r="AS131" i="11"/>
  <c r="CM17" i="11"/>
  <c r="CI17" i="11"/>
  <c r="CH17" i="11"/>
  <c r="CG17" i="11"/>
  <c r="CF17" i="11"/>
  <c r="CE17" i="11"/>
  <c r="CD17" i="11"/>
  <c r="BT17" i="11"/>
  <c r="BS17" i="11"/>
  <c r="BR17" i="11"/>
  <c r="BK17" i="11"/>
  <c r="BJ17" i="11"/>
  <c r="BI17" i="11"/>
  <c r="BH17" i="11"/>
  <c r="BG17" i="11"/>
  <c r="BF17" i="11"/>
  <c r="BE17" i="11"/>
  <c r="BD17" i="11"/>
  <c r="BC17" i="11"/>
  <c r="BB17" i="11"/>
  <c r="BA17" i="11"/>
  <c r="AZ17" i="11"/>
  <c r="AY17" i="11"/>
  <c r="AX17" i="11"/>
  <c r="AU17" i="11"/>
  <c r="AT17" i="11"/>
  <c r="AS17" i="11"/>
  <c r="CM10" i="11"/>
  <c r="CI10" i="11"/>
  <c r="CH10" i="11"/>
  <c r="CG10" i="11"/>
  <c r="CF10" i="11"/>
  <c r="CE10" i="11"/>
  <c r="CD10" i="11"/>
  <c r="BT10" i="11"/>
  <c r="BS10" i="11"/>
  <c r="BR10" i="11"/>
  <c r="BK10" i="11"/>
  <c r="BJ10" i="11"/>
  <c r="BI10" i="11"/>
  <c r="BH10" i="11"/>
  <c r="BG10" i="11"/>
  <c r="BF10" i="11"/>
  <c r="BE10" i="11"/>
  <c r="BD10" i="11"/>
  <c r="BC10" i="11"/>
  <c r="BB10" i="11"/>
  <c r="BA10" i="11"/>
  <c r="AZ10" i="11"/>
  <c r="AY10" i="11"/>
  <c r="AX10" i="11"/>
  <c r="AU10" i="11"/>
  <c r="AT10" i="11"/>
  <c r="AS10" i="11"/>
  <c r="CM16" i="11"/>
  <c r="CI16" i="11"/>
  <c r="CH16" i="11"/>
  <c r="CF16" i="11"/>
  <c r="CE16" i="11"/>
  <c r="CD16" i="11"/>
  <c r="BT16" i="11"/>
  <c r="BS16" i="11"/>
  <c r="BR16" i="11"/>
  <c r="BK16" i="11"/>
  <c r="BJ16" i="11"/>
  <c r="BI16" i="11"/>
  <c r="BH16" i="11"/>
  <c r="BG16" i="11"/>
  <c r="BF16" i="11"/>
  <c r="BE16" i="11"/>
  <c r="BD16" i="11"/>
  <c r="BC16" i="11"/>
  <c r="BB16" i="11"/>
  <c r="BA16" i="11"/>
  <c r="AZ16" i="11"/>
  <c r="AY16" i="11"/>
  <c r="AX16" i="11"/>
  <c r="AU16" i="11"/>
  <c r="AT16" i="11"/>
  <c r="AS16" i="11"/>
  <c r="CM15" i="11"/>
  <c r="CI15" i="11"/>
  <c r="CH15" i="11"/>
  <c r="CG15" i="11"/>
  <c r="CF15" i="11"/>
  <c r="CE15" i="11"/>
  <c r="CD15" i="11"/>
  <c r="BT15" i="11"/>
  <c r="BS15" i="11"/>
  <c r="BR15" i="11"/>
  <c r="BK15" i="11"/>
  <c r="BJ15" i="11"/>
  <c r="BI15" i="11"/>
  <c r="BH15" i="11"/>
  <c r="BG15" i="11"/>
  <c r="BF15" i="11"/>
  <c r="BE15" i="11"/>
  <c r="BD15" i="11"/>
  <c r="BC15" i="11"/>
  <c r="BB15" i="11"/>
  <c r="BA15" i="11"/>
  <c r="AZ15" i="11"/>
  <c r="AY15" i="11"/>
  <c r="AX15" i="11"/>
  <c r="AU15" i="11"/>
  <c r="AT15" i="11"/>
  <c r="AS15" i="11"/>
  <c r="CM30" i="11"/>
  <c r="CI30" i="11"/>
  <c r="CH30" i="11"/>
  <c r="CF30" i="11"/>
  <c r="CE30" i="11"/>
  <c r="CD30" i="11"/>
  <c r="BT30" i="11"/>
  <c r="BS30" i="11"/>
  <c r="BR30" i="11"/>
  <c r="BK30" i="11"/>
  <c r="BJ30" i="11"/>
  <c r="BI30" i="11"/>
  <c r="BH30" i="11"/>
  <c r="BG30" i="11"/>
  <c r="BF30" i="11"/>
  <c r="BE30" i="11"/>
  <c r="BD30" i="11"/>
  <c r="BC30" i="11"/>
  <c r="BB30" i="11"/>
  <c r="BA30" i="11"/>
  <c r="AZ30" i="11"/>
  <c r="AY30" i="11"/>
  <c r="AX30" i="11"/>
  <c r="AU30" i="11"/>
  <c r="AT30" i="11"/>
  <c r="AS30" i="11"/>
  <c r="CM14" i="11"/>
  <c r="CF14" i="11"/>
  <c r="CE14" i="11"/>
  <c r="CD14" i="11"/>
  <c r="BT14" i="11"/>
  <c r="BS14" i="11"/>
  <c r="BR14" i="11"/>
  <c r="BK14" i="11"/>
  <c r="BJ14" i="11"/>
  <c r="BI14" i="11"/>
  <c r="BH14" i="11"/>
  <c r="BG14" i="11"/>
  <c r="BF14" i="11"/>
  <c r="BE14" i="11"/>
  <c r="BD14" i="11"/>
  <c r="BC14" i="11"/>
  <c r="BB14" i="11"/>
  <c r="BA14" i="11"/>
  <c r="AZ14" i="11"/>
  <c r="AY14" i="11"/>
  <c r="AX14" i="11"/>
  <c r="AU14" i="11"/>
  <c r="AT14" i="11"/>
  <c r="AS14" i="11"/>
  <c r="CM49" i="11"/>
  <c r="CI49" i="11"/>
  <c r="CH49" i="11"/>
  <c r="CG49" i="11"/>
  <c r="CF49" i="11"/>
  <c r="CE49" i="11"/>
  <c r="CD49" i="11"/>
  <c r="BT49" i="11"/>
  <c r="BS49" i="11"/>
  <c r="BR49" i="11"/>
  <c r="BK49" i="11"/>
  <c r="BJ49" i="11"/>
  <c r="BI49" i="11"/>
  <c r="BH49" i="11"/>
  <c r="BG49" i="11"/>
  <c r="BF49" i="11"/>
  <c r="BE49" i="11"/>
  <c r="BD49" i="11"/>
  <c r="BC49" i="11"/>
  <c r="BB49" i="11"/>
  <c r="BA49" i="11"/>
  <c r="AZ49" i="11"/>
  <c r="AY49" i="11"/>
  <c r="AX49" i="11"/>
  <c r="AU49" i="11"/>
  <c r="AT49" i="11"/>
  <c r="AS49" i="11"/>
  <c r="CM128" i="11"/>
  <c r="CI128" i="11"/>
  <c r="CH128" i="11"/>
  <c r="CG128" i="11"/>
  <c r="CF128" i="11"/>
  <c r="CE128" i="11"/>
  <c r="CD128" i="11"/>
  <c r="BT128" i="11"/>
  <c r="BS128" i="11"/>
  <c r="BR128" i="11"/>
  <c r="BK128" i="11"/>
  <c r="BJ128" i="11"/>
  <c r="BI128" i="11"/>
  <c r="BH128" i="11"/>
  <c r="BG128" i="11"/>
  <c r="BF128" i="11"/>
  <c r="BE128" i="11"/>
  <c r="BD128" i="11"/>
  <c r="BC128" i="11"/>
  <c r="BB128" i="11"/>
  <c r="BA128" i="11"/>
  <c r="AZ128" i="11"/>
  <c r="AY128" i="11"/>
  <c r="AX128" i="11"/>
  <c r="AU128" i="11"/>
  <c r="AT128" i="11"/>
  <c r="AS128" i="11"/>
  <c r="CM9" i="11"/>
  <c r="CI9" i="11"/>
  <c r="CH9" i="11"/>
  <c r="CG9" i="11"/>
  <c r="CF9" i="11"/>
  <c r="CE9" i="11"/>
  <c r="CD9" i="11"/>
  <c r="BT9" i="11"/>
  <c r="BS9" i="11"/>
  <c r="BR9" i="11"/>
  <c r="BK9" i="11"/>
  <c r="BJ9" i="11"/>
  <c r="BI9" i="11"/>
  <c r="BH9" i="11"/>
  <c r="BG9" i="11"/>
  <c r="BF9" i="11"/>
  <c r="BE9" i="11"/>
  <c r="BD9" i="11"/>
  <c r="BC9" i="11"/>
  <c r="BB9" i="11"/>
  <c r="BA9" i="11"/>
  <c r="AZ9" i="11"/>
  <c r="AY9" i="11"/>
  <c r="AX9" i="11"/>
  <c r="AU9" i="11"/>
  <c r="AT9" i="11"/>
  <c r="AS9" i="11"/>
  <c r="CM13" i="11"/>
  <c r="CI13" i="11"/>
  <c r="CH13" i="11"/>
  <c r="CF13" i="11"/>
  <c r="CE13" i="11"/>
  <c r="CD13" i="11"/>
  <c r="BT13" i="11"/>
  <c r="BS13" i="11"/>
  <c r="BR13" i="11"/>
  <c r="BK13" i="11"/>
  <c r="BJ13" i="11"/>
  <c r="BI13" i="11"/>
  <c r="BH13" i="11"/>
  <c r="BG13" i="11"/>
  <c r="BF13" i="11"/>
  <c r="BE13" i="11"/>
  <c r="BD13" i="11"/>
  <c r="BC13" i="11"/>
  <c r="BB13" i="11"/>
  <c r="BA13" i="11"/>
  <c r="AZ13" i="11"/>
  <c r="AY13" i="11"/>
  <c r="AX13" i="11"/>
  <c r="AU13" i="11"/>
  <c r="AT13" i="11"/>
  <c r="AS13" i="11"/>
  <c r="CM130" i="11"/>
  <c r="CI130" i="11"/>
  <c r="CH130" i="11"/>
  <c r="CG130" i="11"/>
  <c r="CF130" i="11"/>
  <c r="CE130" i="11"/>
  <c r="CD130" i="11"/>
  <c r="BT130" i="11"/>
  <c r="BS130" i="11"/>
  <c r="BR130" i="11"/>
  <c r="BK130" i="11"/>
  <c r="BJ130" i="11"/>
  <c r="BI130" i="11"/>
  <c r="BH130" i="11"/>
  <c r="BG130" i="11"/>
  <c r="BF130" i="11"/>
  <c r="BE130" i="11"/>
  <c r="BD130" i="11"/>
  <c r="BC130" i="11"/>
  <c r="BB130" i="11"/>
  <c r="BA130" i="11"/>
  <c r="AZ130" i="11"/>
  <c r="AY130" i="11"/>
  <c r="AX130" i="11"/>
  <c r="AU130" i="11"/>
  <c r="AT130" i="11"/>
  <c r="AS130" i="11"/>
  <c r="CM45" i="11"/>
  <c r="CI45" i="11"/>
  <c r="CH45" i="11"/>
  <c r="CG45" i="11"/>
  <c r="CF45" i="11"/>
  <c r="CE45" i="11"/>
  <c r="CD45" i="11"/>
  <c r="BT45" i="11"/>
  <c r="BS45" i="11"/>
  <c r="BR45" i="11"/>
  <c r="BK45" i="11"/>
  <c r="BJ45" i="11"/>
  <c r="BI45" i="11"/>
  <c r="BH45" i="11"/>
  <c r="BG45" i="11"/>
  <c r="BF45" i="11"/>
  <c r="BE45" i="11"/>
  <c r="BD45" i="11"/>
  <c r="BC45" i="11"/>
  <c r="BB45" i="11"/>
  <c r="BA45" i="11"/>
  <c r="AZ45" i="11"/>
  <c r="AY45" i="11"/>
  <c r="AX45" i="11"/>
  <c r="AU45" i="11"/>
  <c r="AT45" i="11"/>
  <c r="AS45" i="11"/>
  <c r="CM40" i="11"/>
  <c r="CI40" i="11"/>
  <c r="CH40" i="11"/>
  <c r="CG40" i="11"/>
  <c r="CF40" i="11"/>
  <c r="CE40" i="11"/>
  <c r="CD40" i="11"/>
  <c r="BT40" i="11"/>
  <c r="BS40" i="11"/>
  <c r="BR40" i="11"/>
  <c r="BK40" i="11"/>
  <c r="BJ40" i="11"/>
  <c r="BI40" i="11"/>
  <c r="BH40" i="11"/>
  <c r="BG40" i="11"/>
  <c r="BF40" i="11"/>
  <c r="BE40" i="11"/>
  <c r="BD40" i="11"/>
  <c r="BC40" i="11"/>
  <c r="BB40" i="11"/>
  <c r="BA40" i="11"/>
  <c r="AZ40" i="11"/>
  <c r="AY40" i="11"/>
  <c r="AX40" i="11"/>
  <c r="AU40" i="11"/>
  <c r="AT40" i="11"/>
  <c r="AS40" i="11"/>
  <c r="CM54" i="11"/>
  <c r="CI54" i="11"/>
  <c r="CH54" i="11"/>
  <c r="CG54" i="11"/>
  <c r="CF54" i="11"/>
  <c r="CE54" i="11"/>
  <c r="CD54" i="11"/>
  <c r="BT54" i="11"/>
  <c r="BS54" i="11"/>
  <c r="BR54" i="11"/>
  <c r="BK54" i="11"/>
  <c r="BJ54" i="11"/>
  <c r="BI54" i="11"/>
  <c r="BH54" i="11"/>
  <c r="BG54" i="11"/>
  <c r="BF54" i="11"/>
  <c r="BE54" i="11"/>
  <c r="BD54" i="11"/>
  <c r="BC54" i="11"/>
  <c r="BB54" i="11"/>
  <c r="BA54" i="11"/>
  <c r="AZ54" i="11"/>
  <c r="AY54" i="11"/>
  <c r="AX54" i="11"/>
  <c r="AU54" i="11"/>
  <c r="AT54" i="11"/>
  <c r="AS54" i="11"/>
  <c r="CM137" i="11"/>
  <c r="CI137" i="11"/>
  <c r="CH137" i="11"/>
  <c r="CG137" i="11"/>
  <c r="CF137" i="11"/>
  <c r="CE137" i="11"/>
  <c r="CD137" i="11"/>
  <c r="BT137" i="11"/>
  <c r="BS137" i="11"/>
  <c r="BR137" i="11"/>
  <c r="BK137" i="11"/>
  <c r="BJ137" i="11"/>
  <c r="BI137" i="11"/>
  <c r="BH137" i="11"/>
  <c r="BG137" i="11"/>
  <c r="BF137" i="11"/>
  <c r="BE137" i="11"/>
  <c r="BD137" i="11"/>
  <c r="BC137" i="11"/>
  <c r="BB137" i="11"/>
  <c r="BA137" i="11"/>
  <c r="AZ137" i="11"/>
  <c r="AY137" i="11"/>
  <c r="AX137" i="11"/>
  <c r="AU137" i="11"/>
  <c r="AT137" i="11"/>
  <c r="AS137" i="11"/>
  <c r="CM48" i="11"/>
  <c r="CI48" i="11"/>
  <c r="CF48" i="11"/>
  <c r="CE48" i="11"/>
  <c r="CD48" i="11"/>
  <c r="BT48" i="11"/>
  <c r="BS48" i="11"/>
  <c r="BR48" i="11"/>
  <c r="BK48" i="11"/>
  <c r="BJ48" i="11"/>
  <c r="BI48" i="11"/>
  <c r="BH48" i="11"/>
  <c r="BG48" i="11"/>
  <c r="BF48" i="11"/>
  <c r="BE48" i="11"/>
  <c r="BD48" i="11"/>
  <c r="BC48" i="11"/>
  <c r="BB48" i="11"/>
  <c r="BA48" i="11"/>
  <c r="AZ48" i="11"/>
  <c r="AY48" i="11"/>
  <c r="AX48" i="11"/>
  <c r="AU48" i="11"/>
  <c r="AT48" i="11"/>
  <c r="AS48" i="11"/>
  <c r="CM135" i="11"/>
  <c r="CI135" i="11"/>
  <c r="CH135" i="11"/>
  <c r="CG135" i="11"/>
  <c r="CF135" i="11"/>
  <c r="CE135" i="11"/>
  <c r="CD135" i="11"/>
  <c r="BT135" i="11"/>
  <c r="BS135" i="11"/>
  <c r="BR135" i="11"/>
  <c r="BK135" i="11"/>
  <c r="BJ135" i="11"/>
  <c r="BI135" i="11"/>
  <c r="BH135" i="11"/>
  <c r="BG135" i="11"/>
  <c r="BF135" i="11"/>
  <c r="BE135" i="11"/>
  <c r="BD135" i="11"/>
  <c r="BC135" i="11"/>
  <c r="BB135" i="11"/>
  <c r="BA135" i="11"/>
  <c r="AZ135" i="11"/>
  <c r="AY135" i="11"/>
  <c r="AX135" i="11"/>
  <c r="AU135" i="11"/>
  <c r="AT135" i="11"/>
  <c r="AS135" i="11"/>
  <c r="CM55" i="11"/>
  <c r="CI55" i="11"/>
  <c r="CH55" i="11"/>
  <c r="CG55" i="11"/>
  <c r="CF55" i="11"/>
  <c r="CE55" i="11"/>
  <c r="CD55" i="11"/>
  <c r="BT55" i="11"/>
  <c r="BS55" i="11"/>
  <c r="BR55" i="11"/>
  <c r="BK55" i="11"/>
  <c r="BJ55" i="11"/>
  <c r="BI55" i="11"/>
  <c r="BH55" i="11"/>
  <c r="BG55" i="11"/>
  <c r="BF55" i="11"/>
  <c r="BE55" i="11"/>
  <c r="BD55" i="11"/>
  <c r="BC55" i="11"/>
  <c r="BB55" i="11"/>
  <c r="BA55" i="11"/>
  <c r="AZ55" i="11"/>
  <c r="AY55" i="11"/>
  <c r="AX55" i="11"/>
  <c r="AU55" i="11"/>
  <c r="AT55" i="11"/>
  <c r="AS55" i="11"/>
  <c r="CM41" i="11"/>
  <c r="CI41" i="11"/>
  <c r="CH41" i="11"/>
  <c r="CF41" i="11"/>
  <c r="CE41" i="11"/>
  <c r="CD41" i="11"/>
  <c r="BT41" i="11"/>
  <c r="BS41" i="11"/>
  <c r="BR41" i="11"/>
  <c r="BK41" i="11"/>
  <c r="BJ41" i="11"/>
  <c r="BI41" i="11"/>
  <c r="BH41" i="11"/>
  <c r="BG41" i="11"/>
  <c r="BF41" i="11"/>
  <c r="BE41" i="11"/>
  <c r="BD41" i="11"/>
  <c r="BC41" i="11"/>
  <c r="BB41" i="11"/>
  <c r="BA41" i="11"/>
  <c r="AZ41" i="11"/>
  <c r="AY41" i="11"/>
  <c r="AX41" i="11"/>
  <c r="AU41" i="11"/>
  <c r="AT41" i="11"/>
  <c r="AS41" i="11"/>
  <c r="CM25" i="11"/>
  <c r="CI25" i="11"/>
  <c r="CH25" i="11"/>
  <c r="CG25" i="11"/>
  <c r="CF25" i="11"/>
  <c r="CE25" i="11"/>
  <c r="CD25" i="11"/>
  <c r="BT25" i="11"/>
  <c r="BS25" i="11"/>
  <c r="BR25" i="11"/>
  <c r="BK25" i="11"/>
  <c r="BJ25" i="11"/>
  <c r="BI25" i="11"/>
  <c r="BH25" i="11"/>
  <c r="BG25" i="11"/>
  <c r="BF25" i="11"/>
  <c r="BE25" i="11"/>
  <c r="BD25" i="11"/>
  <c r="BC25" i="11"/>
  <c r="BB25" i="11"/>
  <c r="BA25" i="11"/>
  <c r="AZ25" i="11"/>
  <c r="AY25" i="11"/>
  <c r="AX25" i="11"/>
  <c r="AU25" i="11"/>
  <c r="AT25" i="11"/>
  <c r="AS25" i="11"/>
  <c r="CM47" i="11"/>
  <c r="CI47" i="11"/>
  <c r="CH47" i="11"/>
  <c r="CF47" i="11"/>
  <c r="CE47" i="11"/>
  <c r="CD47" i="11"/>
  <c r="BT47" i="11"/>
  <c r="BS47" i="11"/>
  <c r="BR47" i="11"/>
  <c r="BK47" i="11"/>
  <c r="BJ47" i="11"/>
  <c r="BI47" i="11"/>
  <c r="BH47" i="11"/>
  <c r="BG47" i="11"/>
  <c r="BF47" i="11"/>
  <c r="BE47" i="11"/>
  <c r="BD47" i="11"/>
  <c r="BC47" i="11"/>
  <c r="BB47" i="11"/>
  <c r="BA47" i="11"/>
  <c r="AZ47" i="11"/>
  <c r="AY47" i="11"/>
  <c r="AX47" i="11"/>
  <c r="AU47" i="11"/>
  <c r="AT47" i="11"/>
  <c r="AS47" i="11"/>
  <c r="CM29" i="11"/>
  <c r="CI29" i="11"/>
  <c r="CH29" i="11"/>
  <c r="CG29" i="11"/>
  <c r="CF29" i="11"/>
  <c r="CE29" i="11"/>
  <c r="CD29" i="11"/>
  <c r="BT29" i="11"/>
  <c r="BS29" i="11"/>
  <c r="BR29" i="11"/>
  <c r="BK29" i="11"/>
  <c r="BJ29" i="11"/>
  <c r="BI29" i="11"/>
  <c r="BH29" i="11"/>
  <c r="BG29" i="11"/>
  <c r="BF29" i="11"/>
  <c r="BE29" i="11"/>
  <c r="BD29" i="11"/>
  <c r="BC29" i="11"/>
  <c r="BB29" i="11"/>
  <c r="BA29" i="11"/>
  <c r="AZ29" i="11"/>
  <c r="AY29" i="11"/>
  <c r="AX29" i="11"/>
  <c r="AU29" i="11"/>
  <c r="AT29" i="11"/>
  <c r="AS29" i="11"/>
  <c r="CM46" i="11"/>
  <c r="CI46" i="11"/>
  <c r="CH46" i="11"/>
  <c r="CG46" i="11"/>
  <c r="CF46" i="11"/>
  <c r="CE46" i="11"/>
  <c r="CD46" i="11"/>
  <c r="BT46" i="11"/>
  <c r="BS46" i="11"/>
  <c r="BR46" i="11"/>
  <c r="BK46" i="11"/>
  <c r="BJ46" i="11"/>
  <c r="BI46" i="11"/>
  <c r="BH46" i="11"/>
  <c r="BG46" i="11"/>
  <c r="BF46" i="11"/>
  <c r="BE46" i="11"/>
  <c r="BD46" i="11"/>
  <c r="BC46" i="11"/>
  <c r="BB46" i="11"/>
  <c r="BA46" i="11"/>
  <c r="AZ46" i="11"/>
  <c r="AY46" i="11"/>
  <c r="AX46" i="11"/>
  <c r="AU46" i="11"/>
  <c r="AT46" i="11"/>
  <c r="AS46" i="11"/>
  <c r="CM139" i="11"/>
  <c r="CI139" i="11"/>
  <c r="CH139" i="11"/>
  <c r="CG139" i="11"/>
  <c r="CF139" i="11"/>
  <c r="CE139" i="11"/>
  <c r="CD139" i="11"/>
  <c r="BT139" i="11"/>
  <c r="BS139" i="11"/>
  <c r="BR139" i="11"/>
  <c r="BK139" i="11"/>
  <c r="BJ139" i="11"/>
  <c r="BI139" i="11"/>
  <c r="BH139" i="11"/>
  <c r="BG139" i="11"/>
  <c r="BF139" i="11"/>
  <c r="BE139" i="11"/>
  <c r="BD139" i="11"/>
  <c r="BC139" i="11"/>
  <c r="BB139" i="11"/>
  <c r="BA139" i="11"/>
  <c r="AZ139" i="11"/>
  <c r="AY139" i="11"/>
  <c r="AX139" i="11"/>
  <c r="AU139" i="11"/>
  <c r="AT139" i="11"/>
  <c r="AS139" i="11"/>
  <c r="CM134" i="11"/>
  <c r="CI134" i="11"/>
  <c r="CH134" i="11"/>
  <c r="CG134" i="11"/>
  <c r="CF134" i="11"/>
  <c r="CE134" i="11"/>
  <c r="CD134" i="11"/>
  <c r="BT134" i="11"/>
  <c r="BS134" i="11"/>
  <c r="BR134" i="11"/>
  <c r="BK134" i="11"/>
  <c r="BJ134" i="11"/>
  <c r="BI134" i="11"/>
  <c r="BH134" i="11"/>
  <c r="BG134" i="11"/>
  <c r="BF134" i="11"/>
  <c r="BE134" i="11"/>
  <c r="BD134" i="11"/>
  <c r="BC134" i="11"/>
  <c r="BB134" i="11"/>
  <c r="BA134" i="11"/>
  <c r="AZ134" i="11"/>
  <c r="AY134" i="11"/>
  <c r="AX134" i="11"/>
  <c r="AU134" i="11"/>
  <c r="AT134" i="11"/>
  <c r="AS134" i="11"/>
  <c r="CM28" i="11"/>
  <c r="CI28" i="11"/>
  <c r="CH28" i="11"/>
  <c r="CF28" i="11"/>
  <c r="CE28" i="11"/>
  <c r="CD28" i="11"/>
  <c r="BT28" i="11"/>
  <c r="BS28" i="11"/>
  <c r="BR28" i="11"/>
  <c r="BK28" i="11"/>
  <c r="BJ28" i="11"/>
  <c r="BI28" i="11"/>
  <c r="BH28" i="11"/>
  <c r="BG28" i="11"/>
  <c r="BF28" i="11"/>
  <c r="BE28" i="11"/>
  <c r="BD28" i="11"/>
  <c r="BC28" i="11"/>
  <c r="BB28" i="11"/>
  <c r="BA28" i="11"/>
  <c r="AZ28" i="11"/>
  <c r="AY28" i="11"/>
  <c r="AX28" i="11"/>
  <c r="AU28" i="11"/>
  <c r="AT28" i="11"/>
  <c r="AS28" i="11"/>
  <c r="CM24" i="11"/>
  <c r="CI24" i="11"/>
  <c r="CH24" i="11"/>
  <c r="CF24" i="11"/>
  <c r="CE24" i="11"/>
  <c r="CD24" i="11"/>
  <c r="BT24" i="11"/>
  <c r="BS24" i="11"/>
  <c r="BR24" i="11"/>
  <c r="BK24" i="11"/>
  <c r="BJ24" i="11"/>
  <c r="BI24" i="11"/>
  <c r="BH24" i="11"/>
  <c r="BG24" i="11"/>
  <c r="BF24" i="11"/>
  <c r="BE24" i="11"/>
  <c r="BD24" i="11"/>
  <c r="BC24" i="11"/>
  <c r="BB24" i="11"/>
  <c r="BA24" i="11"/>
  <c r="AZ24" i="11"/>
  <c r="AY24" i="11"/>
  <c r="AX24" i="11"/>
  <c r="AU24" i="11"/>
  <c r="AT24" i="11"/>
  <c r="AS24" i="11"/>
  <c r="CM12" i="11"/>
  <c r="CI12" i="11"/>
  <c r="CH12" i="11"/>
  <c r="CF12" i="11"/>
  <c r="CE12" i="11"/>
  <c r="CD12" i="11"/>
  <c r="BT12" i="11"/>
  <c r="BS12" i="11"/>
  <c r="BR12" i="11"/>
  <c r="BK12" i="11"/>
  <c r="BJ12" i="11"/>
  <c r="BI12" i="11"/>
  <c r="BH12" i="11"/>
  <c r="BG12" i="11"/>
  <c r="BF12" i="11"/>
  <c r="BE12" i="11"/>
  <c r="BD12" i="11"/>
  <c r="BC12" i="11"/>
  <c r="BB12" i="11"/>
  <c r="BA12" i="11"/>
  <c r="AZ12" i="11"/>
  <c r="AY12" i="11"/>
  <c r="AX12" i="11"/>
  <c r="AU12" i="11"/>
  <c r="AT12" i="11"/>
  <c r="AS12" i="11"/>
  <c r="CM56" i="11"/>
  <c r="CI56" i="11"/>
  <c r="CF56" i="11"/>
  <c r="CE56" i="11"/>
  <c r="CD56" i="11"/>
  <c r="BT56" i="11"/>
  <c r="BS56" i="11"/>
  <c r="BR56" i="11"/>
  <c r="BK56" i="11"/>
  <c r="BJ56" i="11"/>
  <c r="BI56" i="11"/>
  <c r="BH56" i="11"/>
  <c r="BG56" i="11"/>
  <c r="BF56" i="11"/>
  <c r="BE56" i="11"/>
  <c r="BD56" i="11"/>
  <c r="BC56" i="11"/>
  <c r="BB56" i="11"/>
  <c r="BA56" i="11"/>
  <c r="AZ56" i="11"/>
  <c r="AY56" i="11"/>
  <c r="AX56" i="11"/>
  <c r="AU56" i="11"/>
  <c r="AT56" i="11"/>
  <c r="AS56" i="11"/>
  <c r="CG125" i="11"/>
  <c r="CG116" i="11"/>
  <c r="CI116" i="11"/>
  <c r="CH116" i="11"/>
  <c r="CG111" i="11"/>
  <c r="CH33" i="11"/>
  <c r="CI21" i="11"/>
  <c r="CH21" i="11"/>
  <c r="CH20" i="11"/>
  <c r="CI20" i="11"/>
  <c r="CI81" i="11"/>
  <c r="CI80" i="11"/>
  <c r="CI72" i="11"/>
  <c r="CI86" i="11"/>
  <c r="CH86" i="11"/>
  <c r="CH83" i="11"/>
  <c r="CH48" i="11"/>
  <c r="CH51" i="11"/>
  <c r="CI84" i="11"/>
  <c r="CA19" i="13"/>
  <c r="CA20" i="13"/>
  <c r="CA18" i="13"/>
  <c r="Y6" i="13"/>
  <c r="CA6" i="13" s="1"/>
  <c r="Y32" i="13"/>
  <c r="CI106" i="11"/>
  <c r="Y15" i="13"/>
  <c r="CA15" i="13" s="1"/>
  <c r="CL6" i="11"/>
  <c r="CL102" i="11"/>
  <c r="CL89" i="11"/>
  <c r="CL72" i="11"/>
  <c r="CL123" i="11"/>
  <c r="CL113" i="11"/>
  <c r="CL8" i="11"/>
  <c r="CL49" i="11"/>
  <c r="CL41" i="11"/>
  <c r="CL115" i="11"/>
  <c r="CL129" i="11"/>
  <c r="CL96" i="11"/>
  <c r="CL75" i="11"/>
  <c r="CL59" i="11"/>
  <c r="CL114" i="11"/>
  <c r="CL121" i="11"/>
  <c r="CL61" i="11"/>
  <c r="CL15" i="11"/>
  <c r="CL45" i="11"/>
  <c r="CL94" i="11"/>
  <c r="CL139" i="11"/>
  <c r="CL127" i="11"/>
  <c r="CL100" i="11"/>
  <c r="CL81" i="11"/>
  <c r="CL68" i="11"/>
  <c r="CL119" i="11"/>
  <c r="CL37" i="11"/>
  <c r="CL136" i="11"/>
  <c r="CL13" i="11"/>
  <c r="CL29" i="11"/>
  <c r="CL87" i="11"/>
  <c r="CL84" i="11"/>
  <c r="CL92" i="11"/>
  <c r="CL71" i="11"/>
  <c r="CL125" i="11"/>
  <c r="CL23" i="11"/>
  <c r="CL22" i="11"/>
  <c r="CL11" i="11"/>
  <c r="CL40" i="11"/>
  <c r="CL62" i="11"/>
  <c r="CL21" i="11"/>
  <c r="CL55" i="11"/>
  <c r="CL57" i="11"/>
  <c r="CL138" i="11"/>
  <c r="CL107" i="11"/>
  <c r="CL97" i="11"/>
  <c r="CL77" i="11"/>
  <c r="CL64" i="11"/>
  <c r="CL116" i="11"/>
  <c r="CL18" i="11"/>
  <c r="CL131" i="11"/>
  <c r="CL54" i="11"/>
  <c r="CL56" i="11"/>
  <c r="CL42" i="11"/>
  <c r="CL26" i="11"/>
  <c r="CL88" i="11"/>
  <c r="CL67" i="11"/>
  <c r="CL120" i="11"/>
  <c r="CL43" i="11"/>
  <c r="CL7" i="11"/>
  <c r="CL50" i="11"/>
  <c r="CL47" i="11"/>
  <c r="CL58" i="11"/>
  <c r="CL32" i="11"/>
  <c r="CL83" i="11"/>
  <c r="CL101" i="11"/>
  <c r="CL86" i="11"/>
  <c r="CL9" i="11"/>
  <c r="CL90" i="11"/>
  <c r="CL69" i="11"/>
  <c r="CL126" i="11"/>
  <c r="CL110" i="11"/>
  <c r="CL33" i="11"/>
  <c r="CL52" i="11"/>
  <c r="CL130" i="11"/>
  <c r="CL46" i="11"/>
  <c r="CL27" i="11"/>
  <c r="CL80" i="11"/>
  <c r="CL63" i="11"/>
  <c r="CL38" i="11"/>
  <c r="CL132" i="11"/>
  <c r="CL30" i="11"/>
  <c r="CL134" i="11"/>
  <c r="CL124" i="11"/>
  <c r="CL108" i="11"/>
  <c r="CL99" i="11"/>
  <c r="CL79" i="11"/>
  <c r="CL82" i="11"/>
  <c r="CL65" i="11"/>
  <c r="CL122" i="11"/>
  <c r="CL109" i="11"/>
  <c r="CL17" i="11"/>
  <c r="CL137" i="11"/>
  <c r="CL10" i="11"/>
  <c r="CL34" i="11"/>
  <c r="CL14" i="11"/>
  <c r="CL24" i="11"/>
  <c r="CL51" i="11"/>
  <c r="CL105" i="11"/>
  <c r="CL74" i="11"/>
  <c r="CL98" i="11"/>
  <c r="CL78" i="11"/>
  <c r="CL118" i="11"/>
  <c r="CL39" i="11"/>
  <c r="CL135" i="11"/>
  <c r="CL12" i="11"/>
  <c r="CL103" i="11"/>
  <c r="CL70" i="11"/>
  <c r="CL73" i="11"/>
  <c r="CL117" i="11"/>
  <c r="CL36" i="11"/>
  <c r="CL25" i="11"/>
  <c r="CL133" i="11"/>
  <c r="CL104" i="11"/>
  <c r="CL93" i="11"/>
  <c r="CL76" i="11"/>
  <c r="CL60" i="11"/>
  <c r="CL111" i="11"/>
  <c r="CL19" i="11"/>
  <c r="CL16" i="11"/>
  <c r="CL48" i="11"/>
  <c r="CL66" i="11"/>
  <c r="CL35" i="11"/>
  <c r="CL106" i="11"/>
  <c r="CL112" i="11"/>
  <c r="CL31" i="11"/>
  <c r="CL85" i="11"/>
  <c r="CL20" i="11"/>
  <c r="CL28" i="11"/>
  <c r="CL53" i="11"/>
  <c r="CL95" i="11"/>
  <c r="CL44" i="11"/>
  <c r="CL91" i="11"/>
  <c r="CL128" i="11"/>
  <c r="CB139" i="11" l="1"/>
  <c r="CB45" i="11"/>
  <c r="CB10" i="11"/>
  <c r="CB27" i="11"/>
  <c r="CB133" i="11"/>
  <c r="CB12" i="11"/>
  <c r="CB28" i="11"/>
  <c r="CB46" i="11"/>
  <c r="CK46" i="11" s="1"/>
  <c r="CB25" i="11"/>
  <c r="CB135" i="11"/>
  <c r="CB137" i="11"/>
  <c r="CB130" i="11"/>
  <c r="CB128" i="11"/>
  <c r="CB15" i="11"/>
  <c r="CB17" i="11"/>
  <c r="CB52" i="11"/>
  <c r="CN52" i="11" s="1"/>
  <c r="CB138" i="11"/>
  <c r="CB39" i="11"/>
  <c r="CB20" i="11"/>
  <c r="CB33" i="11"/>
  <c r="CK33" i="11" s="1"/>
  <c r="CB36" i="11"/>
  <c r="CB44" i="11"/>
  <c r="CB109" i="11"/>
  <c r="CB110" i="11"/>
  <c r="CN110" i="11" s="1"/>
  <c r="CB117" i="11"/>
  <c r="CB118" i="11"/>
  <c r="CB122" i="11"/>
  <c r="CB126" i="11"/>
  <c r="CN126" i="11" s="1"/>
  <c r="CB57" i="11"/>
  <c r="CB61" i="11"/>
  <c r="CB65" i="11"/>
  <c r="CB69" i="11"/>
  <c r="CK69" i="11" s="1"/>
  <c r="CB73" i="11"/>
  <c r="CB78" i="11"/>
  <c r="CB82" i="11"/>
  <c r="CB90" i="11"/>
  <c r="CN90" i="11" s="1"/>
  <c r="CB94" i="11"/>
  <c r="CB98" i="11"/>
  <c r="CB85" i="11"/>
  <c r="CB9" i="11"/>
  <c r="CN9" i="11" s="1"/>
  <c r="CB70" i="11"/>
  <c r="CB74" i="11"/>
  <c r="CB79" i="11"/>
  <c r="CB86" i="11"/>
  <c r="CK86" i="11" s="1"/>
  <c r="CB91" i="11"/>
  <c r="CB95" i="11"/>
  <c r="CB99" i="11"/>
  <c r="CB101" i="11"/>
  <c r="CN101" i="11" s="1"/>
  <c r="CB103" i="11"/>
  <c r="CB105" i="11"/>
  <c r="CB108" i="11"/>
  <c r="CB83" i="11"/>
  <c r="CK83" i="11" s="1"/>
  <c r="CB55" i="11"/>
  <c r="CB51" i="11"/>
  <c r="CB31" i="11"/>
  <c r="CB32" i="11"/>
  <c r="CK32" i="11" s="1"/>
  <c r="CB21" i="11"/>
  <c r="CB121" i="11"/>
  <c r="CB124" i="11"/>
  <c r="CB58" i="11"/>
  <c r="CN58" i="11" s="1"/>
  <c r="CB62" i="11"/>
  <c r="CB24" i="11"/>
  <c r="CB134" i="11"/>
  <c r="CB47" i="11"/>
  <c r="CK47" i="11" s="1"/>
  <c r="CB40" i="11"/>
  <c r="CB14" i="11"/>
  <c r="CB30" i="11"/>
  <c r="CB50" i="11"/>
  <c r="CK50" i="11" s="1"/>
  <c r="CB11" i="11"/>
  <c r="CB53" i="11"/>
  <c r="CB132" i="11"/>
  <c r="CB7" i="11"/>
  <c r="CK7" i="11" s="1"/>
  <c r="CB22" i="11"/>
  <c r="CB34" i="11"/>
  <c r="CB38" i="11"/>
  <c r="CB43" i="11"/>
  <c r="CK43" i="11" s="1"/>
  <c r="CB23" i="11"/>
  <c r="CB114" i="11"/>
  <c r="CB112" i="11"/>
  <c r="CB120" i="11"/>
  <c r="CN120" i="11" s="1"/>
  <c r="CB125" i="11"/>
  <c r="CB59" i="11"/>
  <c r="CB63" i="11"/>
  <c r="CB67" i="11"/>
  <c r="CK67" i="11" s="1"/>
  <c r="CB71" i="11"/>
  <c r="CB75" i="11"/>
  <c r="CB80" i="11"/>
  <c r="CB88" i="11"/>
  <c r="CK88" i="11" s="1"/>
  <c r="CB92" i="11"/>
  <c r="CB96" i="11"/>
  <c r="CN96" i="11" s="1"/>
  <c r="CB106" i="11"/>
  <c r="CB26" i="11"/>
  <c r="CK26" i="11" s="1"/>
  <c r="CB84" i="11"/>
  <c r="CN84" i="11" s="1"/>
  <c r="CB129" i="11"/>
  <c r="CN129" i="11" s="1"/>
  <c r="CB35" i="11"/>
  <c r="CB42" i="11"/>
  <c r="CN42" i="11" s="1"/>
  <c r="CB87" i="11"/>
  <c r="CK87" i="11" s="1"/>
  <c r="CB115" i="11"/>
  <c r="CK115" i="11" s="1"/>
  <c r="CB66" i="11"/>
  <c r="CB56" i="11"/>
  <c r="CN56" i="11" s="1"/>
  <c r="CB29" i="11"/>
  <c r="CB41" i="11"/>
  <c r="CB48" i="11"/>
  <c r="CB54" i="11"/>
  <c r="CK54" i="11" s="1"/>
  <c r="CB13" i="11"/>
  <c r="CB49" i="11"/>
  <c r="CB16" i="11"/>
  <c r="CB131" i="11"/>
  <c r="CN131" i="11" s="1"/>
  <c r="CB136" i="11"/>
  <c r="CN136" i="11" s="1"/>
  <c r="CB8" i="11"/>
  <c r="CB19" i="11"/>
  <c r="CB18" i="11"/>
  <c r="CK18" i="11" s="1"/>
  <c r="CB37" i="11"/>
  <c r="CB113" i="11"/>
  <c r="CK113" i="11" s="1"/>
  <c r="CB111" i="11"/>
  <c r="CB116" i="11"/>
  <c r="CK116" i="11" s="1"/>
  <c r="CB119" i="11"/>
  <c r="CB123" i="11"/>
  <c r="CB60" i="11"/>
  <c r="CB64" i="11"/>
  <c r="CK64" i="11" s="1"/>
  <c r="CB68" i="11"/>
  <c r="CK68" i="11" s="1"/>
  <c r="CB72" i="11"/>
  <c r="CB76" i="11"/>
  <c r="CB77" i="11"/>
  <c r="CB81" i="11"/>
  <c r="CK81" i="11" s="1"/>
  <c r="CB89" i="11"/>
  <c r="CN89" i="11" s="1"/>
  <c r="CB93" i="11"/>
  <c r="CB97" i="11"/>
  <c r="CK97" i="11" s="1"/>
  <c r="CB100" i="11"/>
  <c r="CN100" i="11" s="1"/>
  <c r="CB102" i="11"/>
  <c r="CN102" i="11" s="1"/>
  <c r="CB104" i="11"/>
  <c r="CB107" i="11"/>
  <c r="CN107" i="11" s="1"/>
  <c r="CB127" i="11"/>
  <c r="CK127" i="11" s="1"/>
  <c r="CB6" i="11"/>
  <c r="CK6" i="11" s="1"/>
  <c r="CO1" i="11"/>
  <c r="CK92" i="11"/>
  <c r="CN78" i="11"/>
  <c r="CK139" i="11"/>
  <c r="CK30" i="11"/>
  <c r="CK77" i="11"/>
  <c r="CK22" i="11"/>
  <c r="CK21" i="11"/>
  <c r="CK79" i="11"/>
  <c r="CK8" i="11"/>
  <c r="CK109" i="11"/>
  <c r="CK73" i="11"/>
  <c r="CJ6" i="11"/>
  <c r="BQ6" i="11"/>
  <c r="BQ129" i="11"/>
  <c r="BQ85" i="11"/>
  <c r="BW85" i="11" s="1"/>
  <c r="BQ83" i="11"/>
  <c r="BV84" i="11"/>
  <c r="BQ127" i="11"/>
  <c r="BQ84" i="11"/>
  <c r="CN85" i="11"/>
  <c r="BQ26" i="11"/>
  <c r="BQ94" i="11"/>
  <c r="BQ95" i="11"/>
  <c r="BQ102" i="11"/>
  <c r="BQ100" i="11"/>
  <c r="BQ108" i="11"/>
  <c r="BQ91" i="11"/>
  <c r="BQ92" i="11"/>
  <c r="BQ98" i="11"/>
  <c r="BQ99" i="11"/>
  <c r="BQ106" i="11"/>
  <c r="BQ107" i="11"/>
  <c r="BQ93" i="11"/>
  <c r="BQ101" i="11"/>
  <c r="BQ89" i="11"/>
  <c r="BQ90" i="11"/>
  <c r="BQ96" i="11"/>
  <c r="BQ104" i="11"/>
  <c r="BQ88" i="11"/>
  <c r="CK98" i="11"/>
  <c r="CK106" i="11"/>
  <c r="CN94" i="11"/>
  <c r="BQ103" i="11"/>
  <c r="CN108" i="11"/>
  <c r="BQ97" i="11"/>
  <c r="BQ105" i="11"/>
  <c r="CN91" i="11"/>
  <c r="CN95" i="11"/>
  <c r="CN104" i="11"/>
  <c r="CN99" i="11"/>
  <c r="CN103" i="11"/>
  <c r="CK105" i="11"/>
  <c r="BQ78" i="11"/>
  <c r="BW78" i="11" s="1"/>
  <c r="BQ76" i="11"/>
  <c r="BQ80" i="11"/>
  <c r="BQ61" i="11"/>
  <c r="BW61" i="11" s="1"/>
  <c r="BQ68" i="11"/>
  <c r="BQ69" i="11"/>
  <c r="BQ79" i="11"/>
  <c r="CK82" i="11"/>
  <c r="BQ86" i="11"/>
  <c r="BW86" i="11" s="1"/>
  <c r="BQ82" i="11"/>
  <c r="BQ81" i="11"/>
  <c r="CK80" i="11"/>
  <c r="CK61" i="11"/>
  <c r="BQ62" i="11"/>
  <c r="BW62" i="11" s="1"/>
  <c r="BQ63" i="11"/>
  <c r="BW63" i="11" s="1"/>
  <c r="BQ70" i="11"/>
  <c r="BQ71" i="11"/>
  <c r="BQ57" i="11"/>
  <c r="CK63" i="11"/>
  <c r="BQ64" i="11"/>
  <c r="BQ65" i="11"/>
  <c r="CK71" i="11"/>
  <c r="BQ72" i="11"/>
  <c r="BQ73" i="11"/>
  <c r="BQ74" i="11"/>
  <c r="BQ75" i="11"/>
  <c r="CK57" i="11"/>
  <c r="BQ58" i="11"/>
  <c r="BQ59" i="11"/>
  <c r="CK65" i="11"/>
  <c r="BQ66" i="11"/>
  <c r="BQ67" i="11"/>
  <c r="BW67" i="11" s="1"/>
  <c r="CK59" i="11"/>
  <c r="BQ77" i="11"/>
  <c r="BQ60" i="11"/>
  <c r="CJ76" i="11"/>
  <c r="CK75" i="11"/>
  <c r="CK60" i="11"/>
  <c r="CK62" i="11"/>
  <c r="CN66" i="11"/>
  <c r="CN70" i="11"/>
  <c r="CK72" i="11"/>
  <c r="CN74" i="11"/>
  <c r="CK76" i="11"/>
  <c r="BV42" i="11"/>
  <c r="BQ18" i="11"/>
  <c r="BW18" i="11" s="1"/>
  <c r="BQ126" i="11"/>
  <c r="BQ122" i="11"/>
  <c r="BQ23" i="11"/>
  <c r="BW23" i="11" s="1"/>
  <c r="BQ20" i="11"/>
  <c r="BQ21" i="11"/>
  <c r="BW21" i="11" s="1"/>
  <c r="BQ22" i="11"/>
  <c r="BQ35" i="11"/>
  <c r="BQ37" i="11"/>
  <c r="BW37" i="11" s="1"/>
  <c r="BQ42" i="11"/>
  <c r="BQ115" i="11"/>
  <c r="BQ121" i="11"/>
  <c r="BQ124" i="11"/>
  <c r="BQ19" i="11"/>
  <c r="BQ43" i="11"/>
  <c r="BW43" i="11" s="1"/>
  <c r="BQ109" i="11"/>
  <c r="BQ120" i="11"/>
  <c r="BQ125" i="11"/>
  <c r="BQ8" i="11"/>
  <c r="BQ33" i="11"/>
  <c r="BW33" i="11" s="1"/>
  <c r="BQ34" i="11"/>
  <c r="BW34" i="11" s="1"/>
  <c r="BQ36" i="11"/>
  <c r="BW36" i="11" s="1"/>
  <c r="BQ38" i="11"/>
  <c r="BW38" i="11" s="1"/>
  <c r="BQ44" i="11"/>
  <c r="BW44" i="11" s="1"/>
  <c r="BQ112" i="11"/>
  <c r="BQ117" i="11"/>
  <c r="BQ119" i="11"/>
  <c r="BQ123" i="11"/>
  <c r="CJ125" i="11"/>
  <c r="CJ117" i="11"/>
  <c r="CJ126" i="11"/>
  <c r="BQ118" i="11"/>
  <c r="CN118" i="11"/>
  <c r="CN122" i="11"/>
  <c r="CK117" i="11"/>
  <c r="CK119" i="11"/>
  <c r="CN121" i="11"/>
  <c r="CK123" i="11"/>
  <c r="CK124" i="11"/>
  <c r="BQ116" i="11"/>
  <c r="CJ116" i="11"/>
  <c r="CK112" i="11"/>
  <c r="BQ111" i="11"/>
  <c r="CJ111" i="11"/>
  <c r="CK111" i="11"/>
  <c r="BQ110" i="11"/>
  <c r="BQ113" i="11"/>
  <c r="BQ114" i="11"/>
  <c r="CN114" i="11"/>
  <c r="CN109" i="11"/>
  <c r="BQ87" i="11"/>
  <c r="CK23" i="11"/>
  <c r="CK44" i="11"/>
  <c r="CK36" i="11"/>
  <c r="CN35" i="11"/>
  <c r="CK37" i="11"/>
  <c r="CN21" i="11"/>
  <c r="CK20" i="11"/>
  <c r="CJ7" i="11"/>
  <c r="CJ8" i="11"/>
  <c r="CK19" i="11"/>
  <c r="BQ7" i="11"/>
  <c r="CN8" i="11"/>
  <c r="CJ10" i="11"/>
  <c r="CJ39" i="11"/>
  <c r="CJ46" i="11"/>
  <c r="BQ45" i="11"/>
  <c r="BQ9" i="11"/>
  <c r="CJ132" i="11"/>
  <c r="BQ28" i="11"/>
  <c r="CJ139" i="11"/>
  <c r="CJ133" i="11"/>
  <c r="BQ52" i="11"/>
  <c r="BQ135" i="11"/>
  <c r="CJ40" i="11"/>
  <c r="CJ27" i="11"/>
  <c r="CJ29" i="11"/>
  <c r="BQ131" i="11"/>
  <c r="CJ131" i="11"/>
  <c r="CJ136" i="11"/>
  <c r="BQ29" i="11"/>
  <c r="BQ55" i="11"/>
  <c r="CJ45" i="11"/>
  <c r="CJ128" i="11"/>
  <c r="CJ15" i="11"/>
  <c r="BQ134" i="11"/>
  <c r="CJ134" i="11"/>
  <c r="BQ41" i="11"/>
  <c r="CJ55" i="11"/>
  <c r="BQ56" i="11"/>
  <c r="BQ12" i="11"/>
  <c r="BQ25" i="11"/>
  <c r="BQ24" i="11"/>
  <c r="BQ139" i="11"/>
  <c r="BQ46" i="11"/>
  <c r="CJ135" i="11"/>
  <c r="CJ137" i="11"/>
  <c r="CJ54" i="11"/>
  <c r="BQ13" i="11"/>
  <c r="BQ14" i="11"/>
  <c r="BQ17" i="11"/>
  <c r="CJ17" i="11"/>
  <c r="BQ136" i="11"/>
  <c r="BQ31" i="11"/>
  <c r="BQ128" i="11"/>
  <c r="BQ16" i="11"/>
  <c r="BQ27" i="11"/>
  <c r="BQ133" i="11"/>
  <c r="BQ138" i="11"/>
  <c r="BQ11" i="11"/>
  <c r="BQ39" i="11"/>
  <c r="BQ32" i="11"/>
  <c r="BQ130" i="11"/>
  <c r="CJ130" i="11"/>
  <c r="CJ9" i="11"/>
  <c r="BQ49" i="11"/>
  <c r="CJ49" i="11"/>
  <c r="BQ30" i="11"/>
  <c r="BQ10" i="11"/>
  <c r="CJ50" i="11"/>
  <c r="BQ53" i="11"/>
  <c r="CJ53" i="11"/>
  <c r="BQ51" i="11"/>
  <c r="BQ132" i="11"/>
  <c r="CK12" i="11"/>
  <c r="CK24" i="11"/>
  <c r="CK134" i="11"/>
  <c r="BQ47" i="11"/>
  <c r="CK45" i="11"/>
  <c r="CK28" i="11"/>
  <c r="CJ25" i="11"/>
  <c r="CN29" i="11"/>
  <c r="CN25" i="11"/>
  <c r="CN41" i="11"/>
  <c r="CK55" i="11"/>
  <c r="BQ48" i="11"/>
  <c r="BQ40" i="11"/>
  <c r="CK40" i="11"/>
  <c r="CN49" i="11"/>
  <c r="BQ137" i="11"/>
  <c r="CK17" i="11"/>
  <c r="CN48" i="11"/>
  <c r="CN137" i="11"/>
  <c r="BQ54" i="11"/>
  <c r="CN130" i="11"/>
  <c r="BQ15" i="11"/>
  <c r="CK10" i="11"/>
  <c r="CK128" i="11"/>
  <c r="CK15" i="11"/>
  <c r="CK14" i="11"/>
  <c r="CN39" i="11"/>
  <c r="CK51" i="11"/>
  <c r="CN31" i="11"/>
  <c r="CN135" i="11"/>
  <c r="CN13" i="11"/>
  <c r="CN16" i="11"/>
  <c r="CN138" i="11"/>
  <c r="BQ50" i="11"/>
  <c r="CN133" i="11"/>
  <c r="CK11" i="11"/>
  <c r="J4" i="4"/>
  <c r="J5" i="4"/>
  <c r="J6" i="4"/>
  <c r="J7" i="4"/>
  <c r="J8" i="4"/>
  <c r="J9" i="4"/>
  <c r="J10" i="4"/>
  <c r="J11" i="4"/>
  <c r="J12" i="4"/>
  <c r="J13" i="4"/>
  <c r="J14" i="4"/>
  <c r="J15" i="4"/>
  <c r="J16" i="4"/>
  <c r="J17" i="4"/>
  <c r="J18" i="4"/>
  <c r="J19" i="4"/>
  <c r="J20" i="4"/>
  <c r="J21" i="4"/>
  <c r="J22" i="4"/>
  <c r="J23" i="4"/>
  <c r="CK131" i="11" l="1"/>
  <c r="CN7" i="11"/>
  <c r="CN27" i="11"/>
  <c r="CN34" i="11"/>
  <c r="CN38" i="11"/>
  <c r="CK125" i="11"/>
  <c r="CN93" i="11"/>
  <c r="CN79" i="11"/>
  <c r="CN73" i="11"/>
  <c r="CN127" i="11"/>
  <c r="CN50" i="11"/>
  <c r="CK129" i="11"/>
  <c r="BW84" i="11"/>
  <c r="CN6" i="11"/>
  <c r="CK84" i="11"/>
  <c r="CN83" i="11"/>
  <c r="CK85" i="11"/>
  <c r="CN26" i="11"/>
  <c r="BW42" i="11"/>
  <c r="CN98" i="11"/>
  <c r="CN97" i="11"/>
  <c r="CK91" i="11"/>
  <c r="CN92" i="11"/>
  <c r="CK89" i="11"/>
  <c r="CK102" i="11"/>
  <c r="CK101" i="11"/>
  <c r="CK94" i="11"/>
  <c r="CK90" i="11"/>
  <c r="CN105" i="11"/>
  <c r="CK107" i="11"/>
  <c r="CK99" i="11"/>
  <c r="CK104" i="11"/>
  <c r="CK95" i="11"/>
  <c r="CK103" i="11"/>
  <c r="CK108" i="11"/>
  <c r="CK96" i="11"/>
  <c r="CN106" i="11"/>
  <c r="CK100" i="11"/>
  <c r="CN88" i="11"/>
  <c r="CN67" i="11"/>
  <c r="CN82" i="11"/>
  <c r="CN86" i="11"/>
  <c r="CK78" i="11"/>
  <c r="CN80" i="11"/>
  <c r="CN81" i="11"/>
  <c r="CN60" i="11"/>
  <c r="CN65" i="11"/>
  <c r="CN57" i="11"/>
  <c r="CN71" i="11"/>
  <c r="CN63" i="11"/>
  <c r="CN59" i="11"/>
  <c r="CN69" i="11"/>
  <c r="CN61" i="11"/>
  <c r="CN77" i="11"/>
  <c r="CN75" i="11"/>
  <c r="CN62" i="11"/>
  <c r="CK58" i="11"/>
  <c r="CN76" i="11"/>
  <c r="CN72" i="11"/>
  <c r="CN68" i="11"/>
  <c r="CN64" i="11"/>
  <c r="CK70" i="11"/>
  <c r="CK66" i="11"/>
  <c r="CK74" i="11"/>
  <c r="CN119" i="11"/>
  <c r="CK126" i="11"/>
  <c r="CK121" i="11"/>
  <c r="CK122" i="11"/>
  <c r="CK118" i="11"/>
  <c r="CN123" i="11"/>
  <c r="CN124" i="11"/>
  <c r="CN117" i="11"/>
  <c r="CK120" i="11"/>
  <c r="CN116" i="11"/>
  <c r="CN112" i="11"/>
  <c r="CN111" i="11"/>
  <c r="CK110" i="11"/>
  <c r="CN115" i="11"/>
  <c r="CK114" i="11"/>
  <c r="CN113" i="11"/>
  <c r="CN87" i="11"/>
  <c r="CN23" i="11"/>
  <c r="CN44" i="11"/>
  <c r="CN43" i="11"/>
  <c r="CK42" i="11"/>
  <c r="CN37" i="11"/>
  <c r="CK38" i="11"/>
  <c r="CK34" i="11"/>
  <c r="CK35" i="11"/>
  <c r="CN36" i="11"/>
  <c r="CN33" i="11"/>
  <c r="CN18" i="11"/>
  <c r="CN22" i="11"/>
  <c r="CN20" i="11"/>
  <c r="CN19" i="11"/>
  <c r="CN30" i="11"/>
  <c r="CN15" i="11"/>
  <c r="CN24" i="11"/>
  <c r="CN14" i="11"/>
  <c r="CN12" i="11"/>
  <c r="CK29" i="11"/>
  <c r="CN128" i="11"/>
  <c r="CN28" i="11"/>
  <c r="CN46" i="11"/>
  <c r="CK27" i="11"/>
  <c r="CK48" i="11"/>
  <c r="CK137" i="11"/>
  <c r="CN134" i="11"/>
  <c r="CN11" i="11"/>
  <c r="CN51" i="11"/>
  <c r="CK130" i="11"/>
  <c r="CK41" i="11"/>
  <c r="CK52" i="11"/>
  <c r="CK49" i="11"/>
  <c r="CK13" i="11"/>
  <c r="CK39" i="11"/>
  <c r="CK16" i="11"/>
  <c r="CN17" i="11"/>
  <c r="CN32" i="11"/>
  <c r="CK53" i="11"/>
  <c r="CN53" i="11"/>
  <c r="CN132" i="11"/>
  <c r="CK132" i="11"/>
  <c r="CK136" i="11"/>
  <c r="CK133" i="11"/>
  <c r="CK138" i="11"/>
  <c r="CK9" i="11"/>
  <c r="CK135" i="11"/>
  <c r="CN40" i="11"/>
  <c r="CK25" i="11"/>
  <c r="CN47" i="11"/>
  <c r="CN54" i="11"/>
  <c r="CN139" i="11"/>
  <c r="CK31" i="11"/>
  <c r="CN10" i="11"/>
  <c r="CN55" i="11"/>
  <c r="CN45" i="11"/>
  <c r="CK56" i="11"/>
  <c r="CN125" i="11" l="1"/>
  <c r="CK93" i="11"/>
  <c r="BU41" i="11"/>
  <c r="BU32" i="11"/>
  <c r="BU78" i="11"/>
  <c r="BU126" i="11"/>
  <c r="CH66" i="11"/>
  <c r="BU50" i="11"/>
  <c r="BU124" i="11"/>
  <c r="CH95" i="11"/>
  <c r="CG95" i="11"/>
  <c r="BU31" i="11"/>
  <c r="BU35" i="11"/>
  <c r="CI61" i="11"/>
  <c r="CH74" i="11"/>
  <c r="CH97" i="11"/>
  <c r="CG32" i="11"/>
  <c r="BU127" i="11"/>
  <c r="CG83" i="11"/>
  <c r="BU115" i="11"/>
  <c r="CG98" i="11"/>
  <c r="CI18" i="11"/>
  <c r="CI65" i="11"/>
  <c r="CG94" i="11"/>
  <c r="BU14" i="11"/>
  <c r="BU88" i="11"/>
  <c r="CG31" i="11"/>
  <c r="CG64" i="11"/>
  <c r="BU22" i="11"/>
  <c r="BU42" i="11"/>
  <c r="CG23" i="11"/>
  <c r="BU136" i="11"/>
  <c r="CH91" i="11"/>
  <c r="BU57" i="11"/>
  <c r="BU132" i="11"/>
  <c r="CG33" i="11"/>
  <c r="CH19" i="11"/>
  <c r="BU54" i="11"/>
  <c r="CH81" i="11"/>
  <c r="BU8" i="11"/>
  <c r="CG20" i="11"/>
  <c r="CG67" i="11"/>
  <c r="BU52" i="11"/>
  <c r="CH64" i="11"/>
  <c r="CG127" i="11"/>
  <c r="CG37" i="11"/>
  <c r="CH44" i="11"/>
  <c r="CG105" i="11"/>
  <c r="BU59" i="11"/>
  <c r="CI88" i="11"/>
  <c r="CH57" i="11"/>
  <c r="BU114" i="11"/>
  <c r="BU123" i="11"/>
  <c r="BU129" i="11"/>
  <c r="CH22" i="11"/>
  <c r="CH93" i="11"/>
  <c r="CI97" i="11"/>
  <c r="BU19" i="11"/>
  <c r="CG110" i="11"/>
  <c r="CH60" i="11"/>
  <c r="CI74" i="11"/>
  <c r="CI89" i="11"/>
  <c r="CG18" i="11"/>
  <c r="BU45" i="11"/>
  <c r="BU11" i="11"/>
  <c r="CH67" i="11"/>
  <c r="CI94" i="11"/>
  <c r="CH71" i="11"/>
  <c r="BU70" i="11"/>
  <c r="CI75" i="11"/>
  <c r="CG69" i="11"/>
  <c r="CG38" i="11"/>
  <c r="CH65" i="11"/>
  <c r="CG73" i="11"/>
  <c r="CG119" i="11"/>
  <c r="CG107" i="11"/>
  <c r="BU6" i="11"/>
  <c r="CG48" i="11"/>
  <c r="BU84" i="11"/>
  <c r="CG99" i="11"/>
  <c r="BU27" i="11"/>
  <c r="BU117" i="11"/>
  <c r="BU101" i="11"/>
  <c r="BW98" i="11"/>
  <c r="BW58" i="11"/>
  <c r="BW74" i="11"/>
  <c r="CI90" i="11"/>
  <c r="BU97" i="11"/>
  <c r="CH56" i="11"/>
  <c r="BU113" i="11"/>
  <c r="BU82" i="11"/>
  <c r="CH59" i="11"/>
  <c r="BU56" i="11"/>
  <c r="CG114" i="11"/>
  <c r="CG71" i="11"/>
  <c r="BU103" i="11"/>
  <c r="CI70" i="11"/>
  <c r="BU107" i="11"/>
  <c r="BU102" i="11"/>
  <c r="CG108" i="11"/>
  <c r="BU29" i="11"/>
  <c r="CG22" i="11"/>
  <c r="CI68" i="11"/>
  <c r="CG65" i="11"/>
  <c r="CG109" i="11"/>
  <c r="BU138" i="11"/>
  <c r="BU69" i="11"/>
  <c r="CI79" i="11"/>
  <c r="CH89" i="11"/>
  <c r="BU131" i="11"/>
  <c r="BV131" i="11" s="1"/>
  <c r="BU20" i="11"/>
  <c r="CH52" i="11"/>
  <c r="BU121" i="11"/>
  <c r="BU110" i="11"/>
  <c r="CI69" i="11"/>
  <c r="BU44" i="11"/>
  <c r="CG103" i="11"/>
  <c r="BU74" i="11"/>
  <c r="BU21" i="11"/>
  <c r="BU39" i="11"/>
  <c r="CG115" i="11"/>
  <c r="CI96" i="11"/>
  <c r="BU36" i="11"/>
  <c r="BU86" i="11"/>
  <c r="CG124" i="11"/>
  <c r="BU15" i="11"/>
  <c r="CG13" i="11"/>
  <c r="CG120" i="11"/>
  <c r="CI77" i="11"/>
  <c r="BU64" i="11"/>
  <c r="CI71" i="11"/>
  <c r="CG19" i="11"/>
  <c r="BU68" i="11"/>
  <c r="BU43" i="11"/>
  <c r="CG80" i="11"/>
  <c r="CG79" i="11"/>
  <c r="CH94" i="11"/>
  <c r="BU137" i="11"/>
  <c r="BU28" i="11"/>
  <c r="BU61" i="11"/>
  <c r="CG70" i="11"/>
  <c r="BU122" i="11"/>
  <c r="BU87" i="11"/>
  <c r="CH112" i="11"/>
  <c r="BU125" i="11"/>
  <c r="CG89" i="11"/>
  <c r="CI67" i="11"/>
  <c r="CI85" i="11"/>
  <c r="BU99" i="11"/>
  <c r="BU112" i="11"/>
  <c r="CG97" i="11"/>
  <c r="CG81" i="11"/>
  <c r="BU66" i="11"/>
  <c r="CH26" i="11"/>
  <c r="CI73" i="11"/>
  <c r="BU26" i="11"/>
  <c r="CH79" i="11"/>
  <c r="CG72" i="11"/>
  <c r="CG43" i="11"/>
  <c r="CI60" i="11"/>
  <c r="BU120" i="11"/>
  <c r="BU94" i="11"/>
  <c r="CH90" i="11"/>
  <c r="CH61" i="11"/>
  <c r="CI62" i="11"/>
  <c r="BU58" i="11"/>
  <c r="CG82" i="11"/>
  <c r="CH75" i="11"/>
  <c r="CH129" i="11"/>
  <c r="CG101" i="11"/>
  <c r="CG87" i="11"/>
  <c r="CI57" i="11"/>
  <c r="CH101" i="11"/>
  <c r="CG12" i="11"/>
  <c r="CG138" i="11"/>
  <c r="CH99" i="11"/>
  <c r="CH88" i="11"/>
  <c r="BU65" i="11"/>
  <c r="CI95" i="11"/>
  <c r="BU17" i="11"/>
  <c r="BU85" i="11"/>
  <c r="CG11" i="11"/>
  <c r="BU135" i="11"/>
  <c r="BV135" i="11" s="1"/>
  <c r="CG102" i="11"/>
  <c r="CG58" i="11"/>
  <c r="CI64" i="11"/>
  <c r="CH73" i="11"/>
  <c r="BU119" i="11"/>
  <c r="CH78" i="11"/>
  <c r="BU46" i="11"/>
  <c r="BV14" i="11"/>
  <c r="CH82" i="11"/>
  <c r="CI19" i="11"/>
  <c r="BU134" i="11"/>
  <c r="BU133" i="11"/>
  <c r="CG34" i="11"/>
  <c r="CG35" i="11"/>
  <c r="CG60" i="11"/>
  <c r="CG16" i="11"/>
  <c r="CG44" i="11"/>
  <c r="BU89" i="11"/>
  <c r="BU116" i="11"/>
  <c r="CG51" i="11"/>
  <c r="BU139" i="11"/>
  <c r="CH102" i="11"/>
  <c r="BU48" i="11"/>
  <c r="CG42" i="11"/>
  <c r="BU53" i="11"/>
  <c r="CH107" i="11"/>
  <c r="CH43" i="11"/>
  <c r="BU81" i="11"/>
  <c r="BU104" i="11"/>
  <c r="CG30" i="11"/>
  <c r="BU16" i="11"/>
  <c r="BU60" i="11"/>
  <c r="BU75" i="11"/>
  <c r="CH77" i="11"/>
  <c r="CH72" i="11"/>
  <c r="CI93" i="11"/>
  <c r="CG92" i="11"/>
  <c r="CH63" i="11"/>
  <c r="BU128" i="11"/>
  <c r="CG41" i="11"/>
  <c r="CG68" i="11"/>
  <c r="CH108" i="11"/>
  <c r="CG59" i="11"/>
  <c r="CG112" i="11"/>
  <c r="CH98" i="11"/>
  <c r="BU73" i="11"/>
  <c r="CI91" i="11"/>
  <c r="CI78" i="11"/>
  <c r="CG129" i="11"/>
  <c r="CH104" i="11"/>
  <c r="CG121" i="11"/>
  <c r="CI58" i="11"/>
  <c r="CI105" i="11"/>
  <c r="BU118" i="11"/>
  <c r="BU93" i="11"/>
  <c r="CG61" i="11"/>
  <c r="BU106" i="11"/>
  <c r="BU79" i="11"/>
  <c r="CH68" i="11"/>
  <c r="BU18" i="11"/>
  <c r="BU90" i="11"/>
  <c r="BU49" i="11"/>
  <c r="CH58" i="11"/>
  <c r="CG88" i="11"/>
  <c r="CH100" i="11"/>
  <c r="BU80" i="11"/>
  <c r="CI14" i="11"/>
  <c r="CG123" i="11"/>
  <c r="CG78" i="11"/>
  <c r="BU108" i="11"/>
  <c r="CG21" i="11"/>
  <c r="CG96" i="11"/>
  <c r="CG28" i="11"/>
  <c r="BU109" i="11"/>
  <c r="CG86" i="11"/>
  <c r="CG84" i="11"/>
  <c r="BU105" i="11"/>
  <c r="BU62" i="11"/>
  <c r="BU92" i="11"/>
  <c r="BU38" i="11"/>
  <c r="CG100" i="11"/>
  <c r="BU111" i="11"/>
  <c r="BW72" i="11"/>
  <c r="BW60" i="11"/>
  <c r="BW22" i="11"/>
  <c r="BU130" i="11"/>
  <c r="CH92" i="11"/>
  <c r="CI59" i="11"/>
  <c r="CH127" i="11"/>
  <c r="BU67" i="11"/>
  <c r="CG122" i="11"/>
  <c r="CG85" i="11"/>
  <c r="BU13" i="11"/>
  <c r="CG91" i="11"/>
  <c r="CG57" i="11"/>
  <c r="CI22" i="11"/>
  <c r="CI82" i="11"/>
  <c r="BU9" i="11"/>
  <c r="CH70" i="11"/>
  <c r="CG47" i="11"/>
  <c r="CG66" i="11"/>
  <c r="BU7" i="11"/>
  <c r="BU23" i="11"/>
  <c r="BU100" i="11"/>
  <c r="CH85" i="11"/>
  <c r="CH14" i="11"/>
  <c r="BU24" i="11"/>
  <c r="CH96" i="11"/>
  <c r="BU10" i="11"/>
  <c r="CH103" i="11"/>
  <c r="CH18" i="11"/>
  <c r="BU51" i="11"/>
  <c r="BU33" i="11"/>
  <c r="CG62" i="11"/>
  <c r="BW111" i="11"/>
  <c r="BW115" i="11"/>
  <c r="BW102" i="11"/>
  <c r="BV139" i="11"/>
  <c r="BW26" i="11"/>
  <c r="BW35" i="11"/>
  <c r="BV39" i="11"/>
  <c r="BW94" i="11"/>
  <c r="BW124" i="11"/>
  <c r="BW8" i="11"/>
  <c r="BW80" i="11"/>
  <c r="BW71" i="11"/>
  <c r="BW93" i="11"/>
  <c r="BW125" i="11"/>
  <c r="BV128" i="11"/>
  <c r="BW108" i="11"/>
  <c r="BW87" i="11"/>
  <c r="BU72" i="11"/>
  <c r="CI98" i="11"/>
  <c r="CG104" i="11"/>
  <c r="CG52" i="11"/>
  <c r="BU55" i="11"/>
  <c r="BV55" i="11" s="1"/>
  <c r="CI92" i="11"/>
  <c r="CG90" i="11"/>
  <c r="CG74" i="11"/>
  <c r="CI112" i="11"/>
  <c r="BU83" i="11"/>
  <c r="CH69" i="11"/>
  <c r="BU71" i="11"/>
  <c r="CH105" i="11"/>
  <c r="BU40" i="11"/>
  <c r="BU30" i="11"/>
  <c r="BV30" i="11" s="1"/>
  <c r="CH31" i="11"/>
  <c r="CI108" i="11"/>
  <c r="BU98" i="11"/>
  <c r="BW77" i="11"/>
  <c r="BV132" i="11"/>
  <c r="BW127" i="11"/>
  <c r="BW64" i="11"/>
  <c r="BV51" i="11"/>
  <c r="BV130" i="11"/>
  <c r="BW101" i="11"/>
  <c r="BW121" i="11"/>
  <c r="BW118" i="11"/>
  <c r="CG14" i="11"/>
  <c r="BW110" i="11"/>
  <c r="BW114" i="11"/>
  <c r="BV83" i="11"/>
  <c r="BW105" i="11"/>
  <c r="BV133" i="11"/>
  <c r="BV13" i="11"/>
  <c r="BW92" i="11"/>
  <c r="BV11" i="11"/>
  <c r="BW96" i="11"/>
  <c r="BV48" i="11"/>
  <c r="CG75" i="11"/>
  <c r="BW90" i="11"/>
  <c r="BW113" i="11"/>
  <c r="BW100" i="11"/>
  <c r="BW117" i="11"/>
  <c r="BV56" i="11"/>
  <c r="BW69" i="11"/>
  <c r="CG106" i="11"/>
  <c r="BU91" i="11"/>
  <c r="CH62" i="11"/>
  <c r="BU77" i="11"/>
  <c r="BU25" i="11"/>
  <c r="BV25" i="11" s="1"/>
  <c r="CI66" i="11"/>
  <c r="BU34" i="11"/>
  <c r="CG113" i="11"/>
  <c r="BU76" i="11"/>
  <c r="CG118" i="11"/>
  <c r="CG36" i="11"/>
  <c r="BU37" i="11"/>
  <c r="BU12" i="11"/>
  <c r="CH42" i="11"/>
  <c r="CG56" i="11"/>
  <c r="BU47" i="11"/>
  <c r="BV47" i="11" s="1"/>
  <c r="CI31" i="11"/>
  <c r="BU95" i="11"/>
  <c r="CG93" i="11"/>
  <c r="CG26" i="11"/>
  <c r="CI63" i="11"/>
  <c r="CG63" i="11"/>
  <c r="CG24" i="11"/>
  <c r="CG77" i="11"/>
  <c r="CH80" i="11"/>
  <c r="BU63" i="11"/>
  <c r="BU96" i="11"/>
  <c r="BW73" i="11"/>
  <c r="BV134" i="11"/>
  <c r="BW88" i="11"/>
  <c r="BV53" i="11"/>
  <c r="BV10" i="11"/>
  <c r="BW75" i="11"/>
  <c r="BW107" i="11"/>
  <c r="BW126" i="11"/>
  <c r="BV15" i="11"/>
  <c r="BV41" i="11"/>
  <c r="BW120" i="11"/>
  <c r="BW79" i="11"/>
  <c r="CH106" i="11"/>
  <c r="BW91" i="11"/>
  <c r="BW65" i="11"/>
  <c r="BV31" i="11"/>
  <c r="BV136" i="11"/>
  <c r="BW66" i="11"/>
  <c r="BW129" i="11"/>
  <c r="BW97" i="11"/>
  <c r="BV54" i="11"/>
  <c r="BV29" i="11"/>
  <c r="BW123" i="11"/>
  <c r="BW99" i="11"/>
  <c r="BW70" i="11"/>
  <c r="BV12" i="11"/>
  <c r="BV50" i="11"/>
  <c r="BW122" i="11"/>
  <c r="BV6" i="11"/>
  <c r="BV138" i="11"/>
  <c r="BW82" i="11"/>
  <c r="BV28" i="11"/>
  <c r="BV49" i="11"/>
  <c r="BW57" i="11"/>
  <c r="BV46" i="11"/>
  <c r="BV17" i="11"/>
  <c r="BW116" i="11"/>
  <c r="BW19" i="11"/>
  <c r="BW59" i="11"/>
  <c r="BV32" i="11"/>
  <c r="BW89" i="11"/>
  <c r="BW106" i="11"/>
  <c r="BV40" i="11"/>
  <c r="BW109" i="11"/>
  <c r="BW76" i="11"/>
  <c r="BW112" i="11"/>
  <c r="BW7" i="11"/>
  <c r="BW103" i="11"/>
  <c r="BV137" i="11"/>
  <c r="BV16" i="11"/>
  <c r="BV24" i="11"/>
  <c r="BW68" i="11"/>
  <c r="BV45" i="11"/>
  <c r="BW95" i="11"/>
  <c r="BW81" i="11"/>
  <c r="BV27" i="11"/>
  <c r="BW20" i="11"/>
  <c r="BV52" i="11"/>
  <c r="BW119" i="11"/>
  <c r="BW104" i="11"/>
  <c r="BV9" i="11"/>
  <c r="BL58" i="11"/>
  <c r="BL30" i="11"/>
  <c r="BL70" i="11"/>
  <c r="BL92" i="11"/>
  <c r="CA58" i="11"/>
  <c r="BL13" i="11"/>
  <c r="BL109" i="11"/>
  <c r="CA109" i="11" s="1"/>
  <c r="BL135" i="11"/>
  <c r="BL68" i="11"/>
  <c r="BL22" i="11"/>
  <c r="BL78" i="11"/>
  <c r="CA78" i="11" s="1"/>
  <c r="BL33" i="11"/>
  <c r="BL63" i="11"/>
  <c r="BL69" i="11"/>
  <c r="BL77" i="11"/>
  <c r="BL55" i="11"/>
  <c r="BL10" i="11"/>
  <c r="BL51" i="11"/>
  <c r="BL75" i="11"/>
  <c r="BL71" i="11"/>
  <c r="BL132" i="11"/>
  <c r="BL42" i="11"/>
  <c r="CA42" i="11" s="1"/>
  <c r="BL80" i="11"/>
  <c r="BL43" i="11"/>
  <c r="BL110" i="11"/>
  <c r="BL129" i="11"/>
  <c r="BL57" i="11"/>
  <c r="BL114" i="11"/>
  <c r="BL90" i="11"/>
  <c r="CA90" i="11" s="1"/>
  <c r="BL99" i="11"/>
  <c r="BL34" i="11"/>
  <c r="BL128" i="11"/>
  <c r="BL126" i="11"/>
  <c r="BL88" i="11"/>
  <c r="CA71" i="11"/>
  <c r="BL53" i="11"/>
  <c r="BL11" i="11"/>
  <c r="BL64" i="11"/>
  <c r="BL20" i="11"/>
  <c r="BL24" i="11"/>
  <c r="BL54" i="11"/>
  <c r="BL44" i="11"/>
  <c r="BL65" i="11"/>
  <c r="BL12" i="11"/>
  <c r="BL28" i="11"/>
  <c r="BL36" i="11"/>
  <c r="BL29" i="11"/>
  <c r="BL48" i="11"/>
  <c r="BL6" i="11"/>
  <c r="BL49" i="11"/>
  <c r="BL16" i="11"/>
  <c r="BL27" i="11"/>
  <c r="BL14" i="11"/>
  <c r="BL133" i="11"/>
  <c r="BL139" i="11"/>
  <c r="BL79" i="11"/>
  <c r="BL87" i="11"/>
  <c r="BL120" i="11"/>
  <c r="BL100" i="11"/>
  <c r="BL122" i="11"/>
  <c r="CA122" i="11" s="1"/>
  <c r="BL45" i="11"/>
  <c r="BL15" i="11"/>
  <c r="BL9" i="11"/>
  <c r="BL59" i="11"/>
  <c r="BL94" i="11"/>
  <c r="BL101" i="11"/>
  <c r="BL98" i="11"/>
  <c r="CA101" i="11"/>
  <c r="CA80" i="11"/>
  <c r="BL7" i="11"/>
  <c r="CA7" i="11" s="1"/>
  <c r="BL136" i="11"/>
  <c r="CA75" i="11"/>
  <c r="BL108" i="11"/>
  <c r="CA77" i="11"/>
  <c r="CA110" i="11"/>
  <c r="CA65" i="11"/>
  <c r="CA43" i="11"/>
  <c r="CA57" i="11"/>
  <c r="CA92" i="11"/>
  <c r="CA99" i="11"/>
  <c r="BL38" i="11"/>
  <c r="BL31" i="11"/>
  <c r="BL134" i="11"/>
  <c r="BL32" i="11"/>
  <c r="BL56" i="11"/>
  <c r="BL112" i="11"/>
  <c r="BL19" i="11"/>
  <c r="BL74" i="11"/>
  <c r="BL39" i="11"/>
  <c r="BL115" i="11"/>
  <c r="CA115" i="11" s="1"/>
  <c r="BL104" i="11"/>
  <c r="CA74" i="11"/>
  <c r="BL82" i="11"/>
  <c r="CA126" i="11"/>
  <c r="BL116" i="11"/>
  <c r="BL21" i="11"/>
  <c r="CA21" i="11" s="1"/>
  <c r="CA87" i="11"/>
  <c r="BL117" i="11"/>
  <c r="BL73" i="11"/>
  <c r="CA73" i="11" s="1"/>
  <c r="BL106" i="11"/>
  <c r="CA79" i="11"/>
  <c r="CA114" i="11"/>
  <c r="CA36" i="11"/>
  <c r="CA20" i="11"/>
  <c r="CA104" i="11"/>
  <c r="BL26" i="11"/>
  <c r="CA26" i="11" s="1"/>
  <c r="BL40" i="11"/>
  <c r="BL86" i="11"/>
  <c r="CA86" i="11" s="1"/>
  <c r="BL17" i="11"/>
  <c r="BL23" i="11"/>
  <c r="CA23" i="11" s="1"/>
  <c r="BL25" i="11"/>
  <c r="BL41" i="11"/>
  <c r="BL127" i="11"/>
  <c r="CA127" i="11" s="1"/>
  <c r="BL124" i="11"/>
  <c r="BL83" i="11"/>
  <c r="BL138" i="11"/>
  <c r="BL52" i="11"/>
  <c r="BL76" i="11"/>
  <c r="CA76" i="11" s="1"/>
  <c r="BL85" i="11"/>
  <c r="BL130" i="11"/>
  <c r="BL84" i="11"/>
  <c r="BL137" i="11"/>
  <c r="BL60" i="11"/>
  <c r="CA60" i="11" s="1"/>
  <c r="BL37" i="11"/>
  <c r="CA37" i="11" s="1"/>
  <c r="BL46" i="11"/>
  <c r="BL123" i="11"/>
  <c r="CA123" i="11" s="1"/>
  <c r="BL125" i="11"/>
  <c r="CA125" i="11" s="1"/>
  <c r="BL81" i="11"/>
  <c r="BL131" i="11"/>
  <c r="BL8" i="11"/>
  <c r="BL91" i="11"/>
  <c r="BL103" i="11"/>
  <c r="CA64" i="11"/>
  <c r="BL72" i="11"/>
  <c r="CA72" i="11" s="1"/>
  <c r="BL113" i="11"/>
  <c r="CA113" i="11" s="1"/>
  <c r="BL18" i="11"/>
  <c r="BL97" i="11"/>
  <c r="CA18" i="11"/>
  <c r="CA91" i="11"/>
  <c r="CA97" i="11"/>
  <c r="BL93" i="11"/>
  <c r="CA82" i="11"/>
  <c r="BL118" i="11"/>
  <c r="CA118" i="11" s="1"/>
  <c r="CA70" i="11"/>
  <c r="CA93" i="11"/>
  <c r="CA19" i="11"/>
  <c r="CA112" i="11"/>
  <c r="CA84" i="11"/>
  <c r="BL95" i="11"/>
  <c r="CA100" i="11"/>
  <c r="CA120" i="11"/>
  <c r="CA81" i="11"/>
  <c r="CA94" i="11"/>
  <c r="BL105" i="11"/>
  <c r="CA59" i="11"/>
  <c r="BL35" i="11"/>
  <c r="CA35" i="11" s="1"/>
  <c r="BL96" i="11"/>
  <c r="CA96" i="11" s="1"/>
  <c r="BL62" i="11"/>
  <c r="CA62" i="11" s="1"/>
  <c r="BL50" i="11"/>
  <c r="BL111" i="11"/>
  <c r="CA111" i="11" s="1"/>
  <c r="BL61" i="11"/>
  <c r="BL66" i="11"/>
  <c r="CA66" i="11" s="1"/>
  <c r="CA33" i="11"/>
  <c r="BL47" i="11"/>
  <c r="CA61" i="11"/>
  <c r="CA85" i="11"/>
  <c r="CA124" i="11"/>
  <c r="CA44" i="11"/>
  <c r="BL119" i="11"/>
  <c r="CA119" i="11" s="1"/>
  <c r="BL121" i="11"/>
  <c r="CA121" i="11" s="1"/>
  <c r="CA8" i="11"/>
  <c r="CA116" i="11"/>
  <c r="CA63" i="11"/>
  <c r="CA129" i="11"/>
  <c r="CA103" i="11"/>
  <c r="CA38" i="11"/>
  <c r="CA95" i="11"/>
  <c r="BL102" i="11"/>
  <c r="CA102" i="11" s="1"/>
  <c r="BL107" i="11"/>
  <c r="CA107" i="11" s="1"/>
  <c r="BL67" i="11"/>
  <c r="CA67" i="11" s="1"/>
  <c r="BL89" i="11"/>
  <c r="CA89" i="11" s="1"/>
  <c r="CA98" i="11"/>
  <c r="CA69" i="11"/>
  <c r="CA106" i="11"/>
  <c r="CA22" i="11"/>
  <c r="CO125" i="11" l="1"/>
  <c r="CO25" i="11"/>
  <c r="CO8" i="11"/>
  <c r="CO76" i="11"/>
  <c r="CO45" i="11"/>
  <c r="CO17" i="11"/>
  <c r="CO135" i="11"/>
  <c r="CO53" i="11"/>
  <c r="CO134" i="11"/>
  <c r="CO54" i="11"/>
  <c r="CO132" i="11"/>
  <c r="CO50" i="11"/>
  <c r="CO49" i="11"/>
  <c r="CO55" i="11"/>
  <c r="CO116" i="11"/>
  <c r="CO9" i="11"/>
  <c r="CJ77" i="11"/>
  <c r="CO77" i="11" s="1"/>
  <c r="CJ24" i="11"/>
  <c r="CO24" i="11" s="1"/>
  <c r="CJ63" i="11"/>
  <c r="CO111" i="11"/>
  <c r="CJ26" i="11"/>
  <c r="CO26" i="11" s="1"/>
  <c r="CJ93" i="11"/>
  <c r="CO93" i="11" s="1"/>
  <c r="CJ56" i="11"/>
  <c r="CO56" i="11" s="1"/>
  <c r="CJ36" i="11"/>
  <c r="CO36" i="11" s="1"/>
  <c r="CJ118" i="11"/>
  <c r="CO118" i="11" s="1"/>
  <c r="CJ113" i="11"/>
  <c r="CO113" i="11" s="1"/>
  <c r="CJ106" i="11"/>
  <c r="CO106" i="11" s="1"/>
  <c r="CO130" i="11"/>
  <c r="CO137" i="11"/>
  <c r="CO27" i="11"/>
  <c r="CO46" i="11"/>
  <c r="CO133" i="11"/>
  <c r="CJ75" i="11"/>
  <c r="CO75" i="11" s="1"/>
  <c r="CO139" i="11"/>
  <c r="CO136" i="11"/>
  <c r="CO10" i="11"/>
  <c r="CJ14" i="11"/>
  <c r="CO14" i="11" s="1"/>
  <c r="CJ74" i="11"/>
  <c r="CO74" i="11" s="1"/>
  <c r="CJ90" i="11"/>
  <c r="CO90" i="11" s="1"/>
  <c r="CJ52" i="11"/>
  <c r="CO52" i="11" s="1"/>
  <c r="CJ104" i="11"/>
  <c r="CO104" i="11" s="1"/>
  <c r="CO39" i="11"/>
  <c r="CO15" i="11"/>
  <c r="CJ62" i="11"/>
  <c r="CO62" i="11" s="1"/>
  <c r="CJ66" i="11"/>
  <c r="CO66" i="11" s="1"/>
  <c r="CJ47" i="11"/>
  <c r="CO47" i="11" s="1"/>
  <c r="CJ57" i="11"/>
  <c r="CO57" i="11" s="1"/>
  <c r="CJ91" i="11"/>
  <c r="CO91" i="11" s="1"/>
  <c r="CJ85" i="11"/>
  <c r="CO85" i="11" s="1"/>
  <c r="CJ122" i="11"/>
  <c r="CO122" i="11" s="1"/>
  <c r="CO131" i="11"/>
  <c r="CO7" i="11"/>
  <c r="CJ100" i="11"/>
  <c r="CO100" i="11" s="1"/>
  <c r="CJ84" i="11"/>
  <c r="CJ86" i="11"/>
  <c r="CO86" i="11" s="1"/>
  <c r="CO117" i="11"/>
  <c r="CJ28" i="11"/>
  <c r="CO28" i="11" s="1"/>
  <c r="CJ96" i="11"/>
  <c r="CO96" i="11" s="1"/>
  <c r="CJ21" i="11"/>
  <c r="CO21" i="11" s="1"/>
  <c r="CJ78" i="11"/>
  <c r="CO78" i="11" s="1"/>
  <c r="CJ123" i="11"/>
  <c r="CO123" i="11" s="1"/>
  <c r="CJ88" i="11"/>
  <c r="CO88" i="11" s="1"/>
  <c r="CJ61" i="11"/>
  <c r="CO61" i="11" s="1"/>
  <c r="CJ121" i="11"/>
  <c r="CO121" i="11" s="1"/>
  <c r="CJ129" i="11"/>
  <c r="CO129" i="11" s="1"/>
  <c r="CJ112" i="11"/>
  <c r="CO112" i="11" s="1"/>
  <c r="CJ59" i="11"/>
  <c r="CO59" i="11" s="1"/>
  <c r="CJ68" i="11"/>
  <c r="CO68" i="11" s="1"/>
  <c r="CJ41" i="11"/>
  <c r="CO41" i="11" s="1"/>
  <c r="CJ92" i="11"/>
  <c r="CO92" i="11" s="1"/>
  <c r="CO126" i="11"/>
  <c r="CJ30" i="11"/>
  <c r="CO30" i="11" s="1"/>
  <c r="CJ42" i="11"/>
  <c r="CO42" i="11" s="1"/>
  <c r="CJ51" i="11"/>
  <c r="CO51" i="11" s="1"/>
  <c r="CJ44" i="11"/>
  <c r="CO44" i="11" s="1"/>
  <c r="CO6" i="11"/>
  <c r="CJ16" i="11"/>
  <c r="CO16" i="11" s="1"/>
  <c r="CJ60" i="11"/>
  <c r="CO60" i="11" s="1"/>
  <c r="CJ35" i="11"/>
  <c r="CO35" i="11" s="1"/>
  <c r="CJ34" i="11"/>
  <c r="CO34" i="11" s="1"/>
  <c r="CJ58" i="11"/>
  <c r="CO58" i="11" s="1"/>
  <c r="CJ102" i="11"/>
  <c r="CO102" i="11" s="1"/>
  <c r="CJ11" i="11"/>
  <c r="CO11" i="11" s="1"/>
  <c r="CJ138" i="11"/>
  <c r="CO138" i="11" s="1"/>
  <c r="CJ12" i="11"/>
  <c r="CO12" i="11" s="1"/>
  <c r="CJ87" i="11"/>
  <c r="CO87" i="11" s="1"/>
  <c r="CJ101" i="11"/>
  <c r="CO101" i="11" s="1"/>
  <c r="CJ82" i="11"/>
  <c r="CO82" i="11" s="1"/>
  <c r="CJ43" i="11"/>
  <c r="CO43" i="11" s="1"/>
  <c r="CJ72" i="11"/>
  <c r="CO72" i="11" s="1"/>
  <c r="CJ81" i="11"/>
  <c r="CO81" i="11" s="1"/>
  <c r="CJ97" i="11"/>
  <c r="CO97" i="11" s="1"/>
  <c r="CJ89" i="11"/>
  <c r="CO89" i="11" s="1"/>
  <c r="CJ70" i="11"/>
  <c r="CO70" i="11" s="1"/>
  <c r="CJ79" i="11"/>
  <c r="CO79" i="11" s="1"/>
  <c r="CO84" i="11"/>
  <c r="CJ80" i="11"/>
  <c r="CO80" i="11" s="1"/>
  <c r="CO40" i="11"/>
  <c r="CJ19" i="11"/>
  <c r="CO19" i="11" s="1"/>
  <c r="CJ120" i="11"/>
  <c r="CO120" i="11" s="1"/>
  <c r="CJ13" i="11"/>
  <c r="CO13" i="11" s="1"/>
  <c r="CO128" i="11"/>
  <c r="CJ124" i="11"/>
  <c r="CO124" i="11" s="1"/>
  <c r="CJ115" i="11"/>
  <c r="CO115" i="11" s="1"/>
  <c r="CJ103" i="11"/>
  <c r="CO103" i="11" s="1"/>
  <c r="CJ109" i="11"/>
  <c r="CO109" i="11" s="1"/>
  <c r="CJ65" i="11"/>
  <c r="CO65" i="11" s="1"/>
  <c r="CJ22" i="11"/>
  <c r="CO22" i="11" s="1"/>
  <c r="CJ108" i="11"/>
  <c r="CO108" i="11" s="1"/>
  <c r="CJ71" i="11"/>
  <c r="CO71" i="11" s="1"/>
  <c r="CJ114" i="11"/>
  <c r="CO114" i="11" s="1"/>
  <c r="CO29" i="11"/>
  <c r="CJ99" i="11"/>
  <c r="CO99" i="11" s="1"/>
  <c r="CJ48" i="11"/>
  <c r="CO48" i="11" s="1"/>
  <c r="CJ107" i="11"/>
  <c r="CO107" i="11" s="1"/>
  <c r="CJ119" i="11"/>
  <c r="CO119" i="11" s="1"/>
  <c r="CJ73" i="11"/>
  <c r="CO73" i="11" s="1"/>
  <c r="CJ38" i="11"/>
  <c r="CO38" i="11" s="1"/>
  <c r="CJ69" i="11"/>
  <c r="CO69" i="11" s="1"/>
  <c r="CO63" i="11"/>
  <c r="CJ18" i="11"/>
  <c r="CO18" i="11" s="1"/>
  <c r="CJ110" i="11"/>
  <c r="CO110" i="11" s="1"/>
  <c r="CJ105" i="11"/>
  <c r="CO105" i="11" s="1"/>
  <c r="CJ37" i="11"/>
  <c r="CO37" i="11" s="1"/>
  <c r="CJ127" i="11"/>
  <c r="CO127" i="11" s="1"/>
  <c r="CJ67" i="11"/>
  <c r="CO67" i="11" s="1"/>
  <c r="CJ20" i="11"/>
  <c r="CO20" i="11" s="1"/>
  <c r="CJ33" i="11"/>
  <c r="CO33" i="11" s="1"/>
  <c r="CJ23" i="11"/>
  <c r="CO23" i="11" s="1"/>
  <c r="CJ64" i="11"/>
  <c r="CO64" i="11" s="1"/>
  <c r="CJ31" i="11"/>
  <c r="CO31" i="11" s="1"/>
  <c r="CJ94" i="11"/>
  <c r="CO94" i="11" s="1"/>
  <c r="CJ98" i="11"/>
  <c r="CO98" i="11" s="1"/>
  <c r="CJ83" i="11"/>
  <c r="CO83" i="11" s="1"/>
  <c r="CJ32" i="11"/>
  <c r="CO32" i="11" s="1"/>
  <c r="CJ95" i="11"/>
  <c r="CO95" i="11" s="1"/>
  <c r="BW52" i="11"/>
  <c r="BW16" i="11"/>
  <c r="BW131" i="11"/>
  <c r="BW45" i="11"/>
  <c r="BW137" i="11"/>
  <c r="BW32" i="11"/>
  <c r="BW28" i="11"/>
  <c r="BW54" i="11"/>
  <c r="BW10" i="11"/>
  <c r="BW56" i="11"/>
  <c r="BW83" i="11"/>
  <c r="BW132" i="11"/>
  <c r="BW39" i="11"/>
  <c r="BW14" i="11"/>
  <c r="BW53" i="11"/>
  <c r="BW48" i="11"/>
  <c r="BW13" i="11"/>
  <c r="BW30" i="11"/>
  <c r="BW55" i="11"/>
  <c r="BW139" i="11"/>
  <c r="BW27" i="11"/>
  <c r="BW40" i="11"/>
  <c r="BW17" i="11"/>
  <c r="BW50" i="11"/>
  <c r="BW24" i="11"/>
  <c r="BW46" i="11"/>
  <c r="BW138" i="11"/>
  <c r="BW12" i="11"/>
  <c r="BW29" i="11"/>
  <c r="BW136" i="11"/>
  <c r="BW41" i="11"/>
  <c r="BW134" i="11"/>
  <c r="BW47" i="11"/>
  <c r="BW130" i="11"/>
  <c r="BW49" i="11"/>
  <c r="BW6" i="11"/>
  <c r="BW31" i="11"/>
  <c r="BW15" i="11"/>
  <c r="BW25" i="11"/>
  <c r="BW11" i="11"/>
  <c r="BW133" i="11"/>
  <c r="BW51" i="11"/>
  <c r="BW128" i="11"/>
  <c r="BW135" i="11"/>
  <c r="BW9" i="11"/>
  <c r="CA134" i="11"/>
  <c r="CA52" i="11"/>
  <c r="CA135" i="11"/>
  <c r="CA117" i="11"/>
  <c r="CA108" i="11"/>
  <c r="CA68" i="11"/>
  <c r="CA24" i="11"/>
  <c r="CA47" i="11"/>
  <c r="CA46" i="11"/>
  <c r="CA139" i="11"/>
  <c r="CA132" i="11"/>
  <c r="CA27" i="11"/>
  <c r="CA29" i="11"/>
  <c r="CA16" i="11"/>
  <c r="CA34" i="11"/>
  <c r="CA54" i="11"/>
  <c r="CA17" i="11"/>
  <c r="CA25" i="11"/>
  <c r="CA31" i="11"/>
  <c r="CA6" i="11"/>
  <c r="CA39" i="11"/>
  <c r="CA50" i="11"/>
  <c r="CA41" i="11"/>
  <c r="CA12" i="11"/>
  <c r="CA49" i="11"/>
  <c r="CA88" i="11"/>
  <c r="CA131" i="11"/>
  <c r="CA28" i="11"/>
  <c r="CA83" i="11"/>
  <c r="CA40" i="11"/>
  <c r="CA130" i="11"/>
  <c r="CA9" i="11"/>
  <c r="CA30" i="11"/>
  <c r="CA137" i="11"/>
  <c r="CA51" i="11"/>
  <c r="CA53" i="11"/>
  <c r="CA14" i="11"/>
  <c r="CA105" i="11"/>
  <c r="CA45" i="11"/>
  <c r="CA48" i="11"/>
  <c r="CA138" i="11"/>
  <c r="CA128" i="11"/>
  <c r="CA56" i="11"/>
  <c r="CA32" i="11"/>
  <c r="CA15" i="11"/>
  <c r="CA10" i="11"/>
  <c r="CA13" i="11"/>
  <c r="CA11" i="11"/>
  <c r="CA133" i="11"/>
  <c r="CA136" i="11"/>
  <c r="CA55" i="11"/>
</calcChain>
</file>

<file path=xl/sharedStrings.xml><?xml version="1.0" encoding="utf-8"?>
<sst xmlns="http://schemas.openxmlformats.org/spreadsheetml/2006/main" count="9357" uniqueCount="2266">
  <si>
    <t>India</t>
  </si>
  <si>
    <t>Italy</t>
  </si>
  <si>
    <t>Egypt</t>
  </si>
  <si>
    <t>https://www.miraclehunter.com/marian_apparitions/approved_apparitions/zaragoza/index.html</t>
  </si>
  <si>
    <t>https://www.miraclehunter.com/marian_apparitions/approved_apparitions/lepuy/index.html</t>
  </si>
  <si>
    <t>http://kuravilangadpally.com/</t>
  </si>
  <si>
    <t>https://www.miraclehunter.com/marian_apparitions/approved_apparitions/rome/index.html</t>
  </si>
  <si>
    <t>MH</t>
  </si>
  <si>
    <t>Year</t>
  </si>
  <si>
    <t>Location</t>
  </si>
  <si>
    <t>Description</t>
  </si>
  <si>
    <t>https://www.vatican.va/various/basiliche/sm_maggiore/index_en.html</t>
  </si>
  <si>
    <t>https://www.marypages.com/our-lady-of-the-snows-en.html</t>
  </si>
  <si>
    <t>http://www.therealpresence.org/eucharst/misc/BVM/09_ZARAGOZA_60x96.pdf</t>
  </si>
  <si>
    <t>http://www.therealpresence.org/eucharst/misc/BVM/68_LE_PUY_60x96.pdf</t>
  </si>
  <si>
    <t>http://www.therealpresence.org/eucharst/misc/BVM/117_ROMA_60x96.pdf</t>
  </si>
  <si>
    <t>http://www.therealpresence.org/eucharst/misc/BVM/90_TINDARI_60x96.pdf</t>
  </si>
  <si>
    <t>http://www.therealpresence.org/eucharst/misc/BVM/153_WALSINGHAM_60x96.pdf</t>
  </si>
  <si>
    <t>http://www.therealpresence.org/eucharst/misc/BVM/138_SWIETA_LIPKA_60x96.pdf</t>
  </si>
  <si>
    <t>http://www.therealpresence.org/eucharst/misc/BVM/13_VALVERDE_60x96.pdf</t>
  </si>
  <si>
    <t>http://www.therealpresence.org/eucharst/misc/BVM/32_VAILANKANNI_60x96.pdf</t>
  </si>
  <si>
    <t>http://www.therealpresence.org/eucharst/misc/BVM/70_GUADALUPE_96x96.pdf</t>
  </si>
  <si>
    <t>http://www.therealpresence.org/eucharst/misc/BVM/137_SVETA_GORA_60x96.pdf</t>
  </si>
  <si>
    <t>http://www.therealpresence.org/eucharst/misc/BVM/140_GOZO_60x96.pdf</t>
  </si>
  <si>
    <t>http://www.therealpresence.org/eucharst/misc/BVM/112_LUJAN_96x96.pdf</t>
  </si>
  <si>
    <t>http://www.therealpresence.org/eucharst/misc/BVM/94_CAYSASAY_60x96.pdf</t>
  </si>
  <si>
    <t>http://www.therealpresence.org/eucharst/misc/BVM/104_DOROSZLO_60x96.pdf</t>
  </si>
  <si>
    <t>http://www.therealpresence.org/eucharst/misc/BVM/57_SILUVA_96x96.pdf</t>
  </si>
  <si>
    <t>http://www.therealpresence.org/eucharst/misc/BVM/88_MANAOAG_60x96.pdf</t>
  </si>
  <si>
    <t>http://www.therealpresence.org/eucharst/misc/BVM/102_CUBA_96x96.pdf</t>
  </si>
  <si>
    <t>http://www.therealpresence.org/eucharst/misc/BVM/69_LAUS_140x96.pdf</t>
  </si>
  <si>
    <t>http://www.therealpresence.org/eucharst/misc/BVM/109_LAJAS_96x96.pdf</t>
  </si>
  <si>
    <t>http://www.therealpresence.org/eucharst/misc/BVM/21_LAVANG_60x96.pdf</t>
  </si>
  <si>
    <t>http://www.therealpresence.org/eucharst/misc/BVM/110_LICHEN_96x96.pdf</t>
  </si>
  <si>
    <t>http://www.therealpresence.org/eucharst/misc/BVM/06_PARIGI_60x96.pdf</t>
  </si>
  <si>
    <t>http://www.therealpresence.org/eucharst/misc/BVM/23_ROMA_60x96.pdf</t>
  </si>
  <si>
    <t>http://www.therealpresence.org/eucharst/misc/BVM/30_LA_SALETTE_96x96.pdf</t>
  </si>
  <si>
    <t>http://www.therealpresence.org/eucharst/misc/BVM/40_LOURDES_140x96.pdf</t>
  </si>
  <si>
    <t>http://www.therealpresence.org/eucharst/misc/BVM/89_FILIPOV_96x96.pdf</t>
  </si>
  <si>
    <t>http://www.therealpresence.org/eucharst/misc/BVM/26_PONTMAIN_60x96.pdf</t>
  </si>
  <si>
    <t>http://www.therealpresence.org/eucharst/misc/BVM/07_PELLEVOISIN_60x96.pdf</t>
  </si>
  <si>
    <t>http://www.therealpresence.org/eucharst/misc/BVM/85_GIETRZALD_96x96.pdf</t>
  </si>
  <si>
    <t>http://www.therealpresence.org/eucharst/misc/BVM/63_KNOCK_60x96.pdf</t>
  </si>
  <si>
    <t>http://www.therealpresence.org/eucharst/misc/BVM/154_FATIMA_96x96_1.pdf</t>
  </si>
  <si>
    <t>http://www.therealpresence.org/eucharst/misc/BVM/128_KALLIKULAM_60x96.pdf</t>
  </si>
  <si>
    <t>http://www.therealpresence.org/eucharst/misc/BVM/124_NGOME_140x96.pdf</t>
  </si>
  <si>
    <t>http://www.therealpresence.org/eucharst/misc/BVM/144_ZEITUN_96x96.pdf</t>
  </si>
  <si>
    <t>http://www.therealpresence.org/eucharst/misc/BVM/01_AKITA_60x96.pdf</t>
  </si>
  <si>
    <t>http://www.therealpresence.org/eucharst/misc/BVM/16_CUAPA_60x96.pdf</t>
  </si>
  <si>
    <t>http://www.therealpresence.org/eucharst/misc/BVM/20_KIBEHO_96x96.pdf</t>
  </si>
  <si>
    <t>The Real Presence</t>
  </si>
  <si>
    <t>Basilica of Our Lady of Walsingham</t>
  </si>
  <si>
    <t>Miracle Hunter</t>
  </si>
  <si>
    <t/>
  </si>
  <si>
    <t>In 47 AD, Our Lady appeared to a recent Christian convert, in a chapel built few years before on a high mountain. This woman was plagued by a serious illness and no doctor had been able to help.  The Blessed Mother, during her appearance, completely cured her.</t>
  </si>
  <si>
    <t>Tags</t>
  </si>
  <si>
    <t>https://kibeho-sanctuary.com/</t>
  </si>
  <si>
    <t>Lat</t>
  </si>
  <si>
    <t>Our Lady of Banneux, Virgin of the Poor</t>
  </si>
  <si>
    <t>https://banneux-nd.be/</t>
  </si>
  <si>
    <t>Our Lady of Kibeho, Mother of the Word</t>
  </si>
  <si>
    <t>The Virgin with the Golden Heart</t>
  </si>
  <si>
    <t>https://sanctuairedebeauraing.be/</t>
  </si>
  <si>
    <t>Knock Shrine (Our Lady of Knock)</t>
  </si>
  <si>
    <t>https://www.knockshrine.ie/</t>
  </si>
  <si>
    <t>MaryPages</t>
  </si>
  <si>
    <t>http://www.miraclehunter.com/marian_apparitions/approved_apparitions/knock/index.html</t>
  </si>
  <si>
    <t>https://www.marypages.com/knock-(ireland)-en.html</t>
  </si>
  <si>
    <t>Our Lady of Gietrzwald</t>
  </si>
  <si>
    <t>In 1877, Our Lady appeared to Justyna Szafrynska (13) just before receiving her First Holy Communion.  The next day, Barbara Samulowska (12) also saw the "Bright Lady" sitting on the throne with Infant Christ among angels.  The Blessed Mother's ask of the girls was for them to pray the rosary daily.</t>
  </si>
  <si>
    <t>https://www.marypages.com/giertzwald-(poland)-en.html</t>
  </si>
  <si>
    <t>http://www.miraclehunter.com/marian_apparitions/approved_apparitions/gietrzwald/index.html</t>
  </si>
  <si>
    <t>https://sanktuariummaryjne.pl/</t>
  </si>
  <si>
    <t>Between 1981 and 1989, the Virgin Mary appeared to several girls in Rwanda.  She appeared to them with the name "Nyina wa Jambo" ("Mother of the Word"), synonymous with "Umubyeyl W'iamna" ("Mother of God").  Mary emphasized the call to pray the rosary and asked for penance and fasting.  The three girls reported a vision foreshadowing the Rwandan Genocide which would occur just 13 years later, which would claim one of their lives.</t>
  </si>
  <si>
    <t>https://www.miraclehunter.com/marian_apparitions/approved_apparitions/kibeho_rwanda/index.html</t>
  </si>
  <si>
    <t>https://www.marypages.com/kibeho-(rwanda)-en.html</t>
  </si>
  <si>
    <t>In 1871, during the Franco-Prussian War, Mary appeared on a farm to students at the nearby convent school.  Her message was written on a banner that unfurled from her feet: "But pray my children. God will hear you in a short time. My Son allows Himself to be moved by compassion."</t>
  </si>
  <si>
    <t>https://www.miraclehunter.com/marian_apparitions/approved_apparitions/pontmain/index.html)</t>
  </si>
  <si>
    <t>https://www.marypages.com/pontmain-(france)-en.html</t>
  </si>
  <si>
    <t>https://sanctuaire-pontmain.com/</t>
  </si>
  <si>
    <t>In 1866, Magdalene Kade, an orphaned 31 year woman bedridden due to many illnesses, received a vision of the Blessed Virgin Mary, who immediately cured her.  A bishop's commission examined the miraculous event and recognized the healing and supernatural character.  A church was built by 1885 and elevated to a minor basilica by Pope Leo XIII, who officially consecrated it and dedicated to Mary, "Help of Christians."</t>
  </si>
  <si>
    <t>https://www.miraclehunter.com/marian_apparitions/approved_apparitions/filippsdorf/index.html</t>
  </si>
  <si>
    <t>http://cz.poutni-mista-sluknovsko.cz/bazilika-minor-panny-marie-pomocnice-krestanu-filipov.html</t>
  </si>
  <si>
    <t>Basilica of Our Lady Help of Christians</t>
  </si>
  <si>
    <t>Author's Note</t>
  </si>
  <si>
    <t>Our Lady of Zion</t>
  </si>
  <si>
    <t>Our Lady of the Miraculous Medal</t>
  </si>
  <si>
    <t>Our Lady of La Salette</t>
  </si>
  <si>
    <t>Our Lady of Lourdes</t>
  </si>
  <si>
    <t>Our Lady of Siluva</t>
  </si>
  <si>
    <t>Our Lady of Consolation</t>
  </si>
  <si>
    <t>Our Lady of Licheń</t>
  </si>
  <si>
    <t>https://www.lichen.pl/</t>
  </si>
  <si>
    <t>a:2:{s:10:"hover_icon";s:74:"//orbisdei.org/wp-content/plugins/wp-google-maps/images/spotlight-poi3.png";s:12:"hover_retina";s:1:"0";}</t>
  </si>
  <si>
    <t>2, 3</t>
  </si>
  <si>
    <t>Blessed Stanley Rother Shrine</t>
  </si>
  <si>
    <t>https://www.rothershrine.org/</t>
  </si>
  <si>
    <t>The shrine was dedicated on February 17, 2023 with the Most Rev. Paul S. Coakley, Archbishop of Oklahoma City presiding.  The service was attended by 37 bishops, 147 priests, and hundreds of other religious and pilgrims.</t>
  </si>
  <si>
    <t>Blessed Stanley Rother Shrine, Southeast 89th Street, Oklahoma City, OK, USA</t>
  </si>
  <si>
    <t>St. James the Apostle Church</t>
  </si>
  <si>
    <t>Bl. Stanley Rother ministered to the native Tzâ€™utujil people of Guatemala for years at St. James the Apostle church, on the shores of Lake Atitlan.  This is where he was martyred on July 28, 1981.</t>
  </si>
  <si>
    <t>IGLESIA CATÃ“LICA SANTIAGO APÃ“STOL, Santiago AtitlÃ¡n, Guatemala</t>
  </si>
  <si>
    <t>Mount St. Mary's Seminary</t>
  </si>
  <si>
    <t>https://seminary.msmary.edu/</t>
  </si>
  <si>
    <t>Bl. Stanley Rother completed his studies at Mount Saint Maryâ€™s Seminary and was ordained a priest on May 25, 1963.</t>
  </si>
  <si>
    <t>Mount St. Maryâ€™s Seminary, Old Emmitsburg Road, Emmitsburg, MD, USA</t>
  </si>
  <si>
    <t>Assumption Seminary</t>
  </si>
  <si>
    <t>https://assumptionseminary.org/</t>
  </si>
  <si>
    <t>Bl. Stanley Rother was accepted as a seminarian and began his studies at Assumption Seminary.</t>
  </si>
  <si>
    <t>Assumption Seminary, West Woodlawn Avenue, San Antonio, TX, USA</t>
  </si>
  <si>
    <t>Holy Trinity Catholic Church</t>
  </si>
  <si>
    <t>https://www.holytrinityok.org/</t>
  </si>
  <si>
    <t>Bl. Stanley Rother was a parishioner at Holy Trinity Catholic Church, where he received his sacraments and studied at Holy Trinity Catholic School.</t>
  </si>
  <si>
    <t>Holy Trinity Catholic Church, Missouri Avenue, Okarche, OK, USA</t>
  </si>
  <si>
    <t>1, 3</t>
  </si>
  <si>
    <t>Shrine of Our Lady of Kibeho</t>
  </si>
  <si>
    <t>Sanctuaire de Notre-Dame de Banneux / Vierge des Pauvres</t>
  </si>
  <si>
    <t>Sanctuaire Notre-Dame de Beauraing / Vierge au CÅ“ur d'Or</t>
  </si>
  <si>
    <t>Our Lady of Knock</t>
  </si>
  <si>
    <t>Knock Shrine</t>
  </si>
  <si>
    <t>Bazylika Narodzenia NMP w GietrzwaÅ‚dzie</t>
  </si>
  <si>
    <t>Our Lady of Hope, Madonna of the Crucifix</t>
  </si>
  <si>
    <t>https://www.sanctuaire-pontmain.com/</t>
  </si>
  <si>
    <t>Sanctuaire Notre-Dame de Pontmain</t>
  </si>
  <si>
    <t>Our Lady Help of Christians</t>
  </si>
  <si>
    <t>https://cz.poutni-mista-sluknovsko.cz/</t>
  </si>
  <si>
    <t>Bazilika Panny Marie Pomocnice kÅ™esÅ¥anÅ¯</t>
  </si>
  <si>
    <t>https://lasalette.cef.fr/</t>
  </si>
  <si>
    <t>Sanctuaire Notre-Dame de la Salette</t>
  </si>
  <si>
    <t>https://www.madonnadelmiracolo.it/</t>
  </si>
  <si>
    <t>Basilica di Sant'Andrea delle Fratte</t>
  </si>
  <si>
    <t>https://www.chapellenotredamedelamedaillemiraculeuse.com/</t>
  </si>
  <si>
    <t>Chapelle Notre-Dame-de-la-MÃ©daille-Miraculeuse</t>
  </si>
  <si>
    <t>Our Lady of Laus, Our Lady of Happy Meetings</t>
  </si>
  <si>
    <t>https://www.sanctuaire-notredamedulaus.com/</t>
  </si>
  <si>
    <t>Sanctuaire Notre-Dame du Laus</t>
  </si>
  <si>
    <t>https://www.ourladyofsiluva.org/</t>
  </si>
  <si>
    <t>Å iluvos Å vÄ. MergelÄ—s Marijos ApsireiÅ¡kimo koplyÄia</t>
  </si>
  <si>
    <t>https://lezajsk.bernardyni.pl/</t>
  </si>
  <si>
    <t>Bazylika Zwiastowania NajÅ›wiÄ™tszej Maryi Panny w LeÅ¼ajsku</t>
  </si>
  <si>
    <t>Our Lady of Fatima</t>
  </si>
  <si>
    <t>https://www.fatima.pt/</t>
  </si>
  <si>
    <t>SantuÃ¡rio de FÃ¡tima</t>
  </si>
  <si>
    <t>https://www.lourdes-france.org/</t>
  </si>
  <si>
    <t>Basilique Notre Dame du Rosaire</t>
  </si>
  <si>
    <t>Our Lady of Guadalupe</t>
  </si>
  <si>
    <t>https://virgendeguadalupe.org.mx/</t>
  </si>
  <si>
    <t>Basilica of Our Lady of Guadalupe</t>
  </si>
  <si>
    <t>layergroup</t>
  </si>
  <si>
    <t>other_data</t>
  </si>
  <si>
    <t>sticky</t>
  </si>
  <si>
    <t>did</t>
  </si>
  <si>
    <t>type</t>
  </si>
  <si>
    <t>retina</t>
  </si>
  <si>
    <t>approved</t>
  </si>
  <si>
    <t>category</t>
  </si>
  <si>
    <t>infoopen</t>
  </si>
  <si>
    <t>title</t>
  </si>
  <si>
    <t>anim</t>
  </si>
  <si>
    <t>lng</t>
  </si>
  <si>
    <t>lat</t>
  </si>
  <si>
    <t>icon</t>
  </si>
  <si>
    <t>link</t>
  </si>
  <si>
    <t>pic</t>
  </si>
  <si>
    <t>description</t>
  </si>
  <si>
    <t>address</t>
  </si>
  <si>
    <t>map_id</t>
  </si>
  <si>
    <t>id</t>
  </si>
  <si>
    <t>In December 1531, the Virgin Mary appeared to St. Juan Diego and his uncle.  The miraculous image imprinted on Juan Diego's tilma is on display at the Basilica of Our Lady of Guadalupe, which is the most-visited Catholic shrine in the world.</t>
  </si>
  <si>
    <t>https://www.miraclehunter.com/marian_apparitions/approved_apparitions/guadalupe/index.html</t>
  </si>
  <si>
    <t>https://www.marypages.com/guadalupe-(mexico).html</t>
  </si>
  <si>
    <t>https://www.miraclehunter.com/marian_apparitions/approved_apparitions/lejask/index.html</t>
  </si>
  <si>
    <t>https://www.miraclehunter.com/marian_apparitions/approved_apparitions/rome1842/index.html</t>
  </si>
  <si>
    <t>https://www.marypages.com/rome-(itali%C3%AB).html</t>
  </si>
  <si>
    <t>Chapel of Our Lady of the Miraculous Medal</t>
  </si>
  <si>
    <t>https://www.marypages.com/paris-(france)-en.html</t>
  </si>
  <si>
    <t>https://www.miraclehunter.com/marian_apparitions/approved_apparitions/ruedubac/index.html</t>
  </si>
  <si>
    <t>One summer day, in 1608, a number of children were playing while tending their sheep in a field on the outskirts of the village of Siluva.  They beheld a beautiful young woman standing on the rock holding a baby in her arms and weeping bitterly.  The town which had lost its Catholic identity to the Calvinists over the course of 80 years was restored to the Faith.</t>
  </si>
  <si>
    <t>https://www.marypages.com/our-lady-of-siluva-en.html</t>
  </si>
  <si>
    <t>https://www.miraclehunter.com/marian_apparitions/approved_apparitions/siluva/index.html</t>
  </si>
  <si>
    <t>In a series of apparitions in 1858, the Virgin Mary appeared to St. Bernadette Soubirous.  The stream of holy water which St. Bernadette uncovered has become a well-known source of healing, and Lourdes is now a major pilgrimage destination.</t>
  </si>
  <si>
    <t>https://www.miraclehunter.com/marian_apparitions/approved_apparitions/lourdes/index.html</t>
  </si>
  <si>
    <t>https://www.marypages.com/lourdes-(frankrijk)-1858/</t>
  </si>
  <si>
    <t>Benoite Rencurel, a poor shepherdess, received apparitions from the Virgin Mary from 1664 until her death in 1718.  During the apparitions, the Blessed Mother asked for a church and a house for priests to be built, with the intent of drawing people to greater conversion, especially through the sacrament of penance.  The holy site now draws 120,000 pilgrims annually, and is associated with numerous physical healings.</t>
  </si>
  <si>
    <t>https://www.miraclehunter.com/marian_apparitions/approved_apparitions/laus/index.html</t>
  </si>
  <si>
    <t>https://www.marypages.com/laus-(france)-en.html</t>
  </si>
  <si>
    <t>While tending sheep in a field called the Cova de Iria, Lucia de Santos (aged 10) and her two cousins, Francisco and Jacinta Marto, reported six apparitions of Mary, who identified herself as "Our Lady of the Rosary."  Mary urged prayer of the rosary, penance for the conversion of sinners and consecration of Russia to her Immaculate Heart.</t>
  </si>
  <si>
    <t>https://www.miraclehunter.com/marian_apparitions/approved_apparitions/fatima/index.html</t>
  </si>
  <si>
    <t>https://www.marypages.com/fatima-(portugal)-1917.html</t>
  </si>
  <si>
    <t>Sanctuary of Our Lady of Gietrzwałd</t>
  </si>
  <si>
    <t>In 1846, the Blessed Virgin Mary appeared to 11-year-old Maximin Giraud and 14-year-old Melanie Calvat-Mathieu while they tended sheep in a small French Alpine village.  Her appearance in sorrow and tears called for conversion and repentance.</t>
  </si>
  <si>
    <t>https://www.miraclehunter.com/marian_apparitions/approved_apparitions/lasalette/index.html</t>
  </si>
  <si>
    <t>https://www.marypages.com/la-salette-(france)-en.html</t>
  </si>
  <si>
    <t>Sanctuary of Pontmain (Mother of Hope)</t>
  </si>
  <si>
    <t>According to legend, the Virgin Mary appeared in Licheń, Poland to Tomasz Klossowski, a wounded soldier, in 1813 who was healed and discovered a miraculous portrait of Our Lady.  She then appeared to a poor shepherd, Mikolaj Sikatka, in 1850 who promoted her devotion.  She foretold of a cholera epidemic and interceded for the healing of many who sought her help.</t>
  </si>
  <si>
    <t>https://www.marypages.com/lichen-(poland)-holy-mother-of-sorrow-en.html</t>
  </si>
  <si>
    <t>Shrine of Our Lady of Kibeho (Mother of the Word)</t>
  </si>
  <si>
    <t>Rwanda</t>
  </si>
  <si>
    <t>Lebanon</t>
  </si>
  <si>
    <t>Kibeho</t>
  </si>
  <si>
    <t>Country</t>
  </si>
  <si>
    <t>juan-diego</t>
  </si>
  <si>
    <t>benoite-rencurel</t>
  </si>
  <si>
    <t>catherine-laboure</t>
  </si>
  <si>
    <t>marie-alphonse-ratisbonne</t>
  </si>
  <si>
    <t>bernadette-soubirous</t>
  </si>
  <si>
    <t>Andorra</t>
  </si>
  <si>
    <t>United Arab Emirates</t>
  </si>
  <si>
    <t>Afghanistan</t>
  </si>
  <si>
    <t>Antigua and Barbuda</t>
  </si>
  <si>
    <t>Anguilla</t>
  </si>
  <si>
    <t>Albania</t>
  </si>
  <si>
    <t>Armenia</t>
  </si>
  <si>
    <t>Angola</t>
  </si>
  <si>
    <t>Antarctica</t>
  </si>
  <si>
    <t>Argentina</t>
  </si>
  <si>
    <t>American Samoa</t>
  </si>
  <si>
    <t>Austria</t>
  </si>
  <si>
    <t>Australia</t>
  </si>
  <si>
    <t>Aruba</t>
  </si>
  <si>
    <t>Azerbaijan</t>
  </si>
  <si>
    <t>Bosnia and Herzegovina</t>
  </si>
  <si>
    <t>Barbados</t>
  </si>
  <si>
    <t>Bangladesh</t>
  </si>
  <si>
    <t>Belgium</t>
  </si>
  <si>
    <t>Burkina Faso</t>
  </si>
  <si>
    <t>Bulgaria</t>
  </si>
  <si>
    <t>Bahrain</t>
  </si>
  <si>
    <t>Burundi</t>
  </si>
  <si>
    <t>Benin</t>
  </si>
  <si>
    <t>Bermuda</t>
  </si>
  <si>
    <t>Brunei Darussalam</t>
  </si>
  <si>
    <t>Bonaire, Sint Eustatius and Saba</t>
  </si>
  <si>
    <t>Brazil</t>
  </si>
  <si>
    <t>Bahamas</t>
  </si>
  <si>
    <t>Bhutan</t>
  </si>
  <si>
    <t>Bouvet Island</t>
  </si>
  <si>
    <t>Botswana</t>
  </si>
  <si>
    <t>Belarus</t>
  </si>
  <si>
    <t>Belize</t>
  </si>
  <si>
    <t>Canada</t>
  </si>
  <si>
    <t>Cocos (Keeling) Islands</t>
  </si>
  <si>
    <t>Central African Republic</t>
  </si>
  <si>
    <t>Congo</t>
  </si>
  <si>
    <t>Switzerland</t>
  </si>
  <si>
    <t>Cook Islands</t>
  </si>
  <si>
    <t>Chile</t>
  </si>
  <si>
    <t>Cameroon</t>
  </si>
  <si>
    <t>China</t>
  </si>
  <si>
    <t>Colombia</t>
  </si>
  <si>
    <t>Costa Rica</t>
  </si>
  <si>
    <t>Cuba</t>
  </si>
  <si>
    <t>Cabo Verde</t>
  </si>
  <si>
    <t>Christmas Island</t>
  </si>
  <si>
    <t>Cyprus</t>
  </si>
  <si>
    <t>Czechia</t>
  </si>
  <si>
    <t>Germany</t>
  </si>
  <si>
    <t>Djibouti</t>
  </si>
  <si>
    <t>Denmark</t>
  </si>
  <si>
    <t>Dominica</t>
  </si>
  <si>
    <t>Dominican Republic</t>
  </si>
  <si>
    <t>Algeria</t>
  </si>
  <si>
    <t>Ecuador</t>
  </si>
  <si>
    <t>Estonia</t>
  </si>
  <si>
    <t>Western Sahara</t>
  </si>
  <si>
    <t>Eritrea</t>
  </si>
  <si>
    <t>Spain</t>
  </si>
  <si>
    <t>Ethiopia</t>
  </si>
  <si>
    <t>Finland</t>
  </si>
  <si>
    <t>Fiji</t>
  </si>
  <si>
    <t>Faroe Islands</t>
  </si>
  <si>
    <t>France</t>
  </si>
  <si>
    <t>Gabon</t>
  </si>
  <si>
    <t>Grenada</t>
  </si>
  <si>
    <t>Georgia</t>
  </si>
  <si>
    <t>French Guiana</t>
  </si>
  <si>
    <t>Guernsey</t>
  </si>
  <si>
    <t>Ghana</t>
  </si>
  <si>
    <t>Gibraltar</t>
  </si>
  <si>
    <t>Greenland</t>
  </si>
  <si>
    <t>Gambia</t>
  </si>
  <si>
    <t>Guinea</t>
  </si>
  <si>
    <t>Guadeloupe</t>
  </si>
  <si>
    <t>Equatorial Guinea</t>
  </si>
  <si>
    <t>Greece</t>
  </si>
  <si>
    <t>South Georgia and the South Sandwich Islands</t>
  </si>
  <si>
    <t>Guatemala</t>
  </si>
  <si>
    <t>Guam</t>
  </si>
  <si>
    <t>Guinea-Bissau</t>
  </si>
  <si>
    <t>Guyana</t>
  </si>
  <si>
    <t>Hong Kong</t>
  </si>
  <si>
    <t>Heard Island and McDonald Islands</t>
  </si>
  <si>
    <t>Honduras</t>
  </si>
  <si>
    <t>Croatia</t>
  </si>
  <si>
    <t>Haiti</t>
  </si>
  <si>
    <t>Hungary</t>
  </si>
  <si>
    <t>Indonesia</t>
  </si>
  <si>
    <t>Ireland</t>
  </si>
  <si>
    <t>Israel</t>
  </si>
  <si>
    <t>Isle of Man</t>
  </si>
  <si>
    <t>British Indian Ocean Territory</t>
  </si>
  <si>
    <t>Iraq</t>
  </si>
  <si>
    <t>Iceland</t>
  </si>
  <si>
    <t>Jersey</t>
  </si>
  <si>
    <t>Jamaica</t>
  </si>
  <si>
    <t>Jordan</t>
  </si>
  <si>
    <t>Japan</t>
  </si>
  <si>
    <t>Kenya</t>
  </si>
  <si>
    <t>Kyrgyzstan</t>
  </si>
  <si>
    <t>Cambodia</t>
  </si>
  <si>
    <t>Kiribati</t>
  </si>
  <si>
    <t>Comoros</t>
  </si>
  <si>
    <t>Saint Kitts and Nevis</t>
  </si>
  <si>
    <t>Kuwait</t>
  </si>
  <si>
    <t>Cayman Islands</t>
  </si>
  <si>
    <t>Kazakhstan</t>
  </si>
  <si>
    <t>Saint Lucia</t>
  </si>
  <si>
    <t>Liechtenstein</t>
  </si>
  <si>
    <t>Sri Lanka</t>
  </si>
  <si>
    <t>Liberia</t>
  </si>
  <si>
    <t>Lesotho</t>
  </si>
  <si>
    <t>Lithuania</t>
  </si>
  <si>
    <t>Luxembourg</t>
  </si>
  <si>
    <t>Latvia</t>
  </si>
  <si>
    <t>Libya</t>
  </si>
  <si>
    <t>Morocco</t>
  </si>
  <si>
    <t>Monaco</t>
  </si>
  <si>
    <t>Montenegro</t>
  </si>
  <si>
    <t>Madagascar</t>
  </si>
  <si>
    <t>Marshall Islands</t>
  </si>
  <si>
    <t>North Macedonia</t>
  </si>
  <si>
    <t>Mali</t>
  </si>
  <si>
    <t>Myanmar</t>
  </si>
  <si>
    <t>Mongolia</t>
  </si>
  <si>
    <t>Macao</t>
  </si>
  <si>
    <t>MP</t>
  </si>
  <si>
    <t>Northern Mariana Islands</t>
  </si>
  <si>
    <t>Martinique</t>
  </si>
  <si>
    <t>Mauritania</t>
  </si>
  <si>
    <t>Montserrat</t>
  </si>
  <si>
    <t>Malta</t>
  </si>
  <si>
    <t>Mauritius</t>
  </si>
  <si>
    <t>Maldives</t>
  </si>
  <si>
    <t>Malawi</t>
  </si>
  <si>
    <t>Mexico</t>
  </si>
  <si>
    <t>Malaysia</t>
  </si>
  <si>
    <t>Mozambique</t>
  </si>
  <si>
    <t>Namibia</t>
  </si>
  <si>
    <t>New Caledonia</t>
  </si>
  <si>
    <t>Niger</t>
  </si>
  <si>
    <t>Norfolk Island</t>
  </si>
  <si>
    <t>Nigeria</t>
  </si>
  <si>
    <t>Nicaragua</t>
  </si>
  <si>
    <t>Norway</t>
  </si>
  <si>
    <t>Nepal</t>
  </si>
  <si>
    <t>Nauru</t>
  </si>
  <si>
    <t>Niue</t>
  </si>
  <si>
    <t>New Zealand</t>
  </si>
  <si>
    <t>Oman</t>
  </si>
  <si>
    <t>Panama</t>
  </si>
  <si>
    <t>Peru</t>
  </si>
  <si>
    <t>French Polynesia</t>
  </si>
  <si>
    <t>Papua New Guinea</t>
  </si>
  <si>
    <t>Philippines</t>
  </si>
  <si>
    <t>Pakistan</t>
  </si>
  <si>
    <t>Poland</t>
  </si>
  <si>
    <t>Saint Pierre and Miquelon</t>
  </si>
  <si>
    <t>Pitcairn</t>
  </si>
  <si>
    <t>Puerto Rico</t>
  </si>
  <si>
    <t>Portugal</t>
  </si>
  <si>
    <t>Palau</t>
  </si>
  <si>
    <t>Paraguay</t>
  </si>
  <si>
    <t>Qatar</t>
  </si>
  <si>
    <t>Romania</t>
  </si>
  <si>
    <t>Serbia</t>
  </si>
  <si>
    <t>Saudi Arabia</t>
  </si>
  <si>
    <t>Solomon Islands</t>
  </si>
  <si>
    <t>Seychelles</t>
  </si>
  <si>
    <t>Sudan</t>
  </si>
  <si>
    <t>Sweden</t>
  </si>
  <si>
    <t>Singapore</t>
  </si>
  <si>
    <t>Saint Helena, Ascension and Tristan da Cunha</t>
  </si>
  <si>
    <t>Slovenia</t>
  </si>
  <si>
    <t>Svalbard and Jan Mayen</t>
  </si>
  <si>
    <t>Slovakia</t>
  </si>
  <si>
    <t>Sierra Leone</t>
  </si>
  <si>
    <t>San Marino</t>
  </si>
  <si>
    <t>Senegal</t>
  </si>
  <si>
    <t>Somalia</t>
  </si>
  <si>
    <t>Suriname</t>
  </si>
  <si>
    <t>South Sudan</t>
  </si>
  <si>
    <t>Sao Tome and Principe</t>
  </si>
  <si>
    <t>El Salvador</t>
  </si>
  <si>
    <t>Eswatini</t>
  </si>
  <si>
    <t>Chad</t>
  </si>
  <si>
    <t>French Southern Territories</t>
  </si>
  <si>
    <t>Togo</t>
  </si>
  <si>
    <t>Thailand</t>
  </si>
  <si>
    <t>Tajikistan</t>
  </si>
  <si>
    <t>Tokelau</t>
  </si>
  <si>
    <t>Timor-Leste</t>
  </si>
  <si>
    <t>Turkmenistan</t>
  </si>
  <si>
    <t>Tunisia</t>
  </si>
  <si>
    <t>Tonga</t>
  </si>
  <si>
    <t>Trinidad and Tobago</t>
  </si>
  <si>
    <t>Tuvalu</t>
  </si>
  <si>
    <t>Ukraine</t>
  </si>
  <si>
    <t>Uganda</t>
  </si>
  <si>
    <t>United States Minor Outlying Islands</t>
  </si>
  <si>
    <t>United States of America</t>
  </si>
  <si>
    <t>Uruguay</t>
  </si>
  <si>
    <t>Uzbekistan</t>
  </si>
  <si>
    <t>Saint Vincent and the Grenadines</t>
  </si>
  <si>
    <t>Vanuatu</t>
  </si>
  <si>
    <t>Wallis and Futuna</t>
  </si>
  <si>
    <t>Samoa</t>
  </si>
  <si>
    <t>Yemen</t>
  </si>
  <si>
    <t>Mayotte</t>
  </si>
  <si>
    <t>South Africa</t>
  </si>
  <si>
    <t>Zambia</t>
  </si>
  <si>
    <t>Zimbabwe</t>
  </si>
  <si>
    <t>Bolivia</t>
  </si>
  <si>
    <t>Democratic Republic of the Congo</t>
  </si>
  <si>
    <t>Falkland Islands</t>
  </si>
  <si>
    <t>Micronesia</t>
  </si>
  <si>
    <t>Iran</t>
  </si>
  <si>
    <t>North Korea</t>
  </si>
  <si>
    <t>Saint Martin</t>
  </si>
  <si>
    <t>Sint Maarten</t>
  </si>
  <si>
    <t>Venezuela</t>
  </si>
  <si>
    <t>British Virgin Islands</t>
  </si>
  <si>
    <t>US Virgin Islands</t>
  </si>
  <si>
    <t>South Korea</t>
  </si>
  <si>
    <t>Moldova</t>
  </si>
  <si>
    <t>Netherlands</t>
  </si>
  <si>
    <t>Palestine</t>
  </si>
  <si>
    <t>Taiwan</t>
  </si>
  <si>
    <t>Tanzania</t>
  </si>
  <si>
    <t>Fatima</t>
  </si>
  <si>
    <t>Shrine of Fatima</t>
  </si>
  <si>
    <t>Full Title</t>
  </si>
  <si>
    <t>Short Title</t>
  </si>
  <si>
    <t>Cote d'Ivoire</t>
  </si>
  <si>
    <t>Saint Barthelemy</t>
  </si>
  <si>
    <t>Aland Islands</t>
  </si>
  <si>
    <t>United Kingdom</t>
  </si>
  <si>
    <t>Laos</t>
  </si>
  <si>
    <t>Russia</t>
  </si>
  <si>
    <t>Syria</t>
  </si>
  <si>
    <t>Turks and Caicos</t>
  </si>
  <si>
    <t>Vietnam</t>
  </si>
  <si>
    <t>ad</t>
  </si>
  <si>
    <t>ae</t>
  </si>
  <si>
    <t>af</t>
  </si>
  <si>
    <t>ag</t>
  </si>
  <si>
    <t>ai</t>
  </si>
  <si>
    <t>al</t>
  </si>
  <si>
    <t>am</t>
  </si>
  <si>
    <t>ao</t>
  </si>
  <si>
    <t>aq</t>
  </si>
  <si>
    <t>ar</t>
  </si>
  <si>
    <t>as</t>
  </si>
  <si>
    <t>at</t>
  </si>
  <si>
    <t>au</t>
  </si>
  <si>
    <t>aw</t>
  </si>
  <si>
    <t>ax</t>
  </si>
  <si>
    <t>az</t>
  </si>
  <si>
    <t>ba</t>
  </si>
  <si>
    <t>bb</t>
  </si>
  <si>
    <t>bd</t>
  </si>
  <si>
    <t>be</t>
  </si>
  <si>
    <t>bf</t>
  </si>
  <si>
    <t>bg</t>
  </si>
  <si>
    <t>bh</t>
  </si>
  <si>
    <t>bi</t>
  </si>
  <si>
    <t>bj</t>
  </si>
  <si>
    <t>bl</t>
  </si>
  <si>
    <t>bm</t>
  </si>
  <si>
    <t>bn</t>
  </si>
  <si>
    <t>bo</t>
  </si>
  <si>
    <t>bq</t>
  </si>
  <si>
    <t>br</t>
  </si>
  <si>
    <t>bs</t>
  </si>
  <si>
    <t>bt</t>
  </si>
  <si>
    <t>bv</t>
  </si>
  <si>
    <t>bw</t>
  </si>
  <si>
    <t>by</t>
  </si>
  <si>
    <t>bz</t>
  </si>
  <si>
    <t>ca</t>
  </si>
  <si>
    <t>cc</t>
  </si>
  <si>
    <t>cd</t>
  </si>
  <si>
    <t>cf</t>
  </si>
  <si>
    <t>cg</t>
  </si>
  <si>
    <t>ch</t>
  </si>
  <si>
    <t>ci</t>
  </si>
  <si>
    <t>ck</t>
  </si>
  <si>
    <t>cl</t>
  </si>
  <si>
    <t>cm</t>
  </si>
  <si>
    <t>cn</t>
  </si>
  <si>
    <t>co</t>
  </si>
  <si>
    <t>cr</t>
  </si>
  <si>
    <t>cu</t>
  </si>
  <si>
    <t>cv</t>
  </si>
  <si>
    <t>cw</t>
  </si>
  <si>
    <t>cx</t>
  </si>
  <si>
    <t>cy</t>
  </si>
  <si>
    <t>cz</t>
  </si>
  <si>
    <t>de</t>
  </si>
  <si>
    <t>dj</t>
  </si>
  <si>
    <t>dk</t>
  </si>
  <si>
    <t>dm</t>
  </si>
  <si>
    <t>do</t>
  </si>
  <si>
    <t>dz</t>
  </si>
  <si>
    <t>ec</t>
  </si>
  <si>
    <t>ee</t>
  </si>
  <si>
    <t>eg</t>
  </si>
  <si>
    <t>eh</t>
  </si>
  <si>
    <t>er</t>
  </si>
  <si>
    <t>es</t>
  </si>
  <si>
    <t>et</t>
  </si>
  <si>
    <t>fi</t>
  </si>
  <si>
    <t>fj</t>
  </si>
  <si>
    <t>fk</t>
  </si>
  <si>
    <t>fm</t>
  </si>
  <si>
    <t>fo</t>
  </si>
  <si>
    <t>fr</t>
  </si>
  <si>
    <t>ga</t>
  </si>
  <si>
    <t>gb</t>
  </si>
  <si>
    <t>gd</t>
  </si>
  <si>
    <t>ge</t>
  </si>
  <si>
    <t>gf</t>
  </si>
  <si>
    <t>gg</t>
  </si>
  <si>
    <t>gh</t>
  </si>
  <si>
    <t>gi</t>
  </si>
  <si>
    <t>gl</t>
  </si>
  <si>
    <t>gm</t>
  </si>
  <si>
    <t>gn</t>
  </si>
  <si>
    <t>gp</t>
  </si>
  <si>
    <t>gq</t>
  </si>
  <si>
    <t>gr</t>
  </si>
  <si>
    <t>gs</t>
  </si>
  <si>
    <t>gt</t>
  </si>
  <si>
    <t>gu</t>
  </si>
  <si>
    <t>gw</t>
  </si>
  <si>
    <t>gy</t>
  </si>
  <si>
    <t>hk</t>
  </si>
  <si>
    <t>hm</t>
  </si>
  <si>
    <t>hn</t>
  </si>
  <si>
    <t>hr</t>
  </si>
  <si>
    <t>ht</t>
  </si>
  <si>
    <t>hu</t>
  </si>
  <si>
    <t>ie</t>
  </si>
  <si>
    <t>il</t>
  </si>
  <si>
    <t>im</t>
  </si>
  <si>
    <t>in</t>
  </si>
  <si>
    <t>io</t>
  </si>
  <si>
    <t>iq</t>
  </si>
  <si>
    <t>ir</t>
  </si>
  <si>
    <t>is</t>
  </si>
  <si>
    <t>it</t>
  </si>
  <si>
    <t>je</t>
  </si>
  <si>
    <t>jm</t>
  </si>
  <si>
    <t>jo</t>
  </si>
  <si>
    <t>jp</t>
  </si>
  <si>
    <t>ke</t>
  </si>
  <si>
    <t>kg</t>
  </si>
  <si>
    <t>kh</t>
  </si>
  <si>
    <t>ki</t>
  </si>
  <si>
    <t>km</t>
  </si>
  <si>
    <t>kn</t>
  </si>
  <si>
    <t>kp</t>
  </si>
  <si>
    <t>kr</t>
  </si>
  <si>
    <t>kw</t>
  </si>
  <si>
    <t>ky</t>
  </si>
  <si>
    <t>kz</t>
  </si>
  <si>
    <t>la</t>
  </si>
  <si>
    <t>lb</t>
  </si>
  <si>
    <t>lc</t>
  </si>
  <si>
    <t>li</t>
  </si>
  <si>
    <t>lk</t>
  </si>
  <si>
    <t>lr</t>
  </si>
  <si>
    <t>ls</t>
  </si>
  <si>
    <t>lt</t>
  </si>
  <si>
    <t>lu</t>
  </si>
  <si>
    <t>lv</t>
  </si>
  <si>
    <t>ly</t>
  </si>
  <si>
    <t>ma</t>
  </si>
  <si>
    <t>mc</t>
  </si>
  <si>
    <t>md</t>
  </si>
  <si>
    <t>me</t>
  </si>
  <si>
    <t>mf</t>
  </si>
  <si>
    <t>mg</t>
  </si>
  <si>
    <t>mh</t>
  </si>
  <si>
    <t>mk</t>
  </si>
  <si>
    <t>ml</t>
  </si>
  <si>
    <t>mm</t>
  </si>
  <si>
    <t>mn</t>
  </si>
  <si>
    <t>mo</t>
  </si>
  <si>
    <t>mp</t>
  </si>
  <si>
    <t>mq</t>
  </si>
  <si>
    <t>mr</t>
  </si>
  <si>
    <t>ms</t>
  </si>
  <si>
    <t>mt</t>
  </si>
  <si>
    <t>mu</t>
  </si>
  <si>
    <t>mv</t>
  </si>
  <si>
    <t>mw</t>
  </si>
  <si>
    <t>mx</t>
  </si>
  <si>
    <t>my</t>
  </si>
  <si>
    <t>mz</t>
  </si>
  <si>
    <t>na</t>
  </si>
  <si>
    <t>nc</t>
  </si>
  <si>
    <t>ne</t>
  </si>
  <si>
    <t>nf</t>
  </si>
  <si>
    <t>ng</t>
  </si>
  <si>
    <t>ni</t>
  </si>
  <si>
    <t>nl</t>
  </si>
  <si>
    <t>no</t>
  </si>
  <si>
    <t>np</t>
  </si>
  <si>
    <t>nr</t>
  </si>
  <si>
    <t>nu</t>
  </si>
  <si>
    <t>nz</t>
  </si>
  <si>
    <t>om</t>
  </si>
  <si>
    <t>pa</t>
  </si>
  <si>
    <t>pe</t>
  </si>
  <si>
    <t>pf</t>
  </si>
  <si>
    <t>pg</t>
  </si>
  <si>
    <t>ph</t>
  </si>
  <si>
    <t>pk</t>
  </si>
  <si>
    <t>pl</t>
  </si>
  <si>
    <t>pm</t>
  </si>
  <si>
    <t>pn</t>
  </si>
  <si>
    <t>pr</t>
  </si>
  <si>
    <t>ps</t>
  </si>
  <si>
    <t>pt</t>
  </si>
  <si>
    <t>pw</t>
  </si>
  <si>
    <t>py</t>
  </si>
  <si>
    <t>qa</t>
  </si>
  <si>
    <t>re</t>
  </si>
  <si>
    <t>ro</t>
  </si>
  <si>
    <t>rs</t>
  </si>
  <si>
    <t>ru</t>
  </si>
  <si>
    <t>rw</t>
  </si>
  <si>
    <t>sa</t>
  </si>
  <si>
    <t>sb</t>
  </si>
  <si>
    <t>sc</t>
  </si>
  <si>
    <t>sd</t>
  </si>
  <si>
    <t>se</t>
  </si>
  <si>
    <t>sg</t>
  </si>
  <si>
    <t>sh</t>
  </si>
  <si>
    <t>si</t>
  </si>
  <si>
    <t>sj</t>
  </si>
  <si>
    <t>sk</t>
  </si>
  <si>
    <t>sl</t>
  </si>
  <si>
    <t>sm</t>
  </si>
  <si>
    <t>sn</t>
  </si>
  <si>
    <t>so</t>
  </si>
  <si>
    <t>sr</t>
  </si>
  <si>
    <t>ss</t>
  </si>
  <si>
    <t>st</t>
  </si>
  <si>
    <t>sv</t>
  </si>
  <si>
    <t>sx</t>
  </si>
  <si>
    <t>sy</t>
  </si>
  <si>
    <t>sz</t>
  </si>
  <si>
    <t>tc</t>
  </si>
  <si>
    <t>td</t>
  </si>
  <si>
    <t>tf</t>
  </si>
  <si>
    <t>tg</t>
  </si>
  <si>
    <t>th</t>
  </si>
  <si>
    <t>tj</t>
  </si>
  <si>
    <t>tk</t>
  </si>
  <si>
    <t>tl</t>
  </si>
  <si>
    <t>tm</t>
  </si>
  <si>
    <t>tn</t>
  </si>
  <si>
    <t>to</t>
  </si>
  <si>
    <t>tr</t>
  </si>
  <si>
    <t>tt</t>
  </si>
  <si>
    <t>tv</t>
  </si>
  <si>
    <t>tw</t>
  </si>
  <si>
    <t>tz</t>
  </si>
  <si>
    <t>ua</t>
  </si>
  <si>
    <t>ug</t>
  </si>
  <si>
    <t>um</t>
  </si>
  <si>
    <t>us</t>
  </si>
  <si>
    <t>uy</t>
  </si>
  <si>
    <t>uz</t>
  </si>
  <si>
    <t>va</t>
  </si>
  <si>
    <t>vc</t>
  </si>
  <si>
    <t>ve</t>
  </si>
  <si>
    <t>vg</t>
  </si>
  <si>
    <t>vi</t>
  </si>
  <si>
    <t>vn</t>
  </si>
  <si>
    <t>vu</t>
  </si>
  <si>
    <t>wf</t>
  </si>
  <si>
    <t>ws</t>
  </si>
  <si>
    <t>ye</t>
  </si>
  <si>
    <t>yt</t>
  </si>
  <si>
    <t>za</t>
  </si>
  <si>
    <t>zm</t>
  </si>
  <si>
    <t>zw</t>
  </si>
  <si>
    <t>Filename</t>
  </si>
  <si>
    <t>Sanctuary of Pontmain</t>
  </si>
  <si>
    <t>Knock</t>
  </si>
  <si>
    <t>Gietrzwald</t>
  </si>
  <si>
    <t>Filipov</t>
  </si>
  <si>
    <t>Pontmain</t>
  </si>
  <si>
    <t>Lourdes</t>
  </si>
  <si>
    <t>Page Title</t>
  </si>
  <si>
    <t>In 1879, 15 individuals witnessed the figures of Mary, Joseph, John the Evangelist, and a lamb and cross atop an altar, all enveloped in a bright light outside the local church.  The imagery is unique to Knock and holds eschatological significance for Catholics.</t>
  </si>
  <si>
    <t>OS</t>
  </si>
  <si>
    <t>Rome</t>
  </si>
  <si>
    <t>Guadalupe</t>
  </si>
  <si>
    <t>Šiluva</t>
  </si>
  <si>
    <t>Basilica of the Nativity of the Blessed Virgin Mary</t>
  </si>
  <si>
    <t>https://siluva.lt/</t>
  </si>
  <si>
    <t>Laus</t>
  </si>
  <si>
    <t>Sanctuary of Our Lady of Laus</t>
  </si>
  <si>
    <t>Sanctuary of Our Lady of Lourdes</t>
  </si>
  <si>
    <t>1664-1718</t>
  </si>
  <si>
    <t>1968-1970</t>
  </si>
  <si>
    <t>Virgin Mary Church in Zeitoun</t>
  </si>
  <si>
    <t>Virgin Mary Church in Zeitoun (Our Lady of Zeitoun, Our Lady of Light)</t>
  </si>
  <si>
    <t>In 1968 Our Lady began appearing over St. Mary's Coptic Orthodox church in Zeitoun, Egypt.  The church lies on the Matariya Road through which the Holy Family is traditionally known to have passed during their stay in Egypt.
For three years Our Lady appeared on many occasions, taking many forms and sometimes accompanied by doves and other phenomena. It is estimated that 40 million people across a variety of faiths witnessed these events.
The apparitions have been verified by both the Coptic Orthodox Church and the Roman Catholic Church through the Papal Residence in Cairo.</t>
  </si>
  <si>
    <t>https://www.miraclehunter.com/marian_apparitions/approved_apparitions/zeitun/index.html</t>
  </si>
  <si>
    <t>https://www.marypages.com/zeitoen-ca%C3%AFro-(egypt)-en.html</t>
  </si>
  <si>
    <t>https://www.stmaryztn.org/saintmary/en/</t>
  </si>
  <si>
    <t>coptic</t>
  </si>
  <si>
    <t>Licheń</t>
  </si>
  <si>
    <t>1813-1850</t>
  </si>
  <si>
    <t>Basilica of Our Lady of Licheń (Holy Mother of Sorrows, Queen of Poland)</t>
  </si>
  <si>
    <t>Basilica of Our Lady of Lichen</t>
  </si>
  <si>
    <t>Paris</t>
  </si>
  <si>
    <t>La Salette</t>
  </si>
  <si>
    <t>Sanctuary of Our Lady of La Salette</t>
  </si>
  <si>
    <t>Sant'Andrea delle Fratte (Shrine of Our Lady of the Miracle, Our Lady of Zion)</t>
  </si>
  <si>
    <t>Sant Andrea delle Fratte</t>
  </si>
  <si>
    <t>Zeitoun</t>
  </si>
  <si>
    <t>Basilica of the Nativity of the Blessed Virgin Mary (Our Lady of Siluva)</t>
  </si>
  <si>
    <t>Sanctuary of Our Lady of the Rosary of Fatima</t>
  </si>
  <si>
    <t>Cathedral-Basilica of Our Lady of the Pillar</t>
  </si>
  <si>
    <t>Cathedral Basilica of Our Lady of the Pillar</t>
  </si>
  <si>
    <t>https://catedraldezaragoza.es/basilica/</t>
  </si>
  <si>
    <t>https://www.marypages.com/our-lady-of-the-pillar.html</t>
  </si>
  <si>
    <t>Zaragoza</t>
  </si>
  <si>
    <t>In Progress</t>
  </si>
  <si>
    <t>Leżajsk</t>
  </si>
  <si>
    <t>Basilica of the Annunciation of the Blessed Virgin Mary</t>
  </si>
  <si>
    <t>In 1578, a pious woodcutter named Tomasz Michałek saw a bright light in the forest.  The Virgin asked him to alert the authorities to build a church.  Thomas, scared, did nothing.  The Virgin appeared again, asking him to take action and ending his silence.  Thomas approached the authorities but was not believed.  Under a subsequent priest, a small chapel was built, then a larger shrine in 1606.  Today the shrine is part of a larger Bernardine monastery, and contains the image of Our Lady of Consolation.</t>
  </si>
  <si>
    <t>Czestochowa</t>
  </si>
  <si>
    <t>Unknown</t>
  </si>
  <si>
    <t>Jasna Gora Monastery (Our Lady of Czestochowa)</t>
  </si>
  <si>
    <t>Jasna Gora Monastery</t>
  </si>
  <si>
    <t>https://jasnagora.pl/</t>
  </si>
  <si>
    <t>https://www.miraclehunter.com/marian_apparitions/approved_apparitions/czestochowa/</t>
  </si>
  <si>
    <t>https://www.marypages.com/czestochowa-(poland)-en.html</t>
  </si>
  <si>
    <t>The Monastery of Jasna Gora in Częstochowa, Poland, is the third-largest Catholic pilgrimage site in the world.  Home to the beloved miraculous icon of Our Lady of Częstochowa, the monastery is also the national shrine of Poland and a pillar of Polish Catholicism.</t>
  </si>
  <si>
    <t>11th Century</t>
  </si>
  <si>
    <t>13th Century</t>
  </si>
  <si>
    <t>16th Century</t>
  </si>
  <si>
    <t>17th Century</t>
  </si>
  <si>
    <t>1955-1971</t>
  </si>
  <si>
    <t>Le Puy En Velay</t>
  </si>
  <si>
    <t>Tindari</t>
  </si>
  <si>
    <t>Walsingham</t>
  </si>
  <si>
    <t>Swieta Lipka</t>
  </si>
  <si>
    <t>Vailankanni</t>
  </si>
  <si>
    <t>Sveta Gora</t>
  </si>
  <si>
    <t>Gozo</t>
  </si>
  <si>
    <t>Luján</t>
  </si>
  <si>
    <t>Caysasay</t>
  </si>
  <si>
    <t>Doroszló</t>
  </si>
  <si>
    <t>Manaoag</t>
  </si>
  <si>
    <t>Las Lajas</t>
  </si>
  <si>
    <t>La Vang</t>
  </si>
  <si>
    <t>Pellovoisin</t>
  </si>
  <si>
    <t>Kallikulam</t>
  </si>
  <si>
    <t>Ngome</t>
  </si>
  <si>
    <t>Akita</t>
  </si>
  <si>
    <t>Cuapa</t>
  </si>
  <si>
    <t>Rome (Santa Maria Maggiore)</t>
  </si>
  <si>
    <t>1399, 1711</t>
  </si>
  <si>
    <t>El Cobre</t>
  </si>
  <si>
    <t>Swieta Lipka Sanctuary</t>
  </si>
  <si>
    <t>Basilica of Our Lady of Charity of El Cobre</t>
  </si>
  <si>
    <t>Basilica of El Cobre</t>
  </si>
  <si>
    <t>Ngome Marian Shrine</t>
  </si>
  <si>
    <t>reinolda-may</t>
  </si>
  <si>
    <t>Done</t>
  </si>
  <si>
    <t>Status</t>
  </si>
  <si>
    <t>https://www.swlipka.pl/</t>
  </si>
  <si>
    <t>http://www.miraclehunter.com/marian_apparitions/approved_apparitions/apparitions_1200-1299.html</t>
  </si>
  <si>
    <t>The Real Presence Supplement</t>
  </si>
  <si>
    <t>Miracle Hunter Supplement</t>
  </si>
  <si>
    <t>MaryPages Supplement</t>
  </si>
  <si>
    <t>, [Link](http://www.therealpresence.org/eucharst/misc/BVM/154_FATIMA_140x96_2.pdf), [Link](http://www.therealpresence.org/eucharst/misc/BVM/154_FATIMA_96x96_3.pdf)</t>
  </si>
  <si>
    <t>http://www.miraclehunter.com/marian_apparitions/approved_apparitions/guaitara/index.html</t>
  </si>
  <si>
    <t>National Shrine Basilica of Our Lady of Las Lajas</t>
  </si>
  <si>
    <t>Basilica of Our Lady of Las Lajas</t>
  </si>
  <si>
    <t>https://www.laslajas.org/</t>
  </si>
  <si>
    <t>_Research in progress_</t>
  </si>
  <si>
    <t>http://www.ngome.co.za/</t>
  </si>
  <si>
    <t>https://santuariotindari.it/</t>
  </si>
  <si>
    <t xml:space="preserve"> (Search for "Swieta Lipka")</t>
  </si>
  <si>
    <t>Sanctuary of Tindari</t>
  </si>
  <si>
    <t>Sanctuary of Holy Mary of Tindari</t>
  </si>
  <si>
    <t>Cathedral of Our Lady of Puy</t>
  </si>
  <si>
    <t>https://www.cathedraledupuy.org/</t>
  </si>
  <si>
    <t>5th or 6th Century</t>
  </si>
  <si>
    <t>In 1754, an Indian mother and her deaf-mute daughter Rosa were caught in a strong storm and sought refuge in a canyon between the lajas.  Rosa exclaimed with her first words "the mestiza is calling me," describing the figures of a woman and child.  When returning later, the mother saw an apparition of Our Lady and Child.
Some months later, Rosa died but returned to life when her mother prayed again at the cave. When the townspeople came to see, a miraculous image was burned into the rocks.
In the image, the Madonna presents a rosary to St. Dominic, keeling at her right.  Jesus gives a cord to St. Francis, kneeling to his left.
Testing has shown the image to be of indeterminate origin. Geologists from Germany bored core samples from several spots in the image.  There is no paint, no dye, nor any other pigment on the surface of the rock.  The colors are the colors of the rock itself and run uniformly to a depth of several feet.</t>
  </si>
  <si>
    <t>https://www.marypages.com/our-lady-of-cuapa-also-known-as-our-lady-of-nicaragua-en.html</t>
  </si>
  <si>
    <t>http://www.miraclehunter.com/marian_apparitions/approved_apparitions/cuapa/index.html</t>
  </si>
  <si>
    <t>Sanctuary of Our Lady of Cuapa</t>
  </si>
  <si>
    <t>National Sanctuary of Our Lady of Cuapa</t>
  </si>
  <si>
    <t>https://www.facebook.com/SDVirgendeCuapa</t>
  </si>
  <si>
    <t>https://www.marypages.com/akita-(japan)-en.html</t>
  </si>
  <si>
    <t>https://www.miraclehunter.com/marian_apparitions/approved_apparitions/akita/index.html</t>
  </si>
  <si>
    <t>https://www.miraclehunter.com/marian_apparitions/approved_apparitions/walsingham/index.html</t>
  </si>
  <si>
    <t>In 1061, Our Lady appeared to Richeldis de Faverches, a Catholic English noblewoman in the village of Walsingham in Norfolk, England.
Our Lady of Walsingham presented her with the plans of the Holy House of the Holy Family in Nazareth and asked that she build the house as a shrine and place of pilgrimage.</t>
  </si>
  <si>
    <t>https://www.walsingham.org.uk/</t>
  </si>
  <si>
    <t>Catholic National Shrine and Basilica of Our Lady of Walsingham</t>
  </si>
  <si>
    <t>https://www.marypages.com/our-lady-of-walsingham-en.html</t>
  </si>
  <si>
    <t>Seitai Hoshikai (Our Lady of Akita)</t>
  </si>
  <si>
    <t>Seitai Hoshikai</t>
  </si>
  <si>
    <t>https://www.seitaihoshikai.com/</t>
  </si>
  <si>
    <t>The Shrine of Our Lady of Valverde dates back to 1399, when Our Lady appeared to a farmer plowing his field.  During the summer of 1711, when the province was hit by a severe epidemic, the inhabitants of Rezzato prayed to Our Lady of Valverde.  On October 1, Our Lady appeared a second time to Paul Ogna, 8, and Francesco Pelizzari, 11, who went to collect chestnuts near the Sanctuary pond.  Our Lady promised the end of the epidemic.</t>
  </si>
  <si>
    <t>https://www.miraclehunter.com/marian_apparitions/approved_apparitions/apparitions_1700-1799.html</t>
  </si>
  <si>
    <t xml:space="preserve"> (Search for "Valverde")</t>
  </si>
  <si>
    <t>Valverde Di Rezzato</t>
  </si>
  <si>
    <t>https://www.uprezzatovirle.it/santuario-valverde</t>
  </si>
  <si>
    <t>http://www.tapinu.org/</t>
  </si>
  <si>
    <t>http://www.miraclehunter.com/marian_apparitions/approved_apparitions/tapinu/</t>
  </si>
  <si>
    <t>https://www.marypages.com/ta-pinu-malta-en.html</t>
  </si>
  <si>
    <t>Basilica of the Blessed Virgin of Ta' Pinu</t>
  </si>
  <si>
    <t>http://www.miraclehunter.com/marian_apparitions/approved_apparitions/lavang/index.html</t>
  </si>
  <si>
    <t>In 1798, many Christians took refuge in the Vietnamese jungle and prepared themselves for martyrdom.  At night, they often gathered in small groups to pray the rosary.  Unexpectedly, one night they were visited by an apparition of Our Blessed Mother in a long cape, holding a child in her arms, with two angels at her sides.  She comforted them and told them to boil the leaves from the surrounding trees to use as medicine.  She also told them that from that day on, all those who came to this place to pray, would have their prayers heard and answered.  All those who were present witnessed this miracle.</t>
  </si>
  <si>
    <t>Basilica of Our Lady of La Vang</t>
  </si>
  <si>
    <t>https://www.marypages.com/la-vang-vietnam-en.html</t>
  </si>
  <si>
    <t>Sister Agnes Sasagawa received visions of an angel and messages emanating from a wooden statue of Our Lady which wept 101 times, including one instance which was broadcast on Japanese national television in December 1973.</t>
  </si>
  <si>
    <t>Archdiocesan Shrine of Our Lady of Caysasay</t>
  </si>
  <si>
    <t>Shrine of Our Lady of Caysasay</t>
  </si>
  <si>
    <t>http://www.miraclehunter.com/marian_apparitions/approved_apparitions/caysasay/index.html</t>
  </si>
  <si>
    <t>https://www.facebook.com/CaysasayTaal</t>
  </si>
  <si>
    <t>Minor Basilica of Our Lady of the Rosary of Manaoag</t>
  </si>
  <si>
    <t>Basilica of Our Lady of the Rosary of Manaoag</t>
  </si>
  <si>
    <t>https://www.manaoagminorbasilica.org/</t>
  </si>
  <si>
    <t>https://www.miraclehunter.com/marian_apparitions/approved_apparitions/manaoag/index.html</t>
  </si>
  <si>
    <t>Basilica of the Holy Mother of God</t>
  </si>
  <si>
    <t>https://svetagora.si/</t>
  </si>
  <si>
    <t>In 1539, Our Blessed Mother appeared to a shepherdess on Mt. Skalnica, now called the Holy Mountain (Sveta Gora), and instructed her: "Tell the people, let them build me a house here and ask me for mercy." The shepherdess was imprisoned by the unbelieving secular authorities several times, but was always miraculously rescued.</t>
  </si>
  <si>
    <t>https://www.miraclehunter.com/marian_apparitions/approved_apparitions/apparitions_1500-1599.html</t>
  </si>
  <si>
    <t xml:space="preserve"> (Search "Sveta Gora")</t>
  </si>
  <si>
    <t xml:space="preserve"> (Search "Doroszlo")</t>
  </si>
  <si>
    <t>Diocesan Shrine of Mary, Help of Christians</t>
  </si>
  <si>
    <t>Shrine of Mary Help of Christians</t>
  </si>
  <si>
    <t>In 1792, the Virgin Mary appeared to a blind man, advising him to bathe his eyes in a miraculous fountain.  Upon his healing, a chapel was built and was eventually expanded to a larger church.</t>
  </si>
  <si>
    <t>https://szentkut.eu/</t>
  </si>
  <si>
    <t>According to tradition, Our Lady appeared to a few shepherd children at Kuravilangad as they were tending their flock.  She asked them to build a church at the place from where a miraculous perpetual spring sprouted, which exists even today.  The children reported this matter to the elders and a church was built there.</t>
  </si>
  <si>
    <t>Kuravilangad</t>
  </si>
  <si>
    <t>Major Archiepiscopal Marth Mariam Archdeacon Pilgrim Church at Kuravilangad</t>
  </si>
  <si>
    <t>Marth Mariam Archdeacon Pilgrim Church at Kuravilangad</t>
  </si>
  <si>
    <t>https://www.miraclehunter.com/marian_apparitions/approved_apparitions/apparitions_0040-0999.html</t>
  </si>
  <si>
    <t xml:space="preserve"> (Search "Kuravilangad")</t>
  </si>
  <si>
    <t>syro-malabar</t>
  </si>
  <si>
    <t>Basilica of Our Lady of Lujan</t>
  </si>
  <si>
    <t>https://santuariodelujan.org.ar/</t>
  </si>
  <si>
    <t>http://www.miraclehunter.com/miraculous_images/icons_1600-1699.html</t>
  </si>
  <si>
    <t xml:space="preserve"> (Search "Lujan")</t>
  </si>
  <si>
    <t>Our Lady of Grace and St. Maria Goretti</t>
  </si>
  <si>
    <t>c. 1700</t>
  </si>
  <si>
    <t>Ludzmierz</t>
  </si>
  <si>
    <t>c. 1400</t>
  </si>
  <si>
    <t>Sanctuary of Our Lady Queen of Podhale</t>
  </si>
  <si>
    <t>This church was originally founded in the 13th century by Cistercians from France.  According to legend, around the year 1400, a merchant lost in the nearby swamps was led to the church by a figure he discerned to be Mary.  Out of gratitude, he commissioned a statue which can be found in the church today.
A regular visitor to the shrine was Karol Wojtyła, the future Pope St. John Paul II.  In August 1963, in his capacity as Archbishop of Kraków, the statue slipped during a ceremony and the future pontiff caught the scepter which had fallen out of the statue's grasp.  This scene was interpreted by many as a prophecy of his upcoming papacy.</t>
  </si>
  <si>
    <t>ps://www.mbludzm.pl/</t>
  </si>
  <si>
    <t>john-paul-ii</t>
  </si>
  <si>
    <t>Additional Tag 1</t>
  </si>
  <si>
    <t>AT1 Name</t>
  </si>
  <si>
    <t>Additional Tag 2</t>
  </si>
  <si>
    <t>AT2 Name</t>
  </si>
  <si>
    <t>Additional Tag 3</t>
  </si>
  <si>
    <t>AT3 Name</t>
  </si>
  <si>
    <t>communities</t>
  </si>
  <si>
    <t>lucia-dos-santos</t>
  </si>
  <si>
    <t>francisco-and-jacinta-marto</t>
  </si>
  <si>
    <t>Tag</t>
  </si>
  <si>
    <t>Name</t>
  </si>
  <si>
    <t>Camino de Santiago</t>
  </si>
  <si>
    <t>Syro-Malabar Church</t>
  </si>
  <si>
    <t>Sicily</t>
  </si>
  <si>
    <t>Pope St. John Paul II</t>
  </si>
  <si>
    <t>St. Juan Diego</t>
  </si>
  <si>
    <t>St. Catherine Laboure</t>
  </si>
  <si>
    <t>Religious Communities</t>
  </si>
  <si>
    <t>St. Bernadette of Lourdes</t>
  </si>
  <si>
    <t>Bl. Lucia dos Santos</t>
  </si>
  <si>
    <t>Sts. Francisco and Jacinta Marto</t>
  </si>
  <si>
    <t>Coptic Church</t>
  </si>
  <si>
    <t>AT Pages</t>
  </si>
  <si>
    <t>AT1 Page</t>
  </si>
  <si>
    <t>AT2 Page</t>
  </si>
  <si>
    <t>AT3 Page</t>
  </si>
  <si>
    <t>All Cols</t>
  </si>
  <si>
    <t>S</t>
  </si>
  <si>
    <t>C</t>
  </si>
  <si>
    <t>Ready</t>
  </si>
  <si>
    <t>Y</t>
  </si>
  <si>
    <t>OD</t>
  </si>
  <si>
    <t>Sanctuary of Pellevoisin</t>
  </si>
  <si>
    <t>https://www.pellevoisin.net/</t>
  </si>
  <si>
    <t>https://www.miraclehunter.com/marian_apparitions/approved_apparitions/pellevoisin/index.html</t>
  </si>
  <si>
    <t>https://www.marypages.com/pellevoisin-france-en.html</t>
  </si>
  <si>
    <t>vincent-de-paul</t>
  </si>
  <si>
    <t>Basilica of Our Lady of Good Health</t>
  </si>
  <si>
    <t>https://www.velankannichurch.com/</t>
  </si>
  <si>
    <t>https://www.miraclehunter.com/marian_apparitions/approved_apparitions/vailankanni/</t>
  </si>
  <si>
    <t>According to tradition, there have been multiple apparitions of the Blessed Virgin Mary at Velankanni, also known as Our Lady of Good Health.  As tradition would have it, the first of many apparitions occured to a young boy who was delivering buttermilk.</t>
  </si>
  <si>
    <t>https://www.marypages.com/vailankanni-(india)-en.html</t>
  </si>
  <si>
    <t>Basilica of Our Lady of Good Health (Our Lady of Velankanni)</t>
  </si>
  <si>
    <t>In the 13th century, Our Blessed Mother appeared to a condemned innocent person in his prison cell. Bringing him a piece of wood and a knife, she told him to carve an image of the Blessed Mother with Child.  When he had done so, the jailers and judge were so moved they gave him back his freedom.  In gratitude for the divine assistance, the man sought to place the sculpture near a linden tree along the road, as Mary had suggested.  The present-day basilica was built next to this great linden tree, which was the site of many miracles and healings over the centuries.
With the Prussian occupation of Poland, the sanctuary was defiled and the linden tree cut down.  Upon Poland's independence, Jesuits were invited to renew the sanctuary, and it remains in beautiful condition to this day.</t>
  </si>
  <si>
    <t>Basilica of Ta Pinu</t>
  </si>
  <si>
    <t>global</t>
  </si>
  <si>
    <t>Athisaya Panimatha Shrine</t>
  </si>
  <si>
    <t>https://www.athisayapanimatha.com/</t>
  </si>
  <si>
    <t>Athisaya Panimatha (Our Lady of Snows) Shrine, Kallikulam</t>
  </si>
  <si>
    <t>Catherine Laboure, a novitiate in the order of the Sisters of Charity, received various visions of St. Vincent de Paul and of Jesus present in the Eucharist, before also experiencing two apparitions of the Blessed Virgin Mary.  In the first vision, 1830, Catherine was told of the impending travails of France and of an unspecified future mission.  Several months later she received a message detailing the designs for a medal, later known as the Miraculous Medal, now reproduced over a billion times and distributed around the world.  The apparition was investigated in 1836 and later approved.  St. Catherine worked for 46 more years in hospices of her Order tending to the aged and infirmed, and is now known as the patroness of seniors.  Her body currently lies incorrupt at the site of the apparition in Paris (immediate right side of the altar), alongside St. Louise de Marillac (left of the altar) and the heart of St. Vincent de Paul (furthest right).</t>
  </si>
  <si>
    <t>louise-de-marillac</t>
  </si>
  <si>
    <t>jean-gabriel-perboyre</t>
  </si>
  <si>
    <t>Augsberg</t>
  </si>
  <si>
    <t>St. Peter am Perlach (Mary Undoer of Knots)</t>
  </si>
  <si>
    <t>https://www.marypages.com/mary-undoer-of-knots.html</t>
  </si>
  <si>
    <t>https://www.miraclehunter.com/news/francis/francis-marian-devotion.html</t>
  </si>
  <si>
    <t>https://sankt-peter-am-perlach.de</t>
  </si>
  <si>
    <t>Home of the image Our Lady Undoer of Knots.</t>
  </si>
  <si>
    <t>Marie Alphonse Ratisbonne, an anti-Catholic Jew, befriended a baron in Rome and began wearing the [Miraculous Medal](/places/fr-paris-chapel-of-our-lady-of-the-miraculous-medal) as a simple test.  On January 20, 1842, after entering the church of Sant'Andrea delle Fratte, Ratisbonne experienced a vision of the Blessed Virgin Mary.  He converted to Catholicism, joined the priesthood, and began a ministry for the conversion of Jews.</t>
  </si>
  <si>
    <t>In Italian, Santuario di Nostra Signora delle Grazie e Santa Maria Goretti.  The church houses the remains of St. Maria Goretti, and what is believed to be the statue of Our Lady of Grace.
The remains of St. Maria Goretti lie in the crypt beneath the basilica.  The bones are encased in a wax statue; she is not incorrupt.
The church contains a statue called Our Lady of Grace, which may be the original statue from Ipswich.  Our Lady of Ipswich, along with Our Lady of Walsingham, was one of the largest pilgrimage sites in England up until the Reformation.  During this period, Our Lady of Grace may have been smuggled to Italy.  In modern times, the faithful hold a procession with the statue on the first Saturday each May.</t>
  </si>
  <si>
    <t xml:space="preserve"> (Search "Ipswich")</t>
  </si>
  <si>
    <t>http://www.santuarionettuno.it/</t>
  </si>
  <si>
    <t>maria-goretti</t>
  </si>
  <si>
    <t>St. Maria Goretti</t>
  </si>
  <si>
    <t>Holy Persons</t>
  </si>
  <si>
    <t>Our Lady of Grace</t>
  </si>
  <si>
    <t>Our Lady of Ipswich</t>
  </si>
  <si>
    <t>regional</t>
  </si>
  <si>
    <t>Mexico City</t>
  </si>
  <si>
    <t>Sanctuary of Oropa</t>
  </si>
  <si>
    <t>Sanctuary of Oropa (Black Madonna of Oropa)</t>
  </si>
  <si>
    <t>https://www.santuariodioropa.it/en/</t>
  </si>
  <si>
    <t>pier-giorgio-frassati</t>
  </si>
  <si>
    <t>According to tradition, this statue was brought to Italy from the Holy Land by Bishop Eusebius of Vercelli in the fourth century A.D.
Bl. Pier Giorgio Frassati would also hike in this area.  His family villa was nearby, and he would visit the shrine regularly.
![Santuario di Oropa](https://www.santuariodioropa.it/wp-content/uploads/2022/05/panoramica-oropa-foto-Tracanna-1024x576.jpg)</t>
  </si>
  <si>
    <t>Marian Site</t>
  </si>
  <si>
    <t>Additional Tag 4</t>
  </si>
  <si>
    <t>Additional Tag 5</t>
  </si>
  <si>
    <t>Additional Tag 6</t>
  </si>
  <si>
    <t>Additional Tag 7</t>
  </si>
  <si>
    <t>Additional Tag 8</t>
  </si>
  <si>
    <t>Additional Tag 9</t>
  </si>
  <si>
    <t>Additional Tag 10</t>
  </si>
  <si>
    <t>Official Site Comment</t>
  </si>
  <si>
    <t>Link 1 Name</t>
  </si>
  <si>
    <t>Link 1 URL</t>
  </si>
  <si>
    <t>Official Site URL</t>
  </si>
  <si>
    <t>Link 2 Name</t>
  </si>
  <si>
    <t>Link 2 URL</t>
  </si>
  <si>
    <t>Link 3 Name</t>
  </si>
  <si>
    <t>Link 3 URL</t>
  </si>
  <si>
    <t>AT1</t>
  </si>
  <si>
    <t>AT2</t>
  </si>
  <si>
    <t>AT3</t>
  </si>
  <si>
    <t>AT4</t>
  </si>
  <si>
    <t>AT5</t>
  </si>
  <si>
    <t>AT6</t>
  </si>
  <si>
    <t>AT7</t>
  </si>
  <si>
    <t>AT8</t>
  </si>
  <si>
    <t>AT9</t>
  </si>
  <si>
    <t>AT10</t>
  </si>
  <si>
    <t>Church</t>
  </si>
  <si>
    <t>MS</t>
  </si>
  <si>
    <t>HP</t>
  </si>
  <si>
    <t>Ch</t>
  </si>
  <si>
    <t>Co</t>
  </si>
  <si>
    <t>Ci</t>
  </si>
  <si>
    <t>AN</t>
  </si>
  <si>
    <t>MST</t>
  </si>
  <si>
    <t>RP</t>
  </si>
  <si>
    <t>AL1</t>
  </si>
  <si>
    <t>AL2</t>
  </si>
  <si>
    <t>AL3</t>
  </si>
  <si>
    <t>MSL</t>
  </si>
  <si>
    <t>Page Content</t>
  </si>
  <si>
    <t>According to ancient Christian tradition, Mary appeared to the apostle James the Greater as he was preaching in Spain.  In 40 AD, while facing severe discouragement, St. James was praying on the banks of the Ebro River when the Blessed Mother appeared to him on a column, encouraging him to persevere in his missionary efforts.  This apparition is unique because Mary would have bilocated while still alive in Jerusalem or Ephesus.</t>
  </si>
  <si>
    <t>In 1630, a statue of the Immaculate Conception was being transported inland when its couriers overnighted near the Lujan River.  The following morning, the wagon become unexplainably heavy and immovable until the statue was unloaded.  Interpreting this as a sign, the patron and drivers left the statue there, where a chapel was built for pilgrims.  Over time and with many healings, Lujan has become one of the most frequented pilgrimage destinations in the world.</t>
  </si>
  <si>
    <t>ALL</t>
  </si>
  <si>
    <t>https://doroszlo.net/</t>
  </si>
  <si>
    <t>Additional site</t>
  </si>
  <si>
    <t>https://www.facebook.com/poutnimistofilipov</t>
  </si>
  <si>
    <t>https://www.facebook.com/ngomemarianshrine/</t>
  </si>
  <si>
    <t>https://www.facebook.com/profile.php?id=100069705631532</t>
  </si>
  <si>
    <t>Official Facebook page</t>
  </si>
  <si>
    <t>Basilica of the Annunciation of the Blessed Virgin Mary (Our Lady of Lezajsk, Lady of Consolation)</t>
  </si>
  <si>
    <t>St. Michael and St. Gudula Cathedral (Brussels Cathedral)</t>
  </si>
  <si>
    <t>https://www.cathedralisbruxellensis.be/</t>
  </si>
  <si>
    <t>Brussels</t>
  </si>
  <si>
    <t>St. Catherine's Church</t>
  </si>
  <si>
    <t>local</t>
  </si>
  <si>
    <t>Historic church in the former Port of Brussels, before the docks were covered over.</t>
  </si>
  <si>
    <t>Cathedral</t>
  </si>
  <si>
    <t>National church of Belgium.  St. Gudula's relics were kept here until they were destroyed during the Reformation.</t>
  </si>
  <si>
    <t>Diocesan Museum of St. Afra</t>
  </si>
  <si>
    <t>Diocesan Museum</t>
  </si>
  <si>
    <t>https://www.museum-st-afra.de/en/</t>
  </si>
  <si>
    <t>ulrich</t>
  </si>
  <si>
    <t>afra</t>
  </si>
  <si>
    <t>St. Ulrich</t>
  </si>
  <si>
    <t>St. Afra</t>
  </si>
  <si>
    <t>simpert</t>
  </si>
  <si>
    <t>St. Simpert</t>
  </si>
  <si>
    <t>Museum of the Diocese of Augsburg, featuring vestments and other items owned by St. Ulrich.  Also presents history of Sts. Afra and Simpert, also of the Diocese of Augsburg.</t>
  </si>
  <si>
    <t>Cathedral of the Diocese of Augsburg.  St. Peter Canisius was appointed the "cathedral preacher" here in 1559.</t>
  </si>
  <si>
    <t>Augsburg Cathedral (Augsburgur Dom)</t>
  </si>
  <si>
    <t>https://bistum-augsburg.de/Bistum/Unser-Bistum/Kathedrale/Hoher-Dom</t>
  </si>
  <si>
    <t>peter-canisius</t>
  </si>
  <si>
    <t>St. Peter Canisius</t>
  </si>
  <si>
    <t>Former Residence of the Prince-Bishop of Augsburg</t>
  </si>
  <si>
    <t>Prince-Bishop Residence</t>
  </si>
  <si>
    <t>This building is on the site where the Diet of Augsburg in 1530 took place, where the Augsburg Confession was presented.</t>
  </si>
  <si>
    <t>Basilica of Sts. Ulrich and Afra</t>
  </si>
  <si>
    <t>Basilica of Sts Ulrich and Afra</t>
  </si>
  <si>
    <t>Site of the martyrdom of St. Afra and burial place of Sts. Afra, Ulrich (the first canonized saint) and Simpert (778-807).</t>
  </si>
  <si>
    <t>https://ulrich-afra-anton.de</t>
  </si>
  <si>
    <t>Augsburg</t>
  </si>
  <si>
    <t>reformation</t>
  </si>
  <si>
    <t>Protestant Reformation</t>
  </si>
  <si>
    <t>St. Vincent De Paul Chapel</t>
  </si>
  <si>
    <t>Vincentian church housing the relics of Sts. Vincent de Paul and Jean-Gabriel Perboyre.  St. Vincent de Paul's heart is nearby at the more famous [Miraculous Medal Chapel](/places/fr-paris-chapel-of-our-lady-of-the-miraculous-medal).</t>
  </si>
  <si>
    <t>Church of St. James the Apostle (Iglesia Santiago Apostol)</t>
  </si>
  <si>
    <t>Iglesia Santiago Apostol</t>
  </si>
  <si>
    <t>Atitlan</t>
  </si>
  <si>
    <t>stanley-rother</t>
  </si>
  <si>
    <t>Bl. Stanley Rother</t>
  </si>
  <si>
    <t>Bl. Stanley Rother ministered to the native Tz'utujil people of Guatemala for years at St. James the Apostle church, on the shores of Lake Atitlan.  He was martyred in the rectory on July 28, 1981.</t>
  </si>
  <si>
    <t>Corinaldo</t>
  </si>
  <si>
    <t>Church of St. Francis, Corinaldo</t>
  </si>
  <si>
    <t>This was the Gorettis' parish church when they lived in Corinaldo.  Here Luigi and Assunta Goretti were married and St. Maria Goretti baptized.  The font where she was baptized is still preserved in the church.</t>
  </si>
  <si>
    <t>Birthplace of St. Maria Goretti</t>
  </si>
  <si>
    <t>Here St. Maria Goretti was born on October 16, 1890.</t>
  </si>
  <si>
    <t>https://www.santamariagoretti.it/home/</t>
  </si>
  <si>
    <t>Diocesan Sanctuary of St. Maria Goretti</t>
  </si>
  <si>
    <t>This church is the final resting place for St. Maria Goretti's mother, Assunta, and her repentant murderer, Alessandro Serenelli.  There is also a relic of Maria's arm here.</t>
  </si>
  <si>
    <t>La Ferriere</t>
  </si>
  <si>
    <t>Goretti House</t>
  </si>
  <si>
    <t>Here St. Maria Goretti lived with her family and where she was martyred, stabbed by Alessandro Serenelli.  She died the next day in a hospital in Nettuno.  Today it is a museum.</t>
  </si>
  <si>
    <t>Nettuno</t>
  </si>
  <si>
    <t>Statue of St. Maria Goretti</t>
  </si>
  <si>
    <t>Basilica of Our Lady of Graces and St. Maria Goretti</t>
  </si>
  <si>
    <t>Basilica of Our Lady of Graces</t>
  </si>
  <si>
    <t>A statue of St. Maria Goretti in Nettuno, the town where she died.</t>
  </si>
  <si>
    <t>The "Tent of Pardon" is the site where, [according to the National Catholic Register](https://www.ncregister.com/blog/in-the-footsteps-of-st-maria-goretti), St. Maria Goretti lay dying in Nettuno.  It was here that she forgave her murderer, and may also be the place of her death.</t>
  </si>
  <si>
    <t>Sanctuary of Our Lady of Valverde</t>
  </si>
  <si>
    <t>Church of the Holy Family (La Sagrada Familia), Mexico City</t>
  </si>
  <si>
    <t>La Sagrada Familia</t>
  </si>
  <si>
    <t>This church, aside from being incredibly beautiful, is where Bl. Miguel Pro's remains are kept, to the right of the main altar.  His funeral procession passed in front of this church, though we are not sure if he had a funeral here.</t>
  </si>
  <si>
    <t>miguel-pro</t>
  </si>
  <si>
    <t>Bl. Miguel Pro, SJ</t>
  </si>
  <si>
    <t>Miguel Pro Martyrdom Site</t>
  </si>
  <si>
    <t>At this site, where an outdoor short stairway stands on the lottery building, is the site where Bl. Miguel Pro was martyred by firing squad.  These buildings were all built since that time.</t>
  </si>
  <si>
    <t>Site of Bl. Miguel Pro's Martyrdom</t>
  </si>
  <si>
    <t>Museum of Bl. Miguel Agustin Pro</t>
  </si>
  <si>
    <t>Miguel Pro Museum</t>
  </si>
  <si>
    <t>This museum contains many of Bl. Miguel Pro's personal belongings, including cassocks, vestments, the suit he was shot in, and the cot where he slept the night before his martyrdom.
The location of Fr. Pro's arrest appears to be unknown, but the location of his martyrdom is known.</t>
  </si>
  <si>
    <t>St. Maria Goretti Tent of Pardon (Tenda del Perdono)</t>
  </si>
  <si>
    <t>St. Mary Catholic Church, Pine Bluff, AR</t>
  </si>
  <si>
    <t>US Arkansas</t>
  </si>
  <si>
    <t>US Alabama</t>
  </si>
  <si>
    <t>US Alaska</t>
  </si>
  <si>
    <t>US Arizona</t>
  </si>
  <si>
    <t>US California</t>
  </si>
  <si>
    <t>US Colorado</t>
  </si>
  <si>
    <t>US Connecticut</t>
  </si>
  <si>
    <t>US Delaware</t>
  </si>
  <si>
    <t>US DC</t>
  </si>
  <si>
    <t>US Florida</t>
  </si>
  <si>
    <t>US Georgia</t>
  </si>
  <si>
    <t>US Hawaii</t>
  </si>
  <si>
    <t>US Idaho</t>
  </si>
  <si>
    <t>US Illinois</t>
  </si>
  <si>
    <t>US Indiana</t>
  </si>
  <si>
    <t>US Iowa</t>
  </si>
  <si>
    <t>US Kansas</t>
  </si>
  <si>
    <t>US Kentucky</t>
  </si>
  <si>
    <t>US Louisiana</t>
  </si>
  <si>
    <t>US Maine</t>
  </si>
  <si>
    <t>US Maryland</t>
  </si>
  <si>
    <t>US Massachusetts</t>
  </si>
  <si>
    <t>US Michigan</t>
  </si>
  <si>
    <t>US Minnesota</t>
  </si>
  <si>
    <t>US Mississippi</t>
  </si>
  <si>
    <t>US Missouri</t>
  </si>
  <si>
    <t>US Montana</t>
  </si>
  <si>
    <t>US Nebraska</t>
  </si>
  <si>
    <t>US Nevada</t>
  </si>
  <si>
    <t>US New Hampshire</t>
  </si>
  <si>
    <t>US New Jersey</t>
  </si>
  <si>
    <t>US New Mexico</t>
  </si>
  <si>
    <t>US New York</t>
  </si>
  <si>
    <t>US North Carolina</t>
  </si>
  <si>
    <t>US North Dakota</t>
  </si>
  <si>
    <t>US Ohio</t>
  </si>
  <si>
    <t>US Oklahoma</t>
  </si>
  <si>
    <t>US Oregon</t>
  </si>
  <si>
    <t>US Pennsylvania</t>
  </si>
  <si>
    <t>US Rhode Island</t>
  </si>
  <si>
    <t>US South Carolina</t>
  </si>
  <si>
    <t>US South Dakota</t>
  </si>
  <si>
    <t>US Tennessee</t>
  </si>
  <si>
    <t>US Texas</t>
  </si>
  <si>
    <t>US Utah</t>
  </si>
  <si>
    <t>US Vermont</t>
  </si>
  <si>
    <t>US Virginia</t>
  </si>
  <si>
    <t>US Washington</t>
  </si>
  <si>
    <t>US West Virginia</t>
  </si>
  <si>
    <t>US Wisconsin</t>
  </si>
  <si>
    <t>US Wyoming</t>
  </si>
  <si>
    <t>us_al</t>
  </si>
  <si>
    <t>us_ak</t>
  </si>
  <si>
    <t>us_az</t>
  </si>
  <si>
    <t>us_ar</t>
  </si>
  <si>
    <t>us_ca</t>
  </si>
  <si>
    <t>us_co</t>
  </si>
  <si>
    <t>us_ct</t>
  </si>
  <si>
    <t>us_de</t>
  </si>
  <si>
    <t>us_dc</t>
  </si>
  <si>
    <t>us_fl</t>
  </si>
  <si>
    <t>us_ga</t>
  </si>
  <si>
    <t>us_hi</t>
  </si>
  <si>
    <t>us_id</t>
  </si>
  <si>
    <t>us_il</t>
  </si>
  <si>
    <t>us_in</t>
  </si>
  <si>
    <t>us_ia</t>
  </si>
  <si>
    <t>us_ks</t>
  </si>
  <si>
    <t>us_ky</t>
  </si>
  <si>
    <t>us_la</t>
  </si>
  <si>
    <t>us_me</t>
  </si>
  <si>
    <t>us_md</t>
  </si>
  <si>
    <t>us_ma</t>
  </si>
  <si>
    <t>us_mi</t>
  </si>
  <si>
    <t>us_mn</t>
  </si>
  <si>
    <t>us_ms</t>
  </si>
  <si>
    <t>us_mo</t>
  </si>
  <si>
    <t>us_mt</t>
  </si>
  <si>
    <t>us_ne</t>
  </si>
  <si>
    <t>us_nv</t>
  </si>
  <si>
    <t>us_nh</t>
  </si>
  <si>
    <t>us_nj</t>
  </si>
  <si>
    <t>us_nm</t>
  </si>
  <si>
    <t>us_ny</t>
  </si>
  <si>
    <t>us_nc</t>
  </si>
  <si>
    <t>us_nd</t>
  </si>
  <si>
    <t>us_oh</t>
  </si>
  <si>
    <t>us_ok</t>
  </si>
  <si>
    <t>us_or</t>
  </si>
  <si>
    <t>us_pa</t>
  </si>
  <si>
    <t>us_ri</t>
  </si>
  <si>
    <t>us_sc</t>
  </si>
  <si>
    <t>us_sd</t>
  </si>
  <si>
    <t>us_tn</t>
  </si>
  <si>
    <t>us_tx</t>
  </si>
  <si>
    <t>us_ut</t>
  </si>
  <si>
    <t>us_vt</t>
  </si>
  <si>
    <t>us_va</t>
  </si>
  <si>
    <t>us_wa</t>
  </si>
  <si>
    <t>us_wv</t>
  </si>
  <si>
    <t>us_wi</t>
  </si>
  <si>
    <t>us_wy</t>
  </si>
  <si>
    <t>Pine Bluff</t>
  </si>
  <si>
    <t>Oldest Catholic church in Arkansas, originally built on a barge in the Arkansas River in 1782 to combat the threat of flooding by the river.  The cemetery behind the church is the final resting place for Mother Agnes Hart, a nun whose body was later found to be incorrupt.</t>
  </si>
  <si>
    <t>https://www.stjosephpinebluff.org/st-mary-catholic-church.html</t>
  </si>
  <si>
    <t>https://americancatholichistory.org/old-st-mary-pine-bluff-arkansas/</t>
  </si>
  <si>
    <t>agnes-hart</t>
  </si>
  <si>
    <t>Mother Agnes Hart</t>
  </si>
  <si>
    <t>Holy Trinity Catholic Church, Okarche, OK</t>
  </si>
  <si>
    <t>Holy Trinity</t>
  </si>
  <si>
    <t>Stanley Rother Shrine</t>
  </si>
  <si>
    <t>Oklahoma City</t>
  </si>
  <si>
    <t>The shrine was dedicated on February 17, 2023 with the Most Rev. Paul S. Coakley, Archbishop of Oklahoma City presiding. The service was attended by 37 bishops, 147 priests, and hundreds of other religious and pilgrims.</t>
  </si>
  <si>
    <t>San Antonio</t>
  </si>
  <si>
    <t>Bl. Stanley Rother completed his studies at Mount Saint Mary's Seminary and was ordained a priest on May 25, 1963.</t>
  </si>
  <si>
    <t>Santa Fe</t>
  </si>
  <si>
    <t>Loretto Chapel, Santa Fe, NM</t>
  </si>
  <si>
    <t>Loretto Chapel</t>
  </si>
  <si>
    <t>According to tradition, when the architect failed to provide a way to get to the new choir loft, the architecturally-impressive spiral staircase was built by St. Joseph himself.</t>
  </si>
  <si>
    <t>https://www.lorettochapel.com</t>
  </si>
  <si>
    <t>https://thunderrock.org/story-extras/the-spiral-architect</t>
  </si>
  <si>
    <t>joseph</t>
  </si>
  <si>
    <t>St. Joseph</t>
  </si>
  <si>
    <t>A miraculous crucifix appearing in a field resulted in the construction of a chapel on this spot.  The hole where the crucifix appeared is said to contain dirt that has healing properties similar to the water at Lourdes.  Hundreds of thousands of pilgrims visit the shrine annually, which, according to Catholic World Report, makes it the most popular pilgrimage site in the United States.</t>
  </si>
  <si>
    <t>https://www.catholicworldreport.com/2023/04/07/visiting-el-santuario-de-chimayo-the-most-popular-pilgrimage-site-in-america/</t>
  </si>
  <si>
    <t>Article from Catholic World Report</t>
  </si>
  <si>
    <t>https://thunderrock.org/story-extras/take-the-hint</t>
  </si>
  <si>
    <t>Sanctuary of Chimayo (Santuario de Chimayo)</t>
  </si>
  <si>
    <t>Santuario de Chimayo</t>
  </si>
  <si>
    <t>Shrine of Our Lady of Martyrs</t>
  </si>
  <si>
    <t>kateri-tekakwitha</t>
  </si>
  <si>
    <t>isaac-jogues</t>
  </si>
  <si>
    <t>rene-goupil</t>
  </si>
  <si>
    <t>St. Kateri Tekakwitha</t>
  </si>
  <si>
    <t>St. Isaac Jogues, SJ</t>
  </si>
  <si>
    <t>canadian-martyrs</t>
  </si>
  <si>
    <t>Canadian Martyrs</t>
  </si>
  <si>
    <t>St. Rene Goupil, SJ</t>
  </si>
  <si>
    <t>St. Jean de Lalande, SJ</t>
  </si>
  <si>
    <t>Built on the site of the Mohawk village of Ossernenon, where Sts. Isaac Jogues, Rene Goupil, and Jean de Lalande were martyred, and where St. Kateri Tekakwitha was born.</t>
  </si>
  <si>
    <t>jean-de-lalande</t>
  </si>
  <si>
    <t>Shrine of Our Lady of Martyrs (National Shrine of the North American Martyrs)</t>
  </si>
  <si>
    <t>https://www.ourladyofmartyrsshrine.org/</t>
  </si>
  <si>
    <t>Dallas</t>
  </si>
  <si>
    <t>Blessed Sacrament Catholic Church, Dallas, TX</t>
  </si>
  <si>
    <t>Blessed Sacrament</t>
  </si>
  <si>
    <t>Second oldest parish in the city of Dallas, but established when Oak Cliff was a separate city.</t>
  </si>
  <si>
    <t>https://www.bsdallas.org/about-our-parish</t>
  </si>
  <si>
    <t>Originally dedicated to the Sacred Heart, this parish is the oldest in the city of Dallas.  The parish merged with Our Lady of Guadalupe in the Little Mexico neighborhood (now Harwood) in 1965, and in 1977 the Cathedral was renamed in honor of Our Lady of Guadalupe.
In 2023 the cathedral was elevated to a National Shrine by the US Conference fo Catholic Bishops.</t>
  </si>
  <si>
    <t>National Shrine Cathedral of Our Lady of Guadalupe, Dallas, TX</t>
  </si>
  <si>
    <t>Guadalupe Cathedral</t>
  </si>
  <si>
    <t>https://www.cathdal.org/cathedral</t>
  </si>
  <si>
    <t>Holy Trinity Catholic Church, Dallas, TX</t>
  </si>
  <si>
    <t>Founded and staffed by the Vincentians, who also staffed Trinity College/Dallas University across the street.</t>
  </si>
  <si>
    <t>https://htccd.org/</t>
  </si>
  <si>
    <t>https://htccd.org/history</t>
  </si>
  <si>
    <t>Parish history</t>
  </si>
  <si>
    <t>https://www.bsdallas.org/</t>
  </si>
  <si>
    <t>vincentians</t>
  </si>
  <si>
    <t>Congregation of the Mission (Vincentians)</t>
  </si>
  <si>
    <t>jesuits</t>
  </si>
  <si>
    <t>Society of Jesus (Jesuits)</t>
  </si>
  <si>
    <t>Old Our Lady of Guadalupe Catholic Church, Dallas, TX</t>
  </si>
  <si>
    <t>Old Guadalupe</t>
  </si>
  <si>
    <t>Established in 1914 in response to the flood of Mexican refugees fleeing the anti-Catholic dictatorship in Mexico, this parish was merged with the cathedral in 1965.  This gentrified neighborhood was once Little Mexico.  All that remains on the site is an image of Our Lady of Gudalaupe.
The church was first served by Vincentians, who staffed Holy Trinity, then by the Carmelites.
St. Ann's school was located next to the church, and the building still stands today, containing a restaurant and a Japanese samaurai collection.</t>
  </si>
  <si>
    <t>https://dallascityhall.com/departments/sustainabledevelopment/historicpreservation/HP%20Documents/Landmark%20Structures/St.%20Anns%20School%20Landmark%20Nomination.pdf</t>
  </si>
  <si>
    <t>https://www.saintanndallas.com/restaurant</t>
  </si>
  <si>
    <t>About St. Ann restauraunt</t>
  </si>
  <si>
    <t>Old St. Patrick Catholic Church, Dallas, TX</t>
  </si>
  <si>
    <t>Part of the deal when the first parish in Dallas was named Sacred Heart was that the second church would be named in honor of St. Patrick.  This parish (which became the third oldest in the Dallas city limits once Oak Cliff was annexed) was located across from City Park.  The church was flattened by I-30, and where it once stood is now squarely in the middle of the Canyon.</t>
  </si>
  <si>
    <t>Article about St. Patrick</t>
  </si>
  <si>
    <t>https://cityofdallaspreservation.wordpress.com/2018/03/16/the-old-st-patrick-roman-catholic-church-in-dallas-gone-but-not-forgotten</t>
  </si>
  <si>
    <t>Old Ursuline Academy, Dallas, TX</t>
  </si>
  <si>
    <t>Old Ursuline</t>
  </si>
  <si>
    <t>Original site of Ursuline Academy and the Ursuline Convent.  It is unclear why this building was demolished.
![Ursuline academy](https://www.ursulinedallas.org/uploaded/images/mission/1882_OldUrsuline.jpg)
![Ursuline academy](https://www.tshaonline.org/images/handbook/entries/DD/Dallas%20ursuline%20aerial.jpg)</t>
  </si>
  <si>
    <t>Ursuline history article</t>
  </si>
  <si>
    <t>St. Ann preservation application</t>
  </si>
  <si>
    <t>https://www.ursulinedallas.org/mission/heritage</t>
  </si>
  <si>
    <t>Additional Ursuline history article</t>
  </si>
  <si>
    <t>https://www.tshaonline.org/handbook/entries/ursuline-academy-dallas</t>
  </si>
  <si>
    <t>Convent in the 1922 Sanborn map</t>
  </si>
  <si>
    <t>https://maps.lib.utexas.edu/maps/sanborn/d-f/txu-sanborn-dallas-1922-315.jpg</t>
  </si>
  <si>
    <t>Old St. Paul Sanitarium, Dallas, TX</t>
  </si>
  <si>
    <t>Original site of St. Paul Sanitarium.  The hospital moved to its present location on Harry Hines Blvd in the 1960's, and the original building was razed.  The Daughters of Charity continued administration of the hospital until it was sold around the year 2000.  Today it is part of UT Southwestern.
![St. Paul Sanitarium](https://cityofdallaspreservation.files.wordpress.com/2020/04/st.-pauls-aerial.jpg)</t>
  </si>
  <si>
    <t>History of St. Paul Sanitarium</t>
  </si>
  <si>
    <t>https://cityofdallaspreservation.wordpress.com/2020/04/01/st-pauls-sanitarium-in-dallas-tx/</t>
  </si>
  <si>
    <t>https://www.utsouthwestern.edu/edumedia/edufiles/about_us/Giving/st-paul-mag-2015.pdf</t>
  </si>
  <si>
    <t>UT Southwestern pamphlet on St. Paul's history</t>
  </si>
  <si>
    <t>Sanitarium in the 1921 Sanborn map</t>
  </si>
  <si>
    <t>https://maps.lib.utexas.edu/maps/sanborn/d-f/txu-sanborn-dallas-1921-38.jpg</t>
  </si>
  <si>
    <t>Old Trinity College / Dallas University / Jesuit Dallas</t>
  </si>
  <si>
    <t>Old Trinity College</t>
  </si>
  <si>
    <t>Original site of Holy Trinity College, the Vincentian college.  The school was later renamed to Dallas University/University of Dallas.  The school closed in 1929 and its charter was reused for the current University of Dlalas.
The building later housed Jesuit Prepatory School until it moved next to St. Rita and this building was sadly razed.
![Holy Trinity College](http://www.thepastwhispers.com/sitebuilder/images/DALLAS_HolyTrinityCollege_1907.jpg)
![Dallas University](https://flashbackdallas.files.wordpress.com/2016/05/jesuit_legacies_fall-2005.jpg)</t>
  </si>
  <si>
    <t>School in the 1922 Sanborn map</t>
  </si>
  <si>
    <t>https://maps.lib.utexas.edu/maps/sanborn/d-f/txu-sanborn-dallas-1921-287.jpg</t>
  </si>
  <si>
    <t>St. Edward the Confessor Catholic Church, Dallas, TX</t>
  </si>
  <si>
    <t>Founded by the Rt. Rev. Edward Joseph Dunne, bishop of Dallas, on Oct. 13, 1903, as the fourth parish in Dallas (Oak Cliff had just been annexed, so Blessed Sacrament was now in the Dallas city limits).  The name of the parish and the name of the bishop are not coincidence.
The founding pastor was the Rev. Joseph P. Lynch, who had been a priest for just 3 years.  Within a few years he would become bishop of Dallas.</t>
  </si>
  <si>
    <t>https://stedwardparish.org/history-</t>
  </si>
  <si>
    <t>https://stedwardparish.org/</t>
  </si>
  <si>
    <t>Old St. Joseph Catholic Church, Dallas, TX</t>
  </si>
  <si>
    <t>The school was founded in 1905 and the present church, the 5th church in Dallas and the 3rd oldest extant one, was built in 1910.  The original 1905 temporary church, later used as a parish hall, stood on the corner of Texas and Floyd and was extant in 2009, though it now appears to be gone.  The church was built by the Oblate fathers for the German population.
From 1977 to 2007, the buildings were used for St. Andrew Kim Korean parish, until that congregation moved to Farmers Branch.
This church is currently not in the possession of the Diocese of Dallas.</t>
  </si>
  <si>
    <t>Historical site nomination form</t>
  </si>
  <si>
    <t>https://dallascityhall.com/departments/sustainabledevelopment/historicpreservation/HP%20Documents/Landmark%20Structures/St%20Josephs%20Catholic%20Church%20Landmark%20Nomination.pdf</t>
  </si>
  <si>
    <t>Historical site page</t>
  </si>
  <si>
    <t>https://dallascityhall.com/departments/sustainabledevelopment/historicpreservation/Pages/St-Josephs-Catholic-Church-.aspx</t>
  </si>
  <si>
    <t>St. Peter Catholic Church, Dallas, TX</t>
  </si>
  <si>
    <t>The first black parish in Dallas, founded in 1905, is now home to the area's Polish community.</t>
  </si>
  <si>
    <t>https://stpeterdal.com/about/#History</t>
  </si>
  <si>
    <t>https://stpeterdal.com/</t>
  </si>
  <si>
    <t>closed</t>
  </si>
  <si>
    <t>Closed or Deconsecrated Sites</t>
  </si>
  <si>
    <t>Type</t>
  </si>
  <si>
    <t>camino</t>
  </si>
  <si>
    <t>Category</t>
  </si>
  <si>
    <t>Ven. Benoite Rencurel</t>
  </si>
  <si>
    <t>S.D. Reinolda May, OSB</t>
  </si>
  <si>
    <t>Order</t>
  </si>
  <si>
    <t>Religion</t>
  </si>
  <si>
    <t>Page Prefix</t>
  </si>
  <si>
    <t>Avila</t>
  </si>
  <si>
    <t>This 17th-century church, run by the Discalced Carmelites, marks the spot where St Teresa of Avila is believed to have been born. The church houses a museum dedicated to her life and works.</t>
  </si>
  <si>
    <t>https://www.teresadejesus.com/</t>
  </si>
  <si>
    <t>carmelites</t>
  </si>
  <si>
    <t>discalced-carmelites</t>
  </si>
  <si>
    <t>Discalced Carmelites (Order of Discalced Carmelites)</t>
  </si>
  <si>
    <t>Carmelites (Carmelites of the Ancient Observance)</t>
  </si>
  <si>
    <t>john-cross</t>
  </si>
  <si>
    <t>teresa-avila</t>
  </si>
  <si>
    <t>St. Teresa of Avila, OCD</t>
  </si>
  <si>
    <t>St. John of the Cross, OCD</t>
  </si>
  <si>
    <t>Avila tourism site</t>
  </si>
  <si>
    <t>https://www.avilaturismo.com/en/monatery-of-la-encarnacion</t>
  </si>
  <si>
    <t>Convento de San Jose</t>
  </si>
  <si>
    <t>Monasterio de La Encarnacion</t>
  </si>
  <si>
    <t>Monastery of the Incarnation (Monasterio de La Encarnacion)</t>
  </si>
  <si>
    <t>https://www.avilaturismo.com/en/convent-and-church-of-san-jose</t>
  </si>
  <si>
    <t>http://www.sanjosedeavila.es/</t>
  </si>
  <si>
    <t>Monasterio de las Batuecas</t>
  </si>
  <si>
    <t>https://monasteriodelasbatuecas.wordpress.com/</t>
  </si>
  <si>
    <t>Story of the staircase on the podcast *That's the Word*</t>
  </si>
  <si>
    <t>Story of the shrine on the podcast *That's the Word*</t>
  </si>
  <si>
    <t>*American Catholic History* podcast episode on St. Mary</t>
  </si>
  <si>
    <t>Convento de La Anunciacion</t>
  </si>
  <si>
    <t>Information in English</t>
  </si>
  <si>
    <t>https://www.carmelitasalba.org/wp-content/themes/Florida_child_theme/images/carmus-ingles-web.pdf</t>
  </si>
  <si>
    <t>https://carmelitasalba.org/</t>
  </si>
  <si>
    <t>Convento de San Jose, Avila</t>
  </si>
  <si>
    <t>Medina del Campo</t>
  </si>
  <si>
    <t>Convento de San Jose, Medina del Campo</t>
  </si>
  <si>
    <t>Malagon</t>
  </si>
  <si>
    <t>Convento de San Jose, Malagon</t>
  </si>
  <si>
    <t>Convento de Santa Teresa</t>
  </si>
  <si>
    <t>Valladolid</t>
  </si>
  <si>
    <t>Casa Natal Santa Teresa de Jesus</t>
  </si>
  <si>
    <t>Church and birthplace of St. Teresa of Jesus (Casa Natal Santa Teresa de Jesus)</t>
  </si>
  <si>
    <t>Toledo</t>
  </si>
  <si>
    <t>Convento de San Jose, Toledo</t>
  </si>
  <si>
    <t>Convento del Carmen</t>
  </si>
  <si>
    <t>Convento del Carmen, Pastrana</t>
  </si>
  <si>
    <t>Pastrana</t>
  </si>
  <si>
    <t>conceptionists</t>
  </si>
  <si>
    <t>Order of the Immaculate Conception (Conceptionists)</t>
  </si>
  <si>
    <t>Pastrana tourism site</t>
  </si>
  <si>
    <t>https://turismo.pastrana.org/destino-pastrana/monumentos-pastrana-visitas-culturales/convento-del-carmen/</t>
  </si>
  <si>
    <t>The third of 17 communities founded by St. Teresa of Avila, in 1568.</t>
  </si>
  <si>
    <t>The first of 17 communities founded by St. Teresa of Avila, in 1562. Visitors can explore the church, cloister, and St. Teresa's cell, now a chapel dedicated to prayer.</t>
  </si>
  <si>
    <t>The fourth of 17 communities founded by St. Teresa of Avila, in 1568.</t>
  </si>
  <si>
    <t>The fifth of 17 communities founded by St. Teresa of Avila, in 1569.</t>
  </si>
  <si>
    <t>The eigth of 17 communities founded by St. Teresa of Avila, in 1571, and also the place of her death in 1582.  Today the main altarpiece houses St. Teresa's incorrupt heart and arm.</t>
  </si>
  <si>
    <t>The seventh of 17 communities founded by St. Teresa of Avila in 1578.  Its secluded setting reflects her desire for a life dedicated to prayer and contemplation.  As noted on the official site - the Carmelite Desert, more than a geographical place, is an interior experience of solitude and contemplation.
The monastery accepts pilgrims looking for a contemplative retreat.  Guests are invited to participate in community prayers.</t>
  </si>
  <si>
    <t>Alba de Tormes</t>
  </si>
  <si>
    <t>Segovia</t>
  </si>
  <si>
    <t>Convento de San Jose, Segovia</t>
  </si>
  <si>
    <t>The ninth of 17 communities founded by St. Teresa of Avila, in 1574.</t>
  </si>
  <si>
    <t>Beas de Segura</t>
  </si>
  <si>
    <t>Monasterio de San Jose del Salvador</t>
  </si>
  <si>
    <t>Sierra de Segura tourism site</t>
  </si>
  <si>
    <t>https://lasierradesegura.org/parajes-naturales/convento-de-las-carmelitas-descalzas-de-san-jose-del-salvador/</t>
  </si>
  <si>
    <t>Wikipedia</t>
  </si>
  <si>
    <t>https://es.wikipedia.org/wiki/Convento_de_Carmelitas_Descalzas_(Beas_de_Segura)</t>
  </si>
  <si>
    <t>Significant amounts of information of the associated Wikipedia page</t>
  </si>
  <si>
    <t>The tenth of 17 communities founded by St. Teresa of Avila, in 1575.</t>
  </si>
  <si>
    <t>Seville</t>
  </si>
  <si>
    <t>Convento de San Jose del Carmen</t>
  </si>
  <si>
    <t>The eleventh of 17 communities founded by St. Teresa of Avila, in 1575.  This convent does not appear open to the public.</t>
  </si>
  <si>
    <t>Seville tourism site</t>
  </si>
  <si>
    <t>https://www.turismosevilla.org/en/what-see-and-do/heritage/monuments/san-jose-conventual-church-las-teresas</t>
  </si>
  <si>
    <t>Caravaca</t>
  </si>
  <si>
    <t>Convento de San Jose, Caravaca de la Cruz</t>
  </si>
  <si>
    <t>Article from Murcia Today</t>
  </si>
  <si>
    <t>https://murciatoday.com/the-convent_church-of-san-jose-in-caravaca-de-la-cruz_34175-a.html</t>
  </si>
  <si>
    <t>Caravaca tourism site</t>
  </si>
  <si>
    <t>https://www.turismocaravaca.com/blog/church-and-convent-san-jose-of-madres-carmelitas/</t>
  </si>
  <si>
    <t>The twelvth of 17 communities founded by St. Teresa of Avila, in 1576.</t>
  </si>
  <si>
    <t>Convento de Santa Ana</t>
  </si>
  <si>
    <t>Villanueva de la Jara</t>
  </si>
  <si>
    <t>The thirteenth of 17 communities founded by St. Teresa of Avila, in 1580.</t>
  </si>
  <si>
    <t>Villanueva de la Jara offical site</t>
  </si>
  <si>
    <t>https://www.villanuevadelajara.eu/english/the-footprints-of-st-teresa-of-jesus-in-villanueva-de-la-jara/</t>
  </si>
  <si>
    <t>Palencia</t>
  </si>
  <si>
    <t>The fourteenth of 17 communities founded by St. Teresa of Avila, in 1580.  It is likely the original convent is no longer in existence, though a church remains.</t>
  </si>
  <si>
    <t>Palencia tourism site</t>
  </si>
  <si>
    <t>https://turismo.aytopalencia.es/en/poi/church-san-bernardo</t>
  </si>
  <si>
    <t>Soria</t>
  </si>
  <si>
    <t>Iglesia de San Bernardo</t>
  </si>
  <si>
    <t>Convento de Nuestra Senora del Carmen</t>
  </si>
  <si>
    <t>Soria tourism site</t>
  </si>
  <si>
    <t>https://www.turismosoria.es/en/what-to-see/monuments/convent-of-el-carmen/</t>
  </si>
  <si>
    <t>The fifteenth of 17 communities founded by St. Teresa of Avila, in 1581.</t>
  </si>
  <si>
    <t>Granada</t>
  </si>
  <si>
    <t>Convento de San Jose, Granada</t>
  </si>
  <si>
    <t>http://www.carmelitasdescalzasgranada.es/</t>
  </si>
  <si>
    <t>https://federacionvirgendelcarmen.wordpress.com/conventos/convento-de-san-jose-granada/</t>
  </si>
  <si>
    <t>Information from the Federacion Virgen del Carmen</t>
  </si>
  <si>
    <t>The sixteenth of 17 communities founded by St. Teresa of Avila, in 1582.  Co-founded with St. John of the Cross.</t>
  </si>
  <si>
    <t>Burgos</t>
  </si>
  <si>
    <t>Convento de San Jose y Santa Ana</t>
  </si>
  <si>
    <t>The last of 17 communities founded by St. Teresa of Avila, in 1582.</t>
  </si>
  <si>
    <t>https://turismo.aytoburgos.es/cultura-y-patrimonio1/-/asset_publisher/PMC541iCzJ73/content/convento-de-san-jos%25C3%25A9-y-santa-ana</t>
  </si>
  <si>
    <t>Burgos tourism site</t>
  </si>
  <si>
    <t>https://catedralavila.es/</t>
  </si>
  <si>
    <t>Construction on the cathedral first began in the 12th century and continued up until the 17th century.  As part of the Old Town of Avila, it was inscribed as a UNESCO World Heritage site in 1985.</t>
  </si>
  <si>
    <t>Avila Cathedral (Catedral del Salvador)</t>
  </si>
  <si>
    <t>Basilica of Sts. Vincent, Sabina and Cristeta (San Vicente de Avila)</t>
  </si>
  <si>
    <t>San Vincente</t>
  </si>
  <si>
    <t>This basilica is built on traditional burial site of Saint Vincent, a young deacon martyred for his faith in the 4th century under the reign of Diocletian.  The church houses his relics and those of fellow martyrs Sts. Sabina and Cristeta.</t>
  </si>
  <si>
    <t>https://basilicasanvicente.es/</t>
  </si>
  <si>
    <t>vincent</t>
  </si>
  <si>
    <t>St. Vincent</t>
  </si>
  <si>
    <t>sabina</t>
  </si>
  <si>
    <t>St. Sabina</t>
  </si>
  <si>
    <t>cristeta</t>
  </si>
  <si>
    <t>St. Cristeta</t>
  </si>
  <si>
    <t>Castila y Leon tourism site</t>
  </si>
  <si>
    <t>https://www.turismocastillayleon.com/en/art-culture-heritage/museums/teresian-museum-san-jose-medina-del-campo-m-m-carmelitas</t>
  </si>
  <si>
    <t>Medina del Campo tourism site</t>
  </si>
  <si>
    <t>http://medinadelcampo.es/lo-indispensable/donde-la-historia-cobra-vida/23-lo-indispensable/donde-la-historia-cobra-vida/367-convento-san-juan-de-la-cruz-ruta-teresiana</t>
  </si>
  <si>
    <t>The second of 17 communities founded by St. Teresa of Avila, in 1567, and also where she met and influenced St. John of the Cross.
Now houses a museum.</t>
  </si>
  <si>
    <t>Duruelo</t>
  </si>
  <si>
    <t>Monastery of Duruelo</t>
  </si>
  <si>
    <t>Monastery</t>
  </si>
  <si>
    <t>The first monastery established by St. John of the Cross and Fr. Antonio of Jesus in 1568, using a small farmhouse which had been donated to St. Teresa of Avila.  Soon the community outgrew the building, and moved to Mancera de Abajo in 1570, then Avila in 1600.</t>
  </si>
  <si>
    <t>Convent of St. John of the Cross (Convento de San Juan de la Cruz)</t>
  </si>
  <si>
    <t>Convento de San Juan de la Cruz</t>
  </si>
  <si>
    <t>St. John of the Cross founded the convent in 1588 and led the community as prior until 1591.  His head and body are located in a side chapel.
Although no longer an active monastery, the site serves as a sanctuary for spiritual exercises.  Pope St. John Paul II visited the site in 1982.</t>
  </si>
  <si>
    <t>https://sanjuandelacruzsegovia.com/</t>
  </si>
  <si>
    <t>Ubeda</t>
  </si>
  <si>
    <t>Oratory of St. John of the Cross (Oratorio de San Juan de la Cruz)</t>
  </si>
  <si>
    <t>Oratorio de San Juan de la Cruz</t>
  </si>
  <si>
    <t>In 1591, St. John of the Cross died here, the site of a former monastery.  Today, there is a chapel housing his relics (a hand and leg) and a museum related to his life.</t>
  </si>
  <si>
    <t>https://www.sanjuandelacruzubeda.com/</t>
  </si>
  <si>
    <t>Fontiveros</t>
  </si>
  <si>
    <t>Church of the Birthplace of St. John of the Cross (Iglesia Casa Natal de San Juan de la Cruz)</t>
  </si>
  <si>
    <t>Iglesia Casa Natal de San Juan de la Cruz</t>
  </si>
  <si>
    <t>Church in the town of St. John of the Cross's birth</t>
  </si>
  <si>
    <t>https://www.turismocastillayleon.com/en/art-culture-heritage/monuments/churches-chapels/church-san-juan-de-la-cruz-house-natal</t>
  </si>
  <si>
    <t>Founded in 1478, this Carmelite convent in Avila was where Saint Teresa entered as a young woman and lived for 27 years. She took her vows here and began her journey as a mystic and reformer. The monastery features her cell, the Chapel of Transverberation and a museum dedicated to her life.
St. John of the Cross spent notable amounts of time here as well, and during one session of prayer, received a vision of Christ on the Cross from "above."  The saint's drawing remains at the museum.</t>
  </si>
  <si>
    <t>The sixth of 17 communities founded by St. Teresa of Avila, in 1569.  St. John of the Cross may have written his *Dark Night of the Soul* and *Ascent of Mount Carmel* here.
In 1836 the convent was confiscated by the Spanish government, but in 1855 was reoccupied by Conceptionist Franciscan nuns.  Today it serves as a Conceptionist convent and Teresan museum.</t>
  </si>
  <si>
    <t>MI</t>
  </si>
  <si>
    <t>Santiago de Compostela</t>
  </si>
  <si>
    <t>http://catedraldesantiago.es/</t>
  </si>
  <si>
    <t>Metropolitan Archcathedral Basilica of Santiago de Compostela (Catedral de Santiago)</t>
  </si>
  <si>
    <t>Catedral de Santiago</t>
  </si>
  <si>
    <t>pelagius</t>
  </si>
  <si>
    <t>St. Pelagius the Hermit</t>
  </si>
  <si>
    <t>Convento de Santa Teresa, Valladolid</t>
  </si>
  <si>
    <t>Convent of the Anunciation (Convento de La Anunciacion), Alba de Tormes</t>
  </si>
  <si>
    <t>Monasterio de San Jose del Salvador, Beas</t>
  </si>
  <si>
    <t>Convento de San Jose del Carmen (Las Teresas), Seville</t>
  </si>
  <si>
    <t>Convento de Santa Ana, Villanueva de la Jara</t>
  </si>
  <si>
    <t>St. Bernard Church (Iglesia de San Bernardo), Palencia</t>
  </si>
  <si>
    <t>Convent of our Lady of Carmen (Convento de Nuestra Senora del Carmen), Soria</t>
  </si>
  <si>
    <t>Convento de San Jose y Santa Ana, Burgos</t>
  </si>
  <si>
    <t>Site of Tyburn Tree</t>
  </si>
  <si>
    <t>english-martyrs</t>
  </si>
  <si>
    <t>English Martyrs</t>
  </si>
  <si>
    <t>Tyburn Tree was the name of the gallows where many Catholic martyrs were hung, drawn, and quartered or hung until dead.
The saints, blesseds, and venerables who died on this site include John Houghton, Robert Lawrence, Augustine Webster, Richard Reynolds, Ralph Sherwin, Alexander Briant, Luke Kirby, Margaret Ward, Eustace White, Polydore Plasden, Thomas Garnet, John Roberts, John Almond, Bartholomew Roe, Henry Morse, John Southworth, Oliver Plunkett, John Haile (or Hale), William Exmew, Humphrey Middlemore, Sebastian Newdigate, Robert Johnson, William Filby, Lawrence Richardson, Thomas Cottam, John Storey, Thomas Woodhouse, John Nelson, Thomas Sherwood, Everard Hanse, William Horne, John Larke and German Gardiner.
Down the street to the west is Tyburn Convent.</t>
  </si>
  <si>
    <t>Mission San Diego de Alcala</t>
  </si>
  <si>
    <t>Mission San Carlos Borromeo de Carmelo</t>
  </si>
  <si>
    <t>Mission San Antonio de Padua</t>
  </si>
  <si>
    <t>Mission San Gabriel Arcangel</t>
  </si>
  <si>
    <t>Mission San Luis Obispo de Tolosa</t>
  </si>
  <si>
    <t>Mission San Francisco de Asis (Mission Dolores)</t>
  </si>
  <si>
    <t>Mission San Juan Capistrano</t>
  </si>
  <si>
    <t>Mission Santa Clara de Asis</t>
  </si>
  <si>
    <t>Mission San Buenaventura</t>
  </si>
  <si>
    <t>Mission Santa Barbara</t>
  </si>
  <si>
    <t>Mission La Purisima Concepcion</t>
  </si>
  <si>
    <t>Mission Santa Cruz</t>
  </si>
  <si>
    <t>Mission Nuestra Senora de la Soledad (Mission Soledad)</t>
  </si>
  <si>
    <t>Mission San Jose</t>
  </si>
  <si>
    <t>Mission San Juan Bautista</t>
  </si>
  <si>
    <t>Mission San Miguel Arcangel</t>
  </si>
  <si>
    <t>Mission San Fernando Rey de Espana</t>
  </si>
  <si>
    <t>Mission San Luis Rey de Francia</t>
  </si>
  <si>
    <t>Mission Santa Ines</t>
  </si>
  <si>
    <t>Mission San Francisco Solano</t>
  </si>
  <si>
    <t>San Diego</t>
  </si>
  <si>
    <t>San Francisco</t>
  </si>
  <si>
    <t>Ventura</t>
  </si>
  <si>
    <t>Mission San Diego</t>
  </si>
  <si>
    <t>Mission San Luis Obispo</t>
  </si>
  <si>
    <t>Mission San Carlos</t>
  </si>
  <si>
    <t>Mission San Antonio</t>
  </si>
  <si>
    <t>Mission San Gabriel</t>
  </si>
  <si>
    <t>Mission San Luis</t>
  </si>
  <si>
    <t>Mission Santa Clara</t>
  </si>
  <si>
    <t>Mission La Purisima</t>
  </si>
  <si>
    <t>Mission San Miguel</t>
  </si>
  <si>
    <t>Mission San Fernando</t>
  </si>
  <si>
    <t>Mission San Rafael</t>
  </si>
  <si>
    <t>Mission Dolores</t>
  </si>
  <si>
    <t>Mission Soledad</t>
  </si>
  <si>
    <t>Mission San Rafael Arcangel</t>
  </si>
  <si>
    <t>The 1st of the 21 California missions, founded in 1769.</t>
  </si>
  <si>
    <t>The 3rd of the 21 California missions, founded in 1771.</t>
  </si>
  <si>
    <t>The 4th of the 21 California missions, founded in 1771.</t>
  </si>
  <si>
    <t>The 5th of the 21 California missions, founded in 1772.</t>
  </si>
  <si>
    <t>The 6th of the 21 California missions, founded in 1776.</t>
  </si>
  <si>
    <t>The 7th of the 21 California missions, founded in 1776.</t>
  </si>
  <si>
    <t>The 8th of the 21 California missions, founded in 1777.</t>
  </si>
  <si>
    <t>The 9th of the 21 California missions, founded in 1782.</t>
  </si>
  <si>
    <t>The 10th of the 21 California missions, founded in 1786.</t>
  </si>
  <si>
    <t>The 12th of the 21 California missions, founded in 1791.</t>
  </si>
  <si>
    <t>The 13th of the 21 California missions, founded in 1791.</t>
  </si>
  <si>
    <t>The 14th of the 21 California missions, founded in 1797.</t>
  </si>
  <si>
    <t>The 15th of the 21 California missions, founded in 1797.</t>
  </si>
  <si>
    <t>The 16th of the 21 California missions, founded in 1797.</t>
  </si>
  <si>
    <t>The 17th of the 21 California missions, founded in 1797.</t>
  </si>
  <si>
    <t>The 20th of the 21 California missions, founded in 1817.</t>
  </si>
  <si>
    <t>https://www.missionsandiego.org/</t>
  </si>
  <si>
    <t>http://www.carmelmission.org/</t>
  </si>
  <si>
    <t>http://www.missionsanantonio.net/</t>
  </si>
  <si>
    <t>http://www.missionsangabriel.org/</t>
  </si>
  <si>
    <t>https://www.missionsanluisobispo.org/</t>
  </si>
  <si>
    <t>https://www.missiondolores.org/old-mission</t>
  </si>
  <si>
    <t>http://www.missionsjc.com/</t>
  </si>
  <si>
    <t>https://www.scu.edu/missionchurch/</t>
  </si>
  <si>
    <t>http://www.sanbuenaventuramission.org/</t>
  </si>
  <si>
    <t>http://www.santabarbaramission.org/</t>
  </si>
  <si>
    <t>http://www.lapurisimamission.org/</t>
  </si>
  <si>
    <t>http://www.holycrosssantacruz.com/mission-santa-cruz/</t>
  </si>
  <si>
    <t>http://missionsoledad.com/</t>
  </si>
  <si>
    <t>http://www.missionsanjose.org/</t>
  </si>
  <si>
    <t>http://www.oldmissionsjb.org/</t>
  </si>
  <si>
    <t>http://www.missionsanmiguel.org/</t>
  </si>
  <si>
    <t>https://www.sanluisrey.org/</t>
  </si>
  <si>
    <t>https://missionsantaines.org/</t>
  </si>
  <si>
    <t>http://saintraphael.com/</t>
  </si>
  <si>
    <t>https://www.parks.ca.gov/?page_id=479</t>
  </si>
  <si>
    <t>California Missions Foundation page</t>
  </si>
  <si>
    <t>https://californiamissionsfoundation.org/mission-san-diego-de-alcala/</t>
  </si>
  <si>
    <t>https://californiamissionsfoundation.org/mission-san-carlos-borromeo/</t>
  </si>
  <si>
    <t>https://californiamissionsfoundation.org/mission-san-antonio/</t>
  </si>
  <si>
    <t>https://californiamissionsfoundation.org/mission-san-gabriel/</t>
  </si>
  <si>
    <t>https://californiamissionsfoundation.org/mission-san-luis-obispo/</t>
  </si>
  <si>
    <t>https://californiamissionsfoundation.org/mission-san-francisco-de-asis/</t>
  </si>
  <si>
    <t>https://californiamissionsfoundation.org/mission-san-juan-capistrano/</t>
  </si>
  <si>
    <t>https://californiamissionsfoundation.org/mission-santa-clara/</t>
  </si>
  <si>
    <t>https://californiamissionsfoundation.org/mission-san-buenaventura/</t>
  </si>
  <si>
    <t>https://californiamissionsfoundation.org/mission-santa-barbara/</t>
  </si>
  <si>
    <t>https://californiamissionsfoundation.org/mission-la-purisima/</t>
  </si>
  <si>
    <t>https://californiamissionsfoundation.org/mission-santa-cruz/</t>
  </si>
  <si>
    <t>https://californiamissionsfoundation.org/mission-la-soledad/</t>
  </si>
  <si>
    <t>https://californiamissionsfoundation.org/mission-san-jose/</t>
  </si>
  <si>
    <t>https://californiamissionsfoundation.org/mission-san-juan-bautista/</t>
  </si>
  <si>
    <t>https://californiamissionsfoundation.org/mission-san-miguel/</t>
  </si>
  <si>
    <t>https://californiamissionsfoundation.org/mission-san-fernando/</t>
  </si>
  <si>
    <t>https://californiamissionsfoundation.org/mission-san-luis-rey/</t>
  </si>
  <si>
    <t>https://californiamissionsfoundation.org/mission-santa-ines/</t>
  </si>
  <si>
    <t>https://californiamissionsfoundation.org/mission-san-rafael/</t>
  </si>
  <si>
    <t>https://californiamissionsfoundation.org/mission-san-francisco-solano/</t>
  </si>
  <si>
    <t>Missions California page</t>
  </si>
  <si>
    <t>https://www.missionscalifornia.com/missions/san-diego-de-alcala/</t>
  </si>
  <si>
    <t>https://www.missionscalifornia.com/missions/san-carlos-borromeo-de-carmelo/</t>
  </si>
  <si>
    <t>https://www.missionscalifornia.com/missions/san-antonio-de-padua/</t>
  </si>
  <si>
    <t>https://www.missionscalifornia.com/missions/san-gabriel-arcangel/</t>
  </si>
  <si>
    <t>https://www.missionscalifornia.com/missions/san-luis-obispo-de-tolosa/</t>
  </si>
  <si>
    <t>https://www.missionscalifornia.com/missions/san-francisco-de-asis/</t>
  </si>
  <si>
    <t>https://www.missionscalifornia.com/missions/san-juan-capistrano/</t>
  </si>
  <si>
    <t>https://www.missionscalifornia.com/missions/santa-clara-de-asis/</t>
  </si>
  <si>
    <t>https://www.missionscalifornia.com/missions/san-buenaventura/</t>
  </si>
  <si>
    <t>https://www.missionscalifornia.com/missions/santa-barbara/</t>
  </si>
  <si>
    <t>https://www.missionscalifornia.com/missions/la-purisima-concepcion/</t>
  </si>
  <si>
    <t>https://www.missionscalifornia.com/missions/santa-cruz/</t>
  </si>
  <si>
    <t>https://www.missionscalifornia.com/missions/nuestra-senora-de-la-soledad/</t>
  </si>
  <si>
    <t>https://www.missionscalifornia.com/missions/san-jose/</t>
  </si>
  <si>
    <t>https://www.missionscalifornia.com/missions/san-juan-bautista/</t>
  </si>
  <si>
    <t>https://www.missionscalifornia.com/missions/san-miguel-arcangel/</t>
  </si>
  <si>
    <t>https://www.missionscalifornia.com/missions/san-fernando-rey-de-espana/</t>
  </si>
  <si>
    <t>https://www.missionscalifornia.com/missions/san-luis-rey-francia/</t>
  </si>
  <si>
    <t>https://www.missionscalifornia.com/missions/santa-ines-virgen-y-martir/</t>
  </si>
  <si>
    <t>https://www.missionscalifornia.com/missions/san-rafael-arcangel/</t>
  </si>
  <si>
    <t>https://www.missionscalifornia.com/missions/san-francisco-solano/</t>
  </si>
  <si>
    <t>schools</t>
  </si>
  <si>
    <t>Sites Related to Educational Institutions</t>
  </si>
  <si>
    <t>junipero-serra</t>
  </si>
  <si>
    <t>franciscans</t>
  </si>
  <si>
    <t>Order of Friars Minor (Fransiscans)</t>
  </si>
  <si>
    <t>The 2nd of the 21 California missions, founded in 1770, and the site of St. Junipero Serra's death.  His remains are located southeast of the altar.</t>
  </si>
  <si>
    <t>The 21st of the 21 California missions, founded in 1823.  The mission only remained so for 11 years before being secularized.  The Bear Flag Revolt of June 14, 1816 occurred directly across from the mission, declaring California a republic.  Today the mission is part of a public park.</t>
  </si>
  <si>
    <t>The 18th of the 21 California missions, founded in 1798.  It is attached to the Franciscan community of the same name.</t>
  </si>
  <si>
    <t>The 11th of the 21 California missions, founded in 1787.  The mission is no longer an active church, but part of a state park which seeks to accurately replicate mission life.</t>
  </si>
  <si>
    <t>california-missions</t>
  </si>
  <si>
    <t>Franciscian Missions in California</t>
  </si>
  <si>
    <t>Goa</t>
  </si>
  <si>
    <t>Sanctuary of St. Joseph Vaz</t>
  </si>
  <si>
    <t>https://www.omiworld.org/our-charism/our-saints/non-oblate-causes/saint-joseph-vaz-1651-1711/biography/</t>
  </si>
  <si>
    <t>joseph-vaz</t>
  </si>
  <si>
    <t>Missionary Oblates of Mary Immaculate biography</t>
  </si>
  <si>
    <t>https://blessedjosephvaz.org/sanctuary.htm</t>
  </si>
  <si>
    <t>St. Joseph Vaz was a priest form Goa, India, who became a missionary in Ceylon (now Sri Lanka), preaching to the abandoned Catholics in a largely Buddhist country.  This shrine is located in the city of his birth.</t>
  </si>
  <si>
    <t>oratorians</t>
  </si>
  <si>
    <t>Oratory of St. Philip Neri (Oratorians)</t>
  </si>
  <si>
    <t>St. Joseph Vaz, CO</t>
  </si>
  <si>
    <t>St. Junipero Serra, OFM</t>
  </si>
  <si>
    <t>Fr. Marie-Alphonse Ratisbonne, NDS</t>
  </si>
  <si>
    <t>St. Vincent de Paul, CM</t>
  </si>
  <si>
    <t>St. Louise de Marillac, DC</t>
  </si>
  <si>
    <t>St. Jean-Gabriel Perboyre, CM</t>
  </si>
  <si>
    <t>Bl. Pier Giorgio Frassati, TOSD</t>
  </si>
  <si>
    <t>Turkey</t>
  </si>
  <si>
    <t>Ephesus</t>
  </si>
  <si>
    <t>Basilica of St. John</t>
  </si>
  <si>
    <t>apostles</t>
  </si>
  <si>
    <t>Sites Related to the Twelve Apostles</t>
  </si>
  <si>
    <t>john-apostle</t>
  </si>
  <si>
    <t>St. John the Apostle</t>
  </si>
  <si>
    <t>House of the Virgin Mary</t>
  </si>
  <si>
    <t>anne-catherine-emmerich</t>
  </si>
  <si>
    <t>Bl. Anne Catherine Emmerich</t>
  </si>
  <si>
    <t>This house was discovered in 1881 based on the descriptions of Bl. Anne Catherine Emmerich, a bedridden German nun who had never left her own country.  Among other visions of the lives of Jesus and the Virgin Mary, Bl. Emmerich described the land around the house where the Virgin Mary may have spent her final years before her Assumption into heaven.
The Catholic Church has not issued an opinion on the veracity of the house, but several popes have conveyed blessings and visited the site.</t>
  </si>
  <si>
    <t>Church of Mary</t>
  </si>
  <si>
    <t>Built in the 5th centry, possibly for the First Council of Ephesus (the third ecumenical council of the early church).  The Second Council of Ephesus may also have been held here.</t>
  </si>
  <si>
    <t>Vatican City</t>
  </si>
  <si>
    <t>St. Peter's Basilica</t>
  </si>
  <si>
    <t>https://www.basilicasanpietro.va/en.html</t>
  </si>
  <si>
    <t>peter</t>
  </si>
  <si>
    <t>St. Peter</t>
  </si>
  <si>
    <t>Possibly the most famous church in the world, and one of the four papal basilicas, the current building was built between 1506 and 1626, replacing the original from the time of Constantine in the 4th century.
St. Peter's tomb lies beneath the high altar of the basilica, and the church continues to be a place of interment for popes, cardinals and bishops.</t>
  </si>
  <si>
    <t>Basilica of the Immaculate Conception at Ha Nam</t>
  </si>
  <si>
    <t>https://mycatholic.life/saints/saints-of-the-liturgical-year/november-24-saint-andrew-dung-lac-and-his-companions-martyrs-memorial/</t>
  </si>
  <si>
    <t>Saint Andrew Dung and Companions</t>
  </si>
  <si>
    <t>vietnamese-martyrs</t>
  </si>
  <si>
    <t>andrew-dung-lac</t>
  </si>
  <si>
    <t>Vietnamese Martyrs</t>
  </si>
  <si>
    <t>St. Andrew Dung-Lac and Companions</t>
  </si>
  <si>
    <t>Ha Nam</t>
  </si>
  <si>
    <t>This Basilica is a shrine in rememberance of the Vietnamese Martyrs, St. Andrew Dung-Lac and Companions killed during the persecution of the Christians in Vietnam in the 18th and 19th century.</t>
  </si>
  <si>
    <t>Basilica of the Immaculate Conception</t>
  </si>
  <si>
    <t>Interest</t>
  </si>
  <si>
    <t>St. Catherine</t>
  </si>
  <si>
    <t>St. Joseph Vaz</t>
  </si>
  <si>
    <t>Church of St. Francis</t>
  </si>
  <si>
    <t>Sanctuary of St. Maria Goretti</t>
  </si>
  <si>
    <t>St. Maria Goretti Tent of Pardon</t>
  </si>
  <si>
    <t>St. Mary</t>
  </si>
  <si>
    <t>Mount St. Marys Seminary</t>
  </si>
  <si>
    <t>Old St. Patrick</t>
  </si>
  <si>
    <t>Old St. Paul</t>
  </si>
  <si>
    <t>Old St. Joseph</t>
  </si>
  <si>
    <t>St. Edward</t>
  </si>
  <si>
    <t>St. Peter am Perlach</t>
  </si>
  <si>
    <t>This cathedral is the reputed burial place of Saint James the Great, one of the twelve apostles.  According to tradition, his tomb was rediscovered in 814 AD by St. Pelagius the Hermit.
One of the most famous pilgrimage destinations in the world, it lies at the end of the Camino de Santiago, or Way of St. James.  Today the church is the centerpiece of the larger Santiago de Compostela UNESCO World Heritage Site.</t>
  </si>
  <si>
    <t>Completed in 565 AD, the basilica was built over the believed burial site of St. John the Apostle.  According to legend, St. John (as the Beloved Disciple) took the Virgin Mary to Ephesus in her final years, and [her possible house](/places/tr-ephesus-house-of-the-virgin-mary) overlooks the ancient city of Ephesus.
Today the ruins are part of the UNESCO World Heritage Site of Ephesus.</t>
  </si>
  <si>
    <t>Lon</t>
  </si>
  <si>
    <t>Page Title (what will display on website)</t>
  </si>
  <si>
    <t>File Title (what will display in URL) - typically shorter</t>
  </si>
  <si>
    <t>Interest Level</t>
  </si>
  <si>
    <t>Is an active Church?</t>
  </si>
  <si>
    <t>Is a Marian site?</t>
  </si>
  <si>
    <t>Related to a holy person?</t>
  </si>
  <si>
    <t>Country Name</t>
  </si>
  <si>
    <t>Description which will go on the webpage (this should be publicly avaialble information, ideally available through a referenced link)</t>
  </si>
  <si>
    <t>Non-referenceable information which you've found, or any other opinions/preferences</t>
  </si>
  <si>
    <t>Official URL</t>
  </si>
  <si>
    <t>Comment</t>
  </si>
  <si>
    <t>Link 1 Comment</t>
  </si>
  <si>
    <t>Link 2 Comment</t>
  </si>
  <si>
    <t>Link 3 Comment</t>
  </si>
  <si>
    <t>Additional Tags (must add to tag sheet)</t>
  </si>
  <si>
    <t>New (change to Done when complete)</t>
  </si>
  <si>
    <t>Your Initials</t>
  </si>
  <si>
    <t>JMM</t>
  </si>
  <si>
    <t>JPY</t>
  </si>
  <si>
    <t>JPY, JMM</t>
  </si>
  <si>
    <t>Contributors</t>
  </si>
  <si>
    <t>NDS</t>
  </si>
  <si>
    <t>Link Name</t>
  </si>
  <si>
    <t>Link URL</t>
  </si>
  <si>
    <t>Link Comment</t>
  </si>
  <si>
    <t>Lattitude</t>
  </si>
  <si>
    <t>Longitude</t>
  </si>
  <si>
    <t>This church has the most awesome pulpit I have ever seen.</t>
  </si>
  <si>
    <t>As of 2023, this church has tons of confession times.</t>
  </si>
  <si>
    <t>Mass intentions requested at the gift shop will be prayed for at the very next mass.  Similar to the custom at [Our Lady of the Miraculous Medal](/places/fr-paris-chapel-of-our-lady-of-the-miraculous-medal), grateful pilgrims have given thanks for answered prayers in the form of plaques lining the stairway down to the shrine.</t>
  </si>
  <si>
    <t>It has been extremely difficult to find information on this pilgrimage site.  The "official site" above seems to reference several pilgrimage destinations in the area, and its worship times are outdated at time of writing.  We'd recommend checking the Facebook site for more up-to-date information.</t>
  </si>
  <si>
    <t>You can read the statement issued by the Papal Residence in Cairo [here](https://www.stmaryztn.org/saintmary/en/apparition-story/papal-statment).</t>
  </si>
  <si>
    <t>One of the most picturesque apparition sites to visit!  The road between Laus and nearby [La Salette](/places/fr-sanctuary-of-our-lady-of-la-salette) winds through the French Alpine countryside.</t>
  </si>
  <si>
    <t>Located in central Paris, OLMM is one of the more easily accessible Marian apparition sites, and often draws large crowds of pilgrims.  The nearby [St. Vincent de Paul Chapel](fr-paris-st-vincent-de-paul-chapel) is a short walk away and is often more peaceful.
OLMM is also a rare apparition site where the exact location of Our Blessed Mother is documented in precise detail.  The giftshop sells postcards detailing where in the chapel Mary appeared in each apparition to St. Catherine Laboure.
See also the related apparition of [Our Lady of Zion](/places/it-rome-sant-andrea-delle-fratte) in Rome.</t>
  </si>
  <si>
    <t>An incredibly beautiful sanctuary of prayer, just a short walk from the often crowded Miraculous Medal Chapel.</t>
  </si>
  <si>
    <t>Let us pray for Christian unity and for our Protestant brethern to come to the True Faith.</t>
  </si>
  <si>
    <t>Sts. Ulrich and Afra are buried in the crypt beneath the high altar.  You can reach them with some steep stairs on either side of the high altar.  St. Simpert's tomb is in a chapel along the right side of the nave.</t>
  </si>
  <si>
    <t>An Indonesian parish of the same name also has a [good history](https://velangkanni.com/en/about-annai-velangkanni/) of the apparition.</t>
  </si>
  <si>
    <t>Thanks to the testimonies of the visionaries, pilgrims today can experience a very accurate representation of the original apparition.  The statues have been placed in the same place as the apparition, in front of the church wall and slightly above ground level.</t>
  </si>
  <si>
    <t>On the basilica grounds, to the left of the main nave is a gift shop.  The people there can help you get to St. Maria Goretti's home in La Ferriere.
The statue is credited with at least one historic miracle by St. Thomas More, but details are lacking; Miracle Hunter's page references the associated [Wikipedia article](https://en.wikipedia.org/wiki/Our_Lady_of_Ipswich).</t>
  </si>
  <si>
    <t>Additional info and a good history [here](https://www.ourladyofsiluva.org/our_lady/).</t>
  </si>
  <si>
    <t>Across the street, a bit above head level, is a commemerative plaque on the restaurant.  The restaurant is owned by a Catholic family who provide information on Bl. Miguel Pro.</t>
  </si>
  <si>
    <t>The hours are rather strange: certain days of the week in the middle of the day.  The entrance is to the left of the entrance to La Sagrada Familia.  The gift shop is also excellent.</t>
  </si>
  <si>
    <t>Because of the Jesuit influence, there are noticeable similarities to the Chiesa del Gesù in Rome, both in decoration and function.  The image of Our Blessed Mother behind the altar is covered after each mass, similar to some Jesuit churches in Rome.</t>
  </si>
  <si>
    <t>Some good information on [Catholic Shrine Basilica](https://catholicshrinebasilica.com/sanctuary-of-our-lady-of-ludzmierz-poland/).</t>
  </si>
  <si>
    <t>The monastery has published an excellent history of the shrine [here](https://lezajsk.bernardyni.pl/historia/) (in Polish).</t>
  </si>
  <si>
    <t>At the time of this miracle the land belonged to Hungary; a few sources still refer to the site as Hungarian.  The two potential official pages listed may not be accurate; please [contact us](/contact) if you have any better information.</t>
  </si>
  <si>
    <t>Unfortunately many modern visitors to the cathedral are more interested in its rooftop views, so it's important to be specific when asking for accurate information about services.  The cathedral website lists their service schedule [here](https://catedraldezaragoza.es/culto/).</t>
  </si>
  <si>
    <t>It's unclear which church is associated with the original convent - the one pinpointed on this article, or the nearby Iglesia de Santa Maria la Mayor (as noted, possibly incorrectly, on Soria's tourism site).  Regardless, the convent is still actively functioning.</t>
  </si>
  <si>
    <t>Many of the websites associated with this site were not working at time of writing.</t>
  </si>
  <si>
    <t>Additional history of the current monastery in Mancera de Abaio can be found [here](https://salamancartvaldia.es/noticia/2023-03-02-la-vida-en-el-monasterio-de-mancera-de-abajo-es-ilusionante-porque-cada-hora-es-la-de-amar-a-dios-316830), though it should be noted there is not a contiguous lineage back to the community founded by St. John of the Cross.</t>
  </si>
  <si>
    <t>There is a wall for pilgrims to leave prayers on small slips of paper or tissues.  As is the case at many Marian sites, there is a spring of holy water.
The gift shop at the site is quite expensive and does not appear to be run by Christians; likewise the parking fee is collected by local secular authorities.</t>
  </si>
  <si>
    <t>The original altarpiece appears to be lost forever.  It was removed in the 1960's by the Carmelite fathers who staffed the parish at the time.  The official story is that it was so badly damaged by termites that it had to be trashed.  Some say that it wasn't eaten by termites, but by Carmelites.</t>
  </si>
  <si>
    <t>We can't find an official website or other social media page for the basilica.  If you know of one, please [contact us](/contact).</t>
  </si>
  <si>
    <t>Pope Francis has a special devotion to this image, explained in the Miracle Hunter link.</t>
  </si>
  <si>
    <t>We can't find an official website for the parish; their Facebook page has been listed for now.</t>
  </si>
  <si>
    <t>The Facebook page appears to be the official site.</t>
  </si>
  <si>
    <t>Tradition dicates that the Blessed Mother showed herself to a middle-aged farmer and gave him a message on where she wanted her church to be built, appearing to him on a tree amidst a heavenly glow.  Today the center of devotion is the miraculous image of Our Lady of the Holy Rosary (Nuestra Senora de Manaoag, or Apo Baket as known to the local townspeople).</t>
  </si>
  <si>
    <t>Pilgrimage Route</t>
  </si>
  <si>
    <t>our-lady-grace</t>
  </si>
  <si>
    <t>our-lady-ipswich</t>
  </si>
  <si>
    <t>Devotions</t>
  </si>
  <si>
    <t>A network of pilgrimage routes leading to Santiago de Compostela in Spain, the traditional site of St. James' tomb.  This famous route has been traveled by dozens of saints and other famous persons dating back over 1000 years.  The route network was inscribed in the UNESCO World Heritage List in 1993.</t>
  </si>
  <si>
    <t>UNESCO World Heritage List Entry</t>
  </si>
  <si>
    <t>https://whc.unesco.org/en/list/669/</t>
  </si>
  <si>
    <t>james-great</t>
  </si>
  <si>
    <t>St. James the Great</t>
  </si>
  <si>
    <t>One of the Twelve Apostles, and the patron Saint of Spain.</t>
  </si>
  <si>
    <t>An Eastern Catholic Church based in India, practicing an East Syriac Rite and following the traditions of St. Thomas the Apostle. It is one of the 23 sui juris (self-governed) Eastern Catholic Churches in full communion with the Holy See.</t>
  </si>
  <si>
    <t>https://syromalabarchurch.in/</t>
  </si>
  <si>
    <t>Official Site</t>
  </si>
  <si>
    <t>Major Basilicas</t>
  </si>
  <si>
    <t>major-basilicas</t>
  </si>
  <si>
    <t>The four major basilicas in the Roman Catholic Church:
* St. John Lateran (seat of the Pope, Bishop of Rome)
* St. Peter
* St. Mary Major
* St. Paul Outside the Walls</t>
  </si>
  <si>
    <t>St. Mary Major (S. Maria Maggiore) (Our Lady of the Snows)</t>
  </si>
  <si>
    <t>St. Mary Major</t>
  </si>
  <si>
    <t>A wealthy but childless Christian Roman couple wanted to appoint the Virgin Mary as heiress of their property. On the night of August 4, Mary appeared simultaneously to the couple and Pope Liberius, expressing the wish that a church be erected on Esquiline Hill.  The morning of August 5, miraculous snow fell on a narrow piece of land, upon which the Church of Liberius was constructed.  This Marian shrine was replaced in the fifth century with a great church named Santa Maria Maggiore, which is now one of the four major basilicas.</t>
  </si>
  <si>
    <t>Vatican List of Major Basilicas</t>
  </si>
  <si>
    <t>https://www.vatican.va/various/basiliche/index_en.html</t>
  </si>
  <si>
    <t>The former Cardinal Karol Jozef Wojtyla from Poland was Pope from 1978 to 2005.  He was known for his global travels, advocating for peace and religious freedom, and contributing to the fall of communism in Europe.  He was canonized as a saint in 2014, with the initial five-year waiting period for beatification waived by Pope Benedict XVI.</t>
  </si>
  <si>
    <t>A 16th-century Native American convert who was granted apparitions of the Virgin Mary in modern-day Mexico City, now venerated as Our Lady of Guadalupe.  The story and miracles associated with Our Lady of Guadalupe were the impetus for the conversion of millions of Native Americans.</t>
  </si>
  <si>
    <t>churches</t>
  </si>
  <si>
    <t>Actively-operating churches, basilicas and other places of worship which have particular significance in Catholic church history.</t>
  </si>
  <si>
    <t>MassTimes.org</t>
  </si>
  <si>
    <t>https://masstimes.org/</t>
  </si>
  <si>
    <t>tag-name (use dashes between multiple words)</t>
  </si>
  <si>
    <t>Active Churches</t>
  </si>
  <si>
    <t>Type of tag</t>
  </si>
  <si>
    <t>Non-referenceable information which you've found, or any other opinions/preferences (optional)</t>
  </si>
  <si>
    <t>Database of known service times for actively-operating churches</t>
  </si>
  <si>
    <t>Background Information</t>
  </si>
  <si>
    <t>Summarized background info which will go on the webpage (this should be publicly avaialble information, ideally available through a referenced link)</t>
  </si>
  <si>
    <t>New</t>
  </si>
  <si>
    <t>At 11 years old, St. Maria Goretti fought off her would-be rapist, Alessandro Serenelli, who in his anger stabbed her 14 times.  She died a martyr of chastity, forgiving Serenelli on her deathbed.  In prison, she appeared to Alessandro, effecting his conversion.  Upon his release, he begged her mother for forgiveness and lived out his days working as a gardener at a Capucin monastery, eventually being accepted as a lay brother.</t>
  </si>
  <si>
    <t>https://www.ncregister.com/blog/in-the-footsteps-of-st-maria-goretti</t>
  </si>
  <si>
    <t>An article about St. Maria Goretti's life and pilgrimage sites</t>
  </si>
  <si>
    <t>National Catholic Register Article</t>
  </si>
  <si>
    <t>Blessed Miguel Pro was a Jesuit priest and martyr of the Cristero War.  He was executed by firing squad by the anti-Catholic government, his arms outstreched in the form of a cross, shouting "Viva Cristo Rey!" (Long live Christ the King).</t>
  </si>
  <si>
    <t>A great book on his life is Fr. M.D. Forrest's Life of Father Pro.</t>
  </si>
  <si>
    <t>https://frassatiusa.org/visit-italy</t>
  </si>
  <si>
    <t>FrassatiUSA Travel Guide</t>
  </si>
  <si>
    <t>A good guide for following in the footsteps of Bl. Pier Giorgio Frassati</t>
  </si>
  <si>
    <t>Archdiocese of Oklahoma City's page on Bl. Stanley Rother</t>
  </si>
  <si>
    <t>https://archokc.org/stanleyrother</t>
  </si>
  <si>
    <t>Note: website not active at time of writing</t>
  </si>
  <si>
    <t>Includes pictures of this convent</t>
  </si>
  <si>
    <t>Includes section on the church's history</t>
  </si>
  <si>
    <t>Includes pictures</t>
  </si>
  <si>
    <t>Blessed Stanley Rother was the church's first American-born martyr.  At the risk of his life, Bl. Stanley willingly persisted in his mission to the Tz'utujil people of Guatemala, saying "the shepherd does not run at the first sign of danger."  On December 1, 2016, Pope Francis confirmed that Rother had died a martyr, murdered for his faith, and Rother was beatified on September 23, 2017, in his home state of Oklahoma.</t>
  </si>
  <si>
    <t>Now under the care of nearby St. Joseph Parish</t>
  </si>
  <si>
    <t>Monterey</t>
  </si>
  <si>
    <t>Los Angeles</t>
  </si>
  <si>
    <t>Orange</t>
  </si>
  <si>
    <t>San Jose</t>
  </si>
  <si>
    <t>Oakland</t>
  </si>
  <si>
    <t>The 19th of the 21 California missions, founded in 1804.  In 1924 the Capucin Friars were given responsibility of this mission.</t>
  </si>
  <si>
    <t>Order of Friars Minor Capuchin (Capuchins)</t>
  </si>
  <si>
    <t>capuchins</t>
  </si>
  <si>
    <t>https://www.ofmcap.org/en/</t>
  </si>
  <si>
    <t>Diocese</t>
  </si>
  <si>
    <t>Diocese (optional)</t>
  </si>
  <si>
    <t>oakland</t>
  </si>
  <si>
    <t>brussels</t>
  </si>
  <si>
    <t>paris</t>
  </si>
  <si>
    <t>augsburg</t>
  </si>
  <si>
    <t>atitlan</t>
  </si>
  <si>
    <t>goa</t>
  </si>
  <si>
    <t>rome</t>
  </si>
  <si>
    <t>nettuno</t>
  </si>
  <si>
    <t>corinaldo</t>
  </si>
  <si>
    <t>la-ferriere</t>
  </si>
  <si>
    <t>mexico-city</t>
  </si>
  <si>
    <t>zaragoza</t>
  </si>
  <si>
    <t>avila</t>
  </si>
  <si>
    <t>medina-del-campo</t>
  </si>
  <si>
    <t>malagon</t>
  </si>
  <si>
    <t>valladolid</t>
  </si>
  <si>
    <t>toledo</t>
  </si>
  <si>
    <t>pastrana</t>
  </si>
  <si>
    <t>alba-de-tormes</t>
  </si>
  <si>
    <t>segovia</t>
  </si>
  <si>
    <t>beas-de-segura</t>
  </si>
  <si>
    <t>seville</t>
  </si>
  <si>
    <t>caravaca</t>
  </si>
  <si>
    <t>villanueva-de-la-jara</t>
  </si>
  <si>
    <t>palencia</t>
  </si>
  <si>
    <t>soria</t>
  </si>
  <si>
    <t>granada</t>
  </si>
  <si>
    <t>burgos</t>
  </si>
  <si>
    <t>duruelo</t>
  </si>
  <si>
    <t>ubeda</t>
  </si>
  <si>
    <t>fontiveros</t>
  </si>
  <si>
    <t>santiago-de-compostela</t>
  </si>
  <si>
    <t>ephesus</t>
  </si>
  <si>
    <t>pine-bluff</t>
  </si>
  <si>
    <t>san-diego</t>
  </si>
  <si>
    <t>monterey</t>
  </si>
  <si>
    <t>los-angeles</t>
  </si>
  <si>
    <t>san-francisco</t>
  </si>
  <si>
    <t>orange</t>
  </si>
  <si>
    <t>san-jose</t>
  </si>
  <si>
    <t>ventura</t>
  </si>
  <si>
    <t>santa-fe</t>
  </si>
  <si>
    <t>oklahoma-city</t>
  </si>
  <si>
    <t>san-antonio</t>
  </si>
  <si>
    <t>dallas</t>
  </si>
  <si>
    <t>ha-nam</t>
  </si>
  <si>
    <t>sicily</t>
  </si>
  <si>
    <t>Dedication</t>
  </si>
  <si>
    <t>You can dedicate the time you spent researching the topic here (optional)</t>
  </si>
  <si>
    <t>D</t>
  </si>
  <si>
    <t>To the Hesse families and the town of Muenster, Texas.</t>
  </si>
  <si>
    <t>City</t>
  </si>
  <si>
    <t>Catholic places of interest in the city of Paris and its surroundings</t>
  </si>
  <si>
    <t>Catholic places of interest in the city of Brussels and its surroundings</t>
  </si>
  <si>
    <t>Catholic places of interest in the city of Goa and its surroundings</t>
  </si>
  <si>
    <t>https://dallaspioneer.org/sacred-heart-guadalupe-cathedral/)</t>
  </si>
  <si>
    <t>History of the church in Dallas, specifically the cathedral</t>
  </si>
  <si>
    <t>Catholic places of interest in the city of Rome, including those in Vatican City</t>
  </si>
  <si>
    <t>JMM, JPY</t>
  </si>
  <si>
    <t>Catholic places of interest in the Diocese of San Diego</t>
  </si>
  <si>
    <t>Catholic places of interest in the Diocese of Monterey</t>
  </si>
  <si>
    <t>Catholic places of interest in the Archdiocese of Los Angeles</t>
  </si>
  <si>
    <t>Catholic places of interest in the Archdiocese of San Francisco</t>
  </si>
  <si>
    <t>Catholic places of interest in the Diocese of Orange</t>
  </si>
  <si>
    <t>Catholic places of interest in the Diocese of San Jose</t>
  </si>
  <si>
    <t>Catholic places of interest in the Diocese of Ventura</t>
  </si>
  <si>
    <t>Catholic places of interest in the Diocese of Oakland</t>
  </si>
  <si>
    <t>Catholic places of interest in the Archdiocese of Santa Fe</t>
  </si>
  <si>
    <t>Catholic places of interest in the Diocese of Dallas</t>
  </si>
  <si>
    <t>Catholic places of interest in the Archdiocese of San Antonio</t>
  </si>
  <si>
    <t>Catholic places of interest in the Archdiocese of Oklahoma City</t>
  </si>
  <si>
    <t>Local Tag</t>
  </si>
  <si>
    <t>Region</t>
  </si>
  <si>
    <t>Auto-generated; DO NOT TOUCH</t>
  </si>
  <si>
    <t>Baltimore</t>
  </si>
  <si>
    <t>baltimore</t>
  </si>
  <si>
    <t>Catholic places of interest in the Archdiocese of Baltimore</t>
  </si>
  <si>
    <t>Catholic places of interest on the island of Sicily</t>
  </si>
  <si>
    <t>Catholic places of interest in the Lake Atitlan region of Guatemala</t>
  </si>
  <si>
    <t>London</t>
  </si>
  <si>
    <t>london</t>
  </si>
  <si>
    <t>Catholic places of interest in the Archdiocese of Westminster, which includes the city of London and its surroundings</t>
  </si>
  <si>
    <t>Official site</t>
  </si>
  <si>
    <t>https://rcdow.org.uk/</t>
  </si>
  <si>
    <t>Catholic places of interest in the Diocese of Augsburg, the largest in Germany</t>
  </si>
  <si>
    <t>Catholic places of interest in Mexico City (Ciudad de Mexico) and its surroundings</t>
  </si>
  <si>
    <t>Archdiocese of Santa Fe</t>
  </si>
  <si>
    <t>Diocese of Augsburg</t>
  </si>
  <si>
    <t>Archdiocese of Oklahoma City</t>
  </si>
  <si>
    <t>Archdiocese of San Antonio</t>
  </si>
  <si>
    <t>Diocese of Dallas</t>
  </si>
  <si>
    <t>Diocese of San Diego</t>
  </si>
  <si>
    <t>Diocese of Monterey</t>
  </si>
  <si>
    <t>Archdiocese of Los Angeles</t>
  </si>
  <si>
    <t>Archdiocese of San Francisco</t>
  </si>
  <si>
    <t>Diocese of Orange</t>
  </si>
  <si>
    <t>Diocese of San Jose</t>
  </si>
  <si>
    <t>Diocese of Ventura</t>
  </si>
  <si>
    <t>Diocese of Oakland</t>
  </si>
  <si>
    <t>Archdiocese of Baltimore</t>
  </si>
  <si>
    <t>Archdiocese of Westminster (London)</t>
  </si>
  <si>
    <t>Lake Atitlan</t>
  </si>
  <si>
    <t>Curacao</t>
  </si>
  <si>
    <t>Country Lookup</t>
  </si>
  <si>
    <t>Applied Tags</t>
  </si>
  <si>
    <t>Individual Tag</t>
  </si>
  <si>
    <t>alabama</t>
  </si>
  <si>
    <t>Alabama</t>
  </si>
  <si>
    <t>Alaska</t>
  </si>
  <si>
    <t>Arizona</t>
  </si>
  <si>
    <t>Arkansas</t>
  </si>
  <si>
    <t>California</t>
  </si>
  <si>
    <t>Colorado</t>
  </si>
  <si>
    <t>Connecticut</t>
  </si>
  <si>
    <t>Delaware</t>
  </si>
  <si>
    <t>Florida</t>
  </si>
  <si>
    <t>Hawaii</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</si>
  <si>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</si>
  <si>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</si>
  <si>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</si>
  <si>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</si>
  <si>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</si>
  <si>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</si>
  <si>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</si>
  <si>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</si>
  <si>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</si>
  <si>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</si>
  <si>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</si>
  <si>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</si>
  <si>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</si>
  <si>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</si>
  <si>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</si>
  <si>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</si>
  <si>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</si>
  <si>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</si>
  <si>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</si>
  <si>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</si>
  <si>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</si>
  <si>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</si>
  <si>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</si>
  <si>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</si>
  <si>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</si>
  <si>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</si>
  <si>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</si>
  <si>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</si>
  <si>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</si>
  <si>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</si>
  <si>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</si>
  <si>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</si>
  <si>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</si>
  <si>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</si>
  <si>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</si>
  <si>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</si>
  <si>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</si>
  <si>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</si>
  <si>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</si>
  <si>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Washington, DC</t>
  </si>
  <si>
    <t>State</t>
  </si>
  <si>
    <t>Catholic places of interest in Andorra</t>
  </si>
  <si>
    <t>Catholic places of interest in Afghanistan</t>
  </si>
  <si>
    <t>Catholic places of interest in Antigua and Barbuda</t>
  </si>
  <si>
    <t>Catholic places of interest in Anguilla</t>
  </si>
  <si>
    <t>Catholic places of interest in Albania</t>
  </si>
  <si>
    <t>Catholic places of interest in Armenia</t>
  </si>
  <si>
    <t>Catholic places of interest in Angola</t>
  </si>
  <si>
    <t>Catholic places of interest in Antarctica</t>
  </si>
  <si>
    <t>Catholic places of interest in Argentina</t>
  </si>
  <si>
    <t>Catholic places of interest in American Samoa</t>
  </si>
  <si>
    <t>Catholic places of interest in Austria</t>
  </si>
  <si>
    <t>Catholic places of interest in Australia</t>
  </si>
  <si>
    <t>Catholic places of interest in Aruba</t>
  </si>
  <si>
    <t>Catholic places of interest in Aland Islands</t>
  </si>
  <si>
    <t>Catholic places of interest in Azerbaijan</t>
  </si>
  <si>
    <t>Catholic places of interest in Bosnia and Herzegovina</t>
  </si>
  <si>
    <t>Catholic places of interest in Barbados</t>
  </si>
  <si>
    <t>Catholic places of interest in Bangladesh</t>
  </si>
  <si>
    <t>Catholic places of interest in Belgium</t>
  </si>
  <si>
    <t>Catholic places of interest in Burkina Faso</t>
  </si>
  <si>
    <t>Catholic places of interest in Bulgaria</t>
  </si>
  <si>
    <t>Catholic places of interest in Bahrain</t>
  </si>
  <si>
    <t>Catholic places of interest in Burundi</t>
  </si>
  <si>
    <t>Catholic places of interest in Benin</t>
  </si>
  <si>
    <t>Catholic places of interest in Saint Barthelemy</t>
  </si>
  <si>
    <t>Catholic places of interest in Bermuda</t>
  </si>
  <si>
    <t>Catholic places of interest in Brunei Darussalam</t>
  </si>
  <si>
    <t>Catholic places of interest in Bolivia</t>
  </si>
  <si>
    <t>Catholic places of interest in Bonaire, Sint Eustatius and Saba</t>
  </si>
  <si>
    <t>Catholic places of interest in Brazil</t>
  </si>
  <si>
    <t>Catholic places of interest in Bhutan</t>
  </si>
  <si>
    <t>Catholic places of interest in Botswana</t>
  </si>
  <si>
    <t>Catholic places of interest in Belarus</t>
  </si>
  <si>
    <t>Catholic places of interest in Belize</t>
  </si>
  <si>
    <t>Catholic places of interest in Canada</t>
  </si>
  <si>
    <t>Catholic places of interest in Congo</t>
  </si>
  <si>
    <t>Catholic places of interest in Switzerland</t>
  </si>
  <si>
    <t>Catholic places of interest in Cote d'Ivoire</t>
  </si>
  <si>
    <t>Catholic places of interest in Chile</t>
  </si>
  <si>
    <t>Catholic places of interest in Cameroon</t>
  </si>
  <si>
    <t>Catholic places of interest in China</t>
  </si>
  <si>
    <t>Catholic places of interest in Colombia</t>
  </si>
  <si>
    <t>Catholic places of interest in Costa Rica</t>
  </si>
  <si>
    <t>Catholic places of interest in Cuba</t>
  </si>
  <si>
    <t>Catholic places of interest in Cabo Verde</t>
  </si>
  <si>
    <t>Catholic places of interest in Christmas Island</t>
  </si>
  <si>
    <t>Catholic places of interest in Cyprus</t>
  </si>
  <si>
    <t>Catholic places of interest in Czechia</t>
  </si>
  <si>
    <t>Catholic places of interest in Germany</t>
  </si>
  <si>
    <t>Catholic places of interest in Djibouti</t>
  </si>
  <si>
    <t>Catholic places of interest in Denmark</t>
  </si>
  <si>
    <t>Catholic places of interest in Dominica</t>
  </si>
  <si>
    <t>Catholic places of interest in Algeria</t>
  </si>
  <si>
    <t>Catholic places of interest in Ecuador</t>
  </si>
  <si>
    <t>Catholic places of interest in Estonia</t>
  </si>
  <si>
    <t>Catholic places of interest in Egypt</t>
  </si>
  <si>
    <t>Catholic places of interest in Western Sahara</t>
  </si>
  <si>
    <t>Catholic places of interest in Eritrea</t>
  </si>
  <si>
    <t>Catholic places of interest in Spain</t>
  </si>
  <si>
    <t>Catholic places of interest in Ethiopia</t>
  </si>
  <si>
    <t>Catholic places of interest in Finland</t>
  </si>
  <si>
    <t>Catholic places of interest in Fiji</t>
  </si>
  <si>
    <t>Catholic places of interest in Micronesia</t>
  </si>
  <si>
    <t>Catholic places of interest in France</t>
  </si>
  <si>
    <t>Catholic places of interest in Gabon</t>
  </si>
  <si>
    <t>Catholic places of interest in Grenada</t>
  </si>
  <si>
    <t>Catholic places of interest in Georgia</t>
  </si>
  <si>
    <t>Catholic places of interest in French Guiana</t>
  </si>
  <si>
    <t>Catholic places of interest in Guernsey</t>
  </si>
  <si>
    <t>Catholic places of interest in Ghana</t>
  </si>
  <si>
    <t>Catholic places of interest in Gibraltar</t>
  </si>
  <si>
    <t>Catholic places of interest in Greenland</t>
  </si>
  <si>
    <t>Catholic places of interest in Gambia</t>
  </si>
  <si>
    <t>Catholic places of interest in Guinea</t>
  </si>
  <si>
    <t>Catholic places of interest in Guadeloupe</t>
  </si>
  <si>
    <t>Catholic places of interest in Equatorial Guinea</t>
  </si>
  <si>
    <t>Catholic places of interest in Greece</t>
  </si>
  <si>
    <t>Catholic places of interest in South Georgia and the South Sandwich Islands</t>
  </si>
  <si>
    <t>Catholic places of interest in Guatemala</t>
  </si>
  <si>
    <t>Catholic places of interest in Guam</t>
  </si>
  <si>
    <t>Catholic places of interest in Guinea-Bissau</t>
  </si>
  <si>
    <t>Catholic places of interest in Guyana</t>
  </si>
  <si>
    <t>Catholic places of interest in Hong Kong</t>
  </si>
  <si>
    <t>Catholic places of interest in Honduras</t>
  </si>
  <si>
    <t>Catholic places of interest in Croatia</t>
  </si>
  <si>
    <t>Catholic places of interest in Haiti</t>
  </si>
  <si>
    <t>Catholic places of interest in Hungary</t>
  </si>
  <si>
    <t>Catholic places of interest in Indonesia</t>
  </si>
  <si>
    <t>Catholic places of interest in Ireland</t>
  </si>
  <si>
    <t>Catholic places of interest in Israel</t>
  </si>
  <si>
    <t>Catholic places of interest in India</t>
  </si>
  <si>
    <t>Catholic places of interest in British Indian Ocean Territory</t>
  </si>
  <si>
    <t>Catholic places of interest in Iraq</t>
  </si>
  <si>
    <t>Catholic places of interest in Iran</t>
  </si>
  <si>
    <t>Catholic places of interest in Iceland</t>
  </si>
  <si>
    <t>Catholic places of interest in Italy</t>
  </si>
  <si>
    <t>Catholic places of interest in Jersey</t>
  </si>
  <si>
    <t>Catholic places of interest in Jamaica</t>
  </si>
  <si>
    <t>Catholic places of interest in Jordan</t>
  </si>
  <si>
    <t>Catholic places of interest in Japan</t>
  </si>
  <si>
    <t>Catholic places of interest in Kenya</t>
  </si>
  <si>
    <t>Catholic places of interest in Kyrgyzstan</t>
  </si>
  <si>
    <t>Catholic places of interest in Cambodia</t>
  </si>
  <si>
    <t>Catholic places of interest in Kiribati</t>
  </si>
  <si>
    <t>Catholic places of interest in Saint Kitts and Nevis</t>
  </si>
  <si>
    <t>Catholic places of interest in North Korea</t>
  </si>
  <si>
    <t>Catholic places of interest in South Korea</t>
  </si>
  <si>
    <t>Catholic places of interest in Kuwait</t>
  </si>
  <si>
    <t>Catholic places of interest in Kazakhstan</t>
  </si>
  <si>
    <t>Catholic places of interest in Laos</t>
  </si>
  <si>
    <t>Catholic places of interest in Lebanon</t>
  </si>
  <si>
    <t>Catholic places of interest in Saint Lucia</t>
  </si>
  <si>
    <t>Catholic places of interest in Liechtenstein</t>
  </si>
  <si>
    <t>Catholic places of interest in Sri Lanka</t>
  </si>
  <si>
    <t>Catholic places of interest in Liberia</t>
  </si>
  <si>
    <t>Catholic places of interest in Lesotho</t>
  </si>
  <si>
    <t>Catholic places of interest in Lithuania</t>
  </si>
  <si>
    <t>Catholic places of interest in Luxembourg</t>
  </si>
  <si>
    <t>Catholic places of interest in Latvia</t>
  </si>
  <si>
    <t>Catholic places of interest in Libya</t>
  </si>
  <si>
    <t>Catholic places of interest in Morocco</t>
  </si>
  <si>
    <t>Catholic places of interest in Monaco</t>
  </si>
  <si>
    <t>Catholic places of interest in Moldova</t>
  </si>
  <si>
    <t>Catholic places of interest in Montenegro</t>
  </si>
  <si>
    <t>Catholic places of interest in Saint Martin</t>
  </si>
  <si>
    <t>Catholic places of interest in Madagascar</t>
  </si>
  <si>
    <t>Catholic places of interest in North Macedonia</t>
  </si>
  <si>
    <t>Catholic places of interest in Mali</t>
  </si>
  <si>
    <t>Catholic places of interest in Myanmar</t>
  </si>
  <si>
    <t>Catholic places of interest in Mongolia</t>
  </si>
  <si>
    <t>Catholic places of interest in Macao</t>
  </si>
  <si>
    <t>Catholic places of interest in Martinique</t>
  </si>
  <si>
    <t>Catholic places of interest in Mauritania</t>
  </si>
  <si>
    <t>Catholic places of interest in Montserrat</t>
  </si>
  <si>
    <t>Catholic places of interest in Malta</t>
  </si>
  <si>
    <t>Catholic places of interest in Mauritius</t>
  </si>
  <si>
    <t>Catholic places of interest in Maldives</t>
  </si>
  <si>
    <t>Catholic places of interest in Malawi</t>
  </si>
  <si>
    <t>Catholic places of interest in Mexico</t>
  </si>
  <si>
    <t>Catholic places of interest in Malaysia</t>
  </si>
  <si>
    <t>Catholic places of interest in Mozambique</t>
  </si>
  <si>
    <t>Catholic places of interest in Namibia</t>
  </si>
  <si>
    <t>Catholic places of interest in New Caledonia</t>
  </si>
  <si>
    <t>Catholic places of interest in Niger</t>
  </si>
  <si>
    <t>Catholic places of interest in Norfolk Island</t>
  </si>
  <si>
    <t>Catholic places of interest in Nigeria</t>
  </si>
  <si>
    <t>Catholic places of interest in Nicaragua</t>
  </si>
  <si>
    <t>Catholic places of interest in Netherlands</t>
  </si>
  <si>
    <t>Catholic places of interest in Norway</t>
  </si>
  <si>
    <t>Catholic places of interest in Nepal</t>
  </si>
  <si>
    <t>Catholic places of interest in Nauru</t>
  </si>
  <si>
    <t>Catholic places of interest in Niue</t>
  </si>
  <si>
    <t>Catholic places of interest in New Zealand</t>
  </si>
  <si>
    <t>Catholic places of interest in Oman</t>
  </si>
  <si>
    <t>Catholic places of interest in Panama</t>
  </si>
  <si>
    <t>Catholic places of interest in Peru</t>
  </si>
  <si>
    <t>Catholic places of interest in French Polynesia</t>
  </si>
  <si>
    <t>Catholic places of interest in Papua New Guinea</t>
  </si>
  <si>
    <t>Catholic places of interest in Pakistan</t>
  </si>
  <si>
    <t>Catholic places of interest in Poland</t>
  </si>
  <si>
    <t>Catholic places of interest in Saint Pierre and Miquelon</t>
  </si>
  <si>
    <t>Catholic places of interest in Pitcairn</t>
  </si>
  <si>
    <t>Catholic places of interest in Puerto Rico</t>
  </si>
  <si>
    <t>Catholic places of interest in Palestine</t>
  </si>
  <si>
    <t>Catholic places of interest in Portugal</t>
  </si>
  <si>
    <t>Catholic places of interest in Palau</t>
  </si>
  <si>
    <t>Catholic places of interest in Paraguay</t>
  </si>
  <si>
    <t>Catholic places of interest in Qatar</t>
  </si>
  <si>
    <t>Catholic places of interest in Romania</t>
  </si>
  <si>
    <t>Catholic places of interest in Serbia</t>
  </si>
  <si>
    <t>Catholic places of interest in Russia</t>
  </si>
  <si>
    <t>Catholic places of interest in Rwanda</t>
  </si>
  <si>
    <t>Catholic places of interest in Saudi Arabia</t>
  </si>
  <si>
    <t>Catholic places of interest in Sudan</t>
  </si>
  <si>
    <t>Catholic places of interest in Sweden</t>
  </si>
  <si>
    <t>Catholic places of interest in Singapore</t>
  </si>
  <si>
    <t>Catholic places of interest in Saint Helena, Ascension and Tristan da Cunha</t>
  </si>
  <si>
    <t>Catholic places of interest in Slovenia</t>
  </si>
  <si>
    <t>Catholic places of interest in Svalbard and Jan Mayen</t>
  </si>
  <si>
    <t>Catholic places of interest in Slovakia</t>
  </si>
  <si>
    <t>Catholic places of interest in Sierra Leone</t>
  </si>
  <si>
    <t>Catholic places of interest in San Marino</t>
  </si>
  <si>
    <t>Catholic places of interest in Senegal</t>
  </si>
  <si>
    <t>Catholic places of interest in Somalia</t>
  </si>
  <si>
    <t>Catholic places of interest in Suriname</t>
  </si>
  <si>
    <t>Catholic places of interest in South Sudan</t>
  </si>
  <si>
    <t>Catholic places of interest in Sao Tome and Principe</t>
  </si>
  <si>
    <t>Catholic places of interest in El Salvador</t>
  </si>
  <si>
    <t>Catholic places of interest in Sint Maarten</t>
  </si>
  <si>
    <t>Catholic places of interest in Syria</t>
  </si>
  <si>
    <t>Catholic places of interest in Eswatini</t>
  </si>
  <si>
    <t>Catholic places of interest in Turks and Caicos</t>
  </si>
  <si>
    <t>Catholic places of interest in Chad</t>
  </si>
  <si>
    <t>Catholic places of interest in Togo</t>
  </si>
  <si>
    <t>Catholic places of interest in Thailand</t>
  </si>
  <si>
    <t>Catholic places of interest in Tajikistan</t>
  </si>
  <si>
    <t>Catholic places of interest in Tokelau</t>
  </si>
  <si>
    <t>Catholic places of interest in Timor-Leste</t>
  </si>
  <si>
    <t>Catholic places of interest in Turkmenistan</t>
  </si>
  <si>
    <t>Catholic places of interest in Tunisia</t>
  </si>
  <si>
    <t>Catholic places of interest in Tonga</t>
  </si>
  <si>
    <t>Catholic places of interest in Turkey</t>
  </si>
  <si>
    <t>Catholic places of interest in Trinidad and Tobago</t>
  </si>
  <si>
    <t>Catholic places of interest in Tuvalu</t>
  </si>
  <si>
    <t>Catholic places of interest in Taiwan</t>
  </si>
  <si>
    <t>Catholic places of interest in Tanzania</t>
  </si>
  <si>
    <t>Catholic places of interest in Ukraine</t>
  </si>
  <si>
    <t>Catholic places of interest in Uganda</t>
  </si>
  <si>
    <t>Catholic places of interest in Uruguay</t>
  </si>
  <si>
    <t>Catholic places of interest in Uzbekistan</t>
  </si>
  <si>
    <t>Catholic places of interest in Vatican City</t>
  </si>
  <si>
    <t>Catholic places of interest in Saint Vincent and the Grenadines</t>
  </si>
  <si>
    <t>Catholic places of interest in Venezuela</t>
  </si>
  <si>
    <t>Catholic places of interest in Vietnam</t>
  </si>
  <si>
    <t>Catholic places of interest in Vanuatu</t>
  </si>
  <si>
    <t>Catholic places of interest in Wallis and Futuna</t>
  </si>
  <si>
    <t>Catholic places of interest in Samoa</t>
  </si>
  <si>
    <t>Catholic places of interest in Yemen</t>
  </si>
  <si>
    <t>Catholic places of interest in Mayotte</t>
  </si>
  <si>
    <t>Catholic places of interest in South Africa</t>
  </si>
  <si>
    <t>Catholic places of interest in Zambia</t>
  </si>
  <si>
    <t>Catholic places of interest in Zimbabwe</t>
  </si>
  <si>
    <t>Catholic places of interest in Alabama</t>
  </si>
  <si>
    <t>Catholic places of interest in Alaska</t>
  </si>
  <si>
    <t>Catholic places of interest in Arizona</t>
  </si>
  <si>
    <t>Catholic places of interest in Arkansas</t>
  </si>
  <si>
    <t>Catholic places of interest in California</t>
  </si>
  <si>
    <t>Catholic places of interest in Colorado</t>
  </si>
  <si>
    <t>Catholic places of interest in Connecticut</t>
  </si>
  <si>
    <t>Catholic places of interest in Delaware</t>
  </si>
  <si>
    <t>Catholic places of interest in Washington, DC</t>
  </si>
  <si>
    <t>Catholic places of interest in Florida</t>
  </si>
  <si>
    <t>Catholic places of interest in Hawaii</t>
  </si>
  <si>
    <t>Catholic places of interest in Idaho</t>
  </si>
  <si>
    <t>Catholic places of interest in Illinois</t>
  </si>
  <si>
    <t>Catholic places of interest in Indiana</t>
  </si>
  <si>
    <t>Catholic places of interest in Iowa</t>
  </si>
  <si>
    <t>Catholic places of interest in Kansas</t>
  </si>
  <si>
    <t>Catholic places of interest in Kentucky</t>
  </si>
  <si>
    <t>Catholic places of interest in Louisiana</t>
  </si>
  <si>
    <t>Catholic places of interest in Maine</t>
  </si>
  <si>
    <t>Catholic places of interest in Maryland</t>
  </si>
  <si>
    <t>Catholic places of interest in Massachusetts</t>
  </si>
  <si>
    <t>Catholic places of interest in Michigan</t>
  </si>
  <si>
    <t>Catholic places of interest in Minnesota</t>
  </si>
  <si>
    <t>Catholic places of interest in Mississippi</t>
  </si>
  <si>
    <t>Catholic places of interest in Missouri</t>
  </si>
  <si>
    <t>Catholic places of interest in Montana</t>
  </si>
  <si>
    <t>Catholic places of interest in Nebraska</t>
  </si>
  <si>
    <t>Catholic places of interest in Nevada</t>
  </si>
  <si>
    <t>Catholic places of interest in New Hampshire</t>
  </si>
  <si>
    <t>Catholic places of interest in New Jersey</t>
  </si>
  <si>
    <t>Catholic places of interest in New Mexico</t>
  </si>
  <si>
    <t>Catholic places of interest in New York</t>
  </si>
  <si>
    <t>Catholic places of interest in North Carolina</t>
  </si>
  <si>
    <t>Catholic places of interest in North Dakota</t>
  </si>
  <si>
    <t>Catholic places of interest in Ohio</t>
  </si>
  <si>
    <t>Catholic places of interest in Oklahoma</t>
  </si>
  <si>
    <t>Catholic places of interest in Oregon</t>
  </si>
  <si>
    <t>Catholic places of interest in Pennsylvania</t>
  </si>
  <si>
    <t>Catholic places of interest in Rhode Island</t>
  </si>
  <si>
    <t>Catholic places of interest in South Carolina</t>
  </si>
  <si>
    <t>Catholic places of interest in South Dakota</t>
  </si>
  <si>
    <t>Catholic places of interest in Tennessee</t>
  </si>
  <si>
    <t>Catholic places of interest in Texas</t>
  </si>
  <si>
    <t>Catholic places of interest in Utah</t>
  </si>
  <si>
    <t>Catholic places of interest in Vermont</t>
  </si>
  <si>
    <t>Catholic places of interest in Virginia</t>
  </si>
  <si>
    <t>Catholic places of interest in Washington</t>
  </si>
  <si>
    <t>Catholic places of interest in West Virginia</t>
  </si>
  <si>
    <t>Catholic places of interest in Wisconsin</t>
  </si>
  <si>
    <t>Catholic places of interest in Wyoming</t>
  </si>
  <si>
    <t>Catholic places of interest in the United Arab Emirates</t>
  </si>
  <si>
    <t>Catholic places of interest in the Bahamas</t>
  </si>
  <si>
    <t>Catholic places of interest on Bouvet Island</t>
  </si>
  <si>
    <t>Catholic places of interest in the Cocos (Keeling) Islands</t>
  </si>
  <si>
    <t>Catholic places of interest in the Democratic Republic of the Congo</t>
  </si>
  <si>
    <t>Catholic places of interest in the Central African Republic</t>
  </si>
  <si>
    <t>Catholic places of interest ithe n Cook Islands</t>
  </si>
  <si>
    <t>Catholic places of interest in the Dominican Republic</t>
  </si>
  <si>
    <t>Catholic places of interest in the Falkland Islands</t>
  </si>
  <si>
    <t>Catholic places of interest in the Faroe Islands</t>
  </si>
  <si>
    <t>Catholic places of interest in the United Kingdom</t>
  </si>
  <si>
    <t>Catholic places of interest on Heard Island and the McDonald Islands</t>
  </si>
  <si>
    <t>Catholic places of interest on the Isle of Man</t>
  </si>
  <si>
    <t>Catholic places of interest in the Comoros</t>
  </si>
  <si>
    <t>Catholic places of interest in the Cayman Islands</t>
  </si>
  <si>
    <t>Catholic places of interest in the Marshall Islands</t>
  </si>
  <si>
    <t>Catholic places of interest in the Northern Mariana Islands</t>
  </si>
  <si>
    <t>Catholic places of interest in the Philippines</t>
  </si>
  <si>
    <t>Catholic places of interest in Reunion</t>
  </si>
  <si>
    <t>Reunion</t>
  </si>
  <si>
    <t>Catholic places of interest in the Solomon Islands</t>
  </si>
  <si>
    <t>Catholic places of interest in the Seychelles</t>
  </si>
  <si>
    <t>Catholic places of interest in the French Southern Territories</t>
  </si>
  <si>
    <t>Catholic places of interest in the United States Minor Outlying Islands</t>
  </si>
  <si>
    <t>Catholic places of interest in the British Virgin Islands</t>
  </si>
  <si>
    <t>Catholic places of interest in the US Virgin Islands</t>
  </si>
  <si>
    <t>Catholic places of interest in the United States of America</t>
  </si>
  <si>
    <t>Catholic places of interest in Curacao</t>
  </si>
  <si>
    <t>va
- rome</t>
  </si>
  <si>
    <t>us-ak</t>
  </si>
  <si>
    <t>us-az</t>
  </si>
  <si>
    <t>us-ar</t>
  </si>
  <si>
    <t>us-ca</t>
  </si>
  <si>
    <t>us-co</t>
  </si>
  <si>
    <t>us-ct</t>
  </si>
  <si>
    <t>us-de</t>
  </si>
  <si>
    <t>us-dc</t>
  </si>
  <si>
    <t>us-fl</t>
  </si>
  <si>
    <t>us-ga</t>
  </si>
  <si>
    <t>us-hi</t>
  </si>
  <si>
    <t>us-id</t>
  </si>
  <si>
    <t>us-il</t>
  </si>
  <si>
    <t>us-in</t>
  </si>
  <si>
    <t>us-ia</t>
  </si>
  <si>
    <t>us-ks</t>
  </si>
  <si>
    <t>us-ky</t>
  </si>
  <si>
    <t>us-la</t>
  </si>
  <si>
    <t>us-me</t>
  </si>
  <si>
    <t>us-md</t>
  </si>
  <si>
    <t>us-ma</t>
  </si>
  <si>
    <t>us-mi</t>
  </si>
  <si>
    <t>us-mn</t>
  </si>
  <si>
    <t>us-ms</t>
  </si>
  <si>
    <t>us-mo</t>
  </si>
  <si>
    <t>us-mt</t>
  </si>
  <si>
    <t>us-ne</t>
  </si>
  <si>
    <t>us-nv</t>
  </si>
  <si>
    <t>us-nh</t>
  </si>
  <si>
    <t>us-nj</t>
  </si>
  <si>
    <t>us-nm</t>
  </si>
  <si>
    <t>us-ny</t>
  </si>
  <si>
    <t>us-nc</t>
  </si>
  <si>
    <t>us-nd</t>
  </si>
  <si>
    <t>us-oh</t>
  </si>
  <si>
    <t>us-ok</t>
  </si>
  <si>
    <t>us-or</t>
  </si>
  <si>
    <t>us-pa</t>
  </si>
  <si>
    <t>us-ri</t>
  </si>
  <si>
    <t>us-sc</t>
  </si>
  <si>
    <t>us-sd</t>
  </si>
  <si>
    <t>us-tn</t>
  </si>
  <si>
    <t>us-tx</t>
  </si>
  <si>
    <t>us-ut</t>
  </si>
  <si>
    <t>us-vt</t>
  </si>
  <si>
    <t>us-va</t>
  </si>
  <si>
    <t>us-wa</t>
  </si>
  <si>
    <t>us-wv</t>
  </si>
  <si>
    <t>us-wi</t>
  </si>
  <si>
    <t>us-wy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</si>
</sst>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5" x14ac:knownFonts="1">
    <font>
      <sz val="11"/>
      <color theme="1"/>
      <name val="Calibri"/>
      <family val="2"/>
      <scheme val="minor"/>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u/>
      <sz val="11"/>
      <color theme="10"/>
      <name val="Calibri"/>
      <family val="2"/>
      <scheme val="minor"/>
    </font>
    <font>
      <sz val="10"/>
      <color theme="1"/>
      <name val="Arial"/>
      <family val="2"/>
    </font>
    <font>
      <b/>
      <sz val="10"/>
      <color theme="1"/>
      <name val="Arial"/>
      <family val="2"/>
    </font>
    <font>
      <b/>
      <sz val="10"/>
      <color rgb="FF00B050"/>
      <name val="Arial"/>
      <family val="2"/>
    </font>
    <font>
      <sz val="10"/>
      <color rgb="FF00B050"/>
      <name val="Arial"/>
      <family val="2"/>
    </font>
    <font>
      <b/>
      <sz val="10"/>
      <color rgb="FF0070C0"/>
      <name val="Arial"/>
      <family val="2"/>
    </font>
    <font>
      <sz val="10"/>
      <color rgb="FF0070C0"/>
      <name val="Arial"/>
      <family val="2"/>
    </font>
    <font>
      <sz val="10"/>
      <name val="Arial"/>
      <family val="2"/>
    </font>
    <font>
      <b/>
      <sz val="10"/>
      <color rgb="FFDFBC5B"/>
      <name val="Arial"/>
      <family val="2"/>
    </font>
    <font>
      <sz val="10"/>
      <color theme="0" tint="-0.499984740745262"/>
      <name val="Arial"/>
      <family val="2"/>
    </font>
    <font>
      <b/>
      <sz val="10"/>
      <color theme="0" tint="-0.499984740745262"/>
      <name val="Arial"/>
      <family val="2"/>
    </font>
    <font>
      <b/>
      <sz val="11"/>
      <color rgb="FF000000"/>
      <name val="Calibri"/>
      <family val="2"/>
    </font>
  </fonts>
  <fills count="5">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0D114B"/>
        <bgColor indexed="64"/>
      </patternFill>
    </fill>
  </fills>
  <borders count="10">
    <border>
      <left/>
      <right/>
      <top/>
      <bottom/>
      <diagonal/>
    </border>
    <border>
      <left/>
      <right style="thin">
        <color auto="1"/>
      </right>
      <top/>
      <bottom/>
      <diagonal/>
    </border>
    <border>
      <left style="thin">
        <color auto="1"/>
      </left>
      <right/>
      <top/>
      <bottom/>
      <diagonal/>
    </border>
    <border>
      <left style="dashed">
        <color auto="1"/>
      </left>
      <right/>
      <top/>
      <bottom/>
      <diagonal/>
    </border>
    <border>
      <left/>
      <right style="dashed">
        <color auto="1"/>
      </right>
      <top/>
      <bottom/>
      <diagonal/>
    </border>
    <border>
      <left/>
      <right/>
      <top/>
      <bottom style="medium">
        <color auto="1"/>
      </bottom>
      <diagonal/>
    </border>
    <border>
      <left/>
      <right style="thin">
        <color auto="1"/>
      </right>
      <top/>
      <bottom style="medium">
        <color auto="1"/>
      </bottom>
      <diagonal/>
    </border>
    <border>
      <left style="dashed">
        <color auto="1"/>
      </left>
      <right/>
      <top/>
      <bottom style="medium">
        <color auto="1"/>
      </bottom>
      <diagonal/>
    </border>
    <border>
      <left/>
      <right style="dashed">
        <color auto="1"/>
      </right>
      <top/>
      <bottom style="medium">
        <color auto="1"/>
      </bottom>
      <diagonal/>
    </border>
    <border>
      <left style="thin">
        <color auto="1"/>
      </left>
      <right/>
      <top/>
      <bottom style="medium">
        <color auto="1"/>
      </bottom>
      <diagonal/>
    </border>
  </borders>
  <cellStyleXfs count="2">
    <xf numFmtId="0" fontId="0" fillId="0" borderId="0"/>
    <xf numFmtId="0" fontId="23" fillId="0" borderId="0" applyNumberFormat="0" applyFill="0" applyBorder="0" applyAlignment="0" applyProtection="0"/>
  </cellStyleXfs>
  <cellXfs count="158">
    <xf numFmtId="0" fontId="0" fillId="0" borderId="0" xfId="0"/>
    <xf numFmtId="0" fontId="24" fillId="0" borderId="0" xfId="0" applyFont="1" applyAlignment="1">
      <alignment vertical="center"/>
    </xf>
    <xf numFmtId="0" fontId="24" fillId="0" borderId="0" xfId="0" quotePrefix="1" applyFont="1" applyAlignment="1">
      <alignment vertical="center"/>
    </xf>
    <xf numFmtId="0" fontId="0" fillId="2" borderId="0" xfId="0" applyFill="1"/>
    <xf numFmtId="0" fontId="0" fillId="3" borderId="0" xfId="0" applyFill="1"/>
    <xf numFmtId="0" fontId="23" fillId="3" borderId="0" xfId="1" applyFill="1"/>
    <xf numFmtId="0" fontId="29" fillId="0" borderId="0" xfId="0" applyFont="1" applyAlignment="1">
      <alignment vertical="center"/>
    </xf>
    <xf numFmtId="0" fontId="24" fillId="0" borderId="0" xfId="0" applyFont="1" applyAlignment="1">
      <alignment vertical="center" wrapText="1"/>
    </xf>
    <xf numFmtId="0" fontId="19" fillId="0" borderId="0" xfId="0" applyFont="1" applyAlignment="1">
      <alignment vertical="center"/>
    </xf>
    <xf numFmtId="0" fontId="20" fillId="0" borderId="0" xfId="0" quotePrefix="1" applyFont="1" applyAlignment="1">
      <alignment vertical="center"/>
    </xf>
    <xf numFmtId="0" fontId="20" fillId="0" borderId="0" xfId="0" applyFont="1" applyAlignment="1">
      <alignment vertical="center" wrapText="1"/>
    </xf>
    <xf numFmtId="0" fontId="27" fillId="0" borderId="0" xfId="0" applyFont="1" applyAlignment="1">
      <alignment vertical="center" wrapText="1"/>
    </xf>
    <xf numFmtId="0" fontId="27" fillId="0" borderId="0" xfId="0" applyFont="1" applyAlignment="1">
      <alignment vertical="center"/>
    </xf>
    <xf numFmtId="0" fontId="27" fillId="0" borderId="0" xfId="0" quotePrefix="1" applyFont="1" applyAlignment="1">
      <alignment vertical="center"/>
    </xf>
    <xf numFmtId="0" fontId="29" fillId="0" borderId="0" xfId="0" applyFont="1" applyAlignment="1">
      <alignment vertical="center" wrapText="1"/>
    </xf>
    <xf numFmtId="0" fontId="21" fillId="0" borderId="0" xfId="0" applyFont="1" applyAlignment="1">
      <alignment vertical="center" wrapText="1"/>
    </xf>
    <xf numFmtId="0" fontId="21" fillId="0" borderId="0" xfId="0" quotePrefix="1" applyFont="1" applyAlignment="1">
      <alignment vertical="center"/>
    </xf>
    <xf numFmtId="0" fontId="21" fillId="0" borderId="0" xfId="0" applyFont="1" applyAlignment="1">
      <alignment vertical="center"/>
    </xf>
    <xf numFmtId="0" fontId="18" fillId="0" borderId="0" xfId="0" applyFont="1" applyAlignment="1">
      <alignment vertical="center"/>
    </xf>
    <xf numFmtId="0" fontId="24" fillId="0" borderId="0" xfId="0" quotePrefix="1" applyFont="1" applyAlignment="1">
      <alignment vertical="center" wrapText="1"/>
    </xf>
    <xf numFmtId="0" fontId="20" fillId="0" borderId="0" xfId="0" quotePrefix="1" applyFont="1" applyAlignment="1">
      <alignment vertical="center" wrapText="1"/>
    </xf>
    <xf numFmtId="0" fontId="27" fillId="0" borderId="0" xfId="0" quotePrefix="1" applyFont="1" applyAlignment="1">
      <alignment vertical="center" wrapText="1"/>
    </xf>
    <xf numFmtId="0" fontId="20" fillId="0" borderId="0" xfId="0" applyFont="1" applyAlignment="1">
      <alignment vertical="center"/>
    </xf>
    <xf numFmtId="0" fontId="19" fillId="0" borderId="0" xfId="0" applyFont="1" applyAlignment="1">
      <alignment vertical="center" wrapText="1"/>
    </xf>
    <xf numFmtId="0" fontId="22" fillId="0" borderId="0" xfId="0" applyFont="1" applyAlignment="1">
      <alignment vertical="center" wrapText="1"/>
    </xf>
    <xf numFmtId="0" fontId="22" fillId="0" borderId="0" xfId="0" applyFont="1" applyAlignment="1">
      <alignment vertical="center"/>
    </xf>
    <xf numFmtId="0" fontId="18" fillId="0" borderId="0" xfId="0" applyFont="1" applyAlignment="1">
      <alignment vertical="center" wrapText="1"/>
    </xf>
    <xf numFmtId="0" fontId="18" fillId="0" borderId="0" xfId="0" quotePrefix="1" applyFont="1" applyAlignment="1">
      <alignment vertical="center" wrapText="1"/>
    </xf>
    <xf numFmtId="0" fontId="17" fillId="0" borderId="0" xfId="0" applyFont="1" applyAlignment="1">
      <alignment vertical="center" wrapText="1"/>
    </xf>
    <xf numFmtId="0" fontId="17" fillId="0" borderId="0" xfId="0" applyFont="1" applyAlignment="1">
      <alignment vertical="center"/>
    </xf>
    <xf numFmtId="0" fontId="24" fillId="0" borderId="1" xfId="0" applyFont="1" applyBorder="1" applyAlignment="1">
      <alignment vertical="center"/>
    </xf>
    <xf numFmtId="0" fontId="24" fillId="0" borderId="1" xfId="0" quotePrefix="1" applyFont="1" applyBorder="1" applyAlignment="1">
      <alignment vertical="center"/>
    </xf>
    <xf numFmtId="0" fontId="21" fillId="0" borderId="1" xfId="0" quotePrefix="1" applyFont="1" applyBorder="1" applyAlignment="1">
      <alignment vertical="center"/>
    </xf>
    <xf numFmtId="0" fontId="24" fillId="0" borderId="1" xfId="0" applyFont="1" applyBorder="1" applyAlignment="1">
      <alignment vertical="center" wrapText="1"/>
    </xf>
    <xf numFmtId="0" fontId="19" fillId="0" borderId="1" xfId="0" applyFont="1" applyBorder="1" applyAlignment="1">
      <alignment vertical="center" wrapText="1"/>
    </xf>
    <xf numFmtId="0" fontId="20" fillId="0" borderId="1" xfId="0" applyFont="1" applyBorder="1" applyAlignment="1">
      <alignment vertical="center" wrapText="1"/>
    </xf>
    <xf numFmtId="0" fontId="22" fillId="0" borderId="1" xfId="0" applyFont="1" applyBorder="1" applyAlignment="1">
      <alignment vertical="center" wrapText="1"/>
    </xf>
    <xf numFmtId="0" fontId="21" fillId="0" borderId="1" xfId="0" applyFont="1" applyBorder="1" applyAlignment="1">
      <alignment vertical="center" wrapText="1"/>
    </xf>
    <xf numFmtId="0" fontId="18" fillId="0" borderId="1" xfId="0" applyFont="1" applyBorder="1" applyAlignment="1">
      <alignment vertical="center" wrapText="1"/>
    </xf>
    <xf numFmtId="0" fontId="24" fillId="0" borderId="3" xfId="0" quotePrefix="1" applyFont="1" applyBorder="1" applyAlignment="1">
      <alignment vertical="center"/>
    </xf>
    <xf numFmtId="0" fontId="24" fillId="0" borderId="3" xfId="0" applyFont="1" applyBorder="1" applyAlignment="1">
      <alignment vertical="center"/>
    </xf>
    <xf numFmtId="0" fontId="21" fillId="0" borderId="3" xfId="0" applyFont="1" applyBorder="1" applyAlignment="1">
      <alignment vertical="center"/>
    </xf>
    <xf numFmtId="0" fontId="18" fillId="0" borderId="3" xfId="0" applyFont="1" applyBorder="1" applyAlignment="1">
      <alignment vertical="center"/>
    </xf>
    <xf numFmtId="0" fontId="24" fillId="0" borderId="4" xfId="0" quotePrefix="1" applyFont="1" applyBorder="1" applyAlignment="1">
      <alignment vertical="center"/>
    </xf>
    <xf numFmtId="0" fontId="24" fillId="0" borderId="4" xfId="0" applyFont="1" applyBorder="1" applyAlignment="1">
      <alignment vertical="center"/>
    </xf>
    <xf numFmtId="0" fontId="21" fillId="0" borderId="4" xfId="0" applyFont="1" applyBorder="1" applyAlignment="1">
      <alignment vertical="center"/>
    </xf>
    <xf numFmtId="0" fontId="18" fillId="0" borderId="4" xfId="0" applyFont="1" applyBorder="1" applyAlignment="1">
      <alignment vertical="center"/>
    </xf>
    <xf numFmtId="0" fontId="25" fillId="0" borderId="5" xfId="0" applyFont="1" applyBorder="1" applyAlignment="1">
      <alignment vertical="center"/>
    </xf>
    <xf numFmtId="0" fontId="26" fillId="0" borderId="5" xfId="0" applyFont="1" applyBorder="1" applyAlignment="1">
      <alignment vertical="center"/>
    </xf>
    <xf numFmtId="0" fontId="28" fillId="0" borderId="5" xfId="0" applyFont="1" applyBorder="1" applyAlignment="1">
      <alignment vertical="center" wrapText="1"/>
    </xf>
    <xf numFmtId="0" fontId="28" fillId="0" borderId="5" xfId="0" applyFont="1" applyBorder="1" applyAlignment="1">
      <alignment vertical="center"/>
    </xf>
    <xf numFmtId="0" fontId="17" fillId="0" borderId="0" xfId="0" quotePrefix="1" applyFont="1" applyAlignment="1">
      <alignment vertical="center"/>
    </xf>
    <xf numFmtId="0" fontId="17" fillId="0" borderId="3" xfId="0" quotePrefix="1" applyFont="1" applyBorder="1" applyAlignment="1">
      <alignment vertical="center"/>
    </xf>
    <xf numFmtId="0" fontId="17" fillId="0" borderId="4" xfId="0" quotePrefix="1" applyFont="1" applyBorder="1" applyAlignment="1">
      <alignment vertical="center"/>
    </xf>
    <xf numFmtId="0" fontId="17" fillId="0" borderId="3" xfId="0" applyFont="1" applyBorder="1" applyAlignment="1">
      <alignment vertical="center"/>
    </xf>
    <xf numFmtId="0" fontId="16" fillId="0" borderId="0" xfId="0" applyFont="1" applyAlignment="1">
      <alignment vertical="center" wrapText="1"/>
    </xf>
    <xf numFmtId="0" fontId="30" fillId="0" borderId="2" xfId="1" applyFont="1" applyFill="1" applyBorder="1" applyAlignment="1">
      <alignment horizontal="left" vertical="center"/>
    </xf>
    <xf numFmtId="0" fontId="24" fillId="0" borderId="0" xfId="0" applyFont="1" applyAlignment="1">
      <alignment horizontal="left" vertical="center"/>
    </xf>
    <xf numFmtId="0" fontId="20" fillId="0" borderId="0" xfId="0" applyFont="1" applyAlignment="1">
      <alignment horizontal="left" vertical="center"/>
    </xf>
    <xf numFmtId="0" fontId="18" fillId="0" borderId="0" xfId="0" applyFont="1" applyAlignment="1">
      <alignment horizontal="left" vertical="center"/>
    </xf>
    <xf numFmtId="0" fontId="30" fillId="0" borderId="2" xfId="0" applyFont="1" applyBorder="1" applyAlignment="1">
      <alignment vertical="center"/>
    </xf>
    <xf numFmtId="0" fontId="16" fillId="0" borderId="1" xfId="0" applyFont="1" applyBorder="1" applyAlignment="1">
      <alignment vertical="center" wrapText="1"/>
    </xf>
    <xf numFmtId="0" fontId="16" fillId="0" borderId="0" xfId="0" applyFont="1" applyAlignment="1">
      <alignment vertical="center"/>
    </xf>
    <xf numFmtId="0" fontId="16" fillId="0" borderId="4" xfId="0" quotePrefix="1" applyFont="1" applyBorder="1" applyAlignment="1">
      <alignment vertical="center"/>
    </xf>
    <xf numFmtId="0" fontId="16" fillId="0" borderId="0" xfId="0" quotePrefix="1" applyFont="1" applyAlignment="1">
      <alignment vertical="center"/>
    </xf>
    <xf numFmtId="0" fontId="16" fillId="0" borderId="3" xfId="0" applyFont="1" applyBorder="1" applyAlignment="1">
      <alignment vertical="center"/>
    </xf>
    <xf numFmtId="0" fontId="16" fillId="0" borderId="4" xfId="0" applyFont="1" applyBorder="1" applyAlignment="1">
      <alignment vertical="center"/>
    </xf>
    <xf numFmtId="0" fontId="16" fillId="0" borderId="3" xfId="0" quotePrefix="1" applyFont="1" applyBorder="1" applyAlignment="1">
      <alignment vertical="center"/>
    </xf>
    <xf numFmtId="0" fontId="21" fillId="0" borderId="1" xfId="0" applyFont="1" applyBorder="1" applyAlignment="1">
      <alignment vertical="center"/>
    </xf>
    <xf numFmtId="0" fontId="18" fillId="0" borderId="1" xfId="0" applyFont="1" applyBorder="1" applyAlignment="1">
      <alignment vertical="center"/>
    </xf>
    <xf numFmtId="0" fontId="16" fillId="0" borderId="1" xfId="0" quotePrefix="1" applyFont="1" applyBorder="1" applyAlignment="1">
      <alignment vertical="center"/>
    </xf>
    <xf numFmtId="0" fontId="15" fillId="0" borderId="0" xfId="0" applyFont="1" applyAlignment="1">
      <alignment vertical="center" wrapText="1"/>
    </xf>
    <xf numFmtId="0" fontId="15" fillId="0" borderId="0" xfId="0" applyFont="1" applyAlignment="1">
      <alignment vertical="center"/>
    </xf>
    <xf numFmtId="0" fontId="15" fillId="0" borderId="1" xfId="0" applyFont="1" applyBorder="1" applyAlignment="1">
      <alignment vertical="center" wrapText="1"/>
    </xf>
    <xf numFmtId="0" fontId="15" fillId="0" borderId="0" xfId="0" quotePrefix="1" applyFont="1" applyAlignment="1">
      <alignment vertical="center"/>
    </xf>
    <xf numFmtId="0" fontId="15" fillId="0" borderId="3" xfId="0" applyFont="1" applyBorder="1" applyAlignment="1">
      <alignment vertical="center"/>
    </xf>
    <xf numFmtId="0" fontId="15" fillId="0" borderId="4" xfId="0" quotePrefix="1" applyFont="1" applyBorder="1" applyAlignment="1">
      <alignment vertical="center"/>
    </xf>
    <xf numFmtId="0" fontId="15" fillId="0" borderId="4" xfId="0" applyFont="1" applyBorder="1" applyAlignment="1">
      <alignment vertical="center"/>
    </xf>
    <xf numFmtId="0" fontId="15" fillId="0" borderId="3" xfId="0" quotePrefix="1" applyFont="1" applyBorder="1" applyAlignment="1">
      <alignment vertical="center"/>
    </xf>
    <xf numFmtId="0" fontId="14" fillId="0" borderId="0" xfId="0" applyFont="1" applyAlignment="1">
      <alignment vertical="center"/>
    </xf>
    <xf numFmtId="0" fontId="14" fillId="0" borderId="0" xfId="0" applyFont="1" applyAlignment="1">
      <alignment vertical="center" wrapText="1"/>
    </xf>
    <xf numFmtId="0" fontId="14" fillId="0" borderId="1" xfId="0" applyFont="1" applyBorder="1" applyAlignment="1">
      <alignment vertical="center" wrapText="1"/>
    </xf>
    <xf numFmtId="0" fontId="14" fillId="0" borderId="0" xfId="0" quotePrefix="1" applyFont="1" applyAlignment="1">
      <alignment vertical="center"/>
    </xf>
    <xf numFmtId="0" fontId="14" fillId="0" borderId="4" xfId="0" quotePrefix="1" applyFont="1" applyBorder="1" applyAlignment="1">
      <alignment vertical="center"/>
    </xf>
    <xf numFmtId="0" fontId="13" fillId="0" borderId="0" xfId="0" applyFont="1" applyAlignment="1">
      <alignment vertical="center" wrapText="1"/>
    </xf>
    <xf numFmtId="0" fontId="13" fillId="0" borderId="0" xfId="0" applyFont="1" applyAlignment="1">
      <alignment vertical="center"/>
    </xf>
    <xf numFmtId="0" fontId="13" fillId="0" borderId="1" xfId="0" applyFont="1" applyBorder="1" applyAlignment="1">
      <alignment vertical="center" wrapText="1"/>
    </xf>
    <xf numFmtId="0" fontId="13" fillId="0" borderId="3" xfId="0" applyFont="1" applyBorder="1" applyAlignment="1">
      <alignment vertical="center"/>
    </xf>
    <xf numFmtId="0" fontId="13" fillId="0" borderId="4" xfId="0" quotePrefix="1" applyFont="1" applyBorder="1" applyAlignment="1">
      <alignment vertical="center"/>
    </xf>
    <xf numFmtId="0" fontId="12" fillId="0" borderId="0" xfId="0" applyFont="1" applyAlignment="1">
      <alignment vertical="center"/>
    </xf>
    <xf numFmtId="0" fontId="11" fillId="0" borderId="0" xfId="0" applyFont="1" applyAlignment="1">
      <alignment vertical="center" wrapText="1"/>
    </xf>
    <xf numFmtId="0" fontId="11" fillId="0" borderId="0" xfId="0" applyFont="1" applyAlignment="1">
      <alignment vertical="center"/>
    </xf>
    <xf numFmtId="0" fontId="11" fillId="0" borderId="1" xfId="0" applyFont="1" applyBorder="1" applyAlignment="1">
      <alignment vertical="center" wrapText="1"/>
    </xf>
    <xf numFmtId="0" fontId="11" fillId="0" borderId="0" xfId="0" quotePrefix="1" applyFont="1" applyAlignment="1">
      <alignment vertical="center"/>
    </xf>
    <xf numFmtId="0" fontId="10" fillId="0" borderId="0" xfId="0" applyFont="1" applyAlignment="1">
      <alignment vertical="center" wrapText="1"/>
    </xf>
    <xf numFmtId="0" fontId="10" fillId="0" borderId="0" xfId="0" applyFont="1" applyAlignment="1">
      <alignment vertical="center"/>
    </xf>
    <xf numFmtId="0" fontId="10" fillId="0" borderId="1" xfId="0" applyFont="1" applyBorder="1" applyAlignment="1">
      <alignment vertical="center" wrapText="1"/>
    </xf>
    <xf numFmtId="0" fontId="10" fillId="0" borderId="0" xfId="0" quotePrefix="1" applyFont="1" applyAlignment="1">
      <alignment vertical="center"/>
    </xf>
    <xf numFmtId="0" fontId="9" fillId="0" borderId="0" xfId="0" applyFont="1" applyAlignment="1">
      <alignment vertical="center" wrapText="1"/>
    </xf>
    <xf numFmtId="0" fontId="9" fillId="0" borderId="0" xfId="0" applyFont="1" applyAlignment="1">
      <alignment vertical="center"/>
    </xf>
    <xf numFmtId="0" fontId="8" fillId="0" borderId="4" xfId="0" quotePrefix="1" applyFont="1" applyBorder="1" applyAlignment="1">
      <alignment vertical="center"/>
    </xf>
    <xf numFmtId="0" fontId="8" fillId="0" borderId="1" xfId="0" applyFont="1" applyBorder="1" applyAlignment="1">
      <alignment vertical="center" wrapText="1"/>
    </xf>
    <xf numFmtId="0" fontId="8" fillId="0" borderId="0" xfId="0" applyFont="1" applyAlignment="1">
      <alignment vertical="center" wrapText="1"/>
    </xf>
    <xf numFmtId="0" fontId="7" fillId="0" borderId="0" xfId="0" quotePrefix="1" applyFont="1" applyAlignment="1">
      <alignment vertical="center"/>
    </xf>
    <xf numFmtId="0" fontId="30" fillId="0" borderId="2" xfId="1" quotePrefix="1" applyFont="1" applyFill="1" applyBorder="1" applyAlignment="1">
      <alignment horizontal="left" vertical="center"/>
    </xf>
    <xf numFmtId="0" fontId="7" fillId="0" borderId="0" xfId="0" quotePrefix="1" applyFont="1" applyAlignment="1">
      <alignment horizontal="left" vertical="center"/>
    </xf>
    <xf numFmtId="0" fontId="7" fillId="0" borderId="1" xfId="0" quotePrefix="1" applyFont="1" applyBorder="1" applyAlignment="1">
      <alignment vertical="center"/>
    </xf>
    <xf numFmtId="0" fontId="31" fillId="4" borderId="5" xfId="0" applyFont="1" applyFill="1" applyBorder="1" applyAlignment="1">
      <alignment vertical="center"/>
    </xf>
    <xf numFmtId="0" fontId="31" fillId="4" borderId="5" xfId="0" applyFont="1" applyFill="1" applyBorder="1" applyAlignment="1">
      <alignment vertical="center" wrapText="1"/>
    </xf>
    <xf numFmtId="0" fontId="31" fillId="4" borderId="6" xfId="0" applyFont="1" applyFill="1" applyBorder="1" applyAlignment="1">
      <alignment vertical="center"/>
    </xf>
    <xf numFmtId="0" fontId="31" fillId="4" borderId="6" xfId="0" applyFont="1" applyFill="1" applyBorder="1" applyAlignment="1">
      <alignment vertical="center" wrapText="1"/>
    </xf>
    <xf numFmtId="0" fontId="31" fillId="4" borderId="7" xfId="0" applyFont="1" applyFill="1" applyBorder="1" applyAlignment="1">
      <alignment vertical="center"/>
    </xf>
    <xf numFmtId="0" fontId="31" fillId="4" borderId="8" xfId="0" applyFont="1" applyFill="1" applyBorder="1" applyAlignment="1">
      <alignment vertical="center"/>
    </xf>
    <xf numFmtId="0" fontId="31" fillId="4" borderId="9" xfId="0" applyFont="1" applyFill="1" applyBorder="1" applyAlignment="1">
      <alignment vertical="center"/>
    </xf>
    <xf numFmtId="0" fontId="31" fillId="4" borderId="5" xfId="0" applyFont="1" applyFill="1" applyBorder="1" applyAlignment="1">
      <alignment horizontal="left" vertical="center"/>
    </xf>
    <xf numFmtId="0" fontId="30" fillId="0" borderId="0" xfId="0" applyFont="1" applyAlignment="1">
      <alignment vertical="center" wrapText="1"/>
    </xf>
    <xf numFmtId="0" fontId="32" fillId="0" borderId="0" xfId="0" applyFont="1" applyAlignment="1">
      <alignment vertical="center" wrapText="1"/>
    </xf>
    <xf numFmtId="0" fontId="32" fillId="0" borderId="0" xfId="0" applyFont="1" applyAlignment="1">
      <alignment vertical="center"/>
    </xf>
    <xf numFmtId="0" fontId="33" fillId="0" borderId="5" xfId="0" applyFont="1" applyBorder="1" applyAlignment="1">
      <alignment vertical="center" wrapText="1"/>
    </xf>
    <xf numFmtId="0" fontId="33" fillId="0" borderId="5" xfId="0" applyFont="1" applyBorder="1" applyAlignment="1">
      <alignment vertical="center"/>
    </xf>
    <xf numFmtId="0" fontId="32" fillId="0" borderId="0" xfId="0" quotePrefix="1" applyFont="1" applyAlignment="1">
      <alignment vertical="center"/>
    </xf>
    <xf numFmtId="0" fontId="24" fillId="4" borderId="0" xfId="0" applyFont="1" applyFill="1" applyAlignment="1">
      <alignment vertical="center"/>
    </xf>
    <xf numFmtId="0" fontId="25" fillId="4" borderId="5" xfId="0" quotePrefix="1" applyFont="1" applyFill="1" applyBorder="1" applyAlignment="1">
      <alignment vertical="center"/>
    </xf>
    <xf numFmtId="0" fontId="17" fillId="4" borderId="0" xfId="0" applyFont="1" applyFill="1" applyAlignment="1">
      <alignment vertical="center"/>
    </xf>
    <xf numFmtId="0" fontId="7" fillId="0" borderId="0" xfId="0" applyFont="1" applyAlignment="1">
      <alignment vertical="center"/>
    </xf>
    <xf numFmtId="0" fontId="7" fillId="0" borderId="1" xfId="0" applyFont="1" applyBorder="1" applyAlignment="1">
      <alignment vertical="center"/>
    </xf>
    <xf numFmtId="0" fontId="7" fillId="0" borderId="0" xfId="0" applyFont="1" applyAlignment="1">
      <alignment vertical="center" wrapText="1"/>
    </xf>
    <xf numFmtId="0" fontId="21" fillId="0" borderId="0" xfId="0" quotePrefix="1" applyFont="1" applyAlignment="1">
      <alignment vertical="center" wrapText="1"/>
    </xf>
    <xf numFmtId="0" fontId="7" fillId="0" borderId="1" xfId="0" applyFont="1" applyBorder="1" applyAlignment="1">
      <alignment vertical="center" wrapText="1"/>
    </xf>
    <xf numFmtId="0" fontId="25" fillId="0" borderId="0" xfId="0" applyFont="1" applyAlignment="1">
      <alignment vertical="center" wrapText="1"/>
    </xf>
    <xf numFmtId="0" fontId="6" fillId="0" borderId="0" xfId="0" applyFont="1" applyAlignment="1">
      <alignment vertical="center" wrapText="1"/>
    </xf>
    <xf numFmtId="0" fontId="6" fillId="0" borderId="3" xfId="0" applyFont="1" applyBorder="1" applyAlignment="1">
      <alignment vertical="center"/>
    </xf>
    <xf numFmtId="0" fontId="6" fillId="0" borderId="0" xfId="0" applyFont="1" applyAlignment="1">
      <alignment vertical="center"/>
    </xf>
    <xf numFmtId="0" fontId="6" fillId="0" borderId="4" xfId="0" applyFont="1" applyBorder="1" applyAlignment="1">
      <alignment vertical="center"/>
    </xf>
    <xf numFmtId="0" fontId="6" fillId="0" borderId="3" xfId="0" quotePrefix="1" applyFont="1" applyBorder="1" applyAlignment="1">
      <alignment vertical="center"/>
    </xf>
    <xf numFmtId="0" fontId="6" fillId="0" borderId="0" xfId="0" quotePrefix="1" applyFont="1" applyAlignment="1">
      <alignment vertical="center"/>
    </xf>
    <xf numFmtId="0" fontId="6" fillId="0" borderId="4" xfId="0" quotePrefix="1" applyFont="1" applyBorder="1" applyAlignment="1">
      <alignment vertical="center"/>
    </xf>
    <xf numFmtId="0" fontId="6" fillId="0" borderId="1" xfId="0" quotePrefix="1" applyFont="1" applyBorder="1" applyAlignment="1">
      <alignment vertical="center"/>
    </xf>
    <xf numFmtId="0" fontId="33" fillId="0" borderId="5" xfId="0" quotePrefix="1" applyFont="1" applyBorder="1" applyAlignment="1">
      <alignment vertical="center"/>
    </xf>
    <xf numFmtId="0" fontId="6" fillId="0" borderId="1" xfId="0" applyFont="1" applyBorder="1" applyAlignment="1">
      <alignment vertical="center" wrapText="1"/>
    </xf>
    <xf numFmtId="0" fontId="24" fillId="0" borderId="1" xfId="0" quotePrefix="1" applyFont="1" applyBorder="1" applyAlignment="1">
      <alignment vertical="center" wrapText="1"/>
    </xf>
    <xf numFmtId="0" fontId="21" fillId="0" borderId="1" xfId="0" quotePrefix="1" applyFont="1" applyBorder="1" applyAlignment="1">
      <alignment vertical="center" wrapText="1"/>
    </xf>
    <xf numFmtId="0" fontId="6" fillId="4" borderId="0" xfId="0" quotePrefix="1" applyFont="1" applyFill="1" applyAlignment="1">
      <alignment vertical="center"/>
    </xf>
    <xf numFmtId="0" fontId="6" fillId="0" borderId="0" xfId="0" quotePrefix="1" applyFont="1" applyAlignment="1">
      <alignment vertical="center" wrapText="1"/>
    </xf>
    <xf numFmtId="0" fontId="5" fillId="0" borderId="0" xfId="0" applyFont="1" applyAlignment="1">
      <alignment vertical="center"/>
    </xf>
    <xf numFmtId="0" fontId="4" fillId="0" borderId="0" xfId="0" applyFont="1" applyAlignment="1">
      <alignment vertical="center"/>
    </xf>
    <xf numFmtId="0" fontId="3" fillId="0" borderId="1" xfId="0" applyFont="1" applyBorder="1" applyAlignment="1">
      <alignment vertical="center" wrapText="1"/>
    </xf>
    <xf numFmtId="0" fontId="3" fillId="0" borderId="0" xfId="0" quotePrefix="1" applyFont="1" applyAlignment="1">
      <alignment vertical="center"/>
    </xf>
    <xf numFmtId="0" fontId="3" fillId="0" borderId="0" xfId="0" applyFont="1" applyAlignment="1">
      <alignment vertical="center" wrapText="1"/>
    </xf>
    <xf numFmtId="0" fontId="3" fillId="0" borderId="0" xfId="0" applyFont="1" applyAlignment="1">
      <alignment vertical="center"/>
    </xf>
    <xf numFmtId="0" fontId="3" fillId="0" borderId="4" xfId="0" quotePrefix="1" applyFont="1" applyBorder="1" applyAlignment="1">
      <alignment vertical="center"/>
    </xf>
    <xf numFmtId="0" fontId="2" fillId="0" borderId="4" xfId="0" quotePrefix="1" applyFont="1" applyBorder="1" applyAlignment="1">
      <alignment vertical="center"/>
    </xf>
    <xf numFmtId="0" fontId="2" fillId="0" borderId="1" xfId="0" applyFont="1" applyBorder="1" applyAlignment="1">
      <alignment vertical="center" wrapText="1"/>
    </xf>
    <xf numFmtId="0" fontId="2" fillId="0" borderId="0" xfId="0" applyFont="1" applyAlignment="1">
      <alignment vertical="center" wrapText="1"/>
    </xf>
    <xf numFmtId="0" fontId="2" fillId="0" borderId="0" xfId="0" quotePrefix="1" applyFont="1" applyAlignment="1">
      <alignment vertical="center"/>
    </xf>
    <xf numFmtId="0" fontId="2" fillId="0" borderId="0" xfId="0" applyFont="1" applyAlignment="1">
      <alignment vertical="center"/>
    </xf>
    <xf numFmtId="0" fontId="1" fillId="0" borderId="0" xfId="0" applyFont="1" applyAlignment="1">
      <alignment vertical="center" wrapText="1"/>
    </xf>
    <xf numFmtId="0" fontId="1" fillId="0" borderId="1" xfId="0" applyFont="1" applyBorder="1" applyAlignment="1">
      <alignment vertical="center" wrapText="1"/>
    </xf>
  </cellXfs>
  <cellStyles count="2">
    <cellStyle name="Hyperlink" xfId="1" builtinId="8"/>
    <cellStyle name="Normal" xfId="0" builtinId="0"/>
  </cellStyles>
  <dxfs count="18">
    <dxf>
      <font>
        <b val="0"/>
        <i/>
        <color rgb="FFFF0000"/>
      </font>
    </dxf>
    <dxf>
      <fill>
        <patternFill>
          <bgColor theme="8" tint="0.79998168889431442"/>
        </patternFill>
      </fill>
    </dxf>
    <dxf>
      <fill>
        <patternFill>
          <bgColor theme="7" tint="0.79998168889431442"/>
        </patternFill>
      </fill>
    </dxf>
    <dxf>
      <fill>
        <patternFill>
          <bgColor theme="9" tint="0.79998168889431442"/>
        </patternFill>
      </fill>
    </dxf>
    <dxf>
      <font>
        <b val="0"/>
        <i/>
        <color rgb="FFFF0000"/>
      </font>
    </dxf>
    <dxf>
      <fill>
        <patternFill>
          <bgColor theme="8" tint="0.79998168889431442"/>
        </patternFill>
      </fill>
    </dxf>
    <dxf>
      <fill>
        <patternFill>
          <bgColor theme="7" tint="0.79998168889431442"/>
        </patternFill>
      </fill>
    </dxf>
    <dxf>
      <fill>
        <patternFill>
          <bgColor theme="9" tint="0.79998168889431442"/>
        </patternFill>
      </fill>
    </dxf>
    <dxf>
      <font>
        <b val="0"/>
        <i/>
        <color rgb="FFFF0000"/>
      </font>
    </dxf>
    <dxf>
      <fill>
        <patternFill>
          <bgColor theme="8" tint="0.79998168889431442"/>
        </patternFill>
      </fill>
    </dxf>
    <dxf>
      <fill>
        <patternFill>
          <bgColor theme="7" tint="0.79998168889431442"/>
        </patternFill>
      </fill>
    </dxf>
    <dxf>
      <fill>
        <patternFill>
          <bgColor theme="9" tint="0.79998168889431442"/>
        </patternFill>
      </fill>
    </dxf>
    <dxf>
      <font>
        <b val="0"/>
        <i/>
        <color rgb="FFFF0000"/>
      </font>
    </dxf>
    <dxf>
      <font>
        <b val="0"/>
        <i/>
        <color rgb="FFFF0000"/>
      </font>
    </dxf>
    <dxf>
      <fill>
        <patternFill>
          <bgColor theme="8" tint="0.79998168889431442"/>
        </patternFill>
      </fill>
    </dxf>
    <dxf>
      <fill>
        <patternFill>
          <bgColor theme="7" tint="0.79998168889431442"/>
        </patternFill>
      </fill>
    </dxf>
    <dxf>
      <fill>
        <patternFill>
          <bgColor theme="9" tint="0.79998168889431442"/>
        </patternFill>
      </fill>
    </dxf>
    <dxf>
      <fill>
        <patternFill>
          <bgColor theme="0" tint="-4.9989318521683403E-2"/>
        </patternFill>
      </fill>
    </dxf>
  </dxfs>
  <tableStyles count="0" defaultTableStyle="TableStyleMedium2" defaultPivotStyle="PivotStyleLight16"/>
  <colors>
    <mruColors>
      <color rgb="FF0D114B"/>
      <color rgb="FFDFBC5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47625</xdr:colOff>
          <xdr:row>1</xdr:row>
          <xdr:rowOff>28575</xdr:rowOff>
        </xdr:from>
        <xdr:to>
          <xdr:col>1</xdr:col>
          <xdr:colOff>466725</xdr:colOff>
          <xdr:row>2</xdr:row>
          <xdr:rowOff>133350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Insert New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1</xdr:row>
          <xdr:rowOff>28575</xdr:rowOff>
        </xdr:from>
        <xdr:to>
          <xdr:col>3</xdr:col>
          <xdr:colOff>666750</xdr:colOff>
          <xdr:row>2</xdr:row>
          <xdr:rowOff>133350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Publish</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47625</xdr:colOff>
          <xdr:row>1</xdr:row>
          <xdr:rowOff>28575</xdr:rowOff>
        </xdr:from>
        <xdr:to>
          <xdr:col>1</xdr:col>
          <xdr:colOff>466725</xdr:colOff>
          <xdr:row>2</xdr:row>
          <xdr:rowOff>133350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200-000001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Insert New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xdr:row>
          <xdr:rowOff>28575</xdr:rowOff>
        </xdr:from>
        <xdr:to>
          <xdr:col>2</xdr:col>
          <xdr:colOff>1276350</xdr:colOff>
          <xdr:row>2</xdr:row>
          <xdr:rowOff>133350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200-000002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Publish</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47625</xdr:colOff>
          <xdr:row>1</xdr:row>
          <xdr:rowOff>28575</xdr:rowOff>
        </xdr:from>
        <xdr:to>
          <xdr:col>1</xdr:col>
          <xdr:colOff>466725</xdr:colOff>
          <xdr:row>2</xdr:row>
          <xdr:rowOff>133350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Refresh Tags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xdr:row>
          <xdr:rowOff>28575</xdr:rowOff>
        </xdr:from>
        <xdr:to>
          <xdr:col>2</xdr:col>
          <xdr:colOff>1276350</xdr:colOff>
          <xdr:row>2</xdr:row>
          <xdr:rowOff>133350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300-000002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Publish</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47625</xdr:colOff>
          <xdr:row>1</xdr:row>
          <xdr:rowOff>28575</xdr:rowOff>
        </xdr:from>
        <xdr:to>
          <xdr:col>1</xdr:col>
          <xdr:colOff>466725</xdr:colOff>
          <xdr:row>2</xdr:row>
          <xdr:rowOff>133350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4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Publish</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www.lourdes-france.org/" TargetMode="External"/><Relationship Id="rId2" Type="http://schemas.openxmlformats.org/officeDocument/2006/relationships/hyperlink" Target="https://www.fatima.pt/" TargetMode="External"/><Relationship Id="rId1" Type="http://schemas.openxmlformats.org/officeDocument/2006/relationships/hyperlink" Target="https://www.ourladyofsiluva.org/" TargetMode="External"/><Relationship Id="rId4" Type="http://schemas.openxmlformats.org/officeDocument/2006/relationships/hyperlink" Target="https://virgendeguadalupe.org.mx/" TargetMode="External"/></Relationships>
</file>

<file path=xl/worksheets/_rels/sheet2.xml.rels><?xml version="1.0" encoding="UTF-8" standalone="yes"?>
<Relationships xmlns="http://schemas.openxmlformats.org/package/2006/relationships"><Relationship Id="rId13" Type="http://schemas.openxmlformats.org/officeDocument/2006/relationships/hyperlink" Target="http://www.therealpresence.org/eucharst/misc/BVM/104_DOROSZLO_60x96.pdf" TargetMode="External"/><Relationship Id="rId18" Type="http://schemas.openxmlformats.org/officeDocument/2006/relationships/hyperlink" Target="http://www.therealpresence.org/eucharst/misc/BVM/109_LAJAS_96x96.pdf" TargetMode="External"/><Relationship Id="rId26" Type="http://schemas.openxmlformats.org/officeDocument/2006/relationships/hyperlink" Target="http://www.therealpresence.org/eucharst/misc/BVM/26_PONTMAIN_60x96.pdf" TargetMode="External"/><Relationship Id="rId39" Type="http://schemas.openxmlformats.org/officeDocument/2006/relationships/vmlDrawing" Target="../drawings/vmlDrawing1.vml"/><Relationship Id="rId21" Type="http://schemas.openxmlformats.org/officeDocument/2006/relationships/hyperlink" Target="http://www.therealpresence.org/eucharst/misc/BVM/06_PARIGI_60x96.pdf" TargetMode="External"/><Relationship Id="rId34" Type="http://schemas.openxmlformats.org/officeDocument/2006/relationships/hyperlink" Target="http://www.therealpresence.org/eucharst/misc/BVM/01_AKITA_60x96.pdf" TargetMode="External"/><Relationship Id="rId7" Type="http://schemas.openxmlformats.org/officeDocument/2006/relationships/hyperlink" Target="http://www.therealpresence.org/eucharst/misc/BVM/13_VALVERDE_60x96.pdf" TargetMode="External"/><Relationship Id="rId2" Type="http://schemas.openxmlformats.org/officeDocument/2006/relationships/hyperlink" Target="http://www.therealpresence.org/eucharst/misc/BVM/68_LE_PUY_60x96.pdf" TargetMode="External"/><Relationship Id="rId16" Type="http://schemas.openxmlformats.org/officeDocument/2006/relationships/hyperlink" Target="http://www.therealpresence.org/eucharst/misc/BVM/102_CUBA_96x96.pdf" TargetMode="External"/><Relationship Id="rId20" Type="http://schemas.openxmlformats.org/officeDocument/2006/relationships/hyperlink" Target="http://www.therealpresence.org/eucharst/misc/BVM/110_LICHEN_96x96.pdf" TargetMode="External"/><Relationship Id="rId29" Type="http://schemas.openxmlformats.org/officeDocument/2006/relationships/hyperlink" Target="http://www.therealpresence.org/eucharst/misc/BVM/63_KNOCK_60x96.pdf" TargetMode="External"/><Relationship Id="rId41" Type="http://schemas.openxmlformats.org/officeDocument/2006/relationships/ctrlProp" Target="../ctrlProps/ctrlProp2.xml"/><Relationship Id="rId1" Type="http://schemas.openxmlformats.org/officeDocument/2006/relationships/hyperlink" Target="http://www.therealpresence.org/eucharst/misc/BVM/09_ZARAGOZA_60x96.pdf" TargetMode="External"/><Relationship Id="rId6" Type="http://schemas.openxmlformats.org/officeDocument/2006/relationships/hyperlink" Target="http://www.therealpresence.org/eucharst/misc/BVM/138_SWIETA_LIPKA_60x96.pdf" TargetMode="External"/><Relationship Id="rId11" Type="http://schemas.openxmlformats.org/officeDocument/2006/relationships/hyperlink" Target="http://www.therealpresence.org/eucharst/misc/BVM/140_GOZO_60x96.pdf" TargetMode="External"/><Relationship Id="rId24" Type="http://schemas.openxmlformats.org/officeDocument/2006/relationships/hyperlink" Target="http://www.therealpresence.org/eucharst/misc/BVM/40_LOURDES_140x96.pdf" TargetMode="External"/><Relationship Id="rId32" Type="http://schemas.openxmlformats.org/officeDocument/2006/relationships/hyperlink" Target="http://www.therealpresence.org/eucharst/misc/BVM/124_NGOME_140x96.pdf" TargetMode="External"/><Relationship Id="rId37" Type="http://schemas.openxmlformats.org/officeDocument/2006/relationships/printerSettings" Target="../printerSettings/printerSettings1.bin"/><Relationship Id="rId40" Type="http://schemas.openxmlformats.org/officeDocument/2006/relationships/ctrlProp" Target="../ctrlProps/ctrlProp1.xml"/><Relationship Id="rId5" Type="http://schemas.openxmlformats.org/officeDocument/2006/relationships/hyperlink" Target="http://www.therealpresence.org/eucharst/misc/BVM/153_WALSINGHAM_60x96.pdf" TargetMode="External"/><Relationship Id="rId15" Type="http://schemas.openxmlformats.org/officeDocument/2006/relationships/hyperlink" Target="http://www.therealpresence.org/eucharst/misc/BVM/88_MANAOAG_60x96.pdf" TargetMode="External"/><Relationship Id="rId23" Type="http://schemas.openxmlformats.org/officeDocument/2006/relationships/hyperlink" Target="http://www.therealpresence.org/eucharst/misc/BVM/30_LA_SALETTE_96x96.pdf" TargetMode="External"/><Relationship Id="rId28" Type="http://schemas.openxmlformats.org/officeDocument/2006/relationships/hyperlink" Target="http://www.therealpresence.org/eucharst/misc/BVM/85_GIETRZALD_96x96.pdf" TargetMode="External"/><Relationship Id="rId36" Type="http://schemas.openxmlformats.org/officeDocument/2006/relationships/hyperlink" Target="http://www.therealpresence.org/eucharst/misc/BVM/20_KIBEHO_96x96.pdf" TargetMode="External"/><Relationship Id="rId10" Type="http://schemas.openxmlformats.org/officeDocument/2006/relationships/hyperlink" Target="http://www.therealpresence.org/eucharst/misc/BVM/137_SVETA_GORA_60x96.pdf" TargetMode="External"/><Relationship Id="rId19" Type="http://schemas.openxmlformats.org/officeDocument/2006/relationships/hyperlink" Target="http://www.therealpresence.org/eucharst/misc/BVM/21_LAVANG_60x96.pdf" TargetMode="External"/><Relationship Id="rId31" Type="http://schemas.openxmlformats.org/officeDocument/2006/relationships/hyperlink" Target="http://www.therealpresence.org/eucharst/misc/BVM/128_KALLIKULAM_60x96.pdf" TargetMode="External"/><Relationship Id="rId4" Type="http://schemas.openxmlformats.org/officeDocument/2006/relationships/hyperlink" Target="http://www.therealpresence.org/eucharst/misc/BVM/90_TINDARI_60x96.pdf" TargetMode="External"/><Relationship Id="rId9" Type="http://schemas.openxmlformats.org/officeDocument/2006/relationships/hyperlink" Target="http://www.therealpresence.org/eucharst/misc/BVM/70_GUADALUPE_96x96.pdf" TargetMode="External"/><Relationship Id="rId14" Type="http://schemas.openxmlformats.org/officeDocument/2006/relationships/hyperlink" Target="http://www.therealpresence.org/eucharst/misc/BVM/57_SILUVA_96x96.pdf" TargetMode="External"/><Relationship Id="rId22" Type="http://schemas.openxmlformats.org/officeDocument/2006/relationships/hyperlink" Target="http://www.therealpresence.org/eucharst/misc/BVM/23_ROMA_60x96.pdf" TargetMode="External"/><Relationship Id="rId27" Type="http://schemas.openxmlformats.org/officeDocument/2006/relationships/hyperlink" Target="http://www.therealpresence.org/eucharst/misc/BVM/07_PELLEVOISIN_60x96.pdf" TargetMode="External"/><Relationship Id="rId30" Type="http://schemas.openxmlformats.org/officeDocument/2006/relationships/hyperlink" Target="http://www.therealpresence.org/eucharst/misc/BVM/154_FATIMA_96x96_1.pdf" TargetMode="External"/><Relationship Id="rId35" Type="http://schemas.openxmlformats.org/officeDocument/2006/relationships/hyperlink" Target="http://www.therealpresence.org/eucharst/misc/BVM/16_CUAPA_60x96.pdf" TargetMode="External"/><Relationship Id="rId8" Type="http://schemas.openxmlformats.org/officeDocument/2006/relationships/hyperlink" Target="http://www.therealpresence.org/eucharst/misc/BVM/32_VAILANKANNI_60x96.pdf" TargetMode="External"/><Relationship Id="rId3" Type="http://schemas.openxmlformats.org/officeDocument/2006/relationships/hyperlink" Target="http://www.therealpresence.org/eucharst/misc/BVM/117_ROMA_60x96.pdf" TargetMode="External"/><Relationship Id="rId12" Type="http://schemas.openxmlformats.org/officeDocument/2006/relationships/hyperlink" Target="http://www.therealpresence.org/eucharst/misc/BVM/94_CAYSASAY_60x96.pdf" TargetMode="External"/><Relationship Id="rId17" Type="http://schemas.openxmlformats.org/officeDocument/2006/relationships/hyperlink" Target="http://www.therealpresence.org/eucharst/misc/BVM/69_LAUS_140x96.pdf" TargetMode="External"/><Relationship Id="rId25" Type="http://schemas.openxmlformats.org/officeDocument/2006/relationships/hyperlink" Target="http://www.therealpresence.org/eucharst/misc/BVM/89_FILIPOV_96x96.pdf" TargetMode="External"/><Relationship Id="rId33" Type="http://schemas.openxmlformats.org/officeDocument/2006/relationships/hyperlink" Target="http://www.therealpresence.org/eucharst/misc/BVM/144_ZEITUN_96x96.pdf" TargetMode="External"/><Relationship Id="rId38"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E309CC-FA49-4023-9000-8624B69B6953}">
  <sheetPr codeName="Sheet3"/>
  <dimension ref="A1:U23"/>
  <sheetViews>
    <sheetView workbookViewId="0">
      <selection activeCell="A2" sqref="A2:XFD10"/>
    </sheetView>
  </sheetViews>
  <sheetFormatPr defaultRowHeight="15" x14ac:dyDescent="0.25"/>
  <cols>
    <col min="1" max="1" width="2.7109375" bestFit="1" customWidth="1"/>
    <col min="2" max="2" width="7.5703125" bestFit="1" customWidth="1"/>
    <col min="3" max="3" width="71.5703125" bestFit="1" customWidth="1"/>
    <col min="4" max="4" width="11" bestFit="1" customWidth="1"/>
    <col min="5" max="5" width="3.5703125" bestFit="1" customWidth="1"/>
    <col min="6" max="6" width="60" bestFit="1" customWidth="1"/>
    <col min="7" max="7" width="4.7109375" bestFit="1" customWidth="1"/>
    <col min="8" max="8" width="3.28515625" bestFit="1" customWidth="1"/>
    <col min="9" max="9" width="3.7109375" bestFit="1" customWidth="1"/>
    <col min="10" max="10" width="15.5703125" customWidth="1"/>
    <col min="11" max="11" width="5.42578125" bestFit="1" customWidth="1"/>
    <col min="12" max="12" width="45.28515625" bestFit="1" customWidth="1"/>
    <col min="14" max="14" width="8.5703125" bestFit="1" customWidth="1"/>
    <col min="15" max="15" width="9.42578125" bestFit="1" customWidth="1"/>
    <col min="16" max="16" width="6.28515625" bestFit="1" customWidth="1"/>
    <col min="17" max="17" width="5" bestFit="1" customWidth="1"/>
    <col min="18" max="18" width="3.85546875" bestFit="1" customWidth="1"/>
    <col min="19" max="19" width="6" bestFit="1" customWidth="1"/>
    <col min="20" max="20" width="10.7109375" bestFit="1" customWidth="1"/>
    <col min="21" max="21" width="10.5703125" bestFit="1" customWidth="1"/>
  </cols>
  <sheetData>
    <row r="1" spans="1:21" x14ac:dyDescent="0.25">
      <c r="A1" t="s">
        <v>167</v>
      </c>
      <c r="B1" t="s">
        <v>166</v>
      </c>
      <c r="C1" t="s">
        <v>165</v>
      </c>
      <c r="D1" t="s">
        <v>164</v>
      </c>
      <c r="E1" t="s">
        <v>163</v>
      </c>
      <c r="F1" t="s">
        <v>162</v>
      </c>
      <c r="G1" t="s">
        <v>161</v>
      </c>
      <c r="H1" t="s">
        <v>160</v>
      </c>
      <c r="I1" t="s">
        <v>159</v>
      </c>
      <c r="K1" t="s">
        <v>158</v>
      </c>
      <c r="L1" t="s">
        <v>157</v>
      </c>
      <c r="M1" t="s">
        <v>156</v>
      </c>
      <c r="N1" t="s">
        <v>155</v>
      </c>
      <c r="O1" t="s">
        <v>154</v>
      </c>
      <c r="P1" t="s">
        <v>153</v>
      </c>
      <c r="Q1" t="s">
        <v>152</v>
      </c>
      <c r="R1" t="s">
        <v>151</v>
      </c>
      <c r="S1" t="s">
        <v>150</v>
      </c>
      <c r="T1" t="s">
        <v>149</v>
      </c>
      <c r="U1" t="s">
        <v>148</v>
      </c>
    </row>
    <row r="2" spans="1:21" s="4" customFormat="1" x14ac:dyDescent="0.25">
      <c r="A2" s="4">
        <v>2</v>
      </c>
      <c r="B2" s="4">
        <v>1</v>
      </c>
      <c r="C2" s="4" t="s">
        <v>147</v>
      </c>
      <c r="F2" s="5" t="s">
        <v>146</v>
      </c>
      <c r="H2" s="4">
        <v>19.483432799999999</v>
      </c>
      <c r="I2" s="4">
        <v>-99.117410300000003</v>
      </c>
      <c r="K2" s="4">
        <v>0</v>
      </c>
      <c r="L2" s="4" t="s">
        <v>145</v>
      </c>
      <c r="M2" s="4">
        <v>0</v>
      </c>
      <c r="N2" s="4" t="s">
        <v>114</v>
      </c>
      <c r="O2" s="4">
        <v>1</v>
      </c>
      <c r="P2" s="4">
        <v>0</v>
      </c>
      <c r="Q2" s="4">
        <v>0</v>
      </c>
      <c r="S2" s="4">
        <v>0</v>
      </c>
      <c r="U2" s="4">
        <v>0</v>
      </c>
    </row>
    <row r="3" spans="1:21" s="4" customFormat="1" x14ac:dyDescent="0.25">
      <c r="A3" s="4">
        <v>3</v>
      </c>
      <c r="B3" s="4">
        <v>1</v>
      </c>
      <c r="C3" s="4" t="s">
        <v>144</v>
      </c>
      <c r="F3" s="5" t="s">
        <v>143</v>
      </c>
      <c r="H3" s="4">
        <v>43.0974206</v>
      </c>
      <c r="I3" s="4">
        <v>-5.8261100000000003E-2</v>
      </c>
      <c r="K3" s="4">
        <v>0</v>
      </c>
      <c r="L3" s="4" t="s">
        <v>88</v>
      </c>
      <c r="M3" s="4">
        <v>0</v>
      </c>
      <c r="N3" s="4" t="s">
        <v>114</v>
      </c>
      <c r="O3" s="4">
        <v>1</v>
      </c>
      <c r="P3" s="4">
        <v>0</v>
      </c>
      <c r="Q3" s="4">
        <v>0</v>
      </c>
      <c r="S3" s="4">
        <v>0</v>
      </c>
      <c r="U3" s="4">
        <v>0</v>
      </c>
    </row>
    <row r="4" spans="1:21" s="4" customFormat="1" x14ac:dyDescent="0.25">
      <c r="A4" s="4">
        <v>4</v>
      </c>
      <c r="B4" s="4">
        <v>1</v>
      </c>
      <c r="C4" s="4" t="s">
        <v>142</v>
      </c>
      <c r="F4" s="5" t="s">
        <v>141</v>
      </c>
      <c r="H4" s="4">
        <v>39.631263799999999</v>
      </c>
      <c r="I4" s="4">
        <v>-8.6731570999999992</v>
      </c>
      <c r="J4" s="4" t="str">
        <f t="shared" ref="J4:J23" si="0">"location: {lat: "&amp;H4&amp;", lng: "&amp;I4&amp;"}"</f>
        <v>location: {lat: 39.6312638, lng: -8.6731571}</v>
      </c>
      <c r="K4" s="4">
        <v>0</v>
      </c>
      <c r="L4" s="4" t="s">
        <v>140</v>
      </c>
      <c r="M4" s="4">
        <v>0</v>
      </c>
      <c r="N4" s="4" t="s">
        <v>114</v>
      </c>
      <c r="O4" s="4">
        <v>1</v>
      </c>
      <c r="P4" s="4">
        <v>0</v>
      </c>
      <c r="Q4" s="4">
        <v>0</v>
      </c>
      <c r="S4" s="4">
        <v>0</v>
      </c>
      <c r="U4" s="4">
        <v>0</v>
      </c>
    </row>
    <row r="5" spans="1:21" s="4" customFormat="1" x14ac:dyDescent="0.25">
      <c r="A5" s="4">
        <v>5</v>
      </c>
      <c r="B5" s="4">
        <v>1</v>
      </c>
      <c r="C5" s="4" t="s">
        <v>139</v>
      </c>
      <c r="F5" s="4" t="s">
        <v>138</v>
      </c>
      <c r="H5" s="4">
        <v>50.270467699999998</v>
      </c>
      <c r="I5" s="4">
        <v>22.408031600000001</v>
      </c>
      <c r="J5" s="4" t="str">
        <f t="shared" si="0"/>
        <v>location: {lat: 50.2704677, lng: 22.4080316}</v>
      </c>
      <c r="K5" s="4">
        <v>0</v>
      </c>
      <c r="L5" s="4" t="s">
        <v>90</v>
      </c>
      <c r="M5" s="4">
        <v>0</v>
      </c>
      <c r="N5" s="4" t="s">
        <v>114</v>
      </c>
      <c r="O5" s="4">
        <v>1</v>
      </c>
      <c r="P5" s="4">
        <v>0</v>
      </c>
      <c r="Q5" s="4">
        <v>0</v>
      </c>
      <c r="S5" s="4">
        <v>0</v>
      </c>
      <c r="U5" s="4">
        <v>0</v>
      </c>
    </row>
    <row r="6" spans="1:21" s="4" customFormat="1" x14ac:dyDescent="0.25">
      <c r="A6" s="4">
        <v>6</v>
      </c>
      <c r="B6" s="4">
        <v>1</v>
      </c>
      <c r="C6" s="4" t="s">
        <v>137</v>
      </c>
      <c r="F6" s="5" t="s">
        <v>136</v>
      </c>
      <c r="H6" s="4">
        <v>55.530612599999998</v>
      </c>
      <c r="I6" s="4">
        <v>23.219925199999999</v>
      </c>
      <c r="J6" s="4" t="str">
        <f t="shared" si="0"/>
        <v>location: {lat: 55.5306126, lng: 23.2199252}</v>
      </c>
      <c r="K6" s="4">
        <v>0</v>
      </c>
      <c r="L6" s="4" t="s">
        <v>89</v>
      </c>
      <c r="M6" s="4">
        <v>0</v>
      </c>
      <c r="N6" s="4" t="s">
        <v>114</v>
      </c>
      <c r="O6" s="4">
        <v>1</v>
      </c>
      <c r="P6" s="4">
        <v>0</v>
      </c>
      <c r="Q6" s="4">
        <v>0</v>
      </c>
      <c r="S6" s="4">
        <v>0</v>
      </c>
      <c r="U6" s="4">
        <v>0</v>
      </c>
    </row>
    <row r="7" spans="1:21" s="4" customFormat="1" x14ac:dyDescent="0.25">
      <c r="A7" s="4">
        <v>7</v>
      </c>
      <c r="B7" s="4">
        <v>1</v>
      </c>
      <c r="C7" s="4" t="s">
        <v>135</v>
      </c>
      <c r="F7" s="4" t="s">
        <v>134</v>
      </c>
      <c r="H7" s="4">
        <v>44.521201599999998</v>
      </c>
      <c r="I7" s="4">
        <v>6.1521160000000004</v>
      </c>
      <c r="J7" s="4" t="str">
        <f t="shared" si="0"/>
        <v>location: {lat: 44.5212016, lng: 6.152116}</v>
      </c>
      <c r="K7" s="4">
        <v>0</v>
      </c>
      <c r="L7" s="4" t="s">
        <v>133</v>
      </c>
      <c r="M7" s="4">
        <v>0</v>
      </c>
      <c r="N7" s="4" t="s">
        <v>114</v>
      </c>
      <c r="O7" s="4">
        <v>1</v>
      </c>
      <c r="P7" s="4">
        <v>0</v>
      </c>
      <c r="Q7" s="4">
        <v>0</v>
      </c>
      <c r="S7" s="4">
        <v>0</v>
      </c>
      <c r="U7" s="4">
        <v>0</v>
      </c>
    </row>
    <row r="8" spans="1:21" s="4" customFormat="1" x14ac:dyDescent="0.25">
      <c r="A8" s="4">
        <v>8</v>
      </c>
      <c r="B8" s="4">
        <v>1</v>
      </c>
      <c r="C8" s="4" t="s">
        <v>132</v>
      </c>
      <c r="F8" s="4" t="s">
        <v>131</v>
      </c>
      <c r="H8" s="4">
        <v>48.850785899999998</v>
      </c>
      <c r="I8" s="4">
        <v>2.3229912000000001</v>
      </c>
      <c r="J8" s="4" t="str">
        <f t="shared" si="0"/>
        <v>location: {lat: 48.8507859, lng: 2.3229912}</v>
      </c>
      <c r="K8" s="4">
        <v>0</v>
      </c>
      <c r="L8" s="4" t="s">
        <v>86</v>
      </c>
      <c r="M8" s="4">
        <v>0</v>
      </c>
      <c r="N8" s="4" t="s">
        <v>114</v>
      </c>
      <c r="O8" s="4">
        <v>1</v>
      </c>
      <c r="P8" s="4">
        <v>0</v>
      </c>
      <c r="Q8" s="4">
        <v>0</v>
      </c>
      <c r="S8" s="4">
        <v>0</v>
      </c>
      <c r="U8" s="4">
        <v>0</v>
      </c>
    </row>
    <row r="9" spans="1:21" s="4" customFormat="1" x14ac:dyDescent="0.25">
      <c r="A9" s="4">
        <v>9</v>
      </c>
      <c r="B9" s="4">
        <v>1</v>
      </c>
      <c r="C9" s="4" t="s">
        <v>130</v>
      </c>
      <c r="F9" s="4" t="s">
        <v>129</v>
      </c>
      <c r="H9" s="4">
        <v>41.903563699999999</v>
      </c>
      <c r="I9" s="4">
        <v>12.483673899999999</v>
      </c>
      <c r="J9" s="4" t="str">
        <f t="shared" si="0"/>
        <v>location: {lat: 41.9035637, lng: 12.4836739}</v>
      </c>
      <c r="K9" s="4">
        <v>0</v>
      </c>
      <c r="L9" s="4" t="s">
        <v>85</v>
      </c>
      <c r="M9" s="4">
        <v>0</v>
      </c>
      <c r="N9" s="4" t="s">
        <v>114</v>
      </c>
      <c r="O9" s="4">
        <v>1</v>
      </c>
      <c r="P9" s="4">
        <v>0</v>
      </c>
      <c r="Q9" s="4">
        <v>0</v>
      </c>
      <c r="S9" s="4">
        <v>0</v>
      </c>
      <c r="U9" s="4">
        <v>0</v>
      </c>
    </row>
    <row r="10" spans="1:21" s="4" customFormat="1" x14ac:dyDescent="0.25">
      <c r="A10" s="4">
        <v>10</v>
      </c>
      <c r="B10" s="4">
        <v>1</v>
      </c>
      <c r="C10" s="4" t="s">
        <v>128</v>
      </c>
      <c r="F10" s="4" t="s">
        <v>127</v>
      </c>
      <c r="H10" s="4">
        <v>44.8586296</v>
      </c>
      <c r="I10" s="4">
        <v>5.9788043999999996</v>
      </c>
      <c r="J10" s="4" t="str">
        <f t="shared" si="0"/>
        <v>location: {lat: 44.8586296, lng: 5.9788044}</v>
      </c>
      <c r="K10" s="4">
        <v>0</v>
      </c>
      <c r="L10" s="4" t="s">
        <v>87</v>
      </c>
      <c r="M10" s="4">
        <v>0</v>
      </c>
      <c r="N10" s="4" t="s">
        <v>114</v>
      </c>
      <c r="O10" s="4">
        <v>1</v>
      </c>
      <c r="P10" s="4">
        <v>0</v>
      </c>
      <c r="Q10" s="4">
        <v>0</v>
      </c>
      <c r="S10" s="4">
        <v>0</v>
      </c>
      <c r="U10" s="4">
        <v>0</v>
      </c>
    </row>
    <row r="11" spans="1:21" s="4" customFormat="1" x14ac:dyDescent="0.25">
      <c r="A11" s="4">
        <v>11</v>
      </c>
      <c r="B11" s="4">
        <v>1</v>
      </c>
      <c r="C11" s="4" t="s">
        <v>126</v>
      </c>
      <c r="F11" s="4" t="s">
        <v>125</v>
      </c>
      <c r="H11" s="4">
        <v>50.980685700000002</v>
      </c>
      <c r="I11" s="4">
        <v>14.597349899999999</v>
      </c>
      <c r="J11" s="4" t="str">
        <f t="shared" si="0"/>
        <v>location: {lat: 50.9806857, lng: 14.5973499}</v>
      </c>
      <c r="K11" s="4">
        <v>0</v>
      </c>
      <c r="L11" s="4" t="s">
        <v>124</v>
      </c>
      <c r="M11" s="4">
        <v>0</v>
      </c>
      <c r="N11" s="4" t="s">
        <v>114</v>
      </c>
      <c r="O11" s="4">
        <v>1</v>
      </c>
      <c r="P11" s="4">
        <v>0</v>
      </c>
      <c r="Q11" s="4">
        <v>0</v>
      </c>
      <c r="S11" s="4">
        <v>0</v>
      </c>
      <c r="U11" s="4">
        <v>0</v>
      </c>
    </row>
    <row r="12" spans="1:21" s="4" customFormat="1" x14ac:dyDescent="0.25">
      <c r="A12" s="4">
        <v>12</v>
      </c>
      <c r="B12" s="4">
        <v>1</v>
      </c>
      <c r="C12" s="4" t="s">
        <v>123</v>
      </c>
      <c r="F12" s="4" t="s">
        <v>122</v>
      </c>
      <c r="H12" s="4">
        <v>48.439602100000002</v>
      </c>
      <c r="I12" s="4">
        <v>-1.0592325</v>
      </c>
      <c r="J12" s="4" t="str">
        <f t="shared" si="0"/>
        <v>location: {lat: 48.4396021, lng: -1.0592325}</v>
      </c>
      <c r="K12" s="4">
        <v>0</v>
      </c>
      <c r="L12" s="4" t="s">
        <v>121</v>
      </c>
      <c r="M12" s="4">
        <v>0</v>
      </c>
      <c r="N12" s="4" t="s">
        <v>114</v>
      </c>
      <c r="O12" s="4">
        <v>1</v>
      </c>
      <c r="P12" s="4">
        <v>0</v>
      </c>
      <c r="Q12" s="4">
        <v>0</v>
      </c>
      <c r="S12" s="4">
        <v>0</v>
      </c>
      <c r="U12" s="4">
        <v>0</v>
      </c>
    </row>
    <row r="13" spans="1:21" s="4" customFormat="1" x14ac:dyDescent="0.25">
      <c r="A13" s="4">
        <v>13</v>
      </c>
      <c r="B13" s="4">
        <v>1</v>
      </c>
      <c r="C13" s="4" t="s">
        <v>120</v>
      </c>
      <c r="F13" s="4" t="s">
        <v>72</v>
      </c>
      <c r="H13" s="4">
        <v>53.7480853</v>
      </c>
      <c r="I13" s="4">
        <v>20.235602400000001</v>
      </c>
      <c r="J13" s="4" t="str">
        <f t="shared" si="0"/>
        <v>location: {lat: 53.7480853, lng: 20.2356024}</v>
      </c>
      <c r="K13" s="4">
        <v>0</v>
      </c>
      <c r="L13" s="4" t="s">
        <v>68</v>
      </c>
      <c r="M13" s="4">
        <v>0</v>
      </c>
      <c r="N13" s="4" t="s">
        <v>114</v>
      </c>
      <c r="O13" s="4">
        <v>1</v>
      </c>
      <c r="P13" s="4">
        <v>0</v>
      </c>
      <c r="Q13" s="4">
        <v>0</v>
      </c>
      <c r="S13" s="4">
        <v>0</v>
      </c>
      <c r="U13" s="4">
        <v>0</v>
      </c>
    </row>
    <row r="14" spans="1:21" s="4" customFormat="1" x14ac:dyDescent="0.25">
      <c r="A14" s="4">
        <v>14</v>
      </c>
      <c r="B14" s="4">
        <v>1</v>
      </c>
      <c r="C14" s="4" t="s">
        <v>119</v>
      </c>
      <c r="F14" s="4" t="s">
        <v>64</v>
      </c>
      <c r="H14" s="4">
        <v>53.792756199999999</v>
      </c>
      <c r="I14" s="4">
        <v>-8.9189810000000005</v>
      </c>
      <c r="J14" s="4" t="str">
        <f t="shared" si="0"/>
        <v>location: {lat: 53.7927562, lng: -8.918981}</v>
      </c>
      <c r="K14" s="4">
        <v>0</v>
      </c>
      <c r="L14" s="4" t="s">
        <v>118</v>
      </c>
      <c r="M14" s="4">
        <v>0</v>
      </c>
      <c r="N14" s="4" t="s">
        <v>114</v>
      </c>
      <c r="O14" s="4">
        <v>1</v>
      </c>
      <c r="P14" s="4">
        <v>0</v>
      </c>
      <c r="Q14" s="4">
        <v>0</v>
      </c>
      <c r="S14" s="4">
        <v>0</v>
      </c>
      <c r="U14" s="4">
        <v>0</v>
      </c>
    </row>
    <row r="15" spans="1:21" s="4" customFormat="1" x14ac:dyDescent="0.25">
      <c r="A15" s="4">
        <v>15</v>
      </c>
      <c r="B15" s="4">
        <v>1</v>
      </c>
      <c r="C15" s="4" t="s">
        <v>117</v>
      </c>
      <c r="F15" s="4" t="s">
        <v>62</v>
      </c>
      <c r="H15" s="4">
        <v>50.108666599999999</v>
      </c>
      <c r="I15" s="4">
        <v>4.9609611999999998</v>
      </c>
      <c r="J15" s="4" t="str">
        <f t="shared" si="0"/>
        <v>location: {lat: 50.1086666, lng: 4.9609612}</v>
      </c>
      <c r="K15" s="4">
        <v>0</v>
      </c>
      <c r="L15" s="4" t="s">
        <v>61</v>
      </c>
      <c r="M15" s="4">
        <v>0</v>
      </c>
      <c r="N15" s="4" t="s">
        <v>114</v>
      </c>
      <c r="O15" s="4">
        <v>1</v>
      </c>
      <c r="P15" s="4">
        <v>0</v>
      </c>
      <c r="Q15" s="4">
        <v>0</v>
      </c>
      <c r="S15" s="4">
        <v>0</v>
      </c>
      <c r="U15" s="4">
        <v>0</v>
      </c>
    </row>
    <row r="16" spans="1:21" s="4" customFormat="1" x14ac:dyDescent="0.25">
      <c r="A16" s="4">
        <v>16</v>
      </c>
      <c r="B16" s="4">
        <v>1</v>
      </c>
      <c r="C16" s="4" t="s">
        <v>116</v>
      </c>
      <c r="F16" s="4" t="s">
        <v>59</v>
      </c>
      <c r="H16" s="4">
        <v>50.538244800000001</v>
      </c>
      <c r="I16" s="4">
        <v>5.7507225999999996</v>
      </c>
      <c r="J16" s="4" t="str">
        <f t="shared" si="0"/>
        <v>location: {lat: 50.5382448, lng: 5.7507226}</v>
      </c>
      <c r="K16" s="4">
        <v>0</v>
      </c>
      <c r="L16" s="4" t="s">
        <v>58</v>
      </c>
      <c r="M16" s="4">
        <v>0</v>
      </c>
      <c r="N16" s="4" t="s">
        <v>114</v>
      </c>
      <c r="O16" s="4">
        <v>1</v>
      </c>
      <c r="P16" s="4">
        <v>0</v>
      </c>
      <c r="Q16" s="4">
        <v>0</v>
      </c>
      <c r="S16" s="4">
        <v>0</v>
      </c>
      <c r="U16" s="4">
        <v>0</v>
      </c>
    </row>
    <row r="17" spans="1:21" s="4" customFormat="1" x14ac:dyDescent="0.25">
      <c r="A17" s="4">
        <v>17</v>
      </c>
      <c r="B17" s="4">
        <v>1</v>
      </c>
      <c r="C17" s="4" t="s">
        <v>115</v>
      </c>
      <c r="F17" s="4" t="s">
        <v>56</v>
      </c>
      <c r="H17" s="4">
        <v>-2.6496097000000001</v>
      </c>
      <c r="I17" s="4">
        <v>29.553281200000001</v>
      </c>
      <c r="J17" s="4" t="str">
        <f t="shared" si="0"/>
        <v>location: {lat: -2.6496097, lng: 29.5532812}</v>
      </c>
      <c r="K17" s="4">
        <v>0</v>
      </c>
      <c r="L17" s="4" t="s">
        <v>60</v>
      </c>
      <c r="M17" s="4">
        <v>0</v>
      </c>
      <c r="N17" s="4" t="s">
        <v>114</v>
      </c>
      <c r="O17" s="4">
        <v>1</v>
      </c>
      <c r="P17" s="4">
        <v>0</v>
      </c>
      <c r="Q17" s="4">
        <v>0</v>
      </c>
      <c r="S17" s="4">
        <v>0</v>
      </c>
      <c r="T17" s="4" t="s">
        <v>93</v>
      </c>
      <c r="U17" s="4">
        <v>0</v>
      </c>
    </row>
    <row r="18" spans="1:21" s="3" customFormat="1" x14ac:dyDescent="0.25">
      <c r="A18" s="3">
        <v>18</v>
      </c>
      <c r="B18" s="3">
        <v>2</v>
      </c>
      <c r="C18" s="3" t="s">
        <v>113</v>
      </c>
      <c r="D18" s="3" t="s">
        <v>112</v>
      </c>
      <c r="F18" s="3" t="s">
        <v>111</v>
      </c>
      <c r="H18" s="3">
        <v>35.728490299999997</v>
      </c>
      <c r="I18" s="3">
        <v>-97.975802000000002</v>
      </c>
      <c r="J18" s="3" t="str">
        <f t="shared" si="0"/>
        <v>location: {lat: 35.7284903, lng: -97.975802}</v>
      </c>
      <c r="K18" s="3">
        <v>0</v>
      </c>
      <c r="L18" s="3" t="s">
        <v>110</v>
      </c>
      <c r="M18" s="3">
        <v>0</v>
      </c>
      <c r="N18" s="3" t="s">
        <v>94</v>
      </c>
      <c r="O18" s="3">
        <v>1</v>
      </c>
      <c r="P18" s="3">
        <v>0</v>
      </c>
      <c r="Q18" s="3">
        <v>0</v>
      </c>
      <c r="S18" s="3">
        <v>0</v>
      </c>
      <c r="T18" s="3" t="s">
        <v>93</v>
      </c>
      <c r="U18" s="3">
        <v>0</v>
      </c>
    </row>
    <row r="19" spans="1:21" s="3" customFormat="1" x14ac:dyDescent="0.25">
      <c r="A19" s="3">
        <v>19</v>
      </c>
      <c r="B19" s="3">
        <v>2</v>
      </c>
      <c r="C19" s="3" t="s">
        <v>109</v>
      </c>
      <c r="D19" s="3" t="s">
        <v>108</v>
      </c>
      <c r="F19" s="3" t="s">
        <v>107</v>
      </c>
      <c r="H19" s="3">
        <v>29.4538449</v>
      </c>
      <c r="I19" s="3">
        <v>-98.544839600000003</v>
      </c>
      <c r="J19" s="3" t="str">
        <f t="shared" si="0"/>
        <v>location: {lat: 29.4538449, lng: -98.5448396}</v>
      </c>
      <c r="K19" s="3">
        <v>0</v>
      </c>
      <c r="L19" s="3" t="s">
        <v>106</v>
      </c>
      <c r="M19" s="3">
        <v>0</v>
      </c>
      <c r="N19" s="3">
        <v>2</v>
      </c>
      <c r="O19" s="3">
        <v>1</v>
      </c>
      <c r="P19" s="3">
        <v>0</v>
      </c>
      <c r="Q19" s="3">
        <v>0</v>
      </c>
      <c r="S19" s="3">
        <v>0</v>
      </c>
      <c r="T19" s="3" t="s">
        <v>93</v>
      </c>
      <c r="U19" s="3">
        <v>0</v>
      </c>
    </row>
    <row r="20" spans="1:21" s="3" customFormat="1" x14ac:dyDescent="0.25">
      <c r="A20" s="3">
        <v>20</v>
      </c>
      <c r="B20" s="3">
        <v>2</v>
      </c>
      <c r="C20" s="3" t="s">
        <v>105</v>
      </c>
      <c r="D20" s="3" t="s">
        <v>104</v>
      </c>
      <c r="F20" s="3" t="s">
        <v>103</v>
      </c>
      <c r="H20" s="3">
        <v>39.679956300000001</v>
      </c>
      <c r="I20" s="3">
        <v>-77.354900599999993</v>
      </c>
      <c r="J20" s="3" t="str">
        <f t="shared" si="0"/>
        <v>location: {lat: 39.6799563, lng: -77.3549006}</v>
      </c>
      <c r="K20" s="3">
        <v>0</v>
      </c>
      <c r="L20" s="3" t="s">
        <v>102</v>
      </c>
      <c r="M20" s="3">
        <v>0</v>
      </c>
      <c r="N20" s="3">
        <v>2</v>
      </c>
      <c r="O20" s="3">
        <v>1</v>
      </c>
      <c r="P20" s="3">
        <v>0</v>
      </c>
      <c r="Q20" s="3">
        <v>0</v>
      </c>
      <c r="S20" s="3">
        <v>0</v>
      </c>
      <c r="T20" s="3" t="s">
        <v>93</v>
      </c>
      <c r="U20" s="3">
        <v>0</v>
      </c>
    </row>
    <row r="21" spans="1:21" s="3" customFormat="1" x14ac:dyDescent="0.25">
      <c r="A21" s="3">
        <v>21</v>
      </c>
      <c r="B21" s="3">
        <v>2</v>
      </c>
      <c r="C21" s="3" t="s">
        <v>101</v>
      </c>
      <c r="D21" s="3" t="s">
        <v>100</v>
      </c>
      <c r="H21" s="3">
        <v>14.6382897</v>
      </c>
      <c r="I21" s="3">
        <v>-91.229068299999994</v>
      </c>
      <c r="J21" s="3" t="str">
        <f t="shared" si="0"/>
        <v>location: {lat: 14.6382897, lng: -91.2290683}</v>
      </c>
      <c r="K21" s="3">
        <v>0</v>
      </c>
      <c r="L21" s="3" t="s">
        <v>99</v>
      </c>
      <c r="M21" s="3">
        <v>0</v>
      </c>
      <c r="N21" s="3" t="s">
        <v>94</v>
      </c>
      <c r="O21" s="3">
        <v>1</v>
      </c>
      <c r="P21" s="3">
        <v>0</v>
      </c>
      <c r="Q21" s="3">
        <v>0</v>
      </c>
      <c r="S21" s="3">
        <v>0</v>
      </c>
      <c r="T21" s="3" t="s">
        <v>93</v>
      </c>
      <c r="U21" s="3">
        <v>0</v>
      </c>
    </row>
    <row r="22" spans="1:21" s="3" customFormat="1" x14ac:dyDescent="0.25">
      <c r="A22" s="3">
        <v>22</v>
      </c>
      <c r="B22" s="3">
        <v>2</v>
      </c>
      <c r="C22" s="3" t="s">
        <v>98</v>
      </c>
      <c r="D22" s="3" t="s">
        <v>97</v>
      </c>
      <c r="F22" s="3" t="s">
        <v>96</v>
      </c>
      <c r="H22" s="3">
        <v>35.375707900000002</v>
      </c>
      <c r="I22" s="3">
        <v>-97.497563099999994</v>
      </c>
      <c r="J22" s="3" t="str">
        <f t="shared" si="0"/>
        <v>location: {lat: 35.3757079, lng: -97.4975631}</v>
      </c>
      <c r="K22" s="3">
        <v>0</v>
      </c>
      <c r="L22" s="3" t="s">
        <v>95</v>
      </c>
      <c r="M22" s="3">
        <v>0</v>
      </c>
      <c r="N22" s="3" t="s">
        <v>94</v>
      </c>
      <c r="O22" s="3">
        <v>1</v>
      </c>
      <c r="P22" s="3">
        <v>0</v>
      </c>
      <c r="Q22" s="3">
        <v>0</v>
      </c>
      <c r="S22" s="3">
        <v>0</v>
      </c>
      <c r="T22" s="3" t="s">
        <v>93</v>
      </c>
      <c r="U22" s="3">
        <v>0</v>
      </c>
    </row>
    <row r="23" spans="1:21" s="3" customFormat="1" x14ac:dyDescent="0.25">
      <c r="C23" s="3" t="s">
        <v>91</v>
      </c>
      <c r="F23" s="3" t="s">
        <v>92</v>
      </c>
      <c r="H23" s="3">
        <v>52.323174663905</v>
      </c>
      <c r="I23" s="3">
        <v>18.358046317017202</v>
      </c>
      <c r="J23" s="3" t="str">
        <f t="shared" si="0"/>
        <v>location: {lat: 52.323174663905, lng: 18.3580463170172}</v>
      </c>
      <c r="L23" s="3" t="s">
        <v>91</v>
      </c>
    </row>
  </sheetData>
  <hyperlinks>
    <hyperlink ref="F6" r:id="rId1" xr:uid="{2B7ACF1B-06D1-4EE4-B0B4-012E349221DB}"/>
    <hyperlink ref="F4" r:id="rId2" xr:uid="{1FC3C313-9847-4AFA-B1EE-9859E1D61C1E}"/>
    <hyperlink ref="F3" r:id="rId3" xr:uid="{4359F612-90AE-45AA-B1A3-0E0C036958CF}"/>
    <hyperlink ref="F2" r:id="rId4" xr:uid="{2BB0D3B8-461C-4646-B5A8-8BCB8C8FCA42}"/>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42FE33-8E3C-4CCA-BACD-45C80E7F4A0D}">
  <sheetPr codeName="Sheet8"/>
  <dimension ref="A1:CP141"/>
  <sheetViews>
    <sheetView tabSelected="1" zoomScale="80" zoomScaleNormal="80" workbookViewId="0">
      <pane xSplit="7" ySplit="5" topLeftCell="H6" activePane="bottomRight" state="frozen"/>
      <selection pane="topRight" activeCell="G1" sqref="G1"/>
      <selection pane="bottomLeft" activeCell="A2" sqref="A2"/>
      <selection pane="bottomRight" activeCell="A6" sqref="A6"/>
    </sheetView>
  </sheetViews>
  <sheetFormatPr defaultColWidth="9.140625" defaultRowHeight="12.75" x14ac:dyDescent="0.25"/>
  <cols>
    <col min="1" max="1" width="12.85546875" style="129" bestFit="1" customWidth="1"/>
    <col min="2" max="2" width="7.85546875" style="7" customWidth="1"/>
    <col min="3" max="3" width="9.85546875" style="7" bestFit="1" customWidth="1"/>
    <col min="4" max="4" width="14.42578125" style="7" customWidth="1"/>
    <col min="5" max="5" width="5.28515625" style="1" customWidth="1"/>
    <col min="6" max="6" width="5.28515625" style="30" customWidth="1"/>
    <col min="7" max="7" width="38.140625" style="7" bestFit="1" customWidth="1"/>
    <col min="8" max="8" width="38.140625" style="33" customWidth="1"/>
    <col min="9" max="9" width="9.42578125" style="7" bestFit="1" customWidth="1"/>
    <col min="10" max="10" width="9.42578125" style="7" customWidth="1"/>
    <col min="11" max="12" width="14.42578125" style="7" customWidth="1"/>
    <col min="13" max="13" width="69" style="7" customWidth="1"/>
    <col min="14" max="14" width="45.5703125" style="33" customWidth="1"/>
    <col min="15" max="15" width="11.42578125" style="1" bestFit="1" customWidth="1"/>
    <col min="16" max="16" width="9.140625" style="1"/>
    <col min="17" max="17" width="11.5703125" style="40" bestFit="1" customWidth="1"/>
    <col min="18" max="18" width="10.28515625" style="1" bestFit="1" customWidth="1"/>
    <col min="19" max="19" width="14.85546875" style="44" bestFit="1" customWidth="1"/>
    <col min="20" max="20" width="11.5703125" style="40" bestFit="1" customWidth="1"/>
    <col min="21" max="21" width="10.28515625" style="1" bestFit="1" customWidth="1"/>
    <col min="22" max="22" width="14.85546875" style="44" bestFit="1" customWidth="1"/>
    <col min="23" max="23" width="11.5703125" style="1" bestFit="1" customWidth="1"/>
    <col min="24" max="24" width="10.28515625" style="1" bestFit="1" customWidth="1"/>
    <col min="25" max="25" width="14.85546875" style="30" bestFit="1" customWidth="1"/>
    <col min="26" max="35" width="18.85546875" style="1" customWidth="1"/>
    <col min="36" max="36" width="36.28515625" style="60" bestFit="1" customWidth="1"/>
    <col min="37" max="37" width="21" style="57" bestFit="1" customWidth="1"/>
    <col min="38" max="38" width="18.42578125" style="1" bestFit="1" customWidth="1"/>
    <col min="39" max="39" width="18.42578125" style="1" customWidth="1"/>
    <col min="40" max="40" width="14.42578125" style="1" bestFit="1" customWidth="1"/>
    <col min="41" max="42" width="14.42578125" style="1" customWidth="1"/>
    <col min="43" max="43" width="14.42578125" style="30" customWidth="1"/>
    <col min="44" max="44" width="4.5703125" style="121" bestFit="1" customWidth="1"/>
    <col min="45" max="45" width="9" style="116" bestFit="1" customWidth="1"/>
    <col min="46" max="46" width="10.28515625" style="117" bestFit="1" customWidth="1"/>
    <col min="47" max="47" width="8.85546875" style="117" bestFit="1" customWidth="1"/>
    <col min="48" max="48" width="8.85546875" style="117" customWidth="1"/>
    <col min="49" max="64" width="9.140625" style="117"/>
    <col min="65" max="72" width="7.140625" style="117" customWidth="1"/>
    <col min="73" max="78" width="9.140625" style="117"/>
    <col min="79" max="79" width="38.7109375" style="6" customWidth="1"/>
    <col min="80" max="80" width="38.7109375" style="14" customWidth="1"/>
    <col min="81" max="81" width="3" style="14" customWidth="1"/>
    <col min="82" max="87" width="12" style="12" customWidth="1"/>
    <col min="88" max="88" width="11.85546875" style="12" bestFit="1" customWidth="1"/>
    <col min="89" max="93" width="11.85546875" style="12" customWidth="1"/>
    <col min="94" max="16384" width="9.140625" style="1"/>
  </cols>
  <sheetData>
    <row r="1" spans="1:93" ht="51" hidden="1" x14ac:dyDescent="0.25">
      <c r="A1" s="129" t="s">
        <v>1651</v>
      </c>
      <c r="B1" s="130" t="s">
        <v>1652</v>
      </c>
      <c r="C1" s="7" t="s">
        <v>1642</v>
      </c>
      <c r="D1" s="148" t="s">
        <v>1756</v>
      </c>
      <c r="E1" s="124" t="s">
        <v>57</v>
      </c>
      <c r="F1" s="125" t="s">
        <v>1635</v>
      </c>
      <c r="G1" s="126" t="s">
        <v>1636</v>
      </c>
      <c r="H1" s="128" t="s">
        <v>1637</v>
      </c>
      <c r="I1" s="126" t="s">
        <v>1638</v>
      </c>
      <c r="J1" s="126" t="s">
        <v>1639</v>
      </c>
      <c r="K1" s="126" t="s">
        <v>1640</v>
      </c>
      <c r="L1" s="126" t="s">
        <v>1641</v>
      </c>
      <c r="M1" s="126" t="s">
        <v>1643</v>
      </c>
      <c r="N1" s="128" t="s">
        <v>1644</v>
      </c>
      <c r="O1" s="124" t="s">
        <v>1645</v>
      </c>
      <c r="P1" s="124" t="s">
        <v>1646</v>
      </c>
      <c r="Q1" s="131" t="s">
        <v>1658</v>
      </c>
      <c r="R1" s="132" t="s">
        <v>1659</v>
      </c>
      <c r="S1" s="133" t="s">
        <v>1660</v>
      </c>
      <c r="T1" s="134" t="s">
        <v>53</v>
      </c>
      <c r="U1" s="135" t="s">
        <v>53</v>
      </c>
      <c r="V1" s="136" t="s">
        <v>53</v>
      </c>
      <c r="W1" s="135" t="s">
        <v>53</v>
      </c>
      <c r="X1" s="135" t="s">
        <v>53</v>
      </c>
      <c r="Y1" s="137" t="s">
        <v>53</v>
      </c>
      <c r="Z1" s="1" t="s">
        <v>1650</v>
      </c>
      <c r="AJ1" s="60" t="s">
        <v>53</v>
      </c>
      <c r="AK1" s="57" t="s">
        <v>53</v>
      </c>
      <c r="AL1" s="1" t="s">
        <v>53</v>
      </c>
      <c r="AM1" s="1" t="s">
        <v>53</v>
      </c>
      <c r="AN1" s="1" t="s">
        <v>53</v>
      </c>
      <c r="AO1" s="1" t="s">
        <v>53</v>
      </c>
      <c r="AP1" s="1" t="s">
        <v>53</v>
      </c>
      <c r="AQ1" s="30" t="s">
        <v>53</v>
      </c>
      <c r="AS1" s="116" t="b">
        <f t="shared" ref="AS1" si="0">IF(OR(A1="Done",A1="In Progress"),TRUE)</f>
        <v>0</v>
      </c>
      <c r="AT1" s="117" t="str">
        <f t="shared" ref="AT1" si="1">"title: """&amp;G1&amp;""""</f>
        <v>title: "Page Title (what will display on website)"</v>
      </c>
      <c r="AU1" s="117" t="str">
        <f t="shared" ref="AU1" si="2">"location: {lat: "&amp;E1&amp;", lng: "&amp;F1&amp;"}"</f>
        <v>location: {lat: Lat, lng: Lon}</v>
      </c>
      <c r="AV1" s="117" t="str">
        <f t="shared" ref="AV1" si="3">"interest: "&amp;I1</f>
        <v>interest: Interest Level</v>
      </c>
      <c r="AW1" s="117" t="e">
        <f>"- "&amp;VLOOKUP(C1,'Country Tags'!C:E,3,)</f>
        <v>#N/A</v>
      </c>
      <c r="AX1" s="117" t="str">
        <f t="shared" ref="AX1" si="4">IF(LEN(D1)&gt;1,"- "&amp;LOWER(SUBSTITUTE(D1," ","-")),"")</f>
        <v>- diocese-(optional)</v>
      </c>
      <c r="AY1" s="117" t="e">
        <f t="shared" ref="AY1" si="5">IF(J1,"- churches","")</f>
        <v>#VALUE!</v>
      </c>
      <c r="AZ1" s="117" t="e">
        <f t="shared" ref="AZ1" si="6">IF(K1,"- marian-sites","")</f>
        <v>#VALUE!</v>
      </c>
      <c r="BA1" s="117" t="e">
        <f t="shared" ref="BA1" si="7">IF(L1,"- holy-persons","")</f>
        <v>#VALUE!</v>
      </c>
      <c r="BB1" s="117" t="str">
        <f t="shared" ref="BB1" si="8">IF(LEN(Z1)&gt;0,"- "&amp;Z1,"")</f>
        <v>- Additional Tags (must add to tag sheet)</v>
      </c>
      <c r="BC1" s="117" t="str">
        <f t="shared" ref="BC1" si="9">IF(LEN(AA1)&gt;0,"- "&amp;AA1,"")</f>
        <v/>
      </c>
      <c r="BD1" s="117" t="str">
        <f t="shared" ref="BD1" si="10">IF(LEN(AB1)&gt;0,"- "&amp;AB1,"")</f>
        <v/>
      </c>
      <c r="BE1" s="117" t="str">
        <f t="shared" ref="BE1" si="11">IF(LEN(AC1)&gt;0,"- "&amp;AC1,"")</f>
        <v/>
      </c>
      <c r="BF1" s="117" t="str">
        <f t="shared" ref="BF1" si="12">IF(LEN(AD1)&gt;0,"- "&amp;AD1,"")</f>
        <v/>
      </c>
      <c r="BG1" s="117" t="str">
        <f t="shared" ref="BG1" si="13">IF(LEN(AE1)&gt;0,"- "&amp;AE1,"")</f>
        <v/>
      </c>
      <c r="BH1" s="117" t="str">
        <f t="shared" ref="BH1" si="14">IF(LEN(AF1)&gt;0,"- "&amp;AF1,"")</f>
        <v/>
      </c>
      <c r="BI1" s="117" t="str">
        <f t="shared" ref="BI1" si="15">IF(LEN(AG1)&gt;0,"- "&amp;AG1,"")</f>
        <v/>
      </c>
      <c r="BJ1" s="117" t="str">
        <f t="shared" ref="BJ1" si="16">IF(LEN(AH1)&gt;0,"- "&amp;AH1,"")</f>
        <v/>
      </c>
      <c r="BK1" s="117" t="str">
        <f t="shared" ref="BK1" si="17">IF(LEN(AI1)&gt;0,"- "&amp;AI1,"")</f>
        <v/>
      </c>
      <c r="BL1" s="117" t="e">
        <f t="shared" ref="BL1" si="18">"tags:"&amp;CHAR(10)&amp;concatl(AW1:BK1)</f>
        <v>#VALUE!</v>
      </c>
      <c r="BM1" s="117" t="str">
        <f t="shared" ref="BM1" si="19">IF(LEN(O1)&gt;0,TRIM(CONCATENATE("[Official site](",O1,") ",IF(LEN(P1)&gt;0,"- "&amp;P1,P1))),"")</f>
        <v>[Official site](Official URL) - Comment</v>
      </c>
      <c r="BN1" s="117" t="str">
        <f t="shared" ref="BN1" si="20">IF(LEN(R1)&gt;0,TRIM(CONCATENATE("["&amp;Q1&amp;"](",R1,") ",IF(LEN(S1)&gt;0,"- "&amp;S1,S1))),"")</f>
        <v>[Link Name](Link URL) - Link Comment</v>
      </c>
      <c r="BO1" s="117" t="str">
        <f t="shared" ref="BO1" si="21">IF(LEN(U1)&gt;0,TRIM(CONCATENATE("["&amp;T1&amp;"](",U1,") ",IF(LEN(V1)&gt;0,"- "&amp;V1,V1))),"")</f>
        <v/>
      </c>
      <c r="BP1" s="117" t="str">
        <f t="shared" ref="BP1" si="22">IF(LEN(X1)&gt;0,TRIM(CONCATENATE("["&amp;W1&amp;"](",X1,") ",IF(LEN(Y1)&gt;0,"- "&amp;Y1,Y1))),"")</f>
        <v/>
      </c>
      <c r="BQ1" s="117" t="str">
        <f t="shared" ref="BQ1" si="23">IF(LEN(BM1)&gt;0,"* "&amp;BM1&amp;CHAR(10),"")&amp;
IF(LEN(BN1)&gt;0,"* "&amp;BN1&amp;CHAR(10),"")&amp;
IF(LEN(BO1)&gt;0,"* "&amp;BO1&amp;CHAR(10),"")&amp;
IF(LEN(BP1)&gt;0,"* "&amp;BP1&amp;CHAR(10),"")</f>
        <v xml:space="preserve">* [Official site](Official URL) - Comment
* [Link Name](Link URL) - Link Comment
</v>
      </c>
      <c r="BR1" s="117" t="str">
        <f t="shared" ref="BR1" si="24">IF(LEN(AL1)&gt;0,TRIM(CONCATENATE("[Link](",AL1,") ",AM1)),"")</f>
        <v/>
      </c>
      <c r="BS1" s="117" t="str">
        <f t="shared" ref="BS1" si="25">IF(LEN(AN1)&gt;0,TRIM(CONCATENATE("[Link](",AN1,") ",AO1)),"")</f>
        <v/>
      </c>
      <c r="BT1" s="117" t="str">
        <f t="shared" ref="BT1" si="26">IF(LEN(AP1)&gt;0,TRIM(CONCATENATE("[Link](",AP1,") ",AQ1)),"")</f>
        <v/>
      </c>
      <c r="BU1" s="117" t="str">
        <f>IF(LEN(concat(BR1:BT1))&gt;0,concat("| ",BR1," | ",BS1," | ",BT1," |"),"")</f>
        <v/>
      </c>
      <c r="BV1" s="117" t="e">
        <f t="shared" ref="BV1" si="27">IF(K1,concatl("| The Real Presence | Miracle Hunter | MaryPages |","| --- | --- | --- |",BU1),"")</f>
        <v>#VALUE!</v>
      </c>
      <c r="BW1" s="117" t="e">
        <f>IF(LEN(BQ1&amp;BV1)&gt;0,concatll("#### More Information",BQ1,BV1),"")</f>
        <v>#VALUE!</v>
      </c>
      <c r="BX1" s="117" t="str">
        <f>IF(LEN(N1)&gt;1,concatll("#### Author's Note",N1,"-"&amp;B1),"")</f>
        <v xml:space="preserve">#### Author's Note_x000D_
_x000D_
Non-referenceable information which you've found, or any other opinions/preferences_x000D_
_x000D_
-Your Initials_x000D_
_x000D_
</v>
      </c>
      <c r="BY1" s="120" t="s">
        <v>53</v>
      </c>
      <c r="BZ1" s="120" t="s">
        <v>53</v>
      </c>
      <c r="CA1" s="6" t="str">
        <f>IF(AS1,concatll(concatl("---",AT1:AV1,BL1,"---"),M1,BW1:BX1),"")</f>
        <v/>
      </c>
      <c r="CB1" s="14" t="str">
        <f>IF(AS1,"places\"&amp;VLOOKUP(C1,'Country Tags'!C:D,2,)&amp;IF(LEN(D1)&gt;1,"-"&amp;LOWER(SUBSTITUTE(D1," ","-")),"")&amp;"-"&amp;LOWER(SUBSTITUTE(SUBSTITUTE(H1," ","-"),".",""))&amp;".md","")</f>
        <v/>
      </c>
      <c r="CD1" s="12" t="e">
        <f>IF(LEN(Z1)&gt;1,VLOOKUP(Z1,#REF!,2,),"")</f>
        <v>#REF!</v>
      </c>
      <c r="CE1" s="12" t="str">
        <f>IF(LEN(AA1)&gt;1,VLOOKUP(AA1,#REF!,2,),"")</f>
        <v/>
      </c>
      <c r="CF1" s="12" t="str">
        <f>IF(LEN(AB1)&gt;1,VLOOKUP(AB1,#REF!,2,),"")</f>
        <v/>
      </c>
      <c r="CG1" s="12" t="e">
        <f>IF(LEN(Z1)&gt;1,GetTagPage(CD1,Z1),"")</f>
        <v>#VALUE!</v>
      </c>
      <c r="CH1" s="12" t="str">
        <f>IF(LEN(AA1)&gt;1,GetTagPage(CE1,AA1),"")</f>
        <v/>
      </c>
      <c r="CI1" s="12" t="str">
        <f>IF(LEN(AB1)&gt;1,GetTagPage(CF1,AB1),"")</f>
        <v/>
      </c>
      <c r="CJ1" s="12" t="e">
        <f t="shared" ref="CJ1" si="28">"|"&amp;IF(LEN(CG1)&gt;1," "&amp;CG1,"")&amp;IF(LEN(CH1)&gt;1,", "&amp;CH1,"")&amp;IF(LEN(CI1)&gt;1,", "&amp;CI1,"")&amp;" "</f>
        <v>#VALUE!</v>
      </c>
      <c r="CK1" s="12" t="str">
        <f t="shared" ref="CK1" si="29">"| "&amp;IF(AS1,"["&amp;AJ1&amp;"](/places/"&amp;SUBSTITUTE(CB1,".md","")&amp;")",AJ1)&amp;" "</f>
        <v xml:space="preserve">|  </v>
      </c>
      <c r="CL1" s="12" t="str">
        <f>"| "&amp;IF(AS1,GetTagPage(C1,VLOOKUP(C1,'Country Tags'!C:E,3,)),C1)&amp; " "</f>
        <v xml:space="preserve">| Country Name </v>
      </c>
      <c r="CM1" s="12" t="str">
        <f t="shared" ref="CM1" si="30">"| "&amp;AK1&amp;" "</f>
        <v xml:space="preserve">|  </v>
      </c>
      <c r="CN1" s="12" t="str">
        <f t="shared" ref="CN1" si="31">"|"&amp;IF(AS1," [Link](/places/"&amp;SUBSTITUTE(CB1,".md","")&amp;")","")&amp;" "</f>
        <v xml:space="preserve">| </v>
      </c>
      <c r="CO1" s="12" t="e">
        <f t="shared" ref="CO1" si="32">"
"&amp;CK1&amp;CL1&amp;CM1&amp;CN1&amp;BM1&amp;BR1&amp;BS1&amp;BT1&amp;CJ1&amp;"|"</f>
        <v>#VALUE!</v>
      </c>
    </row>
    <row r="2" spans="1:93" x14ac:dyDescent="0.25">
      <c r="Y2" s="125"/>
    </row>
    <row r="5" spans="1:93" s="47" customFormat="1" ht="26.25" thickBot="1" x14ac:dyDescent="0.3">
      <c r="A5" s="108" t="s">
        <v>787</v>
      </c>
      <c r="B5" s="108" t="s">
        <v>1656</v>
      </c>
      <c r="C5" s="108" t="s">
        <v>200</v>
      </c>
      <c r="D5" s="108" t="s">
        <v>1828</v>
      </c>
      <c r="E5" s="107" t="s">
        <v>1661</v>
      </c>
      <c r="F5" s="109" t="s">
        <v>1662</v>
      </c>
      <c r="G5" s="108" t="s">
        <v>440</v>
      </c>
      <c r="H5" s="110" t="s">
        <v>441</v>
      </c>
      <c r="I5" s="108" t="s">
        <v>1620</v>
      </c>
      <c r="J5" s="108" t="s">
        <v>974</v>
      </c>
      <c r="K5" s="108" t="s">
        <v>948</v>
      </c>
      <c r="L5" s="108" t="s">
        <v>938</v>
      </c>
      <c r="M5" s="108" t="s">
        <v>10</v>
      </c>
      <c r="N5" s="110" t="s">
        <v>84</v>
      </c>
      <c r="O5" s="107" t="s">
        <v>959</v>
      </c>
      <c r="P5" s="107" t="s">
        <v>956</v>
      </c>
      <c r="Q5" s="111" t="s">
        <v>957</v>
      </c>
      <c r="R5" s="107" t="s">
        <v>958</v>
      </c>
      <c r="S5" s="112" t="s">
        <v>1647</v>
      </c>
      <c r="T5" s="111" t="s">
        <v>960</v>
      </c>
      <c r="U5" s="107" t="s">
        <v>961</v>
      </c>
      <c r="V5" s="112" t="s">
        <v>1648</v>
      </c>
      <c r="W5" s="107" t="s">
        <v>962</v>
      </c>
      <c r="X5" s="107" t="s">
        <v>963</v>
      </c>
      <c r="Y5" s="109" t="s">
        <v>1649</v>
      </c>
      <c r="Z5" s="107" t="s">
        <v>874</v>
      </c>
      <c r="AA5" s="107" t="s">
        <v>876</v>
      </c>
      <c r="AB5" s="107" t="s">
        <v>878</v>
      </c>
      <c r="AC5" s="107" t="s">
        <v>949</v>
      </c>
      <c r="AD5" s="107" t="s">
        <v>950</v>
      </c>
      <c r="AE5" s="107" t="s">
        <v>951</v>
      </c>
      <c r="AF5" s="107" t="s">
        <v>952</v>
      </c>
      <c r="AG5" s="107" t="s">
        <v>953</v>
      </c>
      <c r="AH5" s="107" t="s">
        <v>954</v>
      </c>
      <c r="AI5" s="107" t="s">
        <v>955</v>
      </c>
      <c r="AJ5" s="113" t="s">
        <v>948</v>
      </c>
      <c r="AK5" s="114" t="s">
        <v>8</v>
      </c>
      <c r="AL5" s="107" t="s">
        <v>50</v>
      </c>
      <c r="AM5" s="107" t="s">
        <v>790</v>
      </c>
      <c r="AN5" s="107" t="s">
        <v>52</v>
      </c>
      <c r="AO5" s="107" t="s">
        <v>791</v>
      </c>
      <c r="AP5" s="107" t="s">
        <v>65</v>
      </c>
      <c r="AQ5" s="109" t="s">
        <v>792</v>
      </c>
      <c r="AR5" s="122" t="s">
        <v>53</v>
      </c>
      <c r="AS5" s="118" t="s">
        <v>903</v>
      </c>
      <c r="AT5" s="119" t="s">
        <v>706</v>
      </c>
      <c r="AU5" s="119" t="s">
        <v>9</v>
      </c>
      <c r="AV5" s="119" t="s">
        <v>1620</v>
      </c>
      <c r="AW5" s="119" t="s">
        <v>978</v>
      </c>
      <c r="AX5" s="119" t="s">
        <v>979</v>
      </c>
      <c r="AY5" s="119" t="s">
        <v>977</v>
      </c>
      <c r="AZ5" s="119" t="s">
        <v>975</v>
      </c>
      <c r="BA5" s="119" t="s">
        <v>976</v>
      </c>
      <c r="BB5" s="119" t="s">
        <v>964</v>
      </c>
      <c r="BC5" s="119" t="s">
        <v>965</v>
      </c>
      <c r="BD5" s="119" t="s">
        <v>966</v>
      </c>
      <c r="BE5" s="119" t="s">
        <v>967</v>
      </c>
      <c r="BF5" s="119" t="s">
        <v>968</v>
      </c>
      <c r="BG5" s="119" t="s">
        <v>969</v>
      </c>
      <c r="BH5" s="119" t="s">
        <v>970</v>
      </c>
      <c r="BI5" s="119" t="s">
        <v>971</v>
      </c>
      <c r="BJ5" s="119" t="s">
        <v>972</v>
      </c>
      <c r="BK5" s="119" t="s">
        <v>973</v>
      </c>
      <c r="BL5" s="119" t="s">
        <v>55</v>
      </c>
      <c r="BM5" s="119" t="s">
        <v>708</v>
      </c>
      <c r="BN5" s="119" t="s">
        <v>983</v>
      </c>
      <c r="BO5" s="119" t="s">
        <v>984</v>
      </c>
      <c r="BP5" s="119" t="s">
        <v>985</v>
      </c>
      <c r="BQ5" s="119" t="s">
        <v>990</v>
      </c>
      <c r="BR5" s="119" t="s">
        <v>982</v>
      </c>
      <c r="BS5" s="119" t="s">
        <v>7</v>
      </c>
      <c r="BT5" s="119" t="s">
        <v>335</v>
      </c>
      <c r="BU5" s="119" t="s">
        <v>986</v>
      </c>
      <c r="BV5" s="119" t="s">
        <v>981</v>
      </c>
      <c r="BW5" s="119" t="s">
        <v>1428</v>
      </c>
      <c r="BX5" s="119" t="s">
        <v>980</v>
      </c>
      <c r="BY5" s="138" t="s">
        <v>53</v>
      </c>
      <c r="BZ5" s="138" t="s">
        <v>53</v>
      </c>
      <c r="CA5" s="50" t="s">
        <v>987</v>
      </c>
      <c r="CB5" s="49" t="s">
        <v>699</v>
      </c>
      <c r="CC5" s="49"/>
      <c r="CD5" s="48" t="s">
        <v>875</v>
      </c>
      <c r="CE5" s="48" t="s">
        <v>877</v>
      </c>
      <c r="CF5" s="48" t="s">
        <v>879</v>
      </c>
      <c r="CG5" s="48" t="s">
        <v>897</v>
      </c>
      <c r="CH5" s="48" t="s">
        <v>898</v>
      </c>
      <c r="CI5" s="48" t="s">
        <v>899</v>
      </c>
      <c r="CJ5" s="48" t="s">
        <v>896</v>
      </c>
      <c r="CK5" s="48" t="s">
        <v>901</v>
      </c>
      <c r="CL5" s="48" t="s">
        <v>902</v>
      </c>
      <c r="CM5" s="48" t="s">
        <v>904</v>
      </c>
      <c r="CN5" s="48" t="s">
        <v>905</v>
      </c>
      <c r="CO5" s="48" t="s">
        <v>900</v>
      </c>
    </row>
    <row r="6" spans="1:93" ht="89.25" x14ac:dyDescent="0.25">
      <c r="A6" s="129" t="s">
        <v>786</v>
      </c>
      <c r="B6" s="130" t="s">
        <v>1653</v>
      </c>
      <c r="C6" s="7" t="s">
        <v>215</v>
      </c>
      <c r="E6" s="1">
        <v>-34.564198513371799</v>
      </c>
      <c r="F6" s="30">
        <v>-59.121408231421597</v>
      </c>
      <c r="G6" s="15" t="s">
        <v>862</v>
      </c>
      <c r="H6" s="37" t="s">
        <v>862</v>
      </c>
      <c r="I6" s="15" t="s">
        <v>919</v>
      </c>
      <c r="J6" s="23" t="b">
        <v>1</v>
      </c>
      <c r="K6" s="7" t="b">
        <v>1</v>
      </c>
      <c r="M6" s="28" t="s">
        <v>989</v>
      </c>
      <c r="O6" s="1" t="s">
        <v>863</v>
      </c>
      <c r="P6" s="1" t="s">
        <v>53</v>
      </c>
      <c r="Z6" s="1" t="s">
        <v>53</v>
      </c>
      <c r="AJ6" s="56" t="s">
        <v>767</v>
      </c>
      <c r="AK6" s="57" t="s">
        <v>758</v>
      </c>
      <c r="AL6" s="1" t="s">
        <v>24</v>
      </c>
      <c r="AM6" s="1" t="s">
        <v>53</v>
      </c>
      <c r="AN6" s="1" t="s">
        <v>864</v>
      </c>
      <c r="AO6" s="17" t="s">
        <v>865</v>
      </c>
      <c r="AP6" s="1" t="s">
        <v>53</v>
      </c>
      <c r="AQ6" s="30" t="s">
        <v>53</v>
      </c>
      <c r="AS6" s="116" t="b">
        <f t="shared" ref="AS6:AS37" si="33">IF(OR(A6="Done",A6="In Progress"),TRUE)</f>
        <v>1</v>
      </c>
      <c r="AT6" s="117" t="str">
        <f t="shared" ref="AT6:AT37" si="34">"title: """&amp;G6&amp;""""</f>
        <v>title: "Basilica of Our Lady of Lujan"</v>
      </c>
      <c r="AU6" s="117" t="str">
        <f t="shared" ref="AU6:AU37" si="35">"location: {lat: "&amp;E6&amp;", lng: "&amp;F6&amp;"}"</f>
        <v>location: {lat: -34.5641985133718, lng: -59.1214082314216}</v>
      </c>
      <c r="AV6" s="117" t="str">
        <f t="shared" ref="AV6:AV37" si="36">"interest: "&amp;I6</f>
        <v>interest: global</v>
      </c>
      <c r="AW6" s="117" t="str">
        <f>"- "&amp;VLOOKUP(C6,'Country Tags'!C:E,3,)</f>
        <v>- ar</v>
      </c>
      <c r="AX6" s="117" t="str">
        <f t="shared" ref="AX6:AX37" si="37">IF(LEN(D6)&gt;1,"- "&amp;LOWER(SUBSTITUTE(D6," ","-")),"")</f>
        <v/>
      </c>
      <c r="AY6" s="117" t="str">
        <f t="shared" ref="AY6:AY37" si="38">IF(J6,"- churches","")</f>
        <v>- churches</v>
      </c>
      <c r="AZ6" s="117" t="str">
        <f t="shared" ref="AZ6:AZ37" si="39">IF(K6,"- marian-sites","")</f>
        <v>- marian-sites</v>
      </c>
      <c r="BA6" s="117" t="str">
        <f t="shared" ref="BA6:BA37" si="40">IF(L6,"- holy-persons","")</f>
        <v/>
      </c>
      <c r="BB6" s="117" t="str">
        <f t="shared" ref="BB6:BB37" si="41">IF(LEN(Z6)&gt;0,"- "&amp;Z6,"")</f>
        <v/>
      </c>
      <c r="BC6" s="117" t="str">
        <f t="shared" ref="BC6:BC37" si="42">IF(LEN(AA6)&gt;0,"- "&amp;AA6,"")</f>
        <v/>
      </c>
      <c r="BD6" s="117" t="str">
        <f t="shared" ref="BD6:BD37" si="43">IF(LEN(AB6)&gt;0,"- "&amp;AB6,"")</f>
        <v/>
      </c>
      <c r="BE6" s="117" t="str">
        <f t="shared" ref="BE6:BE37" si="44">IF(LEN(AC6)&gt;0,"- "&amp;AC6,"")</f>
        <v/>
      </c>
      <c r="BF6" s="117" t="str">
        <f t="shared" ref="BF6:BF37" si="45">IF(LEN(AD6)&gt;0,"- "&amp;AD6,"")</f>
        <v/>
      </c>
      <c r="BG6" s="117" t="str">
        <f t="shared" ref="BG6:BG37" si="46">IF(LEN(AE6)&gt;0,"- "&amp;AE6,"")</f>
        <v/>
      </c>
      <c r="BH6" s="117" t="str">
        <f t="shared" ref="BH6:BH37" si="47">IF(LEN(AF6)&gt;0,"- "&amp;AF6,"")</f>
        <v/>
      </c>
      <c r="BI6" s="117" t="str">
        <f t="shared" ref="BI6:BI37" si="48">IF(LEN(AG6)&gt;0,"- "&amp;AG6,"")</f>
        <v/>
      </c>
      <c r="BJ6" s="117" t="str">
        <f t="shared" ref="BJ6:BJ37" si="49">IF(LEN(AH6)&gt;0,"- "&amp;AH6,"")</f>
        <v/>
      </c>
      <c r="BK6" s="117" t="str">
        <f t="shared" ref="BK6:BK37" si="50">IF(LEN(AI6)&gt;0,"- "&amp;AI6,"")</f>
        <v/>
      </c>
      <c r="BL6" s="117" t="str">
        <f t="shared" ref="BL6:BL37" si="51">"tags:"&amp;CHAR(10)&amp;concatl(AW6:BK6)</f>
        <v xml:space="preserve">tags:
- ar_x000D_
- churches_x000D_
- marian-sites_x000D_
</v>
      </c>
      <c r="BM6" s="120" t="str">
        <f>IF(LEN(O6)&gt;0,TRIM(CONCATENATE("[Official site](",O6,") ",IF(LEN(P6)&gt;0,"- "&amp;P6,P6))),"")</f>
        <v>[Official site](https://santuariodelujan.org.ar/)</v>
      </c>
      <c r="BN6" s="120" t="str">
        <f>IF(LEN(R6)&gt;0,TRIM(CONCATENATE("["&amp;Q6&amp;"](",R6,") ",IF(LEN(S6)&gt;0,"- "&amp;S6,S6))),"")</f>
        <v/>
      </c>
      <c r="BO6" s="120" t="str">
        <f>IF(LEN(U6)&gt;0,TRIM(CONCATENATE("["&amp;T6&amp;"](",U6,") ",IF(LEN(V6)&gt;0,"- "&amp;V6,V6))),"")</f>
        <v/>
      </c>
      <c r="BP6" s="120" t="str">
        <f>IF(LEN(X6)&gt;0,TRIM(CONCATENATE("["&amp;W6&amp;"](",X6,") ",IF(LEN(Y6)&gt;0,"- "&amp;Y6,Y6))),"")</f>
        <v/>
      </c>
      <c r="BQ6" s="120" t="str">
        <f t="shared" ref="BQ6:BQ37" si="52">IF(LEN(BM6)&gt;0,"* "&amp;BM6&amp;CHAR(10),"")&amp;
IF(LEN(BN6)&gt;0,"* "&amp;BN6&amp;CHAR(10),"")&amp;
IF(LEN(BO6)&gt;0,"* "&amp;BO6&amp;CHAR(10),"")&amp;
IF(LEN(BP6)&gt;0,"* "&amp;BP6&amp;CHAR(10),"")</f>
        <v xml:space="preserve">* [Official site](https://santuariodelujan.org.ar/)
</v>
      </c>
      <c r="BR6" s="120" t="str">
        <f t="shared" ref="BR6:BR37" si="53">IF(LEN(AL6)&gt;0,TRIM(CONCATENATE("[Link](",AL6,") ",AM6)),"")</f>
        <v>[Link](http://www.therealpresence.org/eucharst/misc/BVM/112_LUJAN_96x96.pdf)</v>
      </c>
      <c r="BS6" s="120" t="str">
        <f t="shared" ref="BS6:BS37" si="54">IF(LEN(AN6)&gt;0,TRIM(CONCATENATE("[Link](",AN6,") ",AO6)),"")</f>
        <v>[Link](http://www.miraclehunter.com/miraculous_images/icons_1600-1699.html) (Search "Lujan")</v>
      </c>
      <c r="BT6" s="120" t="str">
        <f t="shared" ref="BT6:BT37" si="55">IF(LEN(AP6)&gt;0,TRIM(CONCATENATE("[Link](",AP6,") ",AQ6)),"")</f>
        <v/>
      </c>
      <c r="BU6" s="120" t="str">
        <f>IF(LEN(concat(BR6:BT6))&gt;0,concat("| ",BR6," | ",BS6," | ",BT6," |"),"")</f>
        <v>| [Link](http://www.therealpresence.org/eucharst/misc/BVM/112_LUJAN_96x96.pdf) | [Link](http://www.miraclehunter.com/miraculous_images/icons_1600-1699.html) (Search "Lujan") |  |</v>
      </c>
      <c r="BV6" s="117" t="str">
        <f t="shared" ref="BV6:BV37" si="56">IF(K6,concatl("| The Real Presence | Miracle Hunter | MaryPages |","| --- | --- | --- |",BU6),"")</f>
        <v xml:space="preserve">| The Real Presence | Miracle Hunter | MaryPages |_x000D_
| --- | --- | --- |_x000D_
| [Link](http://www.therealpresence.org/eucharst/misc/BVM/112_LUJAN_96x96.pdf) | [Link](http://www.miraclehunter.com/miraculous_images/icons_1600-1699.html) (Search "Lujan") |  |_x000D_
</v>
      </c>
      <c r="BW6" s="117" t="str">
        <f>IF(LEN(BQ6&amp;BV6)&gt;0,concatll("#### More Information",BQ6,BV6),"")</f>
        <v xml:space="preserve">#### More Information_x000D_
_x000D_
* [Official site](https://santuariodelujan.org.ar/)
_x000D_
_x000D_
| The Real Presence | Miracle Hunter | MaryPages |_x000D_
| --- | --- | --- |_x000D_
| [Link](http://www.therealpresence.org/eucharst/misc/BVM/112_LUJAN_96x96.pdf) | [Link](http://www.miraclehunter.com/miraculous_images/icons_1600-1699.html) (Search "Lujan") |  |_x000D_
_x000D_
_x000D_
</v>
      </c>
      <c r="BX6" s="117" t="str">
        <f>IF(LEN(N6)&gt;1,concatll("#### Author's Note",N6,"-"&amp;B6),"")</f>
        <v/>
      </c>
      <c r="BY6" s="117" t="s">
        <v>53</v>
      </c>
      <c r="BZ6" s="120" t="s">
        <v>53</v>
      </c>
      <c r="CA6" s="6" t="str">
        <f>IF(AS6,concatll(concatl("---",AT6:AV6,BL6,"---"),M6,BW6:BX6),"")</f>
        <v xml:space="preserve">---_x000D_
title: "Basilica of Our Lady of Lujan"_x000D_
location: {lat: -34.5641985133718, lng: -59.1214082314216}_x000D_
interest: global_x000D_
tags:
- ar_x000D_
- churches_x000D_
- marian-sites_x000D_
_x000D_
---_x000D_
_x000D_
_x000D_
In 1630, a statue of the Immaculate Conception was being transported inland when its couriers overnighted near the Lujan River.  The following morning, the wagon become unexplainably heavy and immovable until the statue was unloaded.  Interpreting this as a sign, the patron and drivers left the statue there, where a chapel was built for pilgrims.  Over time and with many healings, Lujan has become one of the most frequented pilgrimage destinations in the world._x000D_
_x000D_
#### More Information_x000D_
_x000D_
* [Official site](https://santuariodelujan.org.ar/)
_x000D_
_x000D_
| The Real Presence | Miracle Hunter | MaryPages |_x000D_
| --- | --- | --- |_x000D_
| [Link](http://www.therealpresence.org/eucharst/misc/BVM/112_LUJAN_96x96.pdf) | [Link](http://www.miraclehunter.com/miraculous_images/icons_1600-1699.html) (Search "Lujan") |  |_x000D_
_x000D_
_x000D_
_x000D_
_x000D_
</v>
      </c>
      <c r="CB6" s="6" t="str">
        <f>IF(AS6,"places\"&amp;VLOOKUP(C6,'Country Tags'!C:D,2,)&amp;IF(LEN(D6)&gt;1,"-"&amp;LOWER(SUBSTITUTE(D6," ","-")),"")&amp;"-"&amp;LOWER(SUBSTITUTE(SUBSTITUTE(H6," ","-"),".",""))&amp;".md","")</f>
        <v>places\ar-basilica-of-our-lady-of-lujan.md</v>
      </c>
      <c r="CC6" s="6"/>
      <c r="CD6" s="12" t="str">
        <f>IF(LEN(Z6)&gt;1,VLOOKUP(Z6,#REF!,2,),"")</f>
        <v/>
      </c>
      <c r="CE6" s="12" t="str">
        <f>IF(LEN(AA6)&gt;1,VLOOKUP(AA6,#REF!,2,),"")</f>
        <v/>
      </c>
      <c r="CF6" s="12" t="str">
        <f>IF(LEN(AB6)&gt;1,VLOOKUP(AB6,#REF!,2,),"")</f>
        <v/>
      </c>
      <c r="CG6" s="13" t="str">
        <f>IF(LEN(Z6)&gt;1,GetTagPage(CD6,Z6),"")</f>
        <v/>
      </c>
      <c r="CH6" s="13" t="str">
        <f>IF(LEN(AA6)&gt;1,GetTagPage(CE6,AA6),"")</f>
        <v/>
      </c>
      <c r="CI6" s="13" t="str">
        <f>IF(LEN(AB6)&gt;1,GetTagPage(CF6,AB6),"")</f>
        <v/>
      </c>
      <c r="CJ6" s="13" t="str">
        <f t="shared" ref="CJ6:CJ37" si="57">"|"&amp;IF(LEN(CG6)&gt;1," "&amp;CG6,"")&amp;IF(LEN(CH6)&gt;1,", "&amp;CH6,"")&amp;IF(LEN(CI6)&gt;1,", "&amp;CI6,"")&amp;" "</f>
        <v xml:space="preserve">| </v>
      </c>
      <c r="CK6" s="13" t="str">
        <f t="shared" ref="CK6:CK37" si="58">"| "&amp;IF(AS6,"["&amp;AJ6&amp;"](/places/"&amp;SUBSTITUTE(CB6,".md","")&amp;")",AJ6)&amp;" "</f>
        <v xml:space="preserve">| [Luján](/places/places\ar-basilica-of-our-lady-of-lujan) </v>
      </c>
      <c r="CL6" s="13" t="str">
        <f>"| "&amp;IF(AS6,GetTagPage(C6,VLOOKUP(C6,'Country Tags'!C:E,3,)),C6)&amp; " "</f>
        <v xml:space="preserve">| [Argentina](/tags/ar) </v>
      </c>
      <c r="CM6" s="13" t="str">
        <f t="shared" ref="CM6:CM37" si="59">"| "&amp;AK6&amp;" "</f>
        <v xml:space="preserve">| 17th Century </v>
      </c>
      <c r="CN6" s="13" t="str">
        <f t="shared" ref="CN6:CN37" si="60">"|"&amp;IF(AS6," [Link](/places/"&amp;SUBSTITUTE(CB6,".md","")&amp;")","")&amp;" "</f>
        <v xml:space="preserve">| [Link](/places/places\ar-basilica-of-our-lady-of-lujan) </v>
      </c>
      <c r="CO6" s="12" t="str">
        <f t="shared" ref="CO6:CO37" si="61">"
"&amp;CK6&amp;CL6&amp;CM6&amp;CN6&amp;BM6&amp;BR6&amp;BS6&amp;BT6&amp;CJ6&amp;"|"</f>
        <v xml:space="preserve">
| [Luján](/places/places\ar-basilica-of-our-lady-of-lujan) | [Argentina](/tags/ar) | 17th Century | [Link](/places/places\ar-basilica-of-our-lady-of-lujan) [Official site](https://santuariodelujan.org.ar/)[Link](http://www.therealpresence.org/eucharst/misc/BVM/112_LUJAN_96x96.pdf)[Link](http://www.miraclehunter.com/miraculous_images/icons_1600-1699.html) (Search "Lujan")| |</v>
      </c>
    </row>
    <row r="7" spans="1:93" ht="25.5" x14ac:dyDescent="0.25">
      <c r="A7" s="129" t="s">
        <v>786</v>
      </c>
      <c r="B7" s="130" t="s">
        <v>1654</v>
      </c>
      <c r="C7" s="55" t="s">
        <v>224</v>
      </c>
      <c r="D7" s="55" t="s">
        <v>1000</v>
      </c>
      <c r="E7" s="1">
        <v>50.847874450660399</v>
      </c>
      <c r="F7" s="30">
        <v>4.35897312161425</v>
      </c>
      <c r="G7" s="55" t="s">
        <v>998</v>
      </c>
      <c r="H7" s="61" t="s">
        <v>1004</v>
      </c>
      <c r="I7" s="55" t="s">
        <v>941</v>
      </c>
      <c r="J7" s="7" t="b">
        <v>1</v>
      </c>
      <c r="M7" s="55" t="s">
        <v>1005</v>
      </c>
      <c r="N7" s="139" t="s">
        <v>1663</v>
      </c>
      <c r="O7" s="62" t="s">
        <v>999</v>
      </c>
      <c r="P7" s="1" t="s">
        <v>53</v>
      </c>
      <c r="AS7" s="116" t="b">
        <f t="shared" si="33"/>
        <v>1</v>
      </c>
      <c r="AT7" s="117" t="str">
        <f t="shared" si="34"/>
        <v>title: "St. Michael and St. Gudula Cathedral (Brussels Cathedral)"</v>
      </c>
      <c r="AU7" s="117" t="str">
        <f t="shared" si="35"/>
        <v>location: {lat: 50.8478744506604, lng: 4.35897312161425}</v>
      </c>
      <c r="AV7" s="117" t="str">
        <f t="shared" si="36"/>
        <v>interest: regional</v>
      </c>
      <c r="AW7" s="117" t="str">
        <f>"- "&amp;VLOOKUP(C7,'Country Tags'!C:E,3,)</f>
        <v>- be</v>
      </c>
      <c r="AX7" s="117" t="str">
        <f t="shared" si="37"/>
        <v>- brussels</v>
      </c>
      <c r="AY7" s="117" t="str">
        <f t="shared" si="38"/>
        <v>- churches</v>
      </c>
      <c r="AZ7" s="117" t="str">
        <f t="shared" si="39"/>
        <v/>
      </c>
      <c r="BA7" s="117" t="str">
        <f t="shared" si="40"/>
        <v/>
      </c>
      <c r="BB7" s="117" t="str">
        <f t="shared" si="41"/>
        <v/>
      </c>
      <c r="BC7" s="117" t="str">
        <f t="shared" si="42"/>
        <v/>
      </c>
      <c r="BD7" s="117" t="str">
        <f t="shared" si="43"/>
        <v/>
      </c>
      <c r="BE7" s="117" t="str">
        <f t="shared" si="44"/>
        <v/>
      </c>
      <c r="BF7" s="117" t="str">
        <f t="shared" si="45"/>
        <v/>
      </c>
      <c r="BG7" s="117" t="str">
        <f t="shared" si="46"/>
        <v/>
      </c>
      <c r="BH7" s="117" t="str">
        <f t="shared" si="47"/>
        <v/>
      </c>
      <c r="BI7" s="117" t="str">
        <f t="shared" si="48"/>
        <v/>
      </c>
      <c r="BJ7" s="117" t="str">
        <f t="shared" si="49"/>
        <v/>
      </c>
      <c r="BK7" s="117" t="str">
        <f t="shared" si="50"/>
        <v/>
      </c>
      <c r="BL7" s="117" t="str">
        <f t="shared" si="51"/>
        <v xml:space="preserve">tags:
- be_x000D_
- brussels_x000D_
- churches_x000D_
</v>
      </c>
      <c r="BM7" s="120" t="str">
        <f t="shared" ref="BM7:BM70" si="62">IF(LEN(O7)&gt;0,TRIM(CONCATENATE("[Official site](",O7,") ",IF(LEN(P7)&gt;0,"- "&amp;P7,P7))),"")</f>
        <v>[Official site](https://www.cathedralisbruxellensis.be/)</v>
      </c>
      <c r="BN7" s="120" t="str">
        <f t="shared" ref="BN7:BN70" si="63">IF(LEN(R7)&gt;0,TRIM(CONCATENATE("["&amp;Q7&amp;"](",R7,") ",IF(LEN(S7)&gt;0,"- "&amp;S7,S7))),"")</f>
        <v/>
      </c>
      <c r="BO7" s="120" t="str">
        <f t="shared" ref="BO7:BO70" si="64">IF(LEN(U7)&gt;0,TRIM(CONCATENATE("["&amp;T7&amp;"](",U7,") ",IF(LEN(V7)&gt;0,"- "&amp;V7,V7))),"")</f>
        <v/>
      </c>
      <c r="BP7" s="120" t="str">
        <f t="shared" ref="BP7:BP70" si="65">IF(LEN(X7)&gt;0,TRIM(CONCATENATE("["&amp;W7&amp;"](",X7,") ",IF(LEN(Y7)&gt;0,"- "&amp;Y7,Y7))),"")</f>
        <v/>
      </c>
      <c r="BQ7" s="120" t="str">
        <f t="shared" si="52"/>
        <v xml:space="preserve">* [Official site](https://www.cathedralisbruxellensis.be/)
</v>
      </c>
      <c r="BR7" s="120" t="str">
        <f t="shared" si="53"/>
        <v/>
      </c>
      <c r="BS7" s="120" t="str">
        <f t="shared" si="54"/>
        <v/>
      </c>
      <c r="BT7" s="120" t="str">
        <f t="shared" si="55"/>
        <v/>
      </c>
      <c r="BU7" s="120" t="str">
        <f>IF(LEN(concat(BR7:BT7))&gt;0,concat("| ",BR7," | ",BS7," | ",BT7," |"),"")</f>
        <v/>
      </c>
      <c r="BV7" s="117" t="str">
        <f t="shared" si="56"/>
        <v/>
      </c>
      <c r="BW7" s="117" t="str">
        <f>IF(LEN(BQ7&amp;BV7)&gt;0,concatll("#### More Information",BQ7,BV7),"")</f>
        <v xml:space="preserve">#### More Information_x000D_
_x000D_
* [Official site](https://www.cathedralisbruxellensis.be/)
_x000D_
_x000D_
</v>
      </c>
      <c r="BX7" s="117" t="str">
        <f>IF(LEN(N7)&gt;1,concatll("#### Author's Note",N7,"-"&amp;B7),"")</f>
        <v xml:space="preserve">#### Author's Note_x000D_
_x000D_
This church has the most awesome pulpit I have ever seen._x000D_
_x000D_
-JPY_x000D_
_x000D_
</v>
      </c>
      <c r="BY7" s="117" t="s">
        <v>53</v>
      </c>
      <c r="BZ7" s="117" t="s">
        <v>53</v>
      </c>
      <c r="CA7" s="6" t="str">
        <f>IF(AS7,concatll(concatl("---",AT7:AV7,BL7,"---"),M7,BW7:BX7),"")</f>
        <v xml:space="preserve">---_x000D_
title: "St. Michael and St. Gudula Cathedral (Brussels Cathedral)"_x000D_
location: {lat: 50.8478744506604, lng: 4.35897312161425}_x000D_
interest: regional_x000D_
tags:
- be_x000D_
- brussels_x000D_
- churches_x000D_
_x000D_
---_x000D_
_x000D_
_x000D_
National church of Belgium.  St. Gudula's relics were kept here until they were destroyed during the Reformation._x000D_
_x000D_
#### More Information_x000D_
_x000D_
* [Official site](https://www.cathedralisbruxellensis.be/)
_x000D_
_x000D_
_x000D_
_x000D_
#### Author's Note_x000D_
_x000D_
This church has the most awesome pulpit I have ever seen._x000D_
_x000D_
-JPY_x000D_
_x000D_
_x000D_
_x000D_
</v>
      </c>
      <c r="CB7" s="6" t="str">
        <f>IF(AS7,"places\"&amp;VLOOKUP(C7,'Country Tags'!C:D,2,)&amp;IF(LEN(D7)&gt;1,"-"&amp;LOWER(SUBSTITUTE(D7," ","-")),"")&amp;"-"&amp;LOWER(SUBSTITUTE(SUBSTITUTE(H7," ","-"),".",""))&amp;".md","")</f>
        <v>places\be-brussels-cathedral.md</v>
      </c>
      <c r="CC7" s="6"/>
      <c r="CD7" s="12" t="str">
        <f>IF(LEN(Z7)&gt;1,VLOOKUP(Z7,#REF!,2,),"")</f>
        <v/>
      </c>
      <c r="CE7" s="12" t="str">
        <f>IF(LEN(AA7)&gt;1,VLOOKUP(AA7,#REF!,2,),"")</f>
        <v/>
      </c>
      <c r="CF7" s="12" t="str">
        <f>IF(LEN(AB7)&gt;1,VLOOKUP(AB7,#REF!,2,),"")</f>
        <v/>
      </c>
      <c r="CG7" s="13" t="str">
        <f>IF(LEN(Z7)&gt;1,GetTagPage(CD7,Z7),"")</f>
        <v/>
      </c>
      <c r="CH7" s="13" t="str">
        <f>IF(LEN(AA7)&gt;1,GetTagPage(CE7,AA7),"")</f>
        <v/>
      </c>
      <c r="CI7" s="13" t="str">
        <f>IF(LEN(AB7)&gt;1,GetTagPage(CF7,AB7),"")</f>
        <v/>
      </c>
      <c r="CJ7" s="13" t="str">
        <f t="shared" si="57"/>
        <v xml:space="preserve">| </v>
      </c>
      <c r="CK7" s="13" t="str">
        <f t="shared" si="58"/>
        <v xml:space="preserve">| [](/places/places\be-brussels-cathedral) </v>
      </c>
      <c r="CL7" s="13" t="str">
        <f>"| "&amp;IF(AS7,GetTagPage(C7,VLOOKUP(C7,'Country Tags'!C:E,3,)),C7)&amp; " "</f>
        <v xml:space="preserve">| [Belgium](/tags/be) </v>
      </c>
      <c r="CM7" s="13" t="str">
        <f t="shared" si="59"/>
        <v xml:space="preserve">|  </v>
      </c>
      <c r="CN7" s="13" t="str">
        <f t="shared" si="60"/>
        <v xml:space="preserve">| [Link](/places/places\be-brussels-cathedral) </v>
      </c>
      <c r="CO7" s="12" t="str">
        <f t="shared" si="61"/>
        <v xml:space="preserve">
| [](/places/places\be-brussels-cathedral) | [Belgium](/tags/be) |  | [Link](/places/places\be-brussels-cathedral) [Official site](https://www.cathedralisbruxellensis.be/)| |</v>
      </c>
    </row>
    <row r="8" spans="1:93" ht="25.5" x14ac:dyDescent="0.25">
      <c r="A8" s="129" t="s">
        <v>786</v>
      </c>
      <c r="B8" s="7" t="s">
        <v>1654</v>
      </c>
      <c r="C8" s="7" t="s">
        <v>224</v>
      </c>
      <c r="D8" s="7" t="s">
        <v>1000</v>
      </c>
      <c r="E8" s="1">
        <v>50.850689952510798</v>
      </c>
      <c r="F8" s="30">
        <v>4.3480492761285401</v>
      </c>
      <c r="G8" s="55" t="s">
        <v>1001</v>
      </c>
      <c r="H8" s="61" t="s">
        <v>1621</v>
      </c>
      <c r="I8" s="55" t="s">
        <v>1002</v>
      </c>
      <c r="J8" s="7" t="b">
        <v>1</v>
      </c>
      <c r="M8" s="55" t="s">
        <v>1003</v>
      </c>
      <c r="N8" s="139" t="s">
        <v>1664</v>
      </c>
      <c r="O8" s="1" t="s">
        <v>999</v>
      </c>
      <c r="P8" s="1" t="s">
        <v>53</v>
      </c>
      <c r="AS8" s="116" t="b">
        <f t="shared" si="33"/>
        <v>1</v>
      </c>
      <c r="AT8" s="117" t="str">
        <f t="shared" si="34"/>
        <v>title: "St. Catherine's Church"</v>
      </c>
      <c r="AU8" s="117" t="str">
        <f t="shared" si="35"/>
        <v>location: {lat: 50.8506899525108, lng: 4.34804927612854}</v>
      </c>
      <c r="AV8" s="117" t="str">
        <f t="shared" si="36"/>
        <v>interest: local</v>
      </c>
      <c r="AW8" s="117" t="str">
        <f>"- "&amp;VLOOKUP(C8,'Country Tags'!C:E,3,)</f>
        <v>- be</v>
      </c>
      <c r="AX8" s="117" t="str">
        <f t="shared" si="37"/>
        <v>- brussels</v>
      </c>
      <c r="AY8" s="117" t="str">
        <f t="shared" si="38"/>
        <v>- churches</v>
      </c>
      <c r="AZ8" s="117" t="str">
        <f t="shared" si="39"/>
        <v/>
      </c>
      <c r="BA8" s="117" t="str">
        <f t="shared" si="40"/>
        <v/>
      </c>
      <c r="BB8" s="117" t="str">
        <f t="shared" si="41"/>
        <v/>
      </c>
      <c r="BC8" s="117" t="str">
        <f t="shared" si="42"/>
        <v/>
      </c>
      <c r="BD8" s="117" t="str">
        <f t="shared" si="43"/>
        <v/>
      </c>
      <c r="BE8" s="117" t="str">
        <f t="shared" si="44"/>
        <v/>
      </c>
      <c r="BF8" s="117" t="str">
        <f t="shared" si="45"/>
        <v/>
      </c>
      <c r="BG8" s="117" t="str">
        <f t="shared" si="46"/>
        <v/>
      </c>
      <c r="BH8" s="117" t="str">
        <f t="shared" si="47"/>
        <v/>
      </c>
      <c r="BI8" s="117" t="str">
        <f t="shared" si="48"/>
        <v/>
      </c>
      <c r="BJ8" s="117" t="str">
        <f t="shared" si="49"/>
        <v/>
      </c>
      <c r="BK8" s="117" t="str">
        <f t="shared" si="50"/>
        <v/>
      </c>
      <c r="BL8" s="117" t="str">
        <f t="shared" si="51"/>
        <v xml:space="preserve">tags:
- be_x000D_
- brussels_x000D_
- churches_x000D_
</v>
      </c>
      <c r="BM8" s="120" t="str">
        <f t="shared" si="62"/>
        <v>[Official site](https://www.cathedralisbruxellensis.be/)</v>
      </c>
      <c r="BN8" s="120" t="str">
        <f t="shared" si="63"/>
        <v/>
      </c>
      <c r="BO8" s="120" t="str">
        <f t="shared" si="64"/>
        <v/>
      </c>
      <c r="BP8" s="120" t="str">
        <f t="shared" si="65"/>
        <v/>
      </c>
      <c r="BQ8" s="117" t="str">
        <f t="shared" si="52"/>
        <v xml:space="preserve">* [Official site](https://www.cathedralisbruxellensis.be/)
</v>
      </c>
      <c r="BR8" s="117" t="str">
        <f t="shared" si="53"/>
        <v/>
      </c>
      <c r="BS8" s="117" t="str">
        <f t="shared" si="54"/>
        <v/>
      </c>
      <c r="BT8" s="117" t="str">
        <f t="shared" si="55"/>
        <v/>
      </c>
      <c r="BU8" s="117" t="str">
        <f>IF(LEN(concat(BR8:BT8))&gt;0,concat("| ",BR8," | ",BS8," | ",BT8," |"),"")</f>
        <v/>
      </c>
      <c r="BV8" s="117" t="str">
        <f t="shared" si="56"/>
        <v/>
      </c>
      <c r="BW8" s="117" t="str">
        <f>IF(LEN(BQ8&amp;BV8)&gt;0,concatll("#### More Information",BQ8,BV8),"")</f>
        <v xml:space="preserve">#### More Information_x000D_
_x000D_
* [Official site](https://www.cathedralisbruxellensis.be/)
_x000D_
_x000D_
</v>
      </c>
      <c r="BX8" s="117" t="str">
        <f>IF(LEN(N8)&gt;1,concatll("#### Author's Note",N8,"-"&amp;B8),"")</f>
        <v xml:space="preserve">#### Author's Note_x000D_
_x000D_
As of 2023, this church has tons of confession times._x000D_
_x000D_
-JPY_x000D_
_x000D_
</v>
      </c>
      <c r="BY8" s="117" t="s">
        <v>53</v>
      </c>
      <c r="BZ8" s="117" t="s">
        <v>53</v>
      </c>
      <c r="CA8" s="6" t="str">
        <f>IF(AS8,concatll(concatl("---",AT8:AV8,BL8,"---"),M8,BW8:BX8),"")</f>
        <v xml:space="preserve">---_x000D_
title: "St. Catherine's Church"_x000D_
location: {lat: 50.8506899525108, lng: 4.34804927612854}_x000D_
interest: local_x000D_
tags:
- be_x000D_
- brussels_x000D_
- churches_x000D_
_x000D_
---_x000D_
_x000D_
_x000D_
Historic church in the former Port of Brussels, before the docks were covered over._x000D_
_x000D_
#### More Information_x000D_
_x000D_
* [Official site](https://www.cathedralisbruxellensis.be/)
_x000D_
_x000D_
_x000D_
_x000D_
#### Author's Note_x000D_
_x000D_
As of 2023, this church has tons of confession times._x000D_
_x000D_
-JPY_x000D_
_x000D_
_x000D_
_x000D_
</v>
      </c>
      <c r="CB8" s="6" t="str">
        <f>IF(AS8,"places\"&amp;VLOOKUP(C8,'Country Tags'!C:D,2,)&amp;IF(LEN(D8)&gt;1,"-"&amp;LOWER(SUBSTITUTE(D8," ","-")),"")&amp;"-"&amp;LOWER(SUBSTITUTE(SUBSTITUTE(H8," ","-"),".",""))&amp;".md","")</f>
        <v>places\be-brussels-st-catherine.md</v>
      </c>
      <c r="CC8" s="6"/>
      <c r="CD8" s="12" t="str">
        <f>IF(LEN(Z8)&gt;1,VLOOKUP(Z8,#REF!,2,),"")</f>
        <v/>
      </c>
      <c r="CE8" s="12" t="str">
        <f>IF(LEN(AA8)&gt;1,VLOOKUP(AA8,#REF!,2,),"")</f>
        <v/>
      </c>
      <c r="CF8" s="12" t="str">
        <f>IF(LEN(AB8)&gt;1,VLOOKUP(AB8,#REF!,2,),"")</f>
        <v/>
      </c>
      <c r="CG8" s="12" t="str">
        <f>IF(LEN(Z8)&gt;1,GetTagPage(CD8,Z8),"")</f>
        <v/>
      </c>
      <c r="CH8" s="12" t="str">
        <f>IF(LEN(AA8)&gt;1,GetTagPage(CE8,AA8),"")</f>
        <v/>
      </c>
      <c r="CI8" s="12" t="str">
        <f>IF(LEN(AB8)&gt;1,GetTagPage(CF8,AB8),"")</f>
        <v/>
      </c>
      <c r="CJ8" s="12" t="str">
        <f t="shared" si="57"/>
        <v xml:space="preserve">| </v>
      </c>
      <c r="CK8" s="12" t="str">
        <f t="shared" si="58"/>
        <v xml:space="preserve">| [](/places/places\be-brussels-st-catherine) </v>
      </c>
      <c r="CL8" s="13" t="str">
        <f>"| "&amp;IF(AS8,GetTagPage(C8,VLOOKUP(C8,'Country Tags'!C:E,3,)),C8)&amp; " "</f>
        <v xml:space="preserve">| [Belgium](/tags/be) </v>
      </c>
      <c r="CM8" s="12" t="str">
        <f t="shared" si="59"/>
        <v xml:space="preserve">|  </v>
      </c>
      <c r="CN8" s="12" t="str">
        <f t="shared" si="60"/>
        <v xml:space="preserve">| [Link](/places/places\be-brussels-st-catherine) </v>
      </c>
      <c r="CO8" s="12" t="str">
        <f t="shared" si="61"/>
        <v xml:space="preserve">
| [](/places/places\be-brussels-st-catherine) | [Belgium](/tags/be) |  | [Link](/places/places\be-brussels-st-catherine) [Official site](https://www.cathedralisbruxellensis.be/)| |</v>
      </c>
    </row>
    <row r="9" spans="1:93" ht="216.75" x14ac:dyDescent="0.25">
      <c r="A9" s="129" t="s">
        <v>786</v>
      </c>
      <c r="B9" s="130" t="s">
        <v>1653</v>
      </c>
      <c r="C9" s="7" t="s">
        <v>249</v>
      </c>
      <c r="E9" s="1">
        <v>0.80532486588234498</v>
      </c>
      <c r="F9" s="30">
        <v>-77.585922676282493</v>
      </c>
      <c r="G9" s="7" t="s">
        <v>795</v>
      </c>
      <c r="H9" s="33" t="s">
        <v>796</v>
      </c>
      <c r="I9" s="7" t="s">
        <v>919</v>
      </c>
      <c r="J9" s="23" t="b">
        <v>1</v>
      </c>
      <c r="K9" s="7" t="b">
        <v>1</v>
      </c>
      <c r="M9" s="7" t="s">
        <v>807</v>
      </c>
      <c r="N9" s="139" t="s">
        <v>1665</v>
      </c>
      <c r="O9" s="1" t="s">
        <v>797</v>
      </c>
      <c r="P9" s="1" t="s">
        <v>53</v>
      </c>
      <c r="Z9" s="1" t="s">
        <v>53</v>
      </c>
      <c r="AJ9" s="56" t="s">
        <v>771</v>
      </c>
      <c r="AK9" s="57">
        <v>1754</v>
      </c>
      <c r="AL9" s="1" t="s">
        <v>31</v>
      </c>
      <c r="AM9" s="1" t="s">
        <v>53</v>
      </c>
      <c r="AN9" s="1" t="s">
        <v>794</v>
      </c>
      <c r="AO9" s="1" t="s">
        <v>53</v>
      </c>
      <c r="AP9" s="1" t="s">
        <v>53</v>
      </c>
      <c r="AQ9" s="30" t="s">
        <v>53</v>
      </c>
      <c r="AS9" s="116" t="b">
        <f t="shared" si="33"/>
        <v>1</v>
      </c>
      <c r="AT9" s="117" t="str">
        <f t="shared" si="34"/>
        <v>title: "National Shrine Basilica of Our Lady of Las Lajas"</v>
      </c>
      <c r="AU9" s="117" t="str">
        <f t="shared" si="35"/>
        <v>location: {lat: 0.805324865882345, lng: -77.5859226762825}</v>
      </c>
      <c r="AV9" s="117" t="str">
        <f t="shared" si="36"/>
        <v>interest: global</v>
      </c>
      <c r="AW9" s="117" t="str">
        <f>"- "&amp;VLOOKUP(C9,'Country Tags'!C:E,3,)</f>
        <v>- co</v>
      </c>
      <c r="AX9" s="117" t="str">
        <f t="shared" si="37"/>
        <v/>
      </c>
      <c r="AY9" s="117" t="str">
        <f t="shared" si="38"/>
        <v>- churches</v>
      </c>
      <c r="AZ9" s="117" t="str">
        <f t="shared" si="39"/>
        <v>- marian-sites</v>
      </c>
      <c r="BA9" s="117" t="str">
        <f t="shared" si="40"/>
        <v/>
      </c>
      <c r="BB9" s="117" t="str">
        <f t="shared" si="41"/>
        <v/>
      </c>
      <c r="BC9" s="117" t="str">
        <f t="shared" si="42"/>
        <v/>
      </c>
      <c r="BD9" s="117" t="str">
        <f t="shared" si="43"/>
        <v/>
      </c>
      <c r="BE9" s="117" t="str">
        <f t="shared" si="44"/>
        <v/>
      </c>
      <c r="BF9" s="117" t="str">
        <f t="shared" si="45"/>
        <v/>
      </c>
      <c r="BG9" s="117" t="str">
        <f t="shared" si="46"/>
        <v/>
      </c>
      <c r="BH9" s="117" t="str">
        <f t="shared" si="47"/>
        <v/>
      </c>
      <c r="BI9" s="117" t="str">
        <f t="shared" si="48"/>
        <v/>
      </c>
      <c r="BJ9" s="117" t="str">
        <f t="shared" si="49"/>
        <v/>
      </c>
      <c r="BK9" s="117" t="str">
        <f t="shared" si="50"/>
        <v/>
      </c>
      <c r="BL9" s="117" t="str">
        <f t="shared" si="51"/>
        <v xml:space="preserve">tags:
- co_x000D_
- churches_x000D_
- marian-sites_x000D_
</v>
      </c>
      <c r="BM9" s="120" t="str">
        <f t="shared" si="62"/>
        <v>[Official site](https://www.laslajas.org/)</v>
      </c>
      <c r="BN9" s="120" t="str">
        <f t="shared" si="63"/>
        <v/>
      </c>
      <c r="BO9" s="120" t="str">
        <f t="shared" si="64"/>
        <v/>
      </c>
      <c r="BP9" s="120" t="str">
        <f t="shared" si="65"/>
        <v/>
      </c>
      <c r="BQ9" s="120" t="str">
        <f t="shared" si="52"/>
        <v xml:space="preserve">* [Official site](https://www.laslajas.org/)
</v>
      </c>
      <c r="BR9" s="120" t="str">
        <f t="shared" si="53"/>
        <v>[Link](http://www.therealpresence.org/eucharst/misc/BVM/109_LAJAS_96x96.pdf)</v>
      </c>
      <c r="BS9" s="120" t="str">
        <f t="shared" si="54"/>
        <v>[Link](http://www.miraclehunter.com/marian_apparitions/approved_apparitions/guaitara/index.html)</v>
      </c>
      <c r="BT9" s="120" t="str">
        <f t="shared" si="55"/>
        <v/>
      </c>
      <c r="BU9" s="120" t="str">
        <f>IF(LEN(concat(BR9:BT9))&gt;0,concat("| ",BR9," | ",BS9," | ",BT9," |"),"")</f>
        <v>| [Link](http://www.therealpresence.org/eucharst/misc/BVM/109_LAJAS_96x96.pdf) | [Link](http://www.miraclehunter.com/marian_apparitions/approved_apparitions/guaitara/index.html) |  |</v>
      </c>
      <c r="BV9" s="117" t="str">
        <f t="shared" si="56"/>
        <v xml:space="preserve">| The Real Presence | Miracle Hunter | MaryPages |_x000D_
| --- | --- | --- |_x000D_
| [Link](http://www.therealpresence.org/eucharst/misc/BVM/109_LAJAS_96x96.pdf) | [Link](http://www.miraclehunter.com/marian_apparitions/approved_apparitions/guaitara/index.html) |  |_x000D_
</v>
      </c>
      <c r="BW9" s="117" t="str">
        <f>IF(LEN(BQ9&amp;BV9)&gt;0,concatll("#### More Information",BQ9,BV9),"")</f>
        <v xml:space="preserve">#### More Information_x000D_
_x000D_
* [Official site](https://www.laslajas.org/)
_x000D_
_x000D_
| The Real Presence | Miracle Hunter | MaryPages |_x000D_
| --- | --- | --- |_x000D_
| [Link](http://www.therealpresence.org/eucharst/misc/BVM/109_LAJAS_96x96.pdf) | [Link](http://www.miraclehunter.com/marian_apparitions/approved_apparitions/guaitara/index.html) |  |_x000D_
_x000D_
_x000D_
</v>
      </c>
      <c r="BX9" s="117" t="str">
        <f>IF(LEN(N9)&gt;1,concatll("#### Author's Note",N9,"-"&amp;B9),"")</f>
        <v xml:space="preserve">#### Author's Note_x000D_
_x000D_
Mass intentions requested at the gift shop will be prayed for at the very next mass.  Similar to the custom at [Our Lady of the Miraculous Medal](/places/fr-paris-chapel-of-our-lady-of-the-miraculous-medal), grateful pilgrims have given thanks for answered prayers in the form of plaques lining the stairway down to the shrine._x000D_
_x000D_
-JMM_x000D_
_x000D_
</v>
      </c>
      <c r="BY9" s="117" t="s">
        <v>53</v>
      </c>
      <c r="BZ9" s="117" t="s">
        <v>53</v>
      </c>
      <c r="CA9" s="6" t="str">
        <f>IF(AS9,concatll(concatl("---",AT9:AV9,BL9,"---"),M9,BW9:BX9),"")</f>
        <v xml:space="preserve">---_x000D_
title: "National Shrine Basilica of Our Lady of Las Lajas"_x000D_
location: {lat: 0.805324865882345, lng: -77.5859226762825}_x000D_
interest: global_x000D_
tags:
- co_x000D_
- churches_x000D_
- marian-sites_x000D_
_x000D_
---_x000D_
_x000D_
_x000D_
In 1754, an Indian mother and her deaf-mute daughter Rosa were caught in a strong storm and sought refuge in a canyon between the lajas.  Rosa exclaimed with her first words "the mestiza is calling me," describing the figures of a woman and child.  When returning later, the mother saw an apparition of Our Lady and Child.
Some months later, Rosa died but returned to life when her mother prayed again at the cave. When the townspeople came to see, a miraculous image was burned into the rocks.
In the image, the Madonna presents a rosary to St. Dominic, keeling at her right.  Jesus gives a cord to St. Francis, kneeling to his left.
Testing has shown the image to be of indeterminate origin. Geologists from Germany bored core samples from several spots in the image.  There is no paint, no dye, nor any other pigment on the surface of the rock.  The colors are the colors of the rock itself and run uniformly to a depth of several feet._x000D_
_x000D_
#### More Information_x000D_
_x000D_
* [Official site](https://www.laslajas.org/)
_x000D_
_x000D_
| The Real Presence | Miracle Hunter | MaryPages |_x000D_
| --- | --- | --- |_x000D_
| [Link](http://www.therealpresence.org/eucharst/misc/BVM/109_LAJAS_96x96.pdf) | [Link](http://www.miraclehunter.com/marian_apparitions/approved_apparitions/guaitara/index.html) |  |_x000D_
_x000D_
_x000D_
_x000D_
_x000D_
#### Author's Note_x000D_
_x000D_
Mass intentions requested at the gift shop will be prayed for at the very next mass.  Similar to the custom at [Our Lady of the Miraculous Medal](/places/fr-paris-chapel-of-our-lady-of-the-miraculous-medal), grateful pilgrims have given thanks for answered prayers in the form of plaques lining the stairway down to the shrine._x000D_
_x000D_
-JMM_x000D_
_x000D_
_x000D_
_x000D_
</v>
      </c>
      <c r="CB9" s="6" t="str">
        <f>IF(AS9,"places\"&amp;VLOOKUP(C9,'Country Tags'!C:D,2,)&amp;IF(LEN(D9)&gt;1,"-"&amp;LOWER(SUBSTITUTE(D9," ","-")),"")&amp;"-"&amp;LOWER(SUBSTITUTE(SUBSTITUTE(H9," ","-"),".",""))&amp;".md","")</f>
        <v>places\co-basilica-of-our-lady-of-las-lajas.md</v>
      </c>
      <c r="CC9" s="6"/>
      <c r="CD9" s="12" t="str">
        <f>IF(LEN(Z9)&gt;1,VLOOKUP(Z9,#REF!,2,),"")</f>
        <v/>
      </c>
      <c r="CE9" s="12" t="str">
        <f>IF(LEN(AA9)&gt;1,VLOOKUP(AA9,#REF!,2,),"")</f>
        <v/>
      </c>
      <c r="CF9" s="12" t="str">
        <f>IF(LEN(AB9)&gt;1,VLOOKUP(AB9,#REF!,2,),"")</f>
        <v/>
      </c>
      <c r="CG9" s="13" t="str">
        <f>IF(LEN(Z9)&gt;1,GetTagPage(CD9,Z9),"")</f>
        <v/>
      </c>
      <c r="CH9" s="13" t="str">
        <f>IF(LEN(AA9)&gt;1,GetTagPage(CE9,AA9),"")</f>
        <v/>
      </c>
      <c r="CI9" s="13" t="str">
        <f>IF(LEN(AB9)&gt;1,GetTagPage(CF9,AB9),"")</f>
        <v/>
      </c>
      <c r="CJ9" s="13" t="str">
        <f t="shared" si="57"/>
        <v xml:space="preserve">| </v>
      </c>
      <c r="CK9" s="13" t="str">
        <f t="shared" si="58"/>
        <v xml:space="preserve">| [Las Lajas](/places/places\co-basilica-of-our-lady-of-las-lajas) </v>
      </c>
      <c r="CL9" s="13" t="str">
        <f>"| "&amp;IF(AS9,GetTagPage(C9,VLOOKUP(C9,'Country Tags'!C:E,3,)),C9)&amp; " "</f>
        <v xml:space="preserve">| [Colombia](/tags/co) </v>
      </c>
      <c r="CM9" s="13" t="str">
        <f t="shared" si="59"/>
        <v xml:space="preserve">| 1754 </v>
      </c>
      <c r="CN9" s="13" t="str">
        <f t="shared" si="60"/>
        <v xml:space="preserve">| [Link](/places/places\co-basilica-of-our-lady-of-las-lajas) </v>
      </c>
      <c r="CO9" s="12" t="str">
        <f t="shared" si="61"/>
        <v xml:space="preserve">
| [Las Lajas](/places/places\co-basilica-of-our-lady-of-las-lajas) | [Colombia](/tags/co) | 1754 | [Link](/places/places\co-basilica-of-our-lady-of-las-lajas) [Official site](https://www.laslajas.org/)[Link](http://www.therealpresence.org/eucharst/misc/BVM/109_LAJAS_96x96.pdf)[Link](http://www.miraclehunter.com/marian_apparitions/approved_apparitions/guaitara/index.html)| |</v>
      </c>
    </row>
    <row r="10" spans="1:93" ht="76.5" x14ac:dyDescent="0.25">
      <c r="A10" s="129" t="s">
        <v>786</v>
      </c>
      <c r="B10" s="7" t="s">
        <v>1653</v>
      </c>
      <c r="C10" s="7" t="s">
        <v>255</v>
      </c>
      <c r="E10" s="1">
        <v>50.980685700000002</v>
      </c>
      <c r="F10" s="30">
        <v>14.597349899999999</v>
      </c>
      <c r="G10" s="7" t="s">
        <v>83</v>
      </c>
      <c r="H10" s="33" t="s">
        <v>83</v>
      </c>
      <c r="I10" s="7" t="s">
        <v>919</v>
      </c>
      <c r="J10" s="23" t="b">
        <v>1</v>
      </c>
      <c r="K10" s="7" t="b">
        <v>1</v>
      </c>
      <c r="M10" s="7" t="s">
        <v>80</v>
      </c>
      <c r="N10" s="139" t="s">
        <v>1666</v>
      </c>
      <c r="O10" s="1" t="s">
        <v>82</v>
      </c>
      <c r="P10" s="29"/>
      <c r="Q10" s="54" t="s">
        <v>996</v>
      </c>
      <c r="R10" s="1" t="s">
        <v>993</v>
      </c>
      <c r="Z10" s="2" t="s">
        <v>53</v>
      </c>
      <c r="AA10" s="2"/>
      <c r="AB10" s="2"/>
      <c r="AC10" s="2"/>
      <c r="AD10" s="2"/>
      <c r="AE10" s="2"/>
      <c r="AF10" s="2"/>
      <c r="AG10" s="2"/>
      <c r="AH10" s="2"/>
      <c r="AI10" s="2"/>
      <c r="AJ10" s="56" t="s">
        <v>703</v>
      </c>
      <c r="AK10" s="57">
        <v>1866</v>
      </c>
      <c r="AL10" s="1" t="s">
        <v>38</v>
      </c>
      <c r="AM10" s="1" t="s">
        <v>53</v>
      </c>
      <c r="AN10" s="1" t="s">
        <v>81</v>
      </c>
      <c r="AO10" s="1" t="s">
        <v>53</v>
      </c>
      <c r="AP10" s="1" t="s">
        <v>53</v>
      </c>
      <c r="AQ10" s="30" t="s">
        <v>53</v>
      </c>
      <c r="AS10" s="116" t="b">
        <f t="shared" si="33"/>
        <v>1</v>
      </c>
      <c r="AT10" s="117" t="str">
        <f t="shared" si="34"/>
        <v>title: "Basilica of Our Lady Help of Christians"</v>
      </c>
      <c r="AU10" s="117" t="str">
        <f t="shared" si="35"/>
        <v>location: {lat: 50.9806857, lng: 14.5973499}</v>
      </c>
      <c r="AV10" s="117" t="str">
        <f t="shared" si="36"/>
        <v>interest: global</v>
      </c>
      <c r="AW10" s="117" t="str">
        <f>"- "&amp;VLOOKUP(C10,'Country Tags'!C:E,3,)</f>
        <v>- cz</v>
      </c>
      <c r="AX10" s="117" t="str">
        <f t="shared" si="37"/>
        <v/>
      </c>
      <c r="AY10" s="117" t="str">
        <f t="shared" si="38"/>
        <v>- churches</v>
      </c>
      <c r="AZ10" s="117" t="str">
        <f t="shared" si="39"/>
        <v>- marian-sites</v>
      </c>
      <c r="BA10" s="117" t="str">
        <f t="shared" si="40"/>
        <v/>
      </c>
      <c r="BB10" s="117" t="str">
        <f t="shared" si="41"/>
        <v/>
      </c>
      <c r="BC10" s="117" t="str">
        <f t="shared" si="42"/>
        <v/>
      </c>
      <c r="BD10" s="117" t="str">
        <f t="shared" si="43"/>
        <v/>
      </c>
      <c r="BE10" s="117" t="str">
        <f t="shared" si="44"/>
        <v/>
      </c>
      <c r="BF10" s="117" t="str">
        <f t="shared" si="45"/>
        <v/>
      </c>
      <c r="BG10" s="117" t="str">
        <f t="shared" si="46"/>
        <v/>
      </c>
      <c r="BH10" s="117" t="str">
        <f t="shared" si="47"/>
        <v/>
      </c>
      <c r="BI10" s="117" t="str">
        <f t="shared" si="48"/>
        <v/>
      </c>
      <c r="BJ10" s="117" t="str">
        <f t="shared" si="49"/>
        <v/>
      </c>
      <c r="BK10" s="117" t="str">
        <f t="shared" si="50"/>
        <v/>
      </c>
      <c r="BL10" s="117" t="str">
        <f t="shared" si="51"/>
        <v xml:space="preserve">tags:
- cz_x000D_
- churches_x000D_
- marian-sites_x000D_
</v>
      </c>
      <c r="BM10" s="120" t="str">
        <f t="shared" si="62"/>
        <v>[Official site](http://cz.poutni-mista-sluknovsko.cz/bazilika-minor-panny-marie-pomocnice-krestanu-filipov.html)</v>
      </c>
      <c r="BN10" s="120" t="str">
        <f t="shared" si="63"/>
        <v>[Official Facebook page](https://www.facebook.com/poutnimistofilipov)</v>
      </c>
      <c r="BO10" s="120" t="str">
        <f t="shared" si="64"/>
        <v/>
      </c>
      <c r="BP10" s="120" t="str">
        <f t="shared" si="65"/>
        <v/>
      </c>
      <c r="BQ10" s="120" t="str">
        <f t="shared" si="52"/>
        <v xml:space="preserve">* [Official site](http://cz.poutni-mista-sluknovsko.cz/bazilika-minor-panny-marie-pomocnice-krestanu-filipov.html)
* [Official Facebook page](https://www.facebook.com/poutnimistofilipov)
</v>
      </c>
      <c r="BR10" s="120" t="str">
        <f t="shared" si="53"/>
        <v>[Link](http://www.therealpresence.org/eucharst/misc/BVM/89_FILIPOV_96x96.pdf)</v>
      </c>
      <c r="BS10" s="120" t="str">
        <f t="shared" si="54"/>
        <v>[Link](https://www.miraclehunter.com/marian_apparitions/approved_apparitions/filippsdorf/index.html)</v>
      </c>
      <c r="BT10" s="120" t="str">
        <f t="shared" si="55"/>
        <v/>
      </c>
      <c r="BU10" s="120" t="str">
        <f>IF(LEN(concat(BR10:BT10))&gt;0,concat("| ",BR10," | ",BS10," | ",BT10," |"),"")</f>
        <v>| [Link](http://www.therealpresence.org/eucharst/misc/BVM/89_FILIPOV_96x96.pdf) | [Link](https://www.miraclehunter.com/marian_apparitions/approved_apparitions/filippsdorf/index.html) |  |</v>
      </c>
      <c r="BV10" s="117" t="str">
        <f t="shared" si="56"/>
        <v xml:space="preserve">| The Real Presence | Miracle Hunter | MaryPages |_x000D_
| --- | --- | --- |_x000D_
| [Link](http://www.therealpresence.org/eucharst/misc/BVM/89_FILIPOV_96x96.pdf) | [Link](https://www.miraclehunter.com/marian_apparitions/approved_apparitions/filippsdorf/index.html) |  |_x000D_
</v>
      </c>
      <c r="BW10" s="117" t="str">
        <f>IF(LEN(BQ10&amp;BV10)&gt;0,concatll("#### More Information",BQ10,BV10),"")</f>
        <v xml:space="preserve">#### More Information_x000D_
_x000D_
* [Official site](http://cz.poutni-mista-sluknovsko.cz/bazilika-minor-panny-marie-pomocnice-krestanu-filipov.html)
* [Official Facebook page](https://www.facebook.com/poutnimistofilipov)
_x000D_
_x000D_
| The Real Presence | Miracle Hunter | MaryPages |_x000D_
| --- | --- | --- |_x000D_
| [Link](http://www.therealpresence.org/eucharst/misc/BVM/89_FILIPOV_96x96.pdf) | [Link](https://www.miraclehunter.com/marian_apparitions/approved_apparitions/filippsdorf/index.html) |  |_x000D_
_x000D_
_x000D_
</v>
      </c>
      <c r="BX10" s="117" t="str">
        <f>IF(LEN(N10)&gt;1,concatll("#### Author's Note",N10,"-"&amp;B10),"")</f>
        <v xml:space="preserve">#### Author's Note_x000D_
_x000D_
It has been extremely difficult to find information on this pilgrimage site.  The "official site" above seems to reference several pilgrimage destinations in the area, and its worship times are outdated at time of writing.  We'd recommend checking the Facebook site for more up-to-date information._x000D_
_x000D_
-JMM_x000D_
_x000D_
</v>
      </c>
      <c r="BY10" s="117" t="s">
        <v>53</v>
      </c>
      <c r="BZ10" s="117" t="s">
        <v>53</v>
      </c>
      <c r="CA10" s="6" t="str">
        <f>IF(AS10,concatll(concatl("---",AT10:AV10,BL10,"---"),M10,BW10:BX10),"")</f>
        <v xml:space="preserve">---_x000D_
title: "Basilica of Our Lady Help of Christians"_x000D_
location: {lat: 50.9806857, lng: 14.5973499}_x000D_
interest: global_x000D_
tags:
- cz_x000D_
- churches_x000D_
- marian-sites_x000D_
_x000D_
---_x000D_
_x000D_
_x000D_
In 1866, Magdalene Kade, an orphaned 31 year woman bedridden due to many illnesses, received a vision of the Blessed Virgin Mary, who immediately cured her.  A bishop's commission examined the miraculous event and recognized the healing and supernatural character.  A church was built by 1885 and elevated to a minor basilica by Pope Leo XIII, who officially consecrated it and dedicated to Mary, "Help of Christians."_x000D_
_x000D_
#### More Information_x000D_
_x000D_
* [Official site](http://cz.poutni-mista-sluknovsko.cz/bazilika-minor-panny-marie-pomocnice-krestanu-filipov.html)
* [Official Facebook page](https://www.facebook.com/poutnimistofilipov)
_x000D_
_x000D_
| The Real Presence | Miracle Hunter | MaryPages |_x000D_
| --- | --- | --- |_x000D_
| [Link](http://www.therealpresence.org/eucharst/misc/BVM/89_FILIPOV_96x96.pdf) | [Link](https://www.miraclehunter.com/marian_apparitions/approved_apparitions/filippsdorf/index.html) |  |_x000D_
_x000D_
_x000D_
_x000D_
_x000D_
#### Author's Note_x000D_
_x000D_
It has been extremely difficult to find information on this pilgrimage site.  The "official site" above seems to reference several pilgrimage destinations in the area, and its worship times are outdated at time of writing.  We'd recommend checking the Facebook site for more up-to-date information._x000D_
_x000D_
-JMM_x000D_
_x000D_
_x000D_
_x000D_
</v>
      </c>
      <c r="CB10" s="6" t="str">
        <f>IF(AS10,"places\"&amp;VLOOKUP(C10,'Country Tags'!C:D,2,)&amp;IF(LEN(D10)&gt;1,"-"&amp;LOWER(SUBSTITUTE(D10," ","-")),"")&amp;"-"&amp;LOWER(SUBSTITUTE(SUBSTITUTE(H10," ","-"),".",""))&amp;".md","")</f>
        <v>places\cz-basilica-of-our-lady-help-of-christians.md</v>
      </c>
      <c r="CC10" s="6"/>
      <c r="CD10" s="13" t="str">
        <f>IF(LEN(Z10)&gt;1,VLOOKUP(Z10,#REF!,2,),"")</f>
        <v/>
      </c>
      <c r="CE10" s="13" t="str">
        <f>IF(LEN(AA10)&gt;1,VLOOKUP(AA10,#REF!,2,),"")</f>
        <v/>
      </c>
      <c r="CF10" s="13" t="str">
        <f>IF(LEN(AB10)&gt;1,VLOOKUP(AB10,#REF!,2,),"")</f>
        <v/>
      </c>
      <c r="CG10" s="13" t="str">
        <f>IF(LEN(Z10)&gt;1,GetTagPage(CD10,Z10),"")</f>
        <v/>
      </c>
      <c r="CH10" s="13" t="str">
        <f>IF(LEN(AA10)&gt;1,GetTagPage(CE10,AA10),"")</f>
        <v/>
      </c>
      <c r="CI10" s="13" t="str">
        <f>IF(LEN(AB10)&gt;1,GetTagPage(CF10,AB10),"")</f>
        <v/>
      </c>
      <c r="CJ10" s="13" t="str">
        <f t="shared" si="57"/>
        <v xml:space="preserve">| </v>
      </c>
      <c r="CK10" s="13" t="str">
        <f t="shared" si="58"/>
        <v xml:space="preserve">| [Filipov](/places/places\cz-basilica-of-our-lady-help-of-christians) </v>
      </c>
      <c r="CL10" s="13" t="str">
        <f>"| "&amp;IF(AS10,GetTagPage(C10,VLOOKUP(C10,'Country Tags'!C:E,3,)),C10)&amp; " "</f>
        <v xml:space="preserve">| [Czechia](/tags/cz) </v>
      </c>
      <c r="CM10" s="13" t="str">
        <f t="shared" si="59"/>
        <v xml:space="preserve">| 1866 </v>
      </c>
      <c r="CN10" s="13" t="str">
        <f t="shared" si="60"/>
        <v xml:space="preserve">| [Link](/places/places\cz-basilica-of-our-lady-help-of-christians) </v>
      </c>
      <c r="CO10" s="12" t="str">
        <f t="shared" si="61"/>
        <v xml:space="preserve">
| [Filipov](/places/places\cz-basilica-of-our-lady-help-of-christians) | [Czechia](/tags/cz) | 1866 | [Link](/places/places\cz-basilica-of-our-lady-help-of-christians) [Official site](http://cz.poutni-mista-sluknovsko.cz/bazilika-minor-panny-marie-pomocnice-krestanu-filipov.html)[Link](http://www.therealpresence.org/eucharst/misc/BVM/89_FILIPOV_96x96.pdf)[Link](https://www.miraclehunter.com/marian_apparitions/approved_apparitions/filippsdorf/index.html)| |</v>
      </c>
    </row>
    <row r="11" spans="1:93" ht="127.5" x14ac:dyDescent="0.25">
      <c r="A11" s="129" t="s">
        <v>786</v>
      </c>
      <c r="B11" s="7" t="s">
        <v>1653</v>
      </c>
      <c r="C11" s="7" t="s">
        <v>2</v>
      </c>
      <c r="E11" s="1">
        <v>30.104622926940898</v>
      </c>
      <c r="F11" s="30">
        <v>31.315544743810101</v>
      </c>
      <c r="G11" s="7" t="s">
        <v>720</v>
      </c>
      <c r="H11" s="33" t="s">
        <v>719</v>
      </c>
      <c r="I11" s="7" t="s">
        <v>919</v>
      </c>
      <c r="J11" s="23" t="b">
        <v>1</v>
      </c>
      <c r="K11" s="7" t="b">
        <v>1</v>
      </c>
      <c r="M11" s="7" t="s">
        <v>721</v>
      </c>
      <c r="N11" s="139" t="s">
        <v>1667</v>
      </c>
      <c r="O11" s="1" t="s">
        <v>724</v>
      </c>
      <c r="P11" s="1" t="s">
        <v>53</v>
      </c>
      <c r="Z11" s="1" t="s">
        <v>725</v>
      </c>
      <c r="AJ11" s="56" t="s">
        <v>735</v>
      </c>
      <c r="AK11" s="57" t="s">
        <v>718</v>
      </c>
      <c r="AL11" s="1" t="s">
        <v>46</v>
      </c>
      <c r="AM11" s="1" t="s">
        <v>53</v>
      </c>
      <c r="AN11" s="1" t="s">
        <v>722</v>
      </c>
      <c r="AO11" s="1" t="s">
        <v>53</v>
      </c>
      <c r="AP11" s="1" t="s">
        <v>723</v>
      </c>
      <c r="AQ11" s="30" t="s">
        <v>53</v>
      </c>
      <c r="AS11" s="116" t="b">
        <f t="shared" si="33"/>
        <v>1</v>
      </c>
      <c r="AT11" s="117" t="str">
        <f t="shared" si="34"/>
        <v>title: "Virgin Mary Church in Zeitoun (Our Lady of Zeitoun, Our Lady of Light)"</v>
      </c>
      <c r="AU11" s="117" t="str">
        <f t="shared" si="35"/>
        <v>location: {lat: 30.1046229269409, lng: 31.3155447438101}</v>
      </c>
      <c r="AV11" s="117" t="str">
        <f t="shared" si="36"/>
        <v>interest: global</v>
      </c>
      <c r="AW11" s="117" t="str">
        <f>"- "&amp;VLOOKUP(C11,'Country Tags'!C:E,3,)</f>
        <v>- eg</v>
      </c>
      <c r="AX11" s="117" t="str">
        <f t="shared" si="37"/>
        <v/>
      </c>
      <c r="AY11" s="117" t="str">
        <f t="shared" si="38"/>
        <v>- churches</v>
      </c>
      <c r="AZ11" s="117" t="str">
        <f t="shared" si="39"/>
        <v>- marian-sites</v>
      </c>
      <c r="BA11" s="117" t="str">
        <f t="shared" si="40"/>
        <v/>
      </c>
      <c r="BB11" s="117" t="str">
        <f t="shared" si="41"/>
        <v>- coptic</v>
      </c>
      <c r="BC11" s="117" t="str">
        <f t="shared" si="42"/>
        <v/>
      </c>
      <c r="BD11" s="117" t="str">
        <f t="shared" si="43"/>
        <v/>
      </c>
      <c r="BE11" s="117" t="str">
        <f t="shared" si="44"/>
        <v/>
      </c>
      <c r="BF11" s="117" t="str">
        <f t="shared" si="45"/>
        <v/>
      </c>
      <c r="BG11" s="117" t="str">
        <f t="shared" si="46"/>
        <v/>
      </c>
      <c r="BH11" s="117" t="str">
        <f t="shared" si="47"/>
        <v/>
      </c>
      <c r="BI11" s="117" t="str">
        <f t="shared" si="48"/>
        <v/>
      </c>
      <c r="BJ11" s="117" t="str">
        <f t="shared" si="49"/>
        <v/>
      </c>
      <c r="BK11" s="117" t="str">
        <f t="shared" si="50"/>
        <v/>
      </c>
      <c r="BL11" s="117" t="str">
        <f t="shared" si="51"/>
        <v xml:space="preserve">tags:
- eg_x000D_
- churches_x000D_
- marian-sites_x000D_
- coptic_x000D_
</v>
      </c>
      <c r="BM11" s="120" t="str">
        <f t="shared" si="62"/>
        <v>[Official site](https://www.stmaryztn.org/saintmary/en/)</v>
      </c>
      <c r="BN11" s="120" t="str">
        <f t="shared" si="63"/>
        <v/>
      </c>
      <c r="BO11" s="120" t="str">
        <f t="shared" si="64"/>
        <v/>
      </c>
      <c r="BP11" s="120" t="str">
        <f t="shared" si="65"/>
        <v/>
      </c>
      <c r="BQ11" s="120" t="str">
        <f t="shared" si="52"/>
        <v xml:space="preserve">* [Official site](https://www.stmaryztn.org/saintmary/en/)
</v>
      </c>
      <c r="BR11" s="120" t="str">
        <f t="shared" si="53"/>
        <v>[Link](http://www.therealpresence.org/eucharst/misc/BVM/144_ZEITUN_96x96.pdf)</v>
      </c>
      <c r="BS11" s="120" t="str">
        <f t="shared" si="54"/>
        <v>[Link](https://www.miraclehunter.com/marian_apparitions/approved_apparitions/zeitun/index.html)</v>
      </c>
      <c r="BT11" s="120" t="str">
        <f t="shared" si="55"/>
        <v>[Link](https://www.marypages.com/zeitoen-ca%C3%AFro-(egypt)-en.html)</v>
      </c>
      <c r="BU11" s="120" t="str">
        <f>IF(LEN(concat(BR11:BT11))&gt;0,concat("| ",BR11," | ",BS11," | ",BT11," |"),"")</f>
        <v>| [Link](http://www.therealpresence.org/eucharst/misc/BVM/144_ZEITUN_96x96.pdf) | [Link](https://www.miraclehunter.com/marian_apparitions/approved_apparitions/zeitun/index.html) | [Link](https://www.marypages.com/zeitoen-ca%C3%AFro-(egypt)-en.html) |</v>
      </c>
      <c r="BV11" s="117" t="str">
        <f t="shared" si="56"/>
        <v xml:space="preserve">| The Real Presence | Miracle Hunter | MaryPages |_x000D_
| --- | --- | --- |_x000D_
| [Link](http://www.therealpresence.org/eucharst/misc/BVM/144_ZEITUN_96x96.pdf) | [Link](https://www.miraclehunter.com/marian_apparitions/approved_apparitions/zeitun/index.html) | [Link](https://www.marypages.com/zeitoen-ca%C3%AFro-(egypt)-en.html) |_x000D_
</v>
      </c>
      <c r="BW11" s="117" t="str">
        <f>IF(LEN(BQ11&amp;BV11)&gt;0,concatll("#### More Information",BQ11,BV11),"")</f>
        <v xml:space="preserve">#### More Information_x000D_
_x000D_
* [Official site](https://www.stmaryztn.org/saintmary/en/)
_x000D_
_x000D_
| The Real Presence | Miracle Hunter | MaryPages |_x000D_
| --- | --- | --- |_x000D_
| [Link](http://www.therealpresence.org/eucharst/misc/BVM/144_ZEITUN_96x96.pdf) | [Link](https://www.miraclehunter.com/marian_apparitions/approved_apparitions/zeitun/index.html) | [Link](https://www.marypages.com/zeitoen-ca%C3%AFro-(egypt)-en.html) |_x000D_
_x000D_
_x000D_
</v>
      </c>
      <c r="BX11" s="117" t="str">
        <f>IF(LEN(N11)&gt;1,concatll("#### Author's Note",N11,"-"&amp;B11),"")</f>
        <v xml:space="preserve">#### Author's Note_x000D_
_x000D_
You can read the statement issued by the Papal Residence in Cairo [here](https://www.stmaryztn.org/saintmary/en/apparition-story/papal-statment)._x000D_
_x000D_
-JMM_x000D_
_x000D_
</v>
      </c>
      <c r="BY11" s="117" t="s">
        <v>53</v>
      </c>
      <c r="BZ11" s="117" t="s">
        <v>53</v>
      </c>
      <c r="CA11" s="6" t="str">
        <f>IF(AS11,concatll(concatl("---",AT11:AV11,BL11,"---"),M11,BW11:BX11),"")</f>
        <v xml:space="preserve">---_x000D_
title: "Virgin Mary Church in Zeitoun (Our Lady of Zeitoun, Our Lady of Light)"_x000D_
location: {lat: 30.1046229269409, lng: 31.3155447438101}_x000D_
interest: global_x000D_
tags:
- eg_x000D_
- churches_x000D_
- marian-sites_x000D_
- coptic_x000D_
_x000D_
---_x000D_
_x000D_
_x000D_
In 1968 Our Lady began appearing over St. Mary's Coptic Orthodox church in Zeitoun, Egypt.  The church lies on the Matariya Road through which the Holy Family is traditionally known to have passed during their stay in Egypt.
For three years Our Lady appeared on many occasions, taking many forms and sometimes accompanied by doves and other phenomena. It is estimated that 40 million people across a variety of faiths witnessed these events.
The apparitions have been verified by both the Coptic Orthodox Church and the Roman Catholic Church through the Papal Residence in Cairo._x000D_
_x000D_
#### More Information_x000D_
_x000D_
* [Official site](https://www.stmaryztn.org/saintmary/en/)
_x000D_
_x000D_
| The Real Presence | Miracle Hunter | MaryPages |_x000D_
| --- | --- | --- |_x000D_
| [Link](http://www.therealpresence.org/eucharst/misc/BVM/144_ZEITUN_96x96.pdf) | [Link](https://www.miraclehunter.com/marian_apparitions/approved_apparitions/zeitun/index.html) | [Link](https://www.marypages.com/zeitoen-ca%C3%AFro-(egypt)-en.html) |_x000D_
_x000D_
_x000D_
_x000D_
_x000D_
#### Author's Note_x000D_
_x000D_
You can read the statement issued by the Papal Residence in Cairo [here](https://www.stmaryztn.org/saintmary/en/apparition-story/papal-statment)._x000D_
_x000D_
-JMM_x000D_
_x000D_
_x000D_
_x000D_
</v>
      </c>
      <c r="CB11" s="6" t="str">
        <f>IF(AS11,"places\"&amp;VLOOKUP(C11,'Country Tags'!C:D,2,)&amp;IF(LEN(D11)&gt;1,"-"&amp;LOWER(SUBSTITUTE(D11," ","-")),"")&amp;"-"&amp;LOWER(SUBSTITUTE(SUBSTITUTE(H11," ","-"),".",""))&amp;".md","")</f>
        <v>places\eg-virgin-mary-church-in-zeitoun.md</v>
      </c>
      <c r="CC11" s="6"/>
      <c r="CD11" s="12" t="e">
        <f>IF(LEN(Z11)&gt;1,VLOOKUP(Z11,#REF!,2,),"")</f>
        <v>#REF!</v>
      </c>
      <c r="CE11" s="12" t="str">
        <f>IF(LEN(AA11)&gt;1,VLOOKUP(AA11,#REF!,2,),"")</f>
        <v/>
      </c>
      <c r="CF11" s="12" t="str">
        <f>IF(LEN(AB11)&gt;1,VLOOKUP(AB11,#REF!,2,),"")</f>
        <v/>
      </c>
      <c r="CG11" s="13" t="e">
        <f>IF(LEN(Z11)&gt;1,GetTagPage(CD11,Z11),"")</f>
        <v>#VALUE!</v>
      </c>
      <c r="CH11" s="13" t="str">
        <f>IF(LEN(AA11)&gt;1,GetTagPage(CE11,AA11),"")</f>
        <v/>
      </c>
      <c r="CI11" s="13" t="str">
        <f>IF(LEN(AB11)&gt;1,GetTagPage(CF11,AB11),"")</f>
        <v/>
      </c>
      <c r="CJ11" s="13" t="e">
        <f t="shared" si="57"/>
        <v>#VALUE!</v>
      </c>
      <c r="CK11" s="13" t="str">
        <f t="shared" si="58"/>
        <v xml:space="preserve">| [Zeitoun](/places/places\eg-virgin-mary-church-in-zeitoun) </v>
      </c>
      <c r="CL11" s="13" t="str">
        <f>"| "&amp;IF(AS11,GetTagPage(C11,VLOOKUP(C11,'Country Tags'!C:E,3,)),C11)&amp; " "</f>
        <v xml:space="preserve">| [Egypt](/tags/eg) </v>
      </c>
      <c r="CM11" s="13" t="str">
        <f t="shared" si="59"/>
        <v xml:space="preserve">| 1968-1970 </v>
      </c>
      <c r="CN11" s="13" t="str">
        <f t="shared" si="60"/>
        <v xml:space="preserve">| [Link](/places/places\eg-virgin-mary-church-in-zeitoun) </v>
      </c>
      <c r="CO11" s="12" t="e">
        <f t="shared" si="61"/>
        <v>#VALUE!</v>
      </c>
    </row>
    <row r="12" spans="1:93" ht="51" x14ac:dyDescent="0.25">
      <c r="A12" s="129" t="s">
        <v>786</v>
      </c>
      <c r="B12" s="7" t="s">
        <v>1653</v>
      </c>
      <c r="C12" s="7" t="s">
        <v>271</v>
      </c>
      <c r="D12" s="19"/>
      <c r="E12" s="1">
        <v>45.045629644626899</v>
      </c>
      <c r="F12" s="30">
        <v>3.8846338389333201</v>
      </c>
      <c r="G12" s="7" t="s">
        <v>804</v>
      </c>
      <c r="H12" s="33" t="s">
        <v>804</v>
      </c>
      <c r="I12" s="7" t="s">
        <v>919</v>
      </c>
      <c r="J12" s="23" t="b">
        <v>1</v>
      </c>
      <c r="K12" s="19" t="b">
        <v>1</v>
      </c>
      <c r="L12" s="19"/>
      <c r="M12" s="7" t="s">
        <v>54</v>
      </c>
      <c r="O12" s="2" t="s">
        <v>805</v>
      </c>
      <c r="P12" s="2" t="s">
        <v>53</v>
      </c>
      <c r="Q12" s="39"/>
      <c r="R12" s="2"/>
      <c r="S12" s="43"/>
      <c r="T12" s="39"/>
      <c r="U12" s="2"/>
      <c r="V12" s="43"/>
      <c r="W12" s="2"/>
      <c r="X12" s="2"/>
      <c r="Y12" s="31"/>
      <c r="Z12" s="62" t="s">
        <v>1282</v>
      </c>
      <c r="AJ12" s="56" t="s">
        <v>760</v>
      </c>
      <c r="AK12" s="57">
        <v>47</v>
      </c>
      <c r="AL12" s="1" t="s">
        <v>14</v>
      </c>
      <c r="AM12" s="1" t="s">
        <v>53</v>
      </c>
      <c r="AN12" s="2" t="s">
        <v>4</v>
      </c>
      <c r="AO12" s="2" t="s">
        <v>53</v>
      </c>
      <c r="AP12" s="2" t="s">
        <v>53</v>
      </c>
      <c r="AQ12" s="31" t="s">
        <v>53</v>
      </c>
      <c r="AS12" s="116" t="b">
        <f t="shared" si="33"/>
        <v>1</v>
      </c>
      <c r="AT12" s="117" t="str">
        <f t="shared" si="34"/>
        <v>title: "Cathedral of Our Lady of Puy"</v>
      </c>
      <c r="AU12" s="117" t="str">
        <f t="shared" si="35"/>
        <v>location: {lat: 45.0456296446269, lng: 3.88463383893332}</v>
      </c>
      <c r="AV12" s="117" t="str">
        <f t="shared" si="36"/>
        <v>interest: global</v>
      </c>
      <c r="AW12" s="117" t="str">
        <f>"- "&amp;VLOOKUP(C12,'Country Tags'!C:E,3,)</f>
        <v>- fr</v>
      </c>
      <c r="AX12" s="117" t="str">
        <f t="shared" si="37"/>
        <v/>
      </c>
      <c r="AY12" s="117" t="str">
        <f t="shared" si="38"/>
        <v>- churches</v>
      </c>
      <c r="AZ12" s="117" t="str">
        <f t="shared" si="39"/>
        <v>- marian-sites</v>
      </c>
      <c r="BA12" s="117" t="str">
        <f t="shared" si="40"/>
        <v/>
      </c>
      <c r="BB12" s="117" t="str">
        <f t="shared" si="41"/>
        <v>- camino</v>
      </c>
      <c r="BC12" s="117" t="str">
        <f t="shared" si="42"/>
        <v/>
      </c>
      <c r="BD12" s="117" t="str">
        <f t="shared" si="43"/>
        <v/>
      </c>
      <c r="BE12" s="117" t="str">
        <f t="shared" si="44"/>
        <v/>
      </c>
      <c r="BF12" s="117" t="str">
        <f t="shared" si="45"/>
        <v/>
      </c>
      <c r="BG12" s="117" t="str">
        <f t="shared" si="46"/>
        <v/>
      </c>
      <c r="BH12" s="117" t="str">
        <f t="shared" si="47"/>
        <v/>
      </c>
      <c r="BI12" s="117" t="str">
        <f t="shared" si="48"/>
        <v/>
      </c>
      <c r="BJ12" s="117" t="str">
        <f t="shared" si="49"/>
        <v/>
      </c>
      <c r="BK12" s="117" t="str">
        <f t="shared" si="50"/>
        <v/>
      </c>
      <c r="BL12" s="117" t="str">
        <f t="shared" si="51"/>
        <v xml:space="preserve">tags:
- fr_x000D_
- churches_x000D_
- marian-sites_x000D_
- camino_x000D_
</v>
      </c>
      <c r="BM12" s="120" t="str">
        <f t="shared" si="62"/>
        <v>[Official site](https://www.cathedraledupuy.org/)</v>
      </c>
      <c r="BN12" s="120" t="str">
        <f t="shared" si="63"/>
        <v/>
      </c>
      <c r="BO12" s="120" t="str">
        <f t="shared" si="64"/>
        <v/>
      </c>
      <c r="BP12" s="120" t="str">
        <f t="shared" si="65"/>
        <v/>
      </c>
      <c r="BQ12" s="120" t="str">
        <f t="shared" si="52"/>
        <v xml:space="preserve">* [Official site](https://www.cathedraledupuy.org/)
</v>
      </c>
      <c r="BR12" s="120" t="str">
        <f t="shared" si="53"/>
        <v>[Link](http://www.therealpresence.org/eucharst/misc/BVM/68_LE_PUY_60x96.pdf)</v>
      </c>
      <c r="BS12" s="120" t="str">
        <f t="shared" si="54"/>
        <v>[Link](https://www.miraclehunter.com/marian_apparitions/approved_apparitions/lepuy/index.html)</v>
      </c>
      <c r="BT12" s="120" t="str">
        <f t="shared" si="55"/>
        <v/>
      </c>
      <c r="BU12" s="120" t="str">
        <f>IF(LEN(concat(BR12:BT12))&gt;0,concat("| ",BR12," | ",BS12," | ",BT12," |"),"")</f>
        <v>| [Link](http://www.therealpresence.org/eucharst/misc/BVM/68_LE_PUY_60x96.pdf) | [Link](https://www.miraclehunter.com/marian_apparitions/approved_apparitions/lepuy/index.html) |  |</v>
      </c>
      <c r="BV12" s="117" t="str">
        <f t="shared" si="56"/>
        <v xml:space="preserve">| The Real Presence | Miracle Hunter | MaryPages |_x000D_
| --- | --- | --- |_x000D_
| [Link](http://www.therealpresence.org/eucharst/misc/BVM/68_LE_PUY_60x96.pdf) | [Link](https://www.miraclehunter.com/marian_apparitions/approved_apparitions/lepuy/index.html) |  |_x000D_
</v>
      </c>
      <c r="BW12" s="117" t="str">
        <f>IF(LEN(BQ12&amp;BV12)&gt;0,concatll("#### More Information",BQ12,BV12),"")</f>
        <v xml:space="preserve">#### More Information_x000D_
_x000D_
* [Official site](https://www.cathedraledupuy.org/)
_x000D_
_x000D_
| The Real Presence | Miracle Hunter | MaryPages |_x000D_
| --- | --- | --- |_x000D_
| [Link](http://www.therealpresence.org/eucharst/misc/BVM/68_LE_PUY_60x96.pdf) | [Link](https://www.miraclehunter.com/marian_apparitions/approved_apparitions/lepuy/index.html) |  |_x000D_
_x000D_
_x000D_
</v>
      </c>
      <c r="BX12" s="117" t="str">
        <f>IF(LEN(N12)&gt;1,concatll("#### Author's Note",N12,"-"&amp;B12),"")</f>
        <v/>
      </c>
      <c r="BY12" s="117" t="s">
        <v>53</v>
      </c>
      <c r="BZ12" s="117" t="s">
        <v>53</v>
      </c>
      <c r="CA12" s="6" t="str">
        <f>IF(AS12,concatll(concatl("---",AT12:AV12,BL12,"---"),M12,BW12:BX12),"")</f>
        <v xml:space="preserve">---_x000D_
title: "Cathedral of Our Lady of Puy"_x000D_
location: {lat: 45.0456296446269, lng: 3.88463383893332}_x000D_
interest: global_x000D_
tags:
- fr_x000D_
- churches_x000D_
- marian-sites_x000D_
- camino_x000D_
_x000D_
---_x000D_
_x000D_
_x000D_
In 47 AD, Our Lady appeared to a recent Christian convert, in a chapel built few years before on a high mountain. This woman was plagued by a serious illness and no doctor had been able to help.  The Blessed Mother, during her appearance, completely cured her._x000D_
_x000D_
#### More Information_x000D_
_x000D_
* [Official site](https://www.cathedraledupuy.org/)
_x000D_
_x000D_
| The Real Presence | Miracle Hunter | MaryPages |_x000D_
| --- | --- | --- |_x000D_
| [Link](http://www.therealpresence.org/eucharst/misc/BVM/68_LE_PUY_60x96.pdf) | [Link](https://www.miraclehunter.com/marian_apparitions/approved_apparitions/lepuy/index.html) |  |_x000D_
_x000D_
_x000D_
_x000D_
_x000D_
</v>
      </c>
      <c r="CB12" s="6" t="str">
        <f>IF(AS12,"places\"&amp;VLOOKUP(C12,'Country Tags'!C:D,2,)&amp;IF(LEN(D12)&gt;1,"-"&amp;LOWER(SUBSTITUTE(D12," ","-")),"")&amp;"-"&amp;LOWER(SUBSTITUTE(SUBSTITUTE(H12," ","-"),".",""))&amp;".md","")</f>
        <v>places\fr-cathedral-of-our-lady-of-puy.md</v>
      </c>
      <c r="CC12" s="6"/>
      <c r="CD12" s="12" t="e">
        <f>IF(LEN(Z12)&gt;1,VLOOKUP(Z12,#REF!,2,),"")</f>
        <v>#REF!</v>
      </c>
      <c r="CE12" s="12" t="str">
        <f>IF(LEN(AA12)&gt;1,VLOOKUP(AA12,#REF!,2,),"")</f>
        <v/>
      </c>
      <c r="CF12" s="12" t="str">
        <f>IF(LEN(AB12)&gt;1,VLOOKUP(AB12,#REF!,2,),"")</f>
        <v/>
      </c>
      <c r="CG12" s="13" t="e">
        <f>IF(LEN(Z12)&gt;1,GetTagPage(CD12,Z12),"")</f>
        <v>#VALUE!</v>
      </c>
      <c r="CH12" s="13" t="str">
        <f>IF(LEN(AA12)&gt;1,GetTagPage(CE12,AA12),"")</f>
        <v/>
      </c>
      <c r="CI12" s="13" t="str">
        <f>IF(LEN(AB12)&gt;1,GetTagPage(CF12,AB12),"")</f>
        <v/>
      </c>
      <c r="CJ12" s="13" t="e">
        <f t="shared" si="57"/>
        <v>#VALUE!</v>
      </c>
      <c r="CK12" s="13" t="str">
        <f t="shared" si="58"/>
        <v xml:space="preserve">| [Le Puy En Velay](/places/places\fr-cathedral-of-our-lady-of-puy) </v>
      </c>
      <c r="CL12" s="13" t="str">
        <f>"| "&amp;IF(AS12,GetTagPage(C12,VLOOKUP(C12,'Country Tags'!C:E,3,)),C12)&amp; " "</f>
        <v xml:space="preserve">| [France](/tags/fr) </v>
      </c>
      <c r="CM12" s="13" t="str">
        <f t="shared" si="59"/>
        <v xml:space="preserve">| 47 </v>
      </c>
      <c r="CN12" s="13" t="str">
        <f t="shared" si="60"/>
        <v xml:space="preserve">| [Link](/places/places\fr-cathedral-of-our-lady-of-puy) </v>
      </c>
      <c r="CO12" s="12" t="e">
        <f t="shared" si="61"/>
        <v>#VALUE!</v>
      </c>
    </row>
    <row r="13" spans="1:93" ht="76.5" x14ac:dyDescent="0.25">
      <c r="A13" s="129" t="s">
        <v>786</v>
      </c>
      <c r="B13" s="7" t="s">
        <v>1653</v>
      </c>
      <c r="C13" s="7" t="s">
        <v>271</v>
      </c>
      <c r="E13" s="1">
        <v>44.521201599999998</v>
      </c>
      <c r="F13" s="30">
        <v>6.1521160000000004</v>
      </c>
      <c r="G13" s="7" t="s">
        <v>715</v>
      </c>
      <c r="H13" s="33" t="s">
        <v>715</v>
      </c>
      <c r="I13" s="7" t="s">
        <v>919</v>
      </c>
      <c r="J13" s="23" t="b">
        <v>1</v>
      </c>
      <c r="K13" s="7" t="b">
        <v>1</v>
      </c>
      <c r="L13" s="7" t="b">
        <v>1</v>
      </c>
      <c r="M13" s="7" t="s">
        <v>183</v>
      </c>
      <c r="N13" s="139" t="s">
        <v>1668</v>
      </c>
      <c r="O13" s="1" t="s">
        <v>134</v>
      </c>
      <c r="P13" s="1" t="s">
        <v>53</v>
      </c>
      <c r="Z13" s="19" t="s">
        <v>202</v>
      </c>
      <c r="AA13" s="19"/>
      <c r="AB13" s="19"/>
      <c r="AC13" s="19"/>
      <c r="AD13" s="19"/>
      <c r="AE13" s="19"/>
      <c r="AF13" s="19"/>
      <c r="AG13" s="19"/>
      <c r="AH13" s="19"/>
      <c r="AI13" s="19"/>
      <c r="AJ13" s="56" t="s">
        <v>714</v>
      </c>
      <c r="AK13" s="57" t="s">
        <v>717</v>
      </c>
      <c r="AL13" s="1" t="s">
        <v>30</v>
      </c>
      <c r="AM13" s="1" t="s">
        <v>53</v>
      </c>
      <c r="AN13" s="1" t="s">
        <v>184</v>
      </c>
      <c r="AO13" s="1" t="s">
        <v>53</v>
      </c>
      <c r="AP13" s="1" t="s">
        <v>185</v>
      </c>
      <c r="AQ13" s="30" t="s">
        <v>53</v>
      </c>
      <c r="AS13" s="116" t="b">
        <f t="shared" si="33"/>
        <v>1</v>
      </c>
      <c r="AT13" s="117" t="str">
        <f t="shared" si="34"/>
        <v>title: "Sanctuary of Our Lady of Laus"</v>
      </c>
      <c r="AU13" s="117" t="str">
        <f t="shared" si="35"/>
        <v>location: {lat: 44.5212016, lng: 6.152116}</v>
      </c>
      <c r="AV13" s="117" t="str">
        <f t="shared" si="36"/>
        <v>interest: global</v>
      </c>
      <c r="AW13" s="117" t="str">
        <f>"- "&amp;VLOOKUP(C13,'Country Tags'!C:E,3,)</f>
        <v>- fr</v>
      </c>
      <c r="AX13" s="117" t="str">
        <f t="shared" si="37"/>
        <v/>
      </c>
      <c r="AY13" s="117" t="str">
        <f t="shared" si="38"/>
        <v>- churches</v>
      </c>
      <c r="AZ13" s="117" t="str">
        <f t="shared" si="39"/>
        <v>- marian-sites</v>
      </c>
      <c r="BA13" s="117" t="str">
        <f t="shared" si="40"/>
        <v>- holy-persons</v>
      </c>
      <c r="BB13" s="117" t="str">
        <f t="shared" si="41"/>
        <v>- benoite-rencurel</v>
      </c>
      <c r="BC13" s="117" t="str">
        <f t="shared" si="42"/>
        <v/>
      </c>
      <c r="BD13" s="117" t="str">
        <f t="shared" si="43"/>
        <v/>
      </c>
      <c r="BE13" s="117" t="str">
        <f t="shared" si="44"/>
        <v/>
      </c>
      <c r="BF13" s="117" t="str">
        <f t="shared" si="45"/>
        <v/>
      </c>
      <c r="BG13" s="117" t="str">
        <f t="shared" si="46"/>
        <v/>
      </c>
      <c r="BH13" s="117" t="str">
        <f t="shared" si="47"/>
        <v/>
      </c>
      <c r="BI13" s="117" t="str">
        <f t="shared" si="48"/>
        <v/>
      </c>
      <c r="BJ13" s="117" t="str">
        <f t="shared" si="49"/>
        <v/>
      </c>
      <c r="BK13" s="117" t="str">
        <f t="shared" si="50"/>
        <v/>
      </c>
      <c r="BL13" s="117" t="str">
        <f t="shared" si="51"/>
        <v xml:space="preserve">tags:
- fr_x000D_
- churches_x000D_
- marian-sites_x000D_
- holy-persons_x000D_
- benoite-rencurel_x000D_
</v>
      </c>
      <c r="BM13" s="120" t="str">
        <f t="shared" si="62"/>
        <v>[Official site](https://www.sanctuaire-notredamedulaus.com/)</v>
      </c>
      <c r="BN13" s="120" t="str">
        <f t="shared" si="63"/>
        <v/>
      </c>
      <c r="BO13" s="120" t="str">
        <f t="shared" si="64"/>
        <v/>
      </c>
      <c r="BP13" s="120" t="str">
        <f t="shared" si="65"/>
        <v/>
      </c>
      <c r="BQ13" s="120" t="str">
        <f t="shared" si="52"/>
        <v xml:space="preserve">* [Official site](https://www.sanctuaire-notredamedulaus.com/)
</v>
      </c>
      <c r="BR13" s="120" t="str">
        <f t="shared" si="53"/>
        <v>[Link](http://www.therealpresence.org/eucharst/misc/BVM/69_LAUS_140x96.pdf)</v>
      </c>
      <c r="BS13" s="120" t="str">
        <f t="shared" si="54"/>
        <v>[Link](https://www.miraclehunter.com/marian_apparitions/approved_apparitions/laus/index.html)</v>
      </c>
      <c r="BT13" s="120" t="str">
        <f t="shared" si="55"/>
        <v>[Link](https://www.marypages.com/laus-(france)-en.html)</v>
      </c>
      <c r="BU13" s="120" t="str">
        <f>IF(LEN(concat(BR13:BT13))&gt;0,concat("| ",BR13," | ",BS13," | ",BT13," |"),"")</f>
        <v>| [Link](http://www.therealpresence.org/eucharst/misc/BVM/69_LAUS_140x96.pdf) | [Link](https://www.miraclehunter.com/marian_apparitions/approved_apparitions/laus/index.html) | [Link](https://www.marypages.com/laus-(france)-en.html) |</v>
      </c>
      <c r="BV13" s="117" t="str">
        <f t="shared" si="56"/>
        <v xml:space="preserve">| The Real Presence | Miracle Hunter | MaryPages |_x000D_
| --- | --- | --- |_x000D_
| [Link](http://www.therealpresence.org/eucharst/misc/BVM/69_LAUS_140x96.pdf) | [Link](https://www.miraclehunter.com/marian_apparitions/approved_apparitions/laus/index.html) | [Link](https://www.marypages.com/laus-(france)-en.html) |_x000D_
</v>
      </c>
      <c r="BW13" s="117" t="str">
        <f>IF(LEN(BQ13&amp;BV13)&gt;0,concatll("#### More Information",BQ13,BV13),"")</f>
        <v xml:space="preserve">#### More Information_x000D_
_x000D_
* [Official site](https://www.sanctuaire-notredamedulaus.com/)
_x000D_
_x000D_
| The Real Presence | Miracle Hunter | MaryPages |_x000D_
| --- | --- | --- |_x000D_
| [Link](http://www.therealpresence.org/eucharst/misc/BVM/69_LAUS_140x96.pdf) | [Link](https://www.miraclehunter.com/marian_apparitions/approved_apparitions/laus/index.html) | [Link](https://www.marypages.com/laus-(france)-en.html) |_x000D_
_x000D_
_x000D_
</v>
      </c>
      <c r="BX13" s="117" t="str">
        <f>IF(LEN(N13)&gt;1,concatll("#### Author's Note",N13,"-"&amp;B13),"")</f>
        <v xml:space="preserve">#### Author's Note_x000D_
_x000D_
One of the most picturesque apparition sites to visit!  The road between Laus and nearby [La Salette](/places/fr-sanctuary-of-our-lady-of-la-salette) winds through the French Alpine countryside._x000D_
_x000D_
-JMM_x000D_
_x000D_
</v>
      </c>
      <c r="BY13" s="117" t="s">
        <v>53</v>
      </c>
      <c r="BZ13" s="117" t="s">
        <v>53</v>
      </c>
      <c r="CA13" s="6" t="str">
        <f>IF(AS13,concatll(concatl("---",AT13:AV13,BL13,"---"),M13,BW13:BX13),"")</f>
        <v xml:space="preserve">---_x000D_
title: "Sanctuary of Our Lady of Laus"_x000D_
location: {lat: 44.5212016, lng: 6.152116}_x000D_
interest: global_x000D_
tags:
- fr_x000D_
- churches_x000D_
- marian-sites_x000D_
- holy-persons_x000D_
- benoite-rencurel_x000D_
_x000D_
---_x000D_
_x000D_
_x000D_
Benoite Rencurel, a poor shepherdess, received apparitions from the Virgin Mary from 1664 until her death in 1718.  During the apparitions, the Blessed Mother asked for a church and a house for priests to be built, with the intent of drawing people to greater conversion, especially through the sacrament of penance.  The holy site now draws 120,000 pilgrims annually, and is associated with numerous physical healings._x000D_
_x000D_
#### More Information_x000D_
_x000D_
* [Official site](https://www.sanctuaire-notredamedulaus.com/)
_x000D_
_x000D_
| The Real Presence | Miracle Hunter | MaryPages |_x000D_
| --- | --- | --- |_x000D_
| [Link](http://www.therealpresence.org/eucharst/misc/BVM/69_LAUS_140x96.pdf) | [Link](https://www.miraclehunter.com/marian_apparitions/approved_apparitions/laus/index.html) | [Link](https://www.marypages.com/laus-(france)-en.html) |_x000D_
_x000D_
_x000D_
_x000D_
_x000D_
#### Author's Note_x000D_
_x000D_
One of the most picturesque apparition sites to visit!  The road between Laus and nearby [La Salette](/places/fr-sanctuary-of-our-lady-of-la-salette) winds through the French Alpine countryside._x000D_
_x000D_
-JMM_x000D_
_x000D_
_x000D_
_x000D_
</v>
      </c>
      <c r="CB13" s="6" t="str">
        <f>IF(AS13,"places\"&amp;VLOOKUP(C13,'Country Tags'!C:D,2,)&amp;IF(LEN(D13)&gt;1,"-"&amp;LOWER(SUBSTITUTE(D13," ","-")),"")&amp;"-"&amp;LOWER(SUBSTITUTE(SUBSTITUTE(H13," ","-"),".",""))&amp;".md","")</f>
        <v>places\fr-sanctuary-of-our-lady-of-laus.md</v>
      </c>
      <c r="CC13" s="6"/>
      <c r="CD13" s="21" t="e">
        <f>IF(LEN(Z13)&gt;1,VLOOKUP(Z13,#REF!,2,),"")</f>
        <v>#REF!</v>
      </c>
      <c r="CE13" s="21" t="str">
        <f>IF(LEN(AA13)&gt;1,VLOOKUP(AA13,#REF!,2,),"")</f>
        <v/>
      </c>
      <c r="CF13" s="21" t="str">
        <f>IF(LEN(AB13)&gt;1,VLOOKUP(AB13,#REF!,2,),"")</f>
        <v/>
      </c>
      <c r="CG13" s="13" t="e">
        <f>IF(LEN(Z13)&gt;1,GetTagPage(CD13,Z13),"")</f>
        <v>#VALUE!</v>
      </c>
      <c r="CH13" s="13" t="str">
        <f>IF(LEN(AA13)&gt;1,GetTagPage(CE13,AA13),"")</f>
        <v/>
      </c>
      <c r="CI13" s="13" t="str">
        <f>IF(LEN(AB13)&gt;1,GetTagPage(CF13,AB13),"")</f>
        <v/>
      </c>
      <c r="CJ13" s="13" t="e">
        <f t="shared" si="57"/>
        <v>#VALUE!</v>
      </c>
      <c r="CK13" s="13" t="str">
        <f t="shared" si="58"/>
        <v xml:space="preserve">| [Laus](/places/places\fr-sanctuary-of-our-lady-of-laus) </v>
      </c>
      <c r="CL13" s="13" t="str">
        <f>"| "&amp;IF(AS13,GetTagPage(C13,VLOOKUP(C13,'Country Tags'!C:E,3,)),C13)&amp; " "</f>
        <v xml:space="preserve">| [France](/tags/fr) </v>
      </c>
      <c r="CM13" s="13" t="str">
        <f t="shared" si="59"/>
        <v xml:space="preserve">| 1664-1718 </v>
      </c>
      <c r="CN13" s="13" t="str">
        <f t="shared" si="60"/>
        <v xml:space="preserve">| [Link](/places/places\fr-sanctuary-of-our-lady-of-laus) </v>
      </c>
      <c r="CO13" s="12" t="e">
        <f t="shared" si="61"/>
        <v>#VALUE!</v>
      </c>
    </row>
    <row r="14" spans="1:93" ht="204" x14ac:dyDescent="0.25">
      <c r="A14" s="129" t="s">
        <v>786</v>
      </c>
      <c r="B14" s="10" t="s">
        <v>1653</v>
      </c>
      <c r="C14" s="10" t="s">
        <v>271</v>
      </c>
      <c r="D14" s="26" t="s">
        <v>730</v>
      </c>
      <c r="E14" s="1">
        <v>48.850785899999998</v>
      </c>
      <c r="F14" s="30">
        <v>2.3229912000000001</v>
      </c>
      <c r="G14" s="7" t="s">
        <v>174</v>
      </c>
      <c r="H14" s="33" t="s">
        <v>174</v>
      </c>
      <c r="I14" s="7" t="s">
        <v>919</v>
      </c>
      <c r="J14" s="23" t="b">
        <v>1</v>
      </c>
      <c r="K14" s="7" t="b">
        <v>1</v>
      </c>
      <c r="L14" s="7" t="b">
        <v>1</v>
      </c>
      <c r="M14" s="26" t="s">
        <v>923</v>
      </c>
      <c r="N14" s="139" t="s">
        <v>1669</v>
      </c>
      <c r="O14" s="1" t="s">
        <v>131</v>
      </c>
      <c r="P14" s="1" t="s">
        <v>53</v>
      </c>
      <c r="Z14" s="19" t="s">
        <v>203</v>
      </c>
      <c r="AA14" s="20" t="s">
        <v>910</v>
      </c>
      <c r="AB14" s="27" t="s">
        <v>924</v>
      </c>
      <c r="AC14" s="27"/>
      <c r="AD14" s="27"/>
      <c r="AE14" s="27"/>
      <c r="AF14" s="27"/>
      <c r="AG14" s="27"/>
      <c r="AH14" s="27"/>
      <c r="AI14" s="27"/>
      <c r="AJ14" s="56" t="s">
        <v>730</v>
      </c>
      <c r="AK14" s="57">
        <v>1830</v>
      </c>
      <c r="AL14" s="1" t="s">
        <v>34</v>
      </c>
      <c r="AM14" s="1" t="s">
        <v>53</v>
      </c>
      <c r="AN14" s="1" t="s">
        <v>176</v>
      </c>
      <c r="AO14" s="1" t="s">
        <v>53</v>
      </c>
      <c r="AP14" s="1" t="s">
        <v>175</v>
      </c>
      <c r="AQ14" s="30" t="s">
        <v>53</v>
      </c>
      <c r="AS14" s="116" t="b">
        <f t="shared" si="33"/>
        <v>1</v>
      </c>
      <c r="AT14" s="117" t="str">
        <f t="shared" si="34"/>
        <v>title: "Chapel of Our Lady of the Miraculous Medal"</v>
      </c>
      <c r="AU14" s="117" t="str">
        <f t="shared" si="35"/>
        <v>location: {lat: 48.8507859, lng: 2.3229912}</v>
      </c>
      <c r="AV14" s="117" t="str">
        <f t="shared" si="36"/>
        <v>interest: global</v>
      </c>
      <c r="AW14" s="117" t="str">
        <f>"- "&amp;VLOOKUP(C14,'Country Tags'!C:E,3,)</f>
        <v>- fr</v>
      </c>
      <c r="AX14" s="117" t="str">
        <f t="shared" si="37"/>
        <v>- paris</v>
      </c>
      <c r="AY14" s="117" t="str">
        <f t="shared" si="38"/>
        <v>- churches</v>
      </c>
      <c r="AZ14" s="117" t="str">
        <f t="shared" si="39"/>
        <v>- marian-sites</v>
      </c>
      <c r="BA14" s="117" t="str">
        <f t="shared" si="40"/>
        <v>- holy-persons</v>
      </c>
      <c r="BB14" s="117" t="str">
        <f t="shared" si="41"/>
        <v>- catherine-laboure</v>
      </c>
      <c r="BC14" s="117" t="str">
        <f t="shared" si="42"/>
        <v>- vincent-de-paul</v>
      </c>
      <c r="BD14" s="117" t="str">
        <f t="shared" si="43"/>
        <v>- louise-de-marillac</v>
      </c>
      <c r="BE14" s="117" t="str">
        <f t="shared" si="44"/>
        <v/>
      </c>
      <c r="BF14" s="117" t="str">
        <f t="shared" si="45"/>
        <v/>
      </c>
      <c r="BG14" s="117" t="str">
        <f t="shared" si="46"/>
        <v/>
      </c>
      <c r="BH14" s="117" t="str">
        <f t="shared" si="47"/>
        <v/>
      </c>
      <c r="BI14" s="117" t="str">
        <f t="shared" si="48"/>
        <v/>
      </c>
      <c r="BJ14" s="117" t="str">
        <f t="shared" si="49"/>
        <v/>
      </c>
      <c r="BK14" s="117" t="str">
        <f t="shared" si="50"/>
        <v/>
      </c>
      <c r="BL14" s="117" t="str">
        <f t="shared" si="51"/>
        <v xml:space="preserve">tags:
- fr_x000D_
- paris_x000D_
- churches_x000D_
- marian-sites_x000D_
- holy-persons_x000D_
- catherine-laboure_x000D_
- vincent-de-paul_x000D_
- louise-de-marillac_x000D_
</v>
      </c>
      <c r="BM14" s="120" t="str">
        <f t="shared" si="62"/>
        <v>[Official site](https://www.chapellenotredamedelamedaillemiraculeuse.com/)</v>
      </c>
      <c r="BN14" s="120" t="str">
        <f t="shared" si="63"/>
        <v/>
      </c>
      <c r="BO14" s="120" t="str">
        <f t="shared" si="64"/>
        <v/>
      </c>
      <c r="BP14" s="120" t="str">
        <f t="shared" si="65"/>
        <v/>
      </c>
      <c r="BQ14" s="120" t="str">
        <f t="shared" si="52"/>
        <v xml:space="preserve">* [Official site](https://www.chapellenotredamedelamedaillemiraculeuse.com/)
</v>
      </c>
      <c r="BR14" s="120" t="str">
        <f t="shared" si="53"/>
        <v>[Link](http://www.therealpresence.org/eucharst/misc/BVM/06_PARIGI_60x96.pdf)</v>
      </c>
      <c r="BS14" s="120" t="str">
        <f t="shared" si="54"/>
        <v>[Link](https://www.miraclehunter.com/marian_apparitions/approved_apparitions/ruedubac/index.html)</v>
      </c>
      <c r="BT14" s="120" t="str">
        <f t="shared" si="55"/>
        <v>[Link](https://www.marypages.com/paris-(france)-en.html)</v>
      </c>
      <c r="BU14" s="120" t="str">
        <f>IF(LEN(concat(BR14:BT14))&gt;0,concat("| ",BR14," | ",BS14," | ",BT14," |"),"")</f>
        <v>| [Link](http://www.therealpresence.org/eucharst/misc/BVM/06_PARIGI_60x96.pdf) | [Link](https://www.miraclehunter.com/marian_apparitions/approved_apparitions/ruedubac/index.html) | [Link](https://www.marypages.com/paris-(france)-en.html) |</v>
      </c>
      <c r="BV14" s="117" t="str">
        <f t="shared" si="56"/>
        <v xml:space="preserve">| The Real Presence | Miracle Hunter | MaryPages |_x000D_
| --- | --- | --- |_x000D_
| [Link](http://www.therealpresence.org/eucharst/misc/BVM/06_PARIGI_60x96.pdf) | [Link](https://www.miraclehunter.com/marian_apparitions/approved_apparitions/ruedubac/index.html) | [Link](https://www.marypages.com/paris-(france)-en.html) |_x000D_
</v>
      </c>
      <c r="BW14" s="117" t="str">
        <f>IF(LEN(BQ14&amp;BV14)&gt;0,concatll("#### More Information",BQ14,BV14),"")</f>
        <v xml:space="preserve">#### More Information_x000D_
_x000D_
* [Official site](https://www.chapellenotredamedelamedaillemiraculeuse.com/)
_x000D_
_x000D_
| The Real Presence | Miracle Hunter | MaryPages |_x000D_
| --- | --- | --- |_x000D_
| [Link](http://www.therealpresence.org/eucharst/misc/BVM/06_PARIGI_60x96.pdf) | [Link](https://www.miraclehunter.com/marian_apparitions/approved_apparitions/ruedubac/index.html) | [Link](https://www.marypages.com/paris-(france)-en.html) |_x000D_
_x000D_
_x000D_
</v>
      </c>
      <c r="BX14" s="117" t="str">
        <f>IF(LEN(N14)&gt;1,concatll("#### Author's Note",N14,"-"&amp;B14),"")</f>
        <v xml:space="preserve">#### Author's Note_x000D_
_x000D_
Located in central Paris, OLMM is one of the more easily accessible Marian apparition sites, and often draws large crowds of pilgrims.  The nearby [St. Vincent de Paul Chapel](fr-paris-st-vincent-de-paul-chapel) is a short walk away and is often more peaceful.
OLMM is also a rare apparition site where the exact location of Our Blessed Mother is documented in precise detail.  The giftshop sells postcards detailing where in the chapel Mary appeared in each apparition to St. Catherine Laboure.
See also the related apparition of [Our Lady of Zion](/places/it-rome-sant-andrea-delle-fratte) in Rome._x000D_
_x000D_
-JMM_x000D_
_x000D_
</v>
      </c>
      <c r="BY14" s="117" t="s">
        <v>53</v>
      </c>
      <c r="BZ14" s="117" t="s">
        <v>53</v>
      </c>
      <c r="CA14" s="6" t="str">
        <f>IF(AS14,concatll(concatl("---",AT14:AV14,BL14,"---"),M14,BW14:BX14),"")</f>
        <v xml:space="preserve">---_x000D_
title: "Chapel of Our Lady of the Miraculous Medal"_x000D_
location: {lat: 48.8507859, lng: 2.3229912}_x000D_
interest: global_x000D_
tags:
- fr_x000D_
- paris_x000D_
- churches_x000D_
- marian-sites_x000D_
- holy-persons_x000D_
- catherine-laboure_x000D_
- vincent-de-paul_x000D_
- louise-de-marillac_x000D_
_x000D_
---_x000D_
_x000D_
_x000D_
Catherine Laboure, a novitiate in the order of the Sisters of Charity, received various visions of St. Vincent de Paul and of Jesus present in the Eucharist, before also experiencing two apparitions of the Blessed Virgin Mary.  In the first vision, 1830, Catherine was told of the impending travails of France and of an unspecified future mission.  Several months later she received a message detailing the designs for a medal, later known as the Miraculous Medal, now reproduced over a billion times and distributed around the world.  The apparition was investigated in 1836 and later approved.  St. Catherine worked for 46 more years in hospices of her Order tending to the aged and infirmed, and is now known as the patroness of seniors.  Her body currently lies incorrupt at the site of the apparition in Paris (immediate right side of the altar), alongside St. Louise de Marillac (left of the altar) and the heart of St. Vincent de Paul (furthest right)._x000D_
_x000D_
#### More Information_x000D_
_x000D_
* [Official site](https://www.chapellenotredamedelamedaillemiraculeuse.com/)
_x000D_
_x000D_
| The Real Presence | Miracle Hunter | MaryPages |_x000D_
| --- | --- | --- |_x000D_
| [Link](http://www.therealpresence.org/eucharst/misc/BVM/06_PARIGI_60x96.pdf) | [Link](https://www.miraclehunter.com/marian_apparitions/approved_apparitions/ruedubac/index.html) | [Link](https://www.marypages.com/paris-(france)-en.html) |_x000D_
_x000D_
_x000D_
_x000D_
_x000D_
#### Author's Note_x000D_
_x000D_
Located in central Paris, OLMM is one of the more easily accessible Marian apparition sites, and often draws large crowds of pilgrims.  The nearby [St. Vincent de Paul Chapel](fr-paris-st-vincent-de-paul-chapel) is a short walk away and is often more peaceful.
OLMM is also a rare apparition site where the exact location of Our Blessed Mother is documented in precise detail.  The giftshop sells postcards detailing where in the chapel Mary appeared in each apparition to St. Catherine Laboure.
See also the related apparition of [Our Lady of Zion](/places/it-rome-sant-andrea-delle-fratte) in Rome._x000D_
_x000D_
-JMM_x000D_
_x000D_
_x000D_
_x000D_
</v>
      </c>
      <c r="CB14" s="6" t="str">
        <f>IF(AS14,"places\"&amp;VLOOKUP(C14,'Country Tags'!C:D,2,)&amp;IF(LEN(D14)&gt;1,"-"&amp;LOWER(SUBSTITUTE(D14," ","-")),"")&amp;"-"&amp;LOWER(SUBSTITUTE(SUBSTITUTE(H14," ","-"),".",""))&amp;".md","")</f>
        <v>places\fr-paris-chapel-of-our-lady-of-the-miraculous-medal.md</v>
      </c>
      <c r="CC14" s="6"/>
      <c r="CD14" s="21" t="e">
        <f>IF(LEN(Z14)&gt;1,VLOOKUP(Z14,#REF!,2,),"")</f>
        <v>#REF!</v>
      </c>
      <c r="CE14" s="21" t="e">
        <f>IF(LEN(AA14)&gt;1,VLOOKUP(AA14,#REF!,2,),"")</f>
        <v>#REF!</v>
      </c>
      <c r="CF14" s="21" t="e">
        <f>IF(LEN(AB14)&gt;1,VLOOKUP(AB14,#REF!,2,),"")</f>
        <v>#REF!</v>
      </c>
      <c r="CG14" s="13" t="e">
        <f>IF(LEN(Z14)&gt;1,GetTagPage(CD14,Z14),"")</f>
        <v>#VALUE!</v>
      </c>
      <c r="CH14" s="13" t="e">
        <f>IF(LEN(AA14)&gt;1,GetTagPage(CE14,AA14),"")</f>
        <v>#VALUE!</v>
      </c>
      <c r="CI14" s="13" t="e">
        <f>IF(LEN(AB14)&gt;1,GetTagPage(CF14,AB14),"")</f>
        <v>#VALUE!</v>
      </c>
      <c r="CJ14" s="13" t="e">
        <f t="shared" si="57"/>
        <v>#VALUE!</v>
      </c>
      <c r="CK14" s="13" t="str">
        <f t="shared" si="58"/>
        <v xml:space="preserve">| [Paris](/places/places\fr-paris-chapel-of-our-lady-of-the-miraculous-medal) </v>
      </c>
      <c r="CL14" s="13" t="str">
        <f>"| "&amp;IF(AS14,GetTagPage(C14,VLOOKUP(C14,'Country Tags'!C:E,3,)),C14)&amp; " "</f>
        <v xml:space="preserve">| [France](/tags/fr) </v>
      </c>
      <c r="CM14" s="13" t="str">
        <f t="shared" si="59"/>
        <v xml:space="preserve">| 1830 </v>
      </c>
      <c r="CN14" s="13" t="str">
        <f t="shared" si="60"/>
        <v xml:space="preserve">| [Link](/places/places\fr-paris-chapel-of-our-lady-of-the-miraculous-medal) </v>
      </c>
      <c r="CO14" s="12" t="e">
        <f t="shared" si="61"/>
        <v>#VALUE!</v>
      </c>
    </row>
    <row r="15" spans="1:93" ht="51" x14ac:dyDescent="0.25">
      <c r="A15" s="129" t="s">
        <v>786</v>
      </c>
      <c r="B15" s="7" t="s">
        <v>1653</v>
      </c>
      <c r="C15" s="7" t="s">
        <v>271</v>
      </c>
      <c r="E15" s="1">
        <v>44.8586296</v>
      </c>
      <c r="F15" s="30">
        <v>5.9788043999999996</v>
      </c>
      <c r="G15" s="7" t="s">
        <v>732</v>
      </c>
      <c r="H15" s="33" t="s">
        <v>732</v>
      </c>
      <c r="I15" s="7" t="s">
        <v>919</v>
      </c>
      <c r="J15" s="23" t="b">
        <v>1</v>
      </c>
      <c r="K15" s="7" t="b">
        <v>1</v>
      </c>
      <c r="M15" s="7" t="s">
        <v>190</v>
      </c>
      <c r="O15" s="1" t="s">
        <v>127</v>
      </c>
      <c r="P15" s="1" t="s">
        <v>53</v>
      </c>
      <c r="Z15" s="2" t="s">
        <v>53</v>
      </c>
      <c r="AA15" s="2"/>
      <c r="AB15" s="2"/>
      <c r="AC15" s="2"/>
      <c r="AD15" s="2"/>
      <c r="AE15" s="2"/>
      <c r="AF15" s="2"/>
      <c r="AG15" s="2"/>
      <c r="AH15" s="2"/>
      <c r="AI15" s="2"/>
      <c r="AJ15" s="56" t="s">
        <v>731</v>
      </c>
      <c r="AK15" s="57">
        <v>1846</v>
      </c>
      <c r="AL15" s="1" t="s">
        <v>36</v>
      </c>
      <c r="AM15" s="1" t="s">
        <v>53</v>
      </c>
      <c r="AN15" s="1" t="s">
        <v>191</v>
      </c>
      <c r="AO15" s="1" t="s">
        <v>53</v>
      </c>
      <c r="AP15" s="1" t="s">
        <v>192</v>
      </c>
      <c r="AQ15" s="30" t="s">
        <v>53</v>
      </c>
      <c r="AS15" s="116" t="b">
        <f t="shared" si="33"/>
        <v>1</v>
      </c>
      <c r="AT15" s="117" t="str">
        <f t="shared" si="34"/>
        <v>title: "Sanctuary of Our Lady of La Salette"</v>
      </c>
      <c r="AU15" s="117" t="str">
        <f t="shared" si="35"/>
        <v>location: {lat: 44.8586296, lng: 5.9788044}</v>
      </c>
      <c r="AV15" s="117" t="str">
        <f t="shared" si="36"/>
        <v>interest: global</v>
      </c>
      <c r="AW15" s="117" t="str">
        <f>"- "&amp;VLOOKUP(C15,'Country Tags'!C:E,3,)</f>
        <v>- fr</v>
      </c>
      <c r="AX15" s="117" t="str">
        <f t="shared" si="37"/>
        <v/>
      </c>
      <c r="AY15" s="117" t="str">
        <f t="shared" si="38"/>
        <v>- churches</v>
      </c>
      <c r="AZ15" s="117" t="str">
        <f t="shared" si="39"/>
        <v>- marian-sites</v>
      </c>
      <c r="BA15" s="117" t="str">
        <f t="shared" si="40"/>
        <v/>
      </c>
      <c r="BB15" s="117" t="str">
        <f t="shared" si="41"/>
        <v/>
      </c>
      <c r="BC15" s="117" t="str">
        <f t="shared" si="42"/>
        <v/>
      </c>
      <c r="BD15" s="117" t="str">
        <f t="shared" si="43"/>
        <v/>
      </c>
      <c r="BE15" s="117" t="str">
        <f t="shared" si="44"/>
        <v/>
      </c>
      <c r="BF15" s="117" t="str">
        <f t="shared" si="45"/>
        <v/>
      </c>
      <c r="BG15" s="117" t="str">
        <f t="shared" si="46"/>
        <v/>
      </c>
      <c r="BH15" s="117" t="str">
        <f t="shared" si="47"/>
        <v/>
      </c>
      <c r="BI15" s="117" t="str">
        <f t="shared" si="48"/>
        <v/>
      </c>
      <c r="BJ15" s="117" t="str">
        <f t="shared" si="49"/>
        <v/>
      </c>
      <c r="BK15" s="117" t="str">
        <f t="shared" si="50"/>
        <v/>
      </c>
      <c r="BL15" s="117" t="str">
        <f t="shared" si="51"/>
        <v xml:space="preserve">tags:
- fr_x000D_
- churches_x000D_
- marian-sites_x000D_
</v>
      </c>
      <c r="BM15" s="120" t="str">
        <f t="shared" si="62"/>
        <v>[Official site](https://lasalette.cef.fr/)</v>
      </c>
      <c r="BN15" s="120" t="str">
        <f t="shared" si="63"/>
        <v/>
      </c>
      <c r="BO15" s="120" t="str">
        <f t="shared" si="64"/>
        <v/>
      </c>
      <c r="BP15" s="120" t="str">
        <f t="shared" si="65"/>
        <v/>
      </c>
      <c r="BQ15" s="120" t="str">
        <f t="shared" si="52"/>
        <v xml:space="preserve">* [Official site](https://lasalette.cef.fr/)
</v>
      </c>
      <c r="BR15" s="120" t="str">
        <f t="shared" si="53"/>
        <v>[Link](http://www.therealpresence.org/eucharst/misc/BVM/30_LA_SALETTE_96x96.pdf)</v>
      </c>
      <c r="BS15" s="120" t="str">
        <f t="shared" si="54"/>
        <v>[Link](https://www.miraclehunter.com/marian_apparitions/approved_apparitions/lasalette/index.html)</v>
      </c>
      <c r="BT15" s="120" t="str">
        <f t="shared" si="55"/>
        <v>[Link](https://www.marypages.com/la-salette-(france)-en.html)</v>
      </c>
      <c r="BU15" s="120" t="str">
        <f>IF(LEN(concat(BR15:BT15))&gt;0,concat("| ",BR15," | ",BS15," | ",BT15," |"),"")</f>
        <v>| [Link](http://www.therealpresence.org/eucharst/misc/BVM/30_LA_SALETTE_96x96.pdf) | [Link](https://www.miraclehunter.com/marian_apparitions/approved_apparitions/lasalette/index.html) | [Link](https://www.marypages.com/la-salette-(france)-en.html) |</v>
      </c>
      <c r="BV15" s="117" t="str">
        <f t="shared" si="56"/>
        <v xml:space="preserve">| The Real Presence | Miracle Hunter | MaryPages |_x000D_
| --- | --- | --- |_x000D_
| [Link](http://www.therealpresence.org/eucharst/misc/BVM/30_LA_SALETTE_96x96.pdf) | [Link](https://www.miraclehunter.com/marian_apparitions/approved_apparitions/lasalette/index.html) | [Link](https://www.marypages.com/la-salette-(france)-en.html) |_x000D_
</v>
      </c>
      <c r="BW15" s="117" t="str">
        <f>IF(LEN(BQ15&amp;BV15)&gt;0,concatll("#### More Information",BQ15,BV15),"")</f>
        <v xml:space="preserve">#### More Information_x000D_
_x000D_
* [Official site](https://lasalette.cef.fr/)
_x000D_
_x000D_
| The Real Presence | Miracle Hunter | MaryPages |_x000D_
| --- | --- | --- |_x000D_
| [Link](http://www.therealpresence.org/eucharst/misc/BVM/30_LA_SALETTE_96x96.pdf) | [Link](https://www.miraclehunter.com/marian_apparitions/approved_apparitions/lasalette/index.html) | [Link](https://www.marypages.com/la-salette-(france)-en.html) |_x000D_
_x000D_
_x000D_
</v>
      </c>
      <c r="BX15" s="117" t="str">
        <f>IF(LEN(N15)&gt;1,concatll("#### Author's Note",N15,"-"&amp;B15),"")</f>
        <v/>
      </c>
      <c r="BY15" s="117" t="s">
        <v>53</v>
      </c>
      <c r="BZ15" s="117" t="s">
        <v>53</v>
      </c>
      <c r="CA15" s="6" t="str">
        <f>IF(AS15,concatll(concatl("---",AT15:AV15,BL15,"---"),M15,BW15:BX15),"")</f>
        <v xml:space="preserve">---_x000D_
title: "Sanctuary of Our Lady of La Salette"_x000D_
location: {lat: 44.8586296, lng: 5.9788044}_x000D_
interest: global_x000D_
tags:
- fr_x000D_
- churches_x000D_
- marian-sites_x000D_
_x000D_
---_x000D_
_x000D_
_x000D_
In 1846, the Blessed Virgin Mary appeared to 11-year-old Maximin Giraud and 14-year-old Melanie Calvat-Mathieu while they tended sheep in a small French Alpine village.  Her appearance in sorrow and tears called for conversion and repentance._x000D_
_x000D_
#### More Information_x000D_
_x000D_
* [Official site](https://lasalette.cef.fr/)
_x000D_
_x000D_
| The Real Presence | Miracle Hunter | MaryPages |_x000D_
| --- | --- | --- |_x000D_
| [Link](http://www.therealpresence.org/eucharst/misc/BVM/30_LA_SALETTE_96x96.pdf) | [Link](https://www.miraclehunter.com/marian_apparitions/approved_apparitions/lasalette/index.html) | [Link](https://www.marypages.com/la-salette-(france)-en.html) |_x000D_
_x000D_
_x000D_
_x000D_
_x000D_
</v>
      </c>
      <c r="CB15" s="6" t="str">
        <f>IF(AS15,"places\"&amp;VLOOKUP(C15,'Country Tags'!C:D,2,)&amp;IF(LEN(D15)&gt;1,"-"&amp;LOWER(SUBSTITUTE(D15," ","-")),"")&amp;"-"&amp;LOWER(SUBSTITUTE(SUBSTITUTE(H15," ","-"),".",""))&amp;".md","")</f>
        <v>places\fr-sanctuary-of-our-lady-of-la-salette.md</v>
      </c>
      <c r="CC15" s="6"/>
      <c r="CD15" s="13" t="str">
        <f>IF(LEN(Z15)&gt;1,VLOOKUP(Z15,#REF!,2,),"")</f>
        <v/>
      </c>
      <c r="CE15" s="13" t="str">
        <f>IF(LEN(AA15)&gt;1,VLOOKUP(AA15,#REF!,2,),"")</f>
        <v/>
      </c>
      <c r="CF15" s="13" t="str">
        <f>IF(LEN(AB15)&gt;1,VLOOKUP(AB15,#REF!,2,),"")</f>
        <v/>
      </c>
      <c r="CG15" s="13" t="str">
        <f>IF(LEN(Z15)&gt;1,GetTagPage(CD15,Z15),"")</f>
        <v/>
      </c>
      <c r="CH15" s="13" t="str">
        <f>IF(LEN(AA15)&gt;1,GetTagPage(CE15,AA15),"")</f>
        <v/>
      </c>
      <c r="CI15" s="13" t="str">
        <f>IF(LEN(AB15)&gt;1,GetTagPage(CF15,AB15),"")</f>
        <v/>
      </c>
      <c r="CJ15" s="13" t="str">
        <f t="shared" si="57"/>
        <v xml:space="preserve">| </v>
      </c>
      <c r="CK15" s="13" t="str">
        <f t="shared" si="58"/>
        <v xml:space="preserve">| [La Salette](/places/places\fr-sanctuary-of-our-lady-of-la-salette) </v>
      </c>
      <c r="CL15" s="13" t="str">
        <f>"| "&amp;IF(AS15,GetTagPage(C15,VLOOKUP(C15,'Country Tags'!C:E,3,)),C15)&amp; " "</f>
        <v xml:space="preserve">| [France](/tags/fr) </v>
      </c>
      <c r="CM15" s="13" t="str">
        <f t="shared" si="59"/>
        <v xml:space="preserve">| 1846 </v>
      </c>
      <c r="CN15" s="13" t="str">
        <f t="shared" si="60"/>
        <v xml:space="preserve">| [Link](/places/places\fr-sanctuary-of-our-lady-of-la-salette) </v>
      </c>
      <c r="CO15" s="12" t="str">
        <f t="shared" si="61"/>
        <v xml:space="preserve">
| [La Salette](/places/places\fr-sanctuary-of-our-lady-of-la-salette) | [France](/tags/fr) | 1846 | [Link](/places/places\fr-sanctuary-of-our-lady-of-la-salette) [Official site](https://lasalette.cef.fr/)[Link](http://www.therealpresence.org/eucharst/misc/BVM/30_LA_SALETTE_96x96.pdf)[Link](https://www.miraclehunter.com/marian_apparitions/approved_apparitions/lasalette/index.html)[Link](https://www.marypages.com/la-salette-(france)-en.html)| |</v>
      </c>
    </row>
    <row r="16" spans="1:93" ht="51" x14ac:dyDescent="0.25">
      <c r="A16" s="129" t="s">
        <v>786</v>
      </c>
      <c r="B16" s="7" t="s">
        <v>1653</v>
      </c>
      <c r="C16" s="7" t="s">
        <v>271</v>
      </c>
      <c r="E16" s="1">
        <v>43.0974206</v>
      </c>
      <c r="F16" s="30">
        <v>-5.8261100000000003E-2</v>
      </c>
      <c r="G16" s="7" t="s">
        <v>716</v>
      </c>
      <c r="H16" s="33" t="s">
        <v>716</v>
      </c>
      <c r="I16" s="7" t="s">
        <v>919</v>
      </c>
      <c r="J16" s="7" t="b">
        <v>1</v>
      </c>
      <c r="K16" s="7" t="b">
        <v>1</v>
      </c>
      <c r="L16" s="7" t="b">
        <v>1</v>
      </c>
      <c r="M16" s="7" t="s">
        <v>180</v>
      </c>
      <c r="O16" s="1" t="s">
        <v>143</v>
      </c>
      <c r="P16" s="1" t="s">
        <v>53</v>
      </c>
      <c r="Z16" s="19" t="s">
        <v>205</v>
      </c>
      <c r="AA16" s="19"/>
      <c r="AB16" s="19"/>
      <c r="AC16" s="19"/>
      <c r="AD16" s="19"/>
      <c r="AE16" s="19"/>
      <c r="AF16" s="19"/>
      <c r="AG16" s="19"/>
      <c r="AH16" s="19"/>
      <c r="AI16" s="19"/>
      <c r="AJ16" s="56" t="s">
        <v>705</v>
      </c>
      <c r="AK16" s="57">
        <v>1858</v>
      </c>
      <c r="AL16" s="1" t="s">
        <v>37</v>
      </c>
      <c r="AM16" s="1" t="s">
        <v>53</v>
      </c>
      <c r="AN16" s="1" t="s">
        <v>181</v>
      </c>
      <c r="AO16" s="1" t="s">
        <v>53</v>
      </c>
      <c r="AP16" s="1" t="s">
        <v>182</v>
      </c>
      <c r="AQ16" s="30" t="s">
        <v>53</v>
      </c>
      <c r="AS16" s="116" t="b">
        <f t="shared" si="33"/>
        <v>1</v>
      </c>
      <c r="AT16" s="117" t="str">
        <f t="shared" si="34"/>
        <v>title: "Sanctuary of Our Lady of Lourdes"</v>
      </c>
      <c r="AU16" s="117" t="str">
        <f t="shared" si="35"/>
        <v>location: {lat: 43.0974206, lng: -0.0582611}</v>
      </c>
      <c r="AV16" s="117" t="str">
        <f t="shared" si="36"/>
        <v>interest: global</v>
      </c>
      <c r="AW16" s="117" t="str">
        <f>"- "&amp;VLOOKUP(C16,'Country Tags'!C:E,3,)</f>
        <v>- fr</v>
      </c>
      <c r="AX16" s="117" t="str">
        <f t="shared" si="37"/>
        <v/>
      </c>
      <c r="AY16" s="117" t="str">
        <f t="shared" si="38"/>
        <v>- churches</v>
      </c>
      <c r="AZ16" s="117" t="str">
        <f t="shared" si="39"/>
        <v>- marian-sites</v>
      </c>
      <c r="BA16" s="117" t="str">
        <f t="shared" si="40"/>
        <v>- holy-persons</v>
      </c>
      <c r="BB16" s="117" t="str">
        <f t="shared" si="41"/>
        <v>- bernadette-soubirous</v>
      </c>
      <c r="BC16" s="117" t="str">
        <f t="shared" si="42"/>
        <v/>
      </c>
      <c r="BD16" s="117" t="str">
        <f t="shared" si="43"/>
        <v/>
      </c>
      <c r="BE16" s="117" t="str">
        <f t="shared" si="44"/>
        <v/>
      </c>
      <c r="BF16" s="117" t="str">
        <f t="shared" si="45"/>
        <v/>
      </c>
      <c r="BG16" s="117" t="str">
        <f t="shared" si="46"/>
        <v/>
      </c>
      <c r="BH16" s="117" t="str">
        <f t="shared" si="47"/>
        <v/>
      </c>
      <c r="BI16" s="117" t="str">
        <f t="shared" si="48"/>
        <v/>
      </c>
      <c r="BJ16" s="117" t="str">
        <f t="shared" si="49"/>
        <v/>
      </c>
      <c r="BK16" s="117" t="str">
        <f t="shared" si="50"/>
        <v/>
      </c>
      <c r="BL16" s="117" t="str">
        <f t="shared" si="51"/>
        <v xml:space="preserve">tags:
- fr_x000D_
- churches_x000D_
- marian-sites_x000D_
- holy-persons_x000D_
- bernadette-soubirous_x000D_
</v>
      </c>
      <c r="BM16" s="120" t="str">
        <f t="shared" si="62"/>
        <v>[Official site](https://www.lourdes-france.org/)</v>
      </c>
      <c r="BN16" s="120" t="str">
        <f t="shared" si="63"/>
        <v/>
      </c>
      <c r="BO16" s="120" t="str">
        <f t="shared" si="64"/>
        <v/>
      </c>
      <c r="BP16" s="120" t="str">
        <f t="shared" si="65"/>
        <v/>
      </c>
      <c r="BQ16" s="120" t="str">
        <f t="shared" si="52"/>
        <v xml:space="preserve">* [Official site](https://www.lourdes-france.org/)
</v>
      </c>
      <c r="BR16" s="120" t="str">
        <f t="shared" si="53"/>
        <v>[Link](http://www.therealpresence.org/eucharst/misc/BVM/40_LOURDES_140x96.pdf)</v>
      </c>
      <c r="BS16" s="120" t="str">
        <f t="shared" si="54"/>
        <v>[Link](https://www.miraclehunter.com/marian_apparitions/approved_apparitions/lourdes/index.html)</v>
      </c>
      <c r="BT16" s="120" t="str">
        <f t="shared" si="55"/>
        <v>[Link](https://www.marypages.com/lourdes-(frankrijk)-1858/)</v>
      </c>
      <c r="BU16" s="120" t="str">
        <f>IF(LEN(concat(BR16:BT16))&gt;0,concat("| ",BR16," | ",BS16," | ",BT16," |"),"")</f>
        <v>| [Link](http://www.therealpresence.org/eucharst/misc/BVM/40_LOURDES_140x96.pdf) | [Link](https://www.miraclehunter.com/marian_apparitions/approved_apparitions/lourdes/index.html) | [Link](https://www.marypages.com/lourdes-(frankrijk)-1858/) |</v>
      </c>
      <c r="BV16" s="117" t="str">
        <f t="shared" si="56"/>
        <v xml:space="preserve">| The Real Presence | Miracle Hunter | MaryPages |_x000D_
| --- | --- | --- |_x000D_
| [Link](http://www.therealpresence.org/eucharst/misc/BVM/40_LOURDES_140x96.pdf) | [Link](https://www.miraclehunter.com/marian_apparitions/approved_apparitions/lourdes/index.html) | [Link](https://www.marypages.com/lourdes-(frankrijk)-1858/) |_x000D_
</v>
      </c>
      <c r="BW16" s="117" t="str">
        <f>IF(LEN(BQ16&amp;BV16)&gt;0,concatll("#### More Information",BQ16,BV16),"")</f>
        <v xml:space="preserve">#### More Information_x000D_
_x000D_
* [Official site](https://www.lourdes-france.org/)
_x000D_
_x000D_
| The Real Presence | Miracle Hunter | MaryPages |_x000D_
| --- | --- | --- |_x000D_
| [Link](http://www.therealpresence.org/eucharst/misc/BVM/40_LOURDES_140x96.pdf) | [Link](https://www.miraclehunter.com/marian_apparitions/approved_apparitions/lourdes/index.html) | [Link](https://www.marypages.com/lourdes-(frankrijk)-1858/) |_x000D_
_x000D_
_x000D_
</v>
      </c>
      <c r="BX16" s="117" t="str">
        <f>IF(LEN(N16)&gt;1,concatll("#### Author's Note",N16,"-"&amp;B16),"")</f>
        <v/>
      </c>
      <c r="BY16" s="117" t="s">
        <v>53</v>
      </c>
      <c r="BZ16" s="117" t="s">
        <v>53</v>
      </c>
      <c r="CA16" s="6" t="str">
        <f>IF(AS16,concatll(concatl("---",AT16:AV16,BL16,"---"),M16,BW16:BX16),"")</f>
        <v xml:space="preserve">---_x000D_
title: "Sanctuary of Our Lady of Lourdes"_x000D_
location: {lat: 43.0974206, lng: -0.0582611}_x000D_
interest: global_x000D_
tags:
- fr_x000D_
- churches_x000D_
- marian-sites_x000D_
- holy-persons_x000D_
- bernadette-soubirous_x000D_
_x000D_
---_x000D_
_x000D_
_x000D_
In a series of apparitions in 1858, the Virgin Mary appeared to St. Bernadette Soubirous.  The stream of holy water which St. Bernadette uncovered has become a well-known source of healing, and Lourdes is now a major pilgrimage destination._x000D_
_x000D_
#### More Information_x000D_
_x000D_
* [Official site](https://www.lourdes-france.org/)
_x000D_
_x000D_
| The Real Presence | Miracle Hunter | MaryPages |_x000D_
| --- | --- | --- |_x000D_
| [Link](http://www.therealpresence.org/eucharst/misc/BVM/40_LOURDES_140x96.pdf) | [Link](https://www.miraclehunter.com/marian_apparitions/approved_apparitions/lourdes/index.html) | [Link](https://www.marypages.com/lourdes-(frankrijk)-1858/) |_x000D_
_x000D_
_x000D_
_x000D_
_x000D_
</v>
      </c>
      <c r="CB16" s="6" t="str">
        <f>IF(AS16,"places\"&amp;VLOOKUP(C16,'Country Tags'!C:D,2,)&amp;IF(LEN(D16)&gt;1,"-"&amp;LOWER(SUBSTITUTE(D16," ","-")),"")&amp;"-"&amp;LOWER(SUBSTITUTE(SUBSTITUTE(H16," ","-"),".",""))&amp;".md","")</f>
        <v>places\fr-sanctuary-of-our-lady-of-lourdes.md</v>
      </c>
      <c r="CC16" s="6"/>
      <c r="CD16" s="21" t="e">
        <f>IF(LEN(Z16)&gt;1,VLOOKUP(Z16,#REF!,2,),"")</f>
        <v>#REF!</v>
      </c>
      <c r="CE16" s="21" t="str">
        <f>IF(LEN(AA16)&gt;1,VLOOKUP(AA16,#REF!,2,),"")</f>
        <v/>
      </c>
      <c r="CF16" s="21" t="str">
        <f>IF(LEN(AB16)&gt;1,VLOOKUP(AB16,#REF!,2,),"")</f>
        <v/>
      </c>
      <c r="CG16" s="13" t="e">
        <f>IF(LEN(Z16)&gt;1,GetTagPage(CD16,Z16),"")</f>
        <v>#VALUE!</v>
      </c>
      <c r="CH16" s="13" t="str">
        <f>IF(LEN(AA16)&gt;1,GetTagPage(CE16,AA16),"")</f>
        <v/>
      </c>
      <c r="CI16" s="13" t="str">
        <f>IF(LEN(AB16)&gt;1,GetTagPage(CF16,AB16),"")</f>
        <v/>
      </c>
      <c r="CJ16" s="13" t="e">
        <f t="shared" si="57"/>
        <v>#VALUE!</v>
      </c>
      <c r="CK16" s="13" t="str">
        <f t="shared" si="58"/>
        <v xml:space="preserve">| [Lourdes](/places/places\fr-sanctuary-of-our-lady-of-lourdes) </v>
      </c>
      <c r="CL16" s="13" t="str">
        <f>"| "&amp;IF(AS16,GetTagPage(C16,VLOOKUP(C16,'Country Tags'!C:E,3,)),C16)&amp; " "</f>
        <v xml:space="preserve">| [France](/tags/fr) </v>
      </c>
      <c r="CM16" s="13" t="str">
        <f t="shared" si="59"/>
        <v xml:space="preserve">| 1858 </v>
      </c>
      <c r="CN16" s="13" t="str">
        <f t="shared" si="60"/>
        <v xml:space="preserve">| [Link](/places/places\fr-sanctuary-of-our-lady-of-lourdes) </v>
      </c>
      <c r="CO16" s="12" t="e">
        <f t="shared" si="61"/>
        <v>#VALUE!</v>
      </c>
    </row>
    <row r="17" spans="1:93" ht="51" x14ac:dyDescent="0.25">
      <c r="A17" s="129" t="s">
        <v>786</v>
      </c>
      <c r="B17" s="7" t="s">
        <v>1653</v>
      </c>
      <c r="C17" s="7" t="s">
        <v>271</v>
      </c>
      <c r="E17" s="1">
        <v>48.439602100000002</v>
      </c>
      <c r="F17" s="30">
        <v>-1.0592325</v>
      </c>
      <c r="G17" s="7" t="s">
        <v>193</v>
      </c>
      <c r="H17" s="33" t="s">
        <v>700</v>
      </c>
      <c r="I17" s="7" t="s">
        <v>919</v>
      </c>
      <c r="J17" s="23" t="b">
        <v>1</v>
      </c>
      <c r="K17" s="7" t="b">
        <v>1</v>
      </c>
      <c r="M17" s="7" t="s">
        <v>76</v>
      </c>
      <c r="O17" s="1" t="s">
        <v>79</v>
      </c>
      <c r="P17" s="1" t="s">
        <v>53</v>
      </c>
      <c r="Z17" s="2" t="s">
        <v>53</v>
      </c>
      <c r="AA17" s="2"/>
      <c r="AB17" s="2"/>
      <c r="AC17" s="2"/>
      <c r="AD17" s="2"/>
      <c r="AE17" s="2"/>
      <c r="AF17" s="2"/>
      <c r="AG17" s="2"/>
      <c r="AH17" s="2"/>
      <c r="AI17" s="2"/>
      <c r="AJ17" s="56" t="s">
        <v>704</v>
      </c>
      <c r="AK17" s="57">
        <v>1871</v>
      </c>
      <c r="AL17" s="1" t="s">
        <v>39</v>
      </c>
      <c r="AM17" s="1" t="s">
        <v>53</v>
      </c>
      <c r="AN17" s="1" t="s">
        <v>77</v>
      </c>
      <c r="AO17" s="1" t="s">
        <v>53</v>
      </c>
      <c r="AP17" s="1" t="s">
        <v>78</v>
      </c>
      <c r="AQ17" s="30" t="s">
        <v>53</v>
      </c>
      <c r="AS17" s="116" t="b">
        <f t="shared" si="33"/>
        <v>1</v>
      </c>
      <c r="AT17" s="117" t="str">
        <f t="shared" si="34"/>
        <v>title: "Sanctuary of Pontmain (Mother of Hope)"</v>
      </c>
      <c r="AU17" s="117" t="str">
        <f t="shared" si="35"/>
        <v>location: {lat: 48.4396021, lng: -1.0592325}</v>
      </c>
      <c r="AV17" s="117" t="str">
        <f t="shared" si="36"/>
        <v>interest: global</v>
      </c>
      <c r="AW17" s="117" t="str">
        <f>"- "&amp;VLOOKUP(C17,'Country Tags'!C:E,3,)</f>
        <v>- fr</v>
      </c>
      <c r="AX17" s="117" t="str">
        <f t="shared" si="37"/>
        <v/>
      </c>
      <c r="AY17" s="117" t="str">
        <f t="shared" si="38"/>
        <v>- churches</v>
      </c>
      <c r="AZ17" s="117" t="str">
        <f t="shared" si="39"/>
        <v>- marian-sites</v>
      </c>
      <c r="BA17" s="117" t="str">
        <f t="shared" si="40"/>
        <v/>
      </c>
      <c r="BB17" s="117" t="str">
        <f t="shared" si="41"/>
        <v/>
      </c>
      <c r="BC17" s="117" t="str">
        <f t="shared" si="42"/>
        <v/>
      </c>
      <c r="BD17" s="117" t="str">
        <f t="shared" si="43"/>
        <v/>
      </c>
      <c r="BE17" s="117" t="str">
        <f t="shared" si="44"/>
        <v/>
      </c>
      <c r="BF17" s="117" t="str">
        <f t="shared" si="45"/>
        <v/>
      </c>
      <c r="BG17" s="117" t="str">
        <f t="shared" si="46"/>
        <v/>
      </c>
      <c r="BH17" s="117" t="str">
        <f t="shared" si="47"/>
        <v/>
      </c>
      <c r="BI17" s="117" t="str">
        <f t="shared" si="48"/>
        <v/>
      </c>
      <c r="BJ17" s="117" t="str">
        <f t="shared" si="49"/>
        <v/>
      </c>
      <c r="BK17" s="117" t="str">
        <f t="shared" si="50"/>
        <v/>
      </c>
      <c r="BL17" s="117" t="str">
        <f t="shared" si="51"/>
        <v xml:space="preserve">tags:
- fr_x000D_
- churches_x000D_
- marian-sites_x000D_
</v>
      </c>
      <c r="BM17" s="120" t="str">
        <f t="shared" si="62"/>
        <v>[Official site](https://sanctuaire-pontmain.com/)</v>
      </c>
      <c r="BN17" s="120" t="str">
        <f t="shared" si="63"/>
        <v/>
      </c>
      <c r="BO17" s="120" t="str">
        <f t="shared" si="64"/>
        <v/>
      </c>
      <c r="BP17" s="120" t="str">
        <f t="shared" si="65"/>
        <v/>
      </c>
      <c r="BQ17" s="120" t="str">
        <f t="shared" si="52"/>
        <v xml:space="preserve">* [Official site](https://sanctuaire-pontmain.com/)
</v>
      </c>
      <c r="BR17" s="120" t="str">
        <f t="shared" si="53"/>
        <v>[Link](http://www.therealpresence.org/eucharst/misc/BVM/26_PONTMAIN_60x96.pdf)</v>
      </c>
      <c r="BS17" s="120" t="str">
        <f t="shared" si="54"/>
        <v>[Link](https://www.miraclehunter.com/marian_apparitions/approved_apparitions/pontmain/index.html))</v>
      </c>
      <c r="BT17" s="120" t="str">
        <f t="shared" si="55"/>
        <v>[Link](https://www.marypages.com/pontmain-(france)-en.html)</v>
      </c>
      <c r="BU17" s="120" t="str">
        <f>IF(LEN(concat(BR17:BT17))&gt;0,concat("| ",BR17," | ",BS17," | ",BT17," |"),"")</f>
        <v>| [Link](http://www.therealpresence.org/eucharst/misc/BVM/26_PONTMAIN_60x96.pdf) | [Link](https://www.miraclehunter.com/marian_apparitions/approved_apparitions/pontmain/index.html)) | [Link](https://www.marypages.com/pontmain-(france)-en.html) |</v>
      </c>
      <c r="BV17" s="117" t="str">
        <f t="shared" si="56"/>
        <v xml:space="preserve">| The Real Presence | Miracle Hunter | MaryPages |_x000D_
| --- | --- | --- |_x000D_
| [Link](http://www.therealpresence.org/eucharst/misc/BVM/26_PONTMAIN_60x96.pdf) | [Link](https://www.miraclehunter.com/marian_apparitions/approved_apparitions/pontmain/index.html)) | [Link](https://www.marypages.com/pontmain-(france)-en.html) |_x000D_
</v>
      </c>
      <c r="BW17" s="117" t="str">
        <f>IF(LEN(BQ17&amp;BV17)&gt;0,concatll("#### More Information",BQ17,BV17),"")</f>
        <v xml:space="preserve">#### More Information_x000D_
_x000D_
* [Official site](https://sanctuaire-pontmain.com/)
_x000D_
_x000D_
| The Real Presence | Miracle Hunter | MaryPages |_x000D_
| --- | --- | --- |_x000D_
| [Link](http://www.therealpresence.org/eucharst/misc/BVM/26_PONTMAIN_60x96.pdf) | [Link](https://www.miraclehunter.com/marian_apparitions/approved_apparitions/pontmain/index.html)) | [Link](https://www.marypages.com/pontmain-(france)-en.html) |_x000D_
_x000D_
_x000D_
</v>
      </c>
      <c r="BX17" s="117" t="str">
        <f>IF(LEN(N17)&gt;1,concatll("#### Author's Note",N17,"-"&amp;B17),"")</f>
        <v/>
      </c>
      <c r="BY17" s="117" t="s">
        <v>53</v>
      </c>
      <c r="BZ17" s="117" t="s">
        <v>53</v>
      </c>
      <c r="CA17" s="6" t="str">
        <f>IF(AS17,concatll(concatl("---",AT17:AV17,BL17,"---"),M17,BW17:BX17),"")</f>
        <v xml:space="preserve">---_x000D_
title: "Sanctuary of Pontmain (Mother of Hope)"_x000D_
location: {lat: 48.4396021, lng: -1.0592325}_x000D_
interest: global_x000D_
tags:
- fr_x000D_
- churches_x000D_
- marian-sites_x000D_
_x000D_
---_x000D_
_x000D_
_x000D_
In 1871, during the Franco-Prussian War, Mary appeared on a farm to students at the nearby convent school.  Her message was written on a banner that unfurled from her feet: "But pray my children. God will hear you in a short time. My Son allows Himself to be moved by compassion."_x000D_
_x000D_
#### More Information_x000D_
_x000D_
* [Official site](https://sanctuaire-pontmain.com/)
_x000D_
_x000D_
| The Real Presence | Miracle Hunter | MaryPages |_x000D_
| --- | --- | --- |_x000D_
| [Link](http://www.therealpresence.org/eucharst/misc/BVM/26_PONTMAIN_60x96.pdf) | [Link](https://www.miraclehunter.com/marian_apparitions/approved_apparitions/pontmain/index.html)) | [Link](https://www.marypages.com/pontmain-(france)-en.html) |_x000D_
_x000D_
_x000D_
_x000D_
_x000D_
</v>
      </c>
      <c r="CB17" s="6" t="str">
        <f>IF(AS17,"places\"&amp;VLOOKUP(C17,'Country Tags'!C:D,2,)&amp;IF(LEN(D17)&gt;1,"-"&amp;LOWER(SUBSTITUTE(D17," ","-")),"")&amp;"-"&amp;LOWER(SUBSTITUTE(SUBSTITUTE(H17," ","-"),".",""))&amp;".md","")</f>
        <v>places\fr-sanctuary-of-pontmain.md</v>
      </c>
      <c r="CC17" s="6"/>
      <c r="CD17" s="13" t="str">
        <f>IF(LEN(Z17)&gt;1,VLOOKUP(Z17,#REF!,2,),"")</f>
        <v/>
      </c>
      <c r="CE17" s="13" t="str">
        <f>IF(LEN(AA17)&gt;1,VLOOKUP(AA17,#REF!,2,),"")</f>
        <v/>
      </c>
      <c r="CF17" s="13" t="str">
        <f>IF(LEN(AB17)&gt;1,VLOOKUP(AB17,#REF!,2,),"")</f>
        <v/>
      </c>
      <c r="CG17" s="13" t="str">
        <f>IF(LEN(Z17)&gt;1,GetTagPage(CD17,Z17),"")</f>
        <v/>
      </c>
      <c r="CH17" s="13" t="str">
        <f>IF(LEN(AA17)&gt;1,GetTagPage(CE17,AA17),"")</f>
        <v/>
      </c>
      <c r="CI17" s="13" t="str">
        <f>IF(LEN(AB17)&gt;1,GetTagPage(CF17,AB17),"")</f>
        <v/>
      </c>
      <c r="CJ17" s="13" t="str">
        <f t="shared" si="57"/>
        <v xml:space="preserve">| </v>
      </c>
      <c r="CK17" s="13" t="str">
        <f t="shared" si="58"/>
        <v xml:space="preserve">| [Pontmain](/places/places\fr-sanctuary-of-pontmain) </v>
      </c>
      <c r="CL17" s="13" t="str">
        <f>"| "&amp;IF(AS17,GetTagPage(C17,VLOOKUP(C17,'Country Tags'!C:E,3,)),C17)&amp; " "</f>
        <v xml:space="preserve">| [France](/tags/fr) </v>
      </c>
      <c r="CM17" s="13" t="str">
        <f t="shared" si="59"/>
        <v xml:space="preserve">| 1871 </v>
      </c>
      <c r="CN17" s="13" t="str">
        <f t="shared" si="60"/>
        <v xml:space="preserve">| [Link](/places/places\fr-sanctuary-of-pontmain) </v>
      </c>
      <c r="CO17" s="12" t="str">
        <f t="shared" si="61"/>
        <v xml:space="preserve">
| [Pontmain](/places/places\fr-sanctuary-of-pontmain) | [France](/tags/fr) | 1871 | [Link](/places/places\fr-sanctuary-of-pontmain) [Official site](https://sanctuaire-pontmain.com/)[Link](http://www.therealpresence.org/eucharst/misc/BVM/26_PONTMAIN_60x96.pdf)[Link](https://www.miraclehunter.com/marian_apparitions/approved_apparitions/pontmain/index.html))[Link](https://www.marypages.com/pontmain-(france)-en.html)| |</v>
      </c>
    </row>
    <row r="18" spans="1:93" ht="51" x14ac:dyDescent="0.25">
      <c r="A18" s="129" t="s">
        <v>786</v>
      </c>
      <c r="B18" s="130" t="s">
        <v>1653</v>
      </c>
      <c r="C18" s="55" t="s">
        <v>271</v>
      </c>
      <c r="D18" s="55" t="s">
        <v>730</v>
      </c>
      <c r="E18" s="1">
        <v>48.848857382512399</v>
      </c>
      <c r="F18" s="30">
        <v>2.3216311122635598</v>
      </c>
      <c r="G18" s="7" t="s">
        <v>1031</v>
      </c>
      <c r="H18" s="61" t="s">
        <v>1031</v>
      </c>
      <c r="I18" s="7" t="s">
        <v>941</v>
      </c>
      <c r="J18" s="7" t="b">
        <v>1</v>
      </c>
      <c r="L18" s="7" t="b">
        <v>1</v>
      </c>
      <c r="M18" s="55" t="s">
        <v>1032</v>
      </c>
      <c r="N18" s="139" t="s">
        <v>1670</v>
      </c>
      <c r="P18" s="1" t="s">
        <v>53</v>
      </c>
      <c r="Z18" s="1" t="s">
        <v>910</v>
      </c>
      <c r="AA18" s="62" t="s">
        <v>925</v>
      </c>
      <c r="AB18" s="62" t="s">
        <v>1228</v>
      </c>
      <c r="AS18" s="116" t="b">
        <f t="shared" si="33"/>
        <v>1</v>
      </c>
      <c r="AT18" s="117" t="str">
        <f t="shared" si="34"/>
        <v>title: "St. Vincent De Paul Chapel"</v>
      </c>
      <c r="AU18" s="117" t="str">
        <f t="shared" si="35"/>
        <v>location: {lat: 48.8488573825124, lng: 2.32163111226356}</v>
      </c>
      <c r="AV18" s="117" t="str">
        <f t="shared" si="36"/>
        <v>interest: regional</v>
      </c>
      <c r="AW18" s="117" t="str">
        <f>"- "&amp;VLOOKUP(C18,'Country Tags'!C:E,3,)</f>
        <v>- fr</v>
      </c>
      <c r="AX18" s="117" t="str">
        <f t="shared" si="37"/>
        <v>- paris</v>
      </c>
      <c r="AY18" s="117" t="str">
        <f t="shared" si="38"/>
        <v>- churches</v>
      </c>
      <c r="AZ18" s="117" t="str">
        <f t="shared" si="39"/>
        <v/>
      </c>
      <c r="BA18" s="117" t="str">
        <f t="shared" si="40"/>
        <v>- holy-persons</v>
      </c>
      <c r="BB18" s="117" t="str">
        <f t="shared" si="41"/>
        <v>- vincent-de-paul</v>
      </c>
      <c r="BC18" s="117" t="str">
        <f t="shared" si="42"/>
        <v>- jean-gabriel-perboyre</v>
      </c>
      <c r="BD18" s="117" t="str">
        <f t="shared" si="43"/>
        <v>- vincentians</v>
      </c>
      <c r="BE18" s="117" t="str">
        <f t="shared" si="44"/>
        <v/>
      </c>
      <c r="BF18" s="117" t="str">
        <f t="shared" si="45"/>
        <v/>
      </c>
      <c r="BG18" s="117" t="str">
        <f t="shared" si="46"/>
        <v/>
      </c>
      <c r="BH18" s="117" t="str">
        <f t="shared" si="47"/>
        <v/>
      </c>
      <c r="BI18" s="117" t="str">
        <f t="shared" si="48"/>
        <v/>
      </c>
      <c r="BJ18" s="117" t="str">
        <f t="shared" si="49"/>
        <v/>
      </c>
      <c r="BK18" s="117" t="str">
        <f t="shared" si="50"/>
        <v/>
      </c>
      <c r="BL18" s="117" t="str">
        <f t="shared" si="51"/>
        <v xml:space="preserve">tags:
- fr_x000D_
- paris_x000D_
- churches_x000D_
- holy-persons_x000D_
- vincent-de-paul_x000D_
- jean-gabriel-perboyre_x000D_
- vincentians_x000D_
</v>
      </c>
      <c r="BM18" s="120" t="str">
        <f t="shared" si="62"/>
        <v/>
      </c>
      <c r="BN18" s="120" t="str">
        <f t="shared" si="63"/>
        <v/>
      </c>
      <c r="BO18" s="120" t="str">
        <f t="shared" si="64"/>
        <v/>
      </c>
      <c r="BP18" s="120" t="str">
        <f t="shared" si="65"/>
        <v/>
      </c>
      <c r="BQ18" s="117" t="str">
        <f t="shared" si="52"/>
        <v/>
      </c>
      <c r="BR18" s="117" t="str">
        <f t="shared" si="53"/>
        <v/>
      </c>
      <c r="BS18" s="117" t="str">
        <f t="shared" si="54"/>
        <v/>
      </c>
      <c r="BT18" s="117" t="str">
        <f t="shared" si="55"/>
        <v/>
      </c>
      <c r="BU18" s="117" t="str">
        <f>IF(LEN(concat(BR18:BT18))&gt;0,concat("| ",BR18," | ",BS18," | ",BT18," |"),"")</f>
        <v/>
      </c>
      <c r="BV18" s="117" t="str">
        <f t="shared" si="56"/>
        <v/>
      </c>
      <c r="BW18" s="117" t="str">
        <f>IF(LEN(BQ18&amp;BV18)&gt;0,concatll("#### More Information",BQ18,BV18),"")</f>
        <v/>
      </c>
      <c r="BX18" s="117" t="str">
        <f>IF(LEN(N18)&gt;1,concatll("#### Author's Note",N18,"-"&amp;B18),"")</f>
        <v xml:space="preserve">#### Author's Note_x000D_
_x000D_
An incredibly beautiful sanctuary of prayer, just a short walk from the often crowded Miraculous Medal Chapel._x000D_
_x000D_
-JMM_x000D_
_x000D_
</v>
      </c>
      <c r="BY18" s="117" t="s">
        <v>53</v>
      </c>
      <c r="BZ18" s="117" t="s">
        <v>53</v>
      </c>
      <c r="CA18" s="6" t="str">
        <f>IF(AS18,concatll(concatl("---",AT18:AV18,BL18,"---"),M18,BW18:BX18),"")</f>
        <v xml:space="preserve">---_x000D_
title: "St. Vincent De Paul Chapel"_x000D_
location: {lat: 48.8488573825124, lng: 2.32163111226356}_x000D_
interest: regional_x000D_
tags:
- fr_x000D_
- paris_x000D_
- churches_x000D_
- holy-persons_x000D_
- vincent-de-paul_x000D_
- jean-gabriel-perboyre_x000D_
- vincentians_x000D_
_x000D_
---_x000D_
_x000D_
_x000D_
Vincentian church housing the relics of Sts. Vincent de Paul and Jean-Gabriel Perboyre.  St. Vincent de Paul's heart is nearby at the more famous [Miraculous Medal Chapel](/places/fr-paris-chapel-of-our-lady-of-the-miraculous-medal)._x000D_
_x000D_
#### Author's Note_x000D_
_x000D_
An incredibly beautiful sanctuary of prayer, just a short walk from the often crowded Miraculous Medal Chapel._x000D_
_x000D_
-JMM_x000D_
_x000D_
_x000D_
_x000D_
</v>
      </c>
      <c r="CB18" s="6" t="str">
        <f>IF(AS18,"places\"&amp;VLOOKUP(C18,'Country Tags'!C:D,2,)&amp;IF(LEN(D18)&gt;1,"-"&amp;LOWER(SUBSTITUTE(D18," ","-")),"")&amp;"-"&amp;LOWER(SUBSTITUTE(SUBSTITUTE(H18," ","-"),".",""))&amp;".md","")</f>
        <v>places\fr-paris-st-vincent-de-paul-chapel.md</v>
      </c>
      <c r="CC18" s="6"/>
      <c r="CD18" s="12" t="e">
        <f>IF(LEN(Z18)&gt;1,VLOOKUP(Z18,#REF!,2,),"")</f>
        <v>#REF!</v>
      </c>
      <c r="CE18" s="12" t="e">
        <f>IF(LEN(AA18)&gt;1,VLOOKUP(AA18,#REF!,2,),"")</f>
        <v>#REF!</v>
      </c>
      <c r="CF18" s="12" t="e">
        <f>IF(LEN(AB18)&gt;1,VLOOKUP(AB18,#REF!,2,),"")</f>
        <v>#REF!</v>
      </c>
      <c r="CG18" s="12" t="e">
        <f>IF(LEN(Z18)&gt;1,GetTagPage(CD18,Z18),"")</f>
        <v>#VALUE!</v>
      </c>
      <c r="CH18" s="12" t="e">
        <f>IF(LEN(AA18)&gt;1,GetTagPage(CE18,AA18),"")</f>
        <v>#VALUE!</v>
      </c>
      <c r="CI18" s="12" t="e">
        <f>IF(LEN(AB18)&gt;1,GetTagPage(CF18,AB18),"")</f>
        <v>#VALUE!</v>
      </c>
      <c r="CJ18" s="12" t="e">
        <f t="shared" si="57"/>
        <v>#VALUE!</v>
      </c>
      <c r="CK18" s="12" t="str">
        <f t="shared" si="58"/>
        <v xml:space="preserve">| [](/places/places\fr-paris-st-vincent-de-paul-chapel) </v>
      </c>
      <c r="CL18" s="13" t="str">
        <f>"| "&amp;IF(AS18,GetTagPage(C18,VLOOKUP(C18,'Country Tags'!C:E,3,)),C18)&amp; " "</f>
        <v xml:space="preserve">| [France](/tags/fr) </v>
      </c>
      <c r="CM18" s="12" t="str">
        <f t="shared" si="59"/>
        <v xml:space="preserve">|  </v>
      </c>
      <c r="CN18" s="12" t="str">
        <f t="shared" si="60"/>
        <v xml:space="preserve">| [Link](/places/places\fr-paris-st-vincent-de-paul-chapel) </v>
      </c>
      <c r="CO18" s="12" t="e">
        <f t="shared" si="61"/>
        <v>#VALUE!</v>
      </c>
    </row>
    <row r="19" spans="1:93" ht="38.25" x14ac:dyDescent="0.25">
      <c r="A19" s="129" t="s">
        <v>786</v>
      </c>
      <c r="B19" s="130" t="s">
        <v>1654</v>
      </c>
      <c r="C19" s="55" t="s">
        <v>256</v>
      </c>
      <c r="D19" s="55" t="s">
        <v>1028</v>
      </c>
      <c r="E19" s="1">
        <v>48.373341813628898</v>
      </c>
      <c r="F19" s="30">
        <v>10.8960887661434</v>
      </c>
      <c r="G19" s="7" t="s">
        <v>1006</v>
      </c>
      <c r="H19" s="61" t="s">
        <v>1007</v>
      </c>
      <c r="I19" s="55" t="s">
        <v>941</v>
      </c>
      <c r="L19" s="7" t="b">
        <v>1</v>
      </c>
      <c r="M19" s="55" t="s">
        <v>1015</v>
      </c>
      <c r="O19" s="1" t="s">
        <v>1008</v>
      </c>
      <c r="P19" s="1" t="s">
        <v>53</v>
      </c>
      <c r="Z19" s="62" t="s">
        <v>1009</v>
      </c>
      <c r="AA19" s="62" t="s">
        <v>1010</v>
      </c>
      <c r="AB19" s="62" t="s">
        <v>1013</v>
      </c>
      <c r="AS19" s="116" t="b">
        <f t="shared" si="33"/>
        <v>1</v>
      </c>
      <c r="AT19" s="117" t="str">
        <f t="shared" si="34"/>
        <v>title: "Diocesan Museum of St. Afra"</v>
      </c>
      <c r="AU19" s="117" t="str">
        <f t="shared" si="35"/>
        <v>location: {lat: 48.3733418136289, lng: 10.8960887661434}</v>
      </c>
      <c r="AV19" s="117" t="str">
        <f t="shared" si="36"/>
        <v>interest: regional</v>
      </c>
      <c r="AW19" s="117" t="str">
        <f>"- "&amp;VLOOKUP(C19,'Country Tags'!C:E,3,)</f>
        <v>- de</v>
      </c>
      <c r="AX19" s="117" t="str">
        <f t="shared" si="37"/>
        <v>- augsburg</v>
      </c>
      <c r="AY19" s="117" t="str">
        <f t="shared" si="38"/>
        <v/>
      </c>
      <c r="AZ19" s="117" t="str">
        <f t="shared" si="39"/>
        <v/>
      </c>
      <c r="BA19" s="117" t="str">
        <f t="shared" si="40"/>
        <v>- holy-persons</v>
      </c>
      <c r="BB19" s="117" t="str">
        <f t="shared" si="41"/>
        <v>- ulrich</v>
      </c>
      <c r="BC19" s="117" t="str">
        <f t="shared" si="42"/>
        <v>- afra</v>
      </c>
      <c r="BD19" s="117" t="str">
        <f t="shared" si="43"/>
        <v>- simpert</v>
      </c>
      <c r="BE19" s="117" t="str">
        <f t="shared" si="44"/>
        <v/>
      </c>
      <c r="BF19" s="117" t="str">
        <f t="shared" si="45"/>
        <v/>
      </c>
      <c r="BG19" s="117" t="str">
        <f t="shared" si="46"/>
        <v/>
      </c>
      <c r="BH19" s="117" t="str">
        <f t="shared" si="47"/>
        <v/>
      </c>
      <c r="BI19" s="117" t="str">
        <f t="shared" si="48"/>
        <v/>
      </c>
      <c r="BJ19" s="117" t="str">
        <f t="shared" si="49"/>
        <v/>
      </c>
      <c r="BK19" s="117" t="str">
        <f t="shared" si="50"/>
        <v/>
      </c>
      <c r="BL19" s="117" t="str">
        <f t="shared" si="51"/>
        <v xml:space="preserve">tags:
- de_x000D_
- augsburg_x000D_
- holy-persons_x000D_
- ulrich_x000D_
- afra_x000D_
- simpert_x000D_
</v>
      </c>
      <c r="BM19" s="120" t="str">
        <f t="shared" si="62"/>
        <v>[Official site](https://www.museum-st-afra.de/en/)</v>
      </c>
      <c r="BN19" s="120" t="str">
        <f t="shared" si="63"/>
        <v/>
      </c>
      <c r="BO19" s="120" t="str">
        <f t="shared" si="64"/>
        <v/>
      </c>
      <c r="BP19" s="120" t="str">
        <f t="shared" si="65"/>
        <v/>
      </c>
      <c r="BQ19" s="117" t="str">
        <f t="shared" si="52"/>
        <v xml:space="preserve">* [Official site](https://www.museum-st-afra.de/en/)
</v>
      </c>
      <c r="BR19" s="117" t="str">
        <f t="shared" si="53"/>
        <v/>
      </c>
      <c r="BS19" s="117" t="str">
        <f t="shared" si="54"/>
        <v/>
      </c>
      <c r="BT19" s="117" t="str">
        <f t="shared" si="55"/>
        <v/>
      </c>
      <c r="BU19" s="117" t="str">
        <f>IF(LEN(concat(BR19:BT19))&gt;0,concat("| ",BR19," | ",BS19," | ",BT19," |"),"")</f>
        <v/>
      </c>
      <c r="BV19" s="117" t="str">
        <f t="shared" si="56"/>
        <v/>
      </c>
      <c r="BW19" s="117" t="str">
        <f>IF(LEN(BQ19&amp;BV19)&gt;0,concatll("#### More Information",BQ19,BV19),"")</f>
        <v xml:space="preserve">#### More Information_x000D_
_x000D_
* [Official site](https://www.museum-st-afra.de/en/)
_x000D_
_x000D_
</v>
      </c>
      <c r="BX19" s="117" t="str">
        <f>IF(LEN(N19)&gt;1,concatll("#### Author's Note",N19,"-"&amp;B19),"")</f>
        <v/>
      </c>
      <c r="BY19" s="117" t="s">
        <v>53</v>
      </c>
      <c r="BZ19" s="117" t="s">
        <v>53</v>
      </c>
      <c r="CA19" s="6" t="str">
        <f>IF(AS19,concatll(concatl("---",AT19:AV19,BL19,"---"),M19,BW19:BX19),"")</f>
        <v xml:space="preserve">---_x000D_
title: "Diocesan Museum of St. Afra"_x000D_
location: {lat: 48.3733418136289, lng: 10.8960887661434}_x000D_
interest: regional_x000D_
tags:
- de_x000D_
- augsburg_x000D_
- holy-persons_x000D_
- ulrich_x000D_
- afra_x000D_
- simpert_x000D_
_x000D_
---_x000D_
_x000D_
_x000D_
Museum of the Diocese of Augsburg, featuring vestments and other items owned by St. Ulrich.  Also presents history of Sts. Afra and Simpert, also of the Diocese of Augsburg._x000D_
_x000D_
#### More Information_x000D_
_x000D_
* [Official site](https://www.museum-st-afra.de/en/)
_x000D_
_x000D_
_x000D_
_x000D_
</v>
      </c>
      <c r="CB19" s="6" t="str">
        <f>IF(AS19,"places\"&amp;VLOOKUP(C19,'Country Tags'!C:D,2,)&amp;IF(LEN(D19)&gt;1,"-"&amp;LOWER(SUBSTITUTE(D19," ","-")),"")&amp;"-"&amp;LOWER(SUBSTITUTE(SUBSTITUTE(H19," ","-"),".",""))&amp;".md","")</f>
        <v>places\de-augsburg-diocesan-museum.md</v>
      </c>
      <c r="CC19" s="6"/>
      <c r="CD19" s="12" t="e">
        <f>IF(LEN(Z19)&gt;1,VLOOKUP(Z19,#REF!,2,),"")</f>
        <v>#REF!</v>
      </c>
      <c r="CE19" s="12" t="e">
        <f>IF(LEN(AA19)&gt;1,VLOOKUP(AA19,#REF!,2,),"")</f>
        <v>#REF!</v>
      </c>
      <c r="CF19" s="12" t="e">
        <f>IF(LEN(AB19)&gt;1,VLOOKUP(AB19,#REF!,2,),"")</f>
        <v>#REF!</v>
      </c>
      <c r="CG19" s="12" t="e">
        <f>IF(LEN(Z19)&gt;1,GetTagPage(CD19,Z19),"")</f>
        <v>#VALUE!</v>
      </c>
      <c r="CH19" s="12" t="e">
        <f>IF(LEN(AA19)&gt;1,GetTagPage(CE19,AA19),"")</f>
        <v>#VALUE!</v>
      </c>
      <c r="CI19" s="12" t="e">
        <f>IF(LEN(AB19)&gt;1,GetTagPage(CF19,AB19),"")</f>
        <v>#VALUE!</v>
      </c>
      <c r="CJ19" s="12" t="e">
        <f t="shared" si="57"/>
        <v>#VALUE!</v>
      </c>
      <c r="CK19" s="12" t="str">
        <f t="shared" si="58"/>
        <v xml:space="preserve">| [](/places/places\de-augsburg-diocesan-museum) </v>
      </c>
      <c r="CL19" s="13" t="str">
        <f>"| "&amp;IF(AS19,GetTagPage(C19,VLOOKUP(C19,'Country Tags'!C:E,3,)),C19)&amp; " "</f>
        <v xml:space="preserve">| [Germany](/tags/de) </v>
      </c>
      <c r="CM19" s="12" t="str">
        <f t="shared" si="59"/>
        <v xml:space="preserve">|  </v>
      </c>
      <c r="CN19" s="12" t="str">
        <f t="shared" si="60"/>
        <v xml:space="preserve">| [Link](/places/places\de-augsburg-diocesan-museum) </v>
      </c>
      <c r="CO19" s="12" t="e">
        <f t="shared" si="61"/>
        <v>#VALUE!</v>
      </c>
    </row>
    <row r="20" spans="1:93" ht="25.5" x14ac:dyDescent="0.25">
      <c r="A20" s="129" t="s">
        <v>786</v>
      </c>
      <c r="B20" s="130" t="s">
        <v>1654</v>
      </c>
      <c r="C20" s="7" t="s">
        <v>256</v>
      </c>
      <c r="D20" s="7" t="s">
        <v>1028</v>
      </c>
      <c r="E20" s="1">
        <v>48.372656224858602</v>
      </c>
      <c r="F20" s="30">
        <v>10.896980204558901</v>
      </c>
      <c r="G20" s="55" t="s">
        <v>1017</v>
      </c>
      <c r="H20" s="61" t="s">
        <v>1004</v>
      </c>
      <c r="I20" s="55" t="s">
        <v>1002</v>
      </c>
      <c r="J20" s="7" t="b">
        <v>1</v>
      </c>
      <c r="L20" s="7" t="b">
        <v>1</v>
      </c>
      <c r="M20" s="55" t="s">
        <v>1016</v>
      </c>
      <c r="O20" s="1" t="s">
        <v>1018</v>
      </c>
      <c r="P20" s="1" t="s">
        <v>53</v>
      </c>
      <c r="Z20" s="1" t="s">
        <v>1019</v>
      </c>
      <c r="AS20" s="116" t="b">
        <f t="shared" si="33"/>
        <v>1</v>
      </c>
      <c r="AT20" s="117" t="str">
        <f t="shared" si="34"/>
        <v>title: "Augsburg Cathedral (Augsburgur Dom)"</v>
      </c>
      <c r="AU20" s="117" t="str">
        <f t="shared" si="35"/>
        <v>location: {lat: 48.3726562248586, lng: 10.8969802045589}</v>
      </c>
      <c r="AV20" s="117" t="str">
        <f t="shared" si="36"/>
        <v>interest: local</v>
      </c>
      <c r="AW20" s="117" t="str">
        <f>"- "&amp;VLOOKUP(C20,'Country Tags'!C:E,3,)</f>
        <v>- de</v>
      </c>
      <c r="AX20" s="117" t="str">
        <f t="shared" si="37"/>
        <v>- augsburg</v>
      </c>
      <c r="AY20" s="117" t="str">
        <f t="shared" si="38"/>
        <v>- churches</v>
      </c>
      <c r="AZ20" s="117" t="str">
        <f t="shared" si="39"/>
        <v/>
      </c>
      <c r="BA20" s="117" t="str">
        <f t="shared" si="40"/>
        <v>- holy-persons</v>
      </c>
      <c r="BB20" s="117" t="str">
        <f t="shared" si="41"/>
        <v>- peter-canisius</v>
      </c>
      <c r="BC20" s="117" t="str">
        <f t="shared" si="42"/>
        <v/>
      </c>
      <c r="BD20" s="117" t="str">
        <f t="shared" si="43"/>
        <v/>
      </c>
      <c r="BE20" s="117" t="str">
        <f t="shared" si="44"/>
        <v/>
      </c>
      <c r="BF20" s="117" t="str">
        <f t="shared" si="45"/>
        <v/>
      </c>
      <c r="BG20" s="117" t="str">
        <f t="shared" si="46"/>
        <v/>
      </c>
      <c r="BH20" s="117" t="str">
        <f t="shared" si="47"/>
        <v/>
      </c>
      <c r="BI20" s="117" t="str">
        <f t="shared" si="48"/>
        <v/>
      </c>
      <c r="BJ20" s="117" t="str">
        <f t="shared" si="49"/>
        <v/>
      </c>
      <c r="BK20" s="117" t="str">
        <f t="shared" si="50"/>
        <v/>
      </c>
      <c r="BL20" s="117" t="str">
        <f t="shared" si="51"/>
        <v xml:space="preserve">tags:
- de_x000D_
- augsburg_x000D_
- churches_x000D_
- holy-persons_x000D_
- peter-canisius_x000D_
</v>
      </c>
      <c r="BM20" s="120" t="str">
        <f t="shared" si="62"/>
        <v>[Official site](https://bistum-augsburg.de/Bistum/Unser-Bistum/Kathedrale/Hoher-Dom)</v>
      </c>
      <c r="BN20" s="120" t="str">
        <f t="shared" si="63"/>
        <v/>
      </c>
      <c r="BO20" s="120" t="str">
        <f t="shared" si="64"/>
        <v/>
      </c>
      <c r="BP20" s="120" t="str">
        <f t="shared" si="65"/>
        <v/>
      </c>
      <c r="BQ20" s="117" t="str">
        <f t="shared" si="52"/>
        <v xml:space="preserve">* [Official site](https://bistum-augsburg.de/Bistum/Unser-Bistum/Kathedrale/Hoher-Dom)
</v>
      </c>
      <c r="BR20" s="117" t="str">
        <f t="shared" si="53"/>
        <v/>
      </c>
      <c r="BS20" s="117" t="str">
        <f t="shared" si="54"/>
        <v/>
      </c>
      <c r="BT20" s="117" t="str">
        <f t="shared" si="55"/>
        <v/>
      </c>
      <c r="BU20" s="117" t="str">
        <f>IF(LEN(concat(BR20:BT20))&gt;0,concat("| ",BR20," | ",BS20," | ",BT20," |"),"")</f>
        <v/>
      </c>
      <c r="BV20" s="117" t="str">
        <f t="shared" si="56"/>
        <v/>
      </c>
      <c r="BW20" s="117" t="str">
        <f>IF(LEN(BQ20&amp;BV20)&gt;0,concatll("#### More Information",BQ20,BV20),"")</f>
        <v xml:space="preserve">#### More Information_x000D_
_x000D_
* [Official site](https://bistum-augsburg.de/Bistum/Unser-Bistum/Kathedrale/Hoher-Dom)
_x000D_
_x000D_
</v>
      </c>
      <c r="BX20" s="117" t="str">
        <f>IF(LEN(N20)&gt;1,concatll("#### Author's Note",N20,"-"&amp;B20),"")</f>
        <v/>
      </c>
      <c r="BY20" s="117" t="s">
        <v>53</v>
      </c>
      <c r="BZ20" s="117" t="s">
        <v>53</v>
      </c>
      <c r="CA20" s="6" t="str">
        <f>IF(AS20,concatll(concatl("---",AT20:AV20,BL20,"---"),M20,BW20:BX20),"")</f>
        <v xml:space="preserve">---_x000D_
title: "Augsburg Cathedral (Augsburgur Dom)"_x000D_
location: {lat: 48.3726562248586, lng: 10.8969802045589}_x000D_
interest: local_x000D_
tags:
- de_x000D_
- augsburg_x000D_
- churches_x000D_
- holy-persons_x000D_
- peter-canisius_x000D_
_x000D_
---_x000D_
_x000D_
_x000D_
Cathedral of the Diocese of Augsburg.  St. Peter Canisius was appointed the "cathedral preacher" here in 1559._x000D_
_x000D_
#### More Information_x000D_
_x000D_
* [Official site](https://bistum-augsburg.de/Bistum/Unser-Bistum/Kathedrale/Hoher-Dom)
_x000D_
_x000D_
_x000D_
_x000D_
</v>
      </c>
      <c r="CB20" s="6" t="str">
        <f>IF(AS20,"places\"&amp;VLOOKUP(C20,'Country Tags'!C:D,2,)&amp;IF(LEN(D20)&gt;1,"-"&amp;LOWER(SUBSTITUTE(D20," ","-")),"")&amp;"-"&amp;LOWER(SUBSTITUTE(SUBSTITUTE(H20," ","-"),".",""))&amp;".md","")</f>
        <v>places\de-augsburg-cathedral.md</v>
      </c>
      <c r="CC20" s="6"/>
      <c r="CD20" s="12" t="e">
        <f>IF(LEN(Z20)&gt;1,VLOOKUP(Z20,#REF!,2,),"")</f>
        <v>#REF!</v>
      </c>
      <c r="CE20" s="12" t="str">
        <f>IF(LEN(AA20)&gt;1,VLOOKUP(AA20,#REF!,2,),"")</f>
        <v/>
      </c>
      <c r="CF20" s="12" t="str">
        <f>IF(LEN(AB20)&gt;1,VLOOKUP(AB20,#REF!,2,),"")</f>
        <v/>
      </c>
      <c r="CG20" s="12" t="e">
        <f>IF(LEN(Z20)&gt;1,GetTagPage(CD20,Z20),"")</f>
        <v>#VALUE!</v>
      </c>
      <c r="CH20" s="12" t="str">
        <f>IF(LEN(AA20)&gt;1,GetTagPage(CE20,AA20),"")</f>
        <v/>
      </c>
      <c r="CI20" s="12" t="str">
        <f>IF(LEN(AB20)&gt;1,GetTagPage(CF20,AB20),"")</f>
        <v/>
      </c>
      <c r="CJ20" s="12" t="e">
        <f t="shared" si="57"/>
        <v>#VALUE!</v>
      </c>
      <c r="CK20" s="12" t="str">
        <f t="shared" si="58"/>
        <v xml:space="preserve">| [](/places/places\de-augsburg-cathedral) </v>
      </c>
      <c r="CL20" s="13" t="str">
        <f>"| "&amp;IF(AS20,GetTagPage(C20,VLOOKUP(C20,'Country Tags'!C:E,3,)),C20)&amp; " "</f>
        <v xml:space="preserve">| [Germany](/tags/de) </v>
      </c>
      <c r="CM20" s="12" t="str">
        <f t="shared" si="59"/>
        <v xml:space="preserve">|  </v>
      </c>
      <c r="CN20" s="12" t="str">
        <f t="shared" si="60"/>
        <v xml:space="preserve">| [Link](/places/places\de-augsburg-cathedral) </v>
      </c>
      <c r="CO20" s="12" t="e">
        <f t="shared" si="61"/>
        <v>#VALUE!</v>
      </c>
    </row>
    <row r="21" spans="1:93" ht="25.5" x14ac:dyDescent="0.25">
      <c r="A21" s="129" t="s">
        <v>786</v>
      </c>
      <c r="B21" s="7" t="s">
        <v>1654</v>
      </c>
      <c r="C21" s="7" t="s">
        <v>256</v>
      </c>
      <c r="D21" s="7" t="s">
        <v>1028</v>
      </c>
      <c r="E21" s="1">
        <v>48.372337108375902</v>
      </c>
      <c r="F21" s="30">
        <v>10.8944612321084</v>
      </c>
      <c r="G21" s="7" t="s">
        <v>1021</v>
      </c>
      <c r="H21" s="61" t="s">
        <v>1022</v>
      </c>
      <c r="I21" s="7" t="s">
        <v>1002</v>
      </c>
      <c r="M21" s="7" t="s">
        <v>1023</v>
      </c>
      <c r="N21" s="139" t="s">
        <v>1671</v>
      </c>
      <c r="P21" s="1" t="s">
        <v>53</v>
      </c>
      <c r="Z21" s="62" t="s">
        <v>1029</v>
      </c>
      <c r="AS21" s="116" t="b">
        <f t="shared" si="33"/>
        <v>1</v>
      </c>
      <c r="AT21" s="117" t="str">
        <f t="shared" si="34"/>
        <v>title: "Former Residence of the Prince-Bishop of Augsburg"</v>
      </c>
      <c r="AU21" s="117" t="str">
        <f t="shared" si="35"/>
        <v>location: {lat: 48.3723371083759, lng: 10.8944612321084}</v>
      </c>
      <c r="AV21" s="117" t="str">
        <f t="shared" si="36"/>
        <v>interest: local</v>
      </c>
      <c r="AW21" s="117" t="str">
        <f>"- "&amp;VLOOKUP(C21,'Country Tags'!C:E,3,)</f>
        <v>- de</v>
      </c>
      <c r="AX21" s="117" t="str">
        <f t="shared" si="37"/>
        <v>- augsburg</v>
      </c>
      <c r="AY21" s="117" t="str">
        <f t="shared" si="38"/>
        <v/>
      </c>
      <c r="AZ21" s="117" t="str">
        <f t="shared" si="39"/>
        <v/>
      </c>
      <c r="BA21" s="117" t="str">
        <f t="shared" si="40"/>
        <v/>
      </c>
      <c r="BB21" s="117" t="str">
        <f t="shared" si="41"/>
        <v>- reformation</v>
      </c>
      <c r="BC21" s="117" t="str">
        <f t="shared" si="42"/>
        <v/>
      </c>
      <c r="BD21" s="117" t="str">
        <f t="shared" si="43"/>
        <v/>
      </c>
      <c r="BE21" s="117" t="str">
        <f t="shared" si="44"/>
        <v/>
      </c>
      <c r="BF21" s="117" t="str">
        <f t="shared" si="45"/>
        <v/>
      </c>
      <c r="BG21" s="117" t="str">
        <f t="shared" si="46"/>
        <v/>
      </c>
      <c r="BH21" s="117" t="str">
        <f t="shared" si="47"/>
        <v/>
      </c>
      <c r="BI21" s="117" t="str">
        <f t="shared" si="48"/>
        <v/>
      </c>
      <c r="BJ21" s="117" t="str">
        <f t="shared" si="49"/>
        <v/>
      </c>
      <c r="BK21" s="117" t="str">
        <f t="shared" si="50"/>
        <v/>
      </c>
      <c r="BL21" s="117" t="str">
        <f t="shared" si="51"/>
        <v xml:space="preserve">tags:
- de_x000D_
- augsburg_x000D_
- reformation_x000D_
</v>
      </c>
      <c r="BM21" s="120" t="str">
        <f t="shared" si="62"/>
        <v/>
      </c>
      <c r="BN21" s="120" t="str">
        <f t="shared" si="63"/>
        <v/>
      </c>
      <c r="BO21" s="120" t="str">
        <f t="shared" si="64"/>
        <v/>
      </c>
      <c r="BP21" s="120" t="str">
        <f t="shared" si="65"/>
        <v/>
      </c>
      <c r="BQ21" s="117" t="str">
        <f t="shared" si="52"/>
        <v/>
      </c>
      <c r="BR21" s="117" t="str">
        <f t="shared" si="53"/>
        <v/>
      </c>
      <c r="BS21" s="117" t="str">
        <f t="shared" si="54"/>
        <v/>
      </c>
      <c r="BT21" s="117" t="str">
        <f t="shared" si="55"/>
        <v/>
      </c>
      <c r="BU21" s="117" t="str">
        <f>IF(LEN(concat(BR21:BT21))&gt;0,concat("| ",BR21," | ",BS21," | ",BT21," |"),"")</f>
        <v/>
      </c>
      <c r="BV21" s="117" t="str">
        <f t="shared" si="56"/>
        <v/>
      </c>
      <c r="BW21" s="117" t="str">
        <f>IF(LEN(BQ21&amp;BV21)&gt;0,concatll("#### More Information",BQ21,BV21),"")</f>
        <v/>
      </c>
      <c r="BX21" s="117" t="str">
        <f>IF(LEN(N21)&gt;1,concatll("#### Author's Note",N21,"-"&amp;B21),"")</f>
        <v xml:space="preserve">#### Author's Note_x000D_
_x000D_
Let us pray for Christian unity and for our Protestant brethern to come to the True Faith._x000D_
_x000D_
-JPY_x000D_
_x000D_
</v>
      </c>
      <c r="BY21" s="117" t="s">
        <v>53</v>
      </c>
      <c r="BZ21" s="117" t="s">
        <v>53</v>
      </c>
      <c r="CA21" s="6" t="str">
        <f>IF(AS21,concatll(concatl("---",AT21:AV21,BL21,"---"),M21,BW21:BX21),"")</f>
        <v xml:space="preserve">---_x000D_
title: "Former Residence of the Prince-Bishop of Augsburg"_x000D_
location: {lat: 48.3723371083759, lng: 10.8944612321084}_x000D_
interest: local_x000D_
tags:
- de_x000D_
- augsburg_x000D_
- reformation_x000D_
_x000D_
---_x000D_
_x000D_
_x000D_
This building is on the site where the Diet of Augsburg in 1530 took place, where the Augsburg Confession was presented._x000D_
_x000D_
#### Author's Note_x000D_
_x000D_
Let us pray for Christian unity and for our Protestant brethern to come to the True Faith._x000D_
_x000D_
-JPY_x000D_
_x000D_
_x000D_
_x000D_
</v>
      </c>
      <c r="CB21" s="6" t="str">
        <f>IF(AS21,"places\"&amp;VLOOKUP(C21,'Country Tags'!C:D,2,)&amp;IF(LEN(D21)&gt;1,"-"&amp;LOWER(SUBSTITUTE(D21," ","-")),"")&amp;"-"&amp;LOWER(SUBSTITUTE(SUBSTITUTE(H21," ","-"),".",""))&amp;".md","")</f>
        <v>places\de-augsburg-prince-bishop-residence.md</v>
      </c>
      <c r="CC21" s="6"/>
      <c r="CD21" s="12" t="e">
        <f>IF(LEN(Z21)&gt;1,VLOOKUP(Z21,#REF!,2,),"")</f>
        <v>#REF!</v>
      </c>
      <c r="CE21" s="12" t="str">
        <f>IF(LEN(AA21)&gt;1,VLOOKUP(AA21,#REF!,2,),"")</f>
        <v/>
      </c>
      <c r="CF21" s="12" t="str">
        <f>IF(LEN(AB21)&gt;1,VLOOKUP(AB21,#REF!,2,),"")</f>
        <v/>
      </c>
      <c r="CG21" s="12" t="e">
        <f>IF(LEN(Z21)&gt;1,GetTagPage(CD21,Z21),"")</f>
        <v>#VALUE!</v>
      </c>
      <c r="CH21" s="12" t="str">
        <f>IF(LEN(AA21)&gt;1,GetTagPage(CE21,AA21),"")</f>
        <v/>
      </c>
      <c r="CI21" s="12" t="str">
        <f>IF(LEN(AB21)&gt;1,GetTagPage(CF21,AB21),"")</f>
        <v/>
      </c>
      <c r="CJ21" s="12" t="e">
        <f t="shared" si="57"/>
        <v>#VALUE!</v>
      </c>
      <c r="CK21" s="12" t="str">
        <f t="shared" si="58"/>
        <v xml:space="preserve">| [](/places/places\de-augsburg-prince-bishop-residence) </v>
      </c>
      <c r="CL21" s="13" t="str">
        <f>"| "&amp;IF(AS21,GetTagPage(C21,VLOOKUP(C21,'Country Tags'!C:E,3,)),C21)&amp; " "</f>
        <v xml:space="preserve">| [Germany](/tags/de) </v>
      </c>
      <c r="CM21" s="12" t="str">
        <f t="shared" si="59"/>
        <v xml:space="preserve">|  </v>
      </c>
      <c r="CN21" s="12" t="str">
        <f t="shared" si="60"/>
        <v xml:space="preserve">| [Link](/places/places\de-augsburg-prince-bishop-residence) </v>
      </c>
      <c r="CO21" s="12" t="e">
        <f t="shared" si="61"/>
        <v>#VALUE!</v>
      </c>
    </row>
    <row r="22" spans="1:93" ht="63.75" x14ac:dyDescent="0.25">
      <c r="A22" s="129" t="s">
        <v>786</v>
      </c>
      <c r="B22" s="7" t="s">
        <v>1654</v>
      </c>
      <c r="C22" s="7" t="s">
        <v>256</v>
      </c>
      <c r="D22" s="7" t="s">
        <v>1028</v>
      </c>
      <c r="E22" s="1">
        <v>48.361479239335097</v>
      </c>
      <c r="F22" s="30">
        <v>10.9000712149692</v>
      </c>
      <c r="G22" s="7" t="s">
        <v>1024</v>
      </c>
      <c r="H22" s="61" t="s">
        <v>1025</v>
      </c>
      <c r="I22" s="55" t="s">
        <v>941</v>
      </c>
      <c r="J22" s="7" t="b">
        <v>1</v>
      </c>
      <c r="L22" s="7" t="b">
        <v>1</v>
      </c>
      <c r="M22" s="55" t="s">
        <v>1026</v>
      </c>
      <c r="N22" s="139" t="s">
        <v>1672</v>
      </c>
      <c r="O22" s="1" t="s">
        <v>1027</v>
      </c>
      <c r="P22" s="1" t="s">
        <v>53</v>
      </c>
      <c r="Z22" s="1" t="s">
        <v>1009</v>
      </c>
      <c r="AA22" s="1" t="s">
        <v>1010</v>
      </c>
      <c r="AB22" s="1" t="s">
        <v>1013</v>
      </c>
      <c r="AS22" s="116" t="b">
        <f t="shared" si="33"/>
        <v>1</v>
      </c>
      <c r="AT22" s="117" t="str">
        <f t="shared" si="34"/>
        <v>title: "Basilica of Sts. Ulrich and Afra"</v>
      </c>
      <c r="AU22" s="117" t="str">
        <f t="shared" si="35"/>
        <v>location: {lat: 48.3614792393351, lng: 10.9000712149692}</v>
      </c>
      <c r="AV22" s="117" t="str">
        <f t="shared" si="36"/>
        <v>interest: regional</v>
      </c>
      <c r="AW22" s="117" t="str">
        <f>"- "&amp;VLOOKUP(C22,'Country Tags'!C:E,3,)</f>
        <v>- de</v>
      </c>
      <c r="AX22" s="117" t="str">
        <f t="shared" si="37"/>
        <v>- augsburg</v>
      </c>
      <c r="AY22" s="117" t="str">
        <f t="shared" si="38"/>
        <v>- churches</v>
      </c>
      <c r="AZ22" s="117" t="str">
        <f t="shared" si="39"/>
        <v/>
      </c>
      <c r="BA22" s="117" t="str">
        <f t="shared" si="40"/>
        <v>- holy-persons</v>
      </c>
      <c r="BB22" s="117" t="str">
        <f t="shared" si="41"/>
        <v>- ulrich</v>
      </c>
      <c r="BC22" s="117" t="str">
        <f t="shared" si="42"/>
        <v>- afra</v>
      </c>
      <c r="BD22" s="117" t="str">
        <f t="shared" si="43"/>
        <v>- simpert</v>
      </c>
      <c r="BE22" s="117" t="str">
        <f t="shared" si="44"/>
        <v/>
      </c>
      <c r="BF22" s="117" t="str">
        <f t="shared" si="45"/>
        <v/>
      </c>
      <c r="BG22" s="117" t="str">
        <f t="shared" si="46"/>
        <v/>
      </c>
      <c r="BH22" s="117" t="str">
        <f t="shared" si="47"/>
        <v/>
      </c>
      <c r="BI22" s="117" t="str">
        <f t="shared" si="48"/>
        <v/>
      </c>
      <c r="BJ22" s="117" t="str">
        <f t="shared" si="49"/>
        <v/>
      </c>
      <c r="BK22" s="117" t="str">
        <f t="shared" si="50"/>
        <v/>
      </c>
      <c r="BL22" s="117" t="str">
        <f t="shared" si="51"/>
        <v xml:space="preserve">tags:
- de_x000D_
- augsburg_x000D_
- churches_x000D_
- holy-persons_x000D_
- ulrich_x000D_
- afra_x000D_
- simpert_x000D_
</v>
      </c>
      <c r="BM22" s="120" t="str">
        <f t="shared" si="62"/>
        <v>[Official site](https://ulrich-afra-anton.de)</v>
      </c>
      <c r="BN22" s="120" t="str">
        <f t="shared" si="63"/>
        <v/>
      </c>
      <c r="BO22" s="120" t="str">
        <f t="shared" si="64"/>
        <v/>
      </c>
      <c r="BP22" s="120" t="str">
        <f t="shared" si="65"/>
        <v/>
      </c>
      <c r="BQ22" s="117" t="str">
        <f t="shared" si="52"/>
        <v xml:space="preserve">* [Official site](https://ulrich-afra-anton.de)
</v>
      </c>
      <c r="BR22" s="117" t="str">
        <f t="shared" si="53"/>
        <v/>
      </c>
      <c r="BS22" s="117" t="str">
        <f t="shared" si="54"/>
        <v/>
      </c>
      <c r="BT22" s="117" t="str">
        <f t="shared" si="55"/>
        <v/>
      </c>
      <c r="BU22" s="117" t="str">
        <f>IF(LEN(concat(BR22:BT22))&gt;0,concat("| ",BR22," | ",BS22," | ",BT22," |"),"")</f>
        <v/>
      </c>
      <c r="BV22" s="117" t="str">
        <f t="shared" si="56"/>
        <v/>
      </c>
      <c r="BW22" s="117" t="str">
        <f>IF(LEN(BQ22&amp;BV22)&gt;0,concatll("#### More Information",BQ22,BV22),"")</f>
        <v xml:space="preserve">#### More Information_x000D_
_x000D_
* [Official site](https://ulrich-afra-anton.de)
_x000D_
_x000D_
</v>
      </c>
      <c r="BX22" s="117" t="str">
        <f>IF(LEN(N22)&gt;1,concatll("#### Author's Note",N22,"-"&amp;B22),"")</f>
        <v xml:space="preserve">#### Author's Note_x000D_
_x000D_
Sts. Ulrich and Afra are buried in the crypt beneath the high altar.  You can reach them with some steep stairs on either side of the high altar.  St. Simpert's tomb is in a chapel along the right side of the nave._x000D_
_x000D_
-JPY_x000D_
_x000D_
</v>
      </c>
      <c r="BY22" s="117" t="s">
        <v>53</v>
      </c>
      <c r="BZ22" s="117" t="s">
        <v>53</v>
      </c>
      <c r="CA22" s="6" t="str">
        <f>IF(AS22,concatll(concatl("---",AT22:AV22,BL22,"---"),M22,BW22:BX22),"")</f>
        <v xml:space="preserve">---_x000D_
title: "Basilica of Sts. Ulrich and Afra"_x000D_
location: {lat: 48.3614792393351, lng: 10.9000712149692}_x000D_
interest: regional_x000D_
tags:
- de_x000D_
- augsburg_x000D_
- churches_x000D_
- holy-persons_x000D_
- ulrich_x000D_
- afra_x000D_
- simpert_x000D_
_x000D_
---_x000D_
_x000D_
_x000D_
Site of the martyrdom of St. Afra and burial place of Sts. Afra, Ulrich (the first canonized saint) and Simpert (778-807)._x000D_
_x000D_
#### More Information_x000D_
_x000D_
* [Official site](https://ulrich-afra-anton.de)
_x000D_
_x000D_
_x000D_
_x000D_
#### Author's Note_x000D_
_x000D_
Sts. Ulrich and Afra are buried in the crypt beneath the high altar.  You can reach them with some steep stairs on either side of the high altar.  St. Simpert's tomb is in a chapel along the right side of the nave._x000D_
_x000D_
-JPY_x000D_
_x000D_
_x000D_
_x000D_
</v>
      </c>
      <c r="CB22" s="6" t="str">
        <f>IF(AS22,"places\"&amp;VLOOKUP(C22,'Country Tags'!C:D,2,)&amp;IF(LEN(D22)&gt;1,"-"&amp;LOWER(SUBSTITUTE(D22," ","-")),"")&amp;"-"&amp;LOWER(SUBSTITUTE(SUBSTITUTE(H22," ","-"),".",""))&amp;".md","")</f>
        <v>places\de-augsburg-basilica-of-sts-ulrich-and-afra.md</v>
      </c>
      <c r="CC22" s="6"/>
      <c r="CD22" s="12" t="e">
        <f>IF(LEN(Z22)&gt;1,VLOOKUP(Z22,#REF!,2,),"")</f>
        <v>#REF!</v>
      </c>
      <c r="CE22" s="12" t="e">
        <f>IF(LEN(AA22)&gt;1,VLOOKUP(AA22,#REF!,2,),"")</f>
        <v>#REF!</v>
      </c>
      <c r="CF22" s="12" t="e">
        <f>IF(LEN(AB22)&gt;1,VLOOKUP(AB22,#REF!,2,),"")</f>
        <v>#REF!</v>
      </c>
      <c r="CG22" s="12" t="e">
        <f>IF(LEN(Z22)&gt;1,GetTagPage(CD22,Z22),"")</f>
        <v>#VALUE!</v>
      </c>
      <c r="CH22" s="12" t="e">
        <f>IF(LEN(AA22)&gt;1,GetTagPage(CE22,AA22),"")</f>
        <v>#VALUE!</v>
      </c>
      <c r="CI22" s="12" t="e">
        <f>IF(LEN(AB22)&gt;1,GetTagPage(CF22,AB22),"")</f>
        <v>#VALUE!</v>
      </c>
      <c r="CJ22" s="12" t="e">
        <f t="shared" si="57"/>
        <v>#VALUE!</v>
      </c>
      <c r="CK22" s="12" t="str">
        <f t="shared" si="58"/>
        <v xml:space="preserve">| [](/places/places\de-augsburg-basilica-of-sts-ulrich-and-afra) </v>
      </c>
      <c r="CL22" s="13" t="str">
        <f>"| "&amp;IF(AS22,GetTagPage(C22,VLOOKUP(C22,'Country Tags'!C:E,3,)),C22)&amp; " "</f>
        <v xml:space="preserve">| [Germany](/tags/de) </v>
      </c>
      <c r="CM22" s="12" t="str">
        <f t="shared" si="59"/>
        <v xml:space="preserve">|  </v>
      </c>
      <c r="CN22" s="12" t="str">
        <f t="shared" si="60"/>
        <v xml:space="preserve">| [Link](/places/places\de-augsburg-basilica-of-sts-ulrich-and-afra) </v>
      </c>
      <c r="CO22" s="12" t="e">
        <f t="shared" si="61"/>
        <v>#VALUE!</v>
      </c>
    </row>
    <row r="23" spans="1:93" ht="38.25" x14ac:dyDescent="0.25">
      <c r="A23" s="129" t="s">
        <v>786</v>
      </c>
      <c r="B23" s="130" t="s">
        <v>1653</v>
      </c>
      <c r="C23" s="55" t="s">
        <v>286</v>
      </c>
      <c r="D23" s="55" t="s">
        <v>1035</v>
      </c>
      <c r="E23" s="1">
        <v>14.638171</v>
      </c>
      <c r="F23" s="30">
        <v>-91.229102999999995</v>
      </c>
      <c r="G23" s="55" t="s">
        <v>1033</v>
      </c>
      <c r="H23" s="61" t="s">
        <v>1034</v>
      </c>
      <c r="I23" s="55" t="s">
        <v>941</v>
      </c>
      <c r="J23" s="55" t="b">
        <v>1</v>
      </c>
      <c r="L23" s="7" t="b">
        <v>1</v>
      </c>
      <c r="M23" s="55" t="s">
        <v>1038</v>
      </c>
      <c r="P23" s="1" t="s">
        <v>53</v>
      </c>
      <c r="Z23" s="62" t="s">
        <v>1036</v>
      </c>
      <c r="AS23" s="116" t="b">
        <f t="shared" si="33"/>
        <v>1</v>
      </c>
      <c r="AT23" s="117" t="str">
        <f t="shared" si="34"/>
        <v>title: "Church of St. James the Apostle (Iglesia Santiago Apostol)"</v>
      </c>
      <c r="AU23" s="117" t="str">
        <f t="shared" si="35"/>
        <v>location: {lat: 14.638171, lng: -91.229103}</v>
      </c>
      <c r="AV23" s="117" t="str">
        <f t="shared" si="36"/>
        <v>interest: regional</v>
      </c>
      <c r="AW23" s="117" t="str">
        <f>"- "&amp;VLOOKUP(C23,'Country Tags'!C:E,3,)</f>
        <v>- gt</v>
      </c>
      <c r="AX23" s="117" t="str">
        <f t="shared" si="37"/>
        <v>- atitlan</v>
      </c>
      <c r="AY23" s="117" t="str">
        <f t="shared" si="38"/>
        <v>- churches</v>
      </c>
      <c r="AZ23" s="117" t="str">
        <f t="shared" si="39"/>
        <v/>
      </c>
      <c r="BA23" s="117" t="str">
        <f t="shared" si="40"/>
        <v>- holy-persons</v>
      </c>
      <c r="BB23" s="117" t="str">
        <f t="shared" si="41"/>
        <v>- stanley-rother</v>
      </c>
      <c r="BC23" s="117" t="str">
        <f t="shared" si="42"/>
        <v/>
      </c>
      <c r="BD23" s="117" t="str">
        <f t="shared" si="43"/>
        <v/>
      </c>
      <c r="BE23" s="117" t="str">
        <f t="shared" si="44"/>
        <v/>
      </c>
      <c r="BF23" s="117" t="str">
        <f t="shared" si="45"/>
        <v/>
      </c>
      <c r="BG23" s="117" t="str">
        <f t="shared" si="46"/>
        <v/>
      </c>
      <c r="BH23" s="117" t="str">
        <f t="shared" si="47"/>
        <v/>
      </c>
      <c r="BI23" s="117" t="str">
        <f t="shared" si="48"/>
        <v/>
      </c>
      <c r="BJ23" s="117" t="str">
        <f t="shared" si="49"/>
        <v/>
      </c>
      <c r="BK23" s="117" t="str">
        <f t="shared" si="50"/>
        <v/>
      </c>
      <c r="BL23" s="117" t="str">
        <f t="shared" si="51"/>
        <v xml:space="preserve">tags:
- gt_x000D_
- atitlan_x000D_
- churches_x000D_
- holy-persons_x000D_
- stanley-rother_x000D_
</v>
      </c>
      <c r="BM23" s="120" t="str">
        <f t="shared" si="62"/>
        <v/>
      </c>
      <c r="BN23" s="120" t="str">
        <f t="shared" si="63"/>
        <v/>
      </c>
      <c r="BO23" s="120" t="str">
        <f t="shared" si="64"/>
        <v/>
      </c>
      <c r="BP23" s="120" t="str">
        <f t="shared" si="65"/>
        <v/>
      </c>
      <c r="BQ23" s="117" t="str">
        <f t="shared" si="52"/>
        <v/>
      </c>
      <c r="BR23" s="117" t="str">
        <f t="shared" si="53"/>
        <v/>
      </c>
      <c r="BS23" s="117" t="str">
        <f t="shared" si="54"/>
        <v/>
      </c>
      <c r="BT23" s="117" t="str">
        <f t="shared" si="55"/>
        <v/>
      </c>
      <c r="BU23" s="117" t="str">
        <f>IF(LEN(concat(BR23:BT23))&gt;0,concat("| ",BR23," | ",BS23," | ",BT23," |"),"")</f>
        <v/>
      </c>
      <c r="BV23" s="117" t="str">
        <f t="shared" si="56"/>
        <v/>
      </c>
      <c r="BW23" s="117" t="str">
        <f>IF(LEN(BQ23&amp;BV23)&gt;0,concatll("#### More Information",BQ23,BV23),"")</f>
        <v/>
      </c>
      <c r="BX23" s="117" t="str">
        <f>IF(LEN(N23)&gt;1,concatll("#### Author's Note",N23,"-"&amp;B23),"")</f>
        <v/>
      </c>
      <c r="BY23" s="117" t="s">
        <v>53</v>
      </c>
      <c r="BZ23" s="117" t="s">
        <v>53</v>
      </c>
      <c r="CA23" s="6" t="str">
        <f>IF(AS23,concatll(concatl("---",AT23:AV23,BL23,"---"),M23,BW23:BX23),"")</f>
        <v xml:space="preserve">---_x000D_
title: "Church of St. James the Apostle (Iglesia Santiago Apostol)"_x000D_
location: {lat: 14.638171, lng: -91.229103}_x000D_
interest: regional_x000D_
tags:
- gt_x000D_
- atitlan_x000D_
- churches_x000D_
- holy-persons_x000D_
- stanley-rother_x000D_
_x000D_
---_x000D_
_x000D_
_x000D_
Bl. Stanley Rother ministered to the native Tz'utujil people of Guatemala for years at St. James the Apostle church, on the shores of Lake Atitlan.  He was martyred in the rectory on July 28, 1981._x000D_
_x000D_
</v>
      </c>
      <c r="CB23" s="6" t="str">
        <f>IF(AS23,"places\"&amp;VLOOKUP(C23,'Country Tags'!C:D,2,)&amp;IF(LEN(D23)&gt;1,"-"&amp;LOWER(SUBSTITUTE(D23," ","-")),"")&amp;"-"&amp;LOWER(SUBSTITUTE(SUBSTITUTE(H23," ","-"),".",""))&amp;".md","")</f>
        <v>places\gt-atitlan-iglesia-santiago-apostol.md</v>
      </c>
      <c r="CC23" s="6"/>
      <c r="CD23" s="12" t="e">
        <f>IF(LEN(Z23)&gt;1,VLOOKUP(Z23,#REF!,2,),"")</f>
        <v>#REF!</v>
      </c>
      <c r="CE23" s="12" t="str">
        <f>IF(LEN(AA23)&gt;1,VLOOKUP(AA23,#REF!,2,),"")</f>
        <v/>
      </c>
      <c r="CF23" s="12" t="str">
        <f>IF(LEN(AB23)&gt;1,VLOOKUP(AB23,#REF!,2,),"")</f>
        <v/>
      </c>
      <c r="CG23" s="12" t="e">
        <f>IF(LEN(Z23)&gt;1,GetTagPage(CD23,Z23),"")</f>
        <v>#VALUE!</v>
      </c>
      <c r="CH23" s="12" t="str">
        <f>IF(LEN(AA23)&gt;1,GetTagPage(CE23,AA23),"")</f>
        <v/>
      </c>
      <c r="CI23" s="12" t="str">
        <f>IF(LEN(AB23)&gt;1,GetTagPage(CF23,AB23),"")</f>
        <v/>
      </c>
      <c r="CJ23" s="12" t="e">
        <f t="shared" si="57"/>
        <v>#VALUE!</v>
      </c>
      <c r="CK23" s="12" t="str">
        <f t="shared" si="58"/>
        <v xml:space="preserve">| [](/places/places\gt-atitlan-iglesia-santiago-apostol) </v>
      </c>
      <c r="CL23" s="13" t="str">
        <f>"| "&amp;IF(AS23,GetTagPage(C23,VLOOKUP(C23,'Country Tags'!C:E,3,)),C23)&amp; " "</f>
        <v xml:space="preserve">| [Guatemala](/tags/gt) </v>
      </c>
      <c r="CM23" s="12" t="str">
        <f t="shared" si="59"/>
        <v xml:space="preserve">|  </v>
      </c>
      <c r="CN23" s="12" t="str">
        <f t="shared" si="60"/>
        <v xml:space="preserve">| [Link](/places/places\gt-atitlan-iglesia-santiago-apostol) </v>
      </c>
      <c r="CO23" s="12" t="e">
        <f t="shared" si="61"/>
        <v>#VALUE!</v>
      </c>
    </row>
    <row r="24" spans="1:93" ht="63.75" x14ac:dyDescent="0.25">
      <c r="A24" s="129" t="s">
        <v>786</v>
      </c>
      <c r="B24" s="15" t="s">
        <v>1653</v>
      </c>
      <c r="C24" s="15" t="s">
        <v>0</v>
      </c>
      <c r="D24" s="127"/>
      <c r="E24" s="1">
        <v>9.7544459999999997</v>
      </c>
      <c r="F24" s="30">
        <v>76.564819999999997</v>
      </c>
      <c r="G24" s="15" t="s">
        <v>857</v>
      </c>
      <c r="H24" s="37" t="s">
        <v>858</v>
      </c>
      <c r="I24" s="15" t="s">
        <v>919</v>
      </c>
      <c r="J24" s="23" t="b">
        <v>1</v>
      </c>
      <c r="K24" s="127" t="b">
        <v>1</v>
      </c>
      <c r="L24" s="127"/>
      <c r="M24" s="7" t="s">
        <v>855</v>
      </c>
      <c r="O24" s="2" t="s">
        <v>5</v>
      </c>
      <c r="P24" s="2" t="s">
        <v>53</v>
      </c>
      <c r="Q24" s="39"/>
      <c r="R24" s="2"/>
      <c r="S24" s="43"/>
      <c r="T24" s="39"/>
      <c r="U24" s="2"/>
      <c r="V24" s="43"/>
      <c r="W24" s="2"/>
      <c r="X24" s="2"/>
      <c r="Y24" s="31"/>
      <c r="Z24" s="17" t="s">
        <v>861</v>
      </c>
      <c r="AA24" s="17"/>
      <c r="AB24" s="17"/>
      <c r="AC24" s="17"/>
      <c r="AD24" s="17"/>
      <c r="AE24" s="17"/>
      <c r="AF24" s="17"/>
      <c r="AG24" s="17"/>
      <c r="AH24" s="17"/>
      <c r="AI24" s="17"/>
      <c r="AJ24" s="56" t="s">
        <v>856</v>
      </c>
      <c r="AK24" s="57">
        <v>335</v>
      </c>
      <c r="AL24" s="16" t="s">
        <v>53</v>
      </c>
      <c r="AM24" s="1" t="s">
        <v>53</v>
      </c>
      <c r="AN24" s="2" t="s">
        <v>859</v>
      </c>
      <c r="AO24" s="16" t="s">
        <v>860</v>
      </c>
      <c r="AP24" s="16" t="s">
        <v>53</v>
      </c>
      <c r="AQ24" s="32" t="s">
        <v>53</v>
      </c>
      <c r="AS24" s="116" t="b">
        <f t="shared" si="33"/>
        <v>1</v>
      </c>
      <c r="AT24" s="117" t="str">
        <f t="shared" si="34"/>
        <v>title: "Major Archiepiscopal Marth Mariam Archdeacon Pilgrim Church at Kuravilangad"</v>
      </c>
      <c r="AU24" s="117" t="str">
        <f t="shared" si="35"/>
        <v>location: {lat: 9.754446, lng: 76.56482}</v>
      </c>
      <c r="AV24" s="117" t="str">
        <f t="shared" si="36"/>
        <v>interest: global</v>
      </c>
      <c r="AW24" s="117" t="str">
        <f>"- "&amp;VLOOKUP(C24,'Country Tags'!C:E,3,)</f>
        <v>- in</v>
      </c>
      <c r="AX24" s="117" t="str">
        <f t="shared" si="37"/>
        <v/>
      </c>
      <c r="AY24" s="117" t="str">
        <f t="shared" si="38"/>
        <v>- churches</v>
      </c>
      <c r="AZ24" s="117" t="str">
        <f t="shared" si="39"/>
        <v>- marian-sites</v>
      </c>
      <c r="BA24" s="117" t="str">
        <f t="shared" si="40"/>
        <v/>
      </c>
      <c r="BB24" s="117" t="str">
        <f t="shared" si="41"/>
        <v>- syro-malabar</v>
      </c>
      <c r="BC24" s="117" t="str">
        <f t="shared" si="42"/>
        <v/>
      </c>
      <c r="BD24" s="117" t="str">
        <f t="shared" si="43"/>
        <v/>
      </c>
      <c r="BE24" s="117" t="str">
        <f t="shared" si="44"/>
        <v/>
      </c>
      <c r="BF24" s="117" t="str">
        <f t="shared" si="45"/>
        <v/>
      </c>
      <c r="BG24" s="117" t="str">
        <f t="shared" si="46"/>
        <v/>
      </c>
      <c r="BH24" s="117" t="str">
        <f t="shared" si="47"/>
        <v/>
      </c>
      <c r="BI24" s="117" t="str">
        <f t="shared" si="48"/>
        <v/>
      </c>
      <c r="BJ24" s="117" t="str">
        <f t="shared" si="49"/>
        <v/>
      </c>
      <c r="BK24" s="117" t="str">
        <f t="shared" si="50"/>
        <v/>
      </c>
      <c r="BL24" s="117" t="str">
        <f t="shared" si="51"/>
        <v xml:space="preserve">tags:
- in_x000D_
- churches_x000D_
- marian-sites_x000D_
- syro-malabar_x000D_
</v>
      </c>
      <c r="BM24" s="120" t="str">
        <f t="shared" si="62"/>
        <v>[Official site](http://kuravilangadpally.com/)</v>
      </c>
      <c r="BN24" s="120" t="str">
        <f t="shared" si="63"/>
        <v/>
      </c>
      <c r="BO24" s="120" t="str">
        <f t="shared" si="64"/>
        <v/>
      </c>
      <c r="BP24" s="120" t="str">
        <f t="shared" si="65"/>
        <v/>
      </c>
      <c r="BQ24" s="120" t="str">
        <f t="shared" si="52"/>
        <v xml:space="preserve">* [Official site](http://kuravilangadpally.com/)
</v>
      </c>
      <c r="BR24" s="120" t="str">
        <f t="shared" si="53"/>
        <v/>
      </c>
      <c r="BS24" s="120" t="str">
        <f t="shared" si="54"/>
        <v>[Link](https://www.miraclehunter.com/marian_apparitions/approved_apparitions/apparitions_0040-0999.html) (Search "Kuravilangad")</v>
      </c>
      <c r="BT24" s="120" t="str">
        <f t="shared" si="55"/>
        <v/>
      </c>
      <c r="BU24" s="120" t="str">
        <f>IF(LEN(concat(BR24:BT24))&gt;0,concat("| ",BR24," | ",BS24," | ",BT24," |"),"")</f>
        <v>|  | [Link](https://www.miraclehunter.com/marian_apparitions/approved_apparitions/apparitions_0040-0999.html) (Search "Kuravilangad") |  |</v>
      </c>
      <c r="BV24" s="117" t="str">
        <f t="shared" si="56"/>
        <v xml:space="preserve">| The Real Presence | Miracle Hunter | MaryPages |_x000D_
| --- | --- | --- |_x000D_
|  | [Link](https://www.miraclehunter.com/marian_apparitions/approved_apparitions/apparitions_0040-0999.html) (Search "Kuravilangad") |  |_x000D_
</v>
      </c>
      <c r="BW24" s="117" t="str">
        <f>IF(LEN(BQ24&amp;BV24)&gt;0,concatll("#### More Information",BQ24,BV24),"")</f>
        <v xml:space="preserve">#### More Information_x000D_
_x000D_
* [Official site](http://kuravilangadpally.com/)
_x000D_
_x000D_
| The Real Presence | Miracle Hunter | MaryPages |_x000D_
| --- | --- | --- |_x000D_
|  | [Link](https://www.miraclehunter.com/marian_apparitions/approved_apparitions/apparitions_0040-0999.html) (Search "Kuravilangad") |  |_x000D_
_x000D_
_x000D_
</v>
      </c>
      <c r="BX24" s="117" t="str">
        <f>IF(LEN(N24)&gt;1,concatll("#### Author's Note",N24,"-"&amp;B24),"")</f>
        <v/>
      </c>
      <c r="BY24" s="117" t="s">
        <v>53</v>
      </c>
      <c r="BZ24" s="117" t="s">
        <v>53</v>
      </c>
      <c r="CA24" s="6" t="str">
        <f>IF(AS24,concatll(concatl("---",AT24:AV24,BL24,"---"),M24,BW24:BX24),"")</f>
        <v xml:space="preserve">---_x000D_
title: "Major Archiepiscopal Marth Mariam Archdeacon Pilgrim Church at Kuravilangad"_x000D_
location: {lat: 9.754446, lng: 76.56482}_x000D_
interest: global_x000D_
tags:
- in_x000D_
- churches_x000D_
- marian-sites_x000D_
- syro-malabar_x000D_
_x000D_
---_x000D_
_x000D_
_x000D_
According to tradition, Our Lady appeared to a few shepherd children at Kuravilangad as they were tending their flock.  She asked them to build a church at the place from where a miraculous perpetual spring sprouted, which exists even today.  The children reported this matter to the elders and a church was built there._x000D_
_x000D_
#### More Information_x000D_
_x000D_
* [Official site](http://kuravilangadpally.com/)
_x000D_
_x000D_
| The Real Presence | Miracle Hunter | MaryPages |_x000D_
| --- | --- | --- |_x000D_
|  | [Link](https://www.miraclehunter.com/marian_apparitions/approved_apparitions/apparitions_0040-0999.html) (Search "Kuravilangad") |  |_x000D_
_x000D_
_x000D_
_x000D_
_x000D_
</v>
      </c>
      <c r="CB24" s="6" t="str">
        <f>IF(AS24,"places\"&amp;VLOOKUP(C24,'Country Tags'!C:D,2,)&amp;IF(LEN(D24)&gt;1,"-"&amp;LOWER(SUBSTITUTE(D24," ","-")),"")&amp;"-"&amp;LOWER(SUBSTITUTE(SUBSTITUTE(H24," ","-"),".",""))&amp;".md","")</f>
        <v>places\in-marth-mariam-archdeacon-pilgrim-church-at-kuravilangad.md</v>
      </c>
      <c r="CC24" s="6"/>
      <c r="CD24" s="12" t="e">
        <f>IF(LEN(Z24)&gt;1,VLOOKUP(Z24,#REF!,2,),"")</f>
        <v>#REF!</v>
      </c>
      <c r="CE24" s="12" t="str">
        <f>IF(LEN(AA24)&gt;1,VLOOKUP(AA24,#REF!,2,),"")</f>
        <v/>
      </c>
      <c r="CF24" s="12" t="str">
        <f>IF(LEN(AB24)&gt;1,VLOOKUP(AB24,#REF!,2,),"")</f>
        <v/>
      </c>
      <c r="CG24" s="13" t="e">
        <f>IF(LEN(Z24)&gt;1,GetTagPage(CD24,Z24),"")</f>
        <v>#VALUE!</v>
      </c>
      <c r="CH24" s="13" t="str">
        <f>IF(LEN(AA24)&gt;1,GetTagPage(CE24,AA24),"")</f>
        <v/>
      </c>
      <c r="CI24" s="13" t="str">
        <f>IF(LEN(AB24)&gt;1,GetTagPage(CF24,AB24),"")</f>
        <v/>
      </c>
      <c r="CJ24" s="13" t="e">
        <f t="shared" si="57"/>
        <v>#VALUE!</v>
      </c>
      <c r="CK24" s="13" t="str">
        <f t="shared" si="58"/>
        <v xml:space="preserve">| [Kuravilangad](/places/places\in-marth-mariam-archdeacon-pilgrim-church-at-kuravilangad) </v>
      </c>
      <c r="CL24" s="13" t="str">
        <f>"| "&amp;IF(AS24,GetTagPage(C24,VLOOKUP(C24,'Country Tags'!C:E,3,)),C24)&amp; " "</f>
        <v xml:space="preserve">| [India](/tags/in) </v>
      </c>
      <c r="CM24" s="13" t="str">
        <f t="shared" si="59"/>
        <v xml:space="preserve">| 335 </v>
      </c>
      <c r="CN24" s="13" t="str">
        <f t="shared" si="60"/>
        <v xml:space="preserve">| [Link](/places/places\in-marth-mariam-archdeacon-pilgrim-church-at-kuravilangad) </v>
      </c>
      <c r="CO24" s="12" t="e">
        <f t="shared" si="61"/>
        <v>#VALUE!</v>
      </c>
    </row>
    <row r="25" spans="1:93" ht="51" x14ac:dyDescent="0.25">
      <c r="A25" s="129" t="s">
        <v>786</v>
      </c>
      <c r="B25" s="130" t="s">
        <v>1657</v>
      </c>
      <c r="C25" s="7" t="s">
        <v>0</v>
      </c>
      <c r="E25" s="1">
        <v>10.6803068</v>
      </c>
      <c r="F25" s="30">
        <v>79.849313699999996</v>
      </c>
      <c r="G25" s="23" t="s">
        <v>916</v>
      </c>
      <c r="H25" s="34" t="s">
        <v>911</v>
      </c>
      <c r="I25" s="23" t="s">
        <v>919</v>
      </c>
      <c r="J25" s="23" t="b">
        <v>1</v>
      </c>
      <c r="K25" s="7" t="b">
        <v>1</v>
      </c>
      <c r="M25" s="23" t="s">
        <v>914</v>
      </c>
      <c r="N25" s="139" t="s">
        <v>1673</v>
      </c>
      <c r="O25" s="8" t="s">
        <v>912</v>
      </c>
      <c r="P25" s="1" t="s">
        <v>53</v>
      </c>
      <c r="Z25" s="1" t="s">
        <v>53</v>
      </c>
      <c r="AJ25" s="56" t="s">
        <v>764</v>
      </c>
      <c r="AK25" s="57" t="s">
        <v>757</v>
      </c>
      <c r="AL25" s="1" t="s">
        <v>20</v>
      </c>
      <c r="AM25" s="1" t="s">
        <v>53</v>
      </c>
      <c r="AN25" s="8" t="s">
        <v>913</v>
      </c>
      <c r="AO25" s="1" t="s">
        <v>53</v>
      </c>
      <c r="AP25" s="1" t="s">
        <v>915</v>
      </c>
      <c r="AQ25" s="30" t="s">
        <v>53</v>
      </c>
      <c r="AS25" s="116" t="b">
        <f t="shared" si="33"/>
        <v>1</v>
      </c>
      <c r="AT25" s="117" t="str">
        <f t="shared" si="34"/>
        <v>title: "Basilica of Our Lady of Good Health (Our Lady of Velankanni)"</v>
      </c>
      <c r="AU25" s="117" t="str">
        <f t="shared" si="35"/>
        <v>location: {lat: 10.6803068, lng: 79.8493137}</v>
      </c>
      <c r="AV25" s="117" t="str">
        <f t="shared" si="36"/>
        <v>interest: global</v>
      </c>
      <c r="AW25" s="117" t="str">
        <f>"- "&amp;VLOOKUP(C25,'Country Tags'!C:E,3,)</f>
        <v>- in</v>
      </c>
      <c r="AX25" s="117" t="str">
        <f t="shared" si="37"/>
        <v/>
      </c>
      <c r="AY25" s="117" t="str">
        <f t="shared" si="38"/>
        <v>- churches</v>
      </c>
      <c r="AZ25" s="117" t="str">
        <f t="shared" si="39"/>
        <v>- marian-sites</v>
      </c>
      <c r="BA25" s="117" t="str">
        <f t="shared" si="40"/>
        <v/>
      </c>
      <c r="BB25" s="117" t="str">
        <f t="shared" si="41"/>
        <v/>
      </c>
      <c r="BC25" s="117" t="str">
        <f t="shared" si="42"/>
        <v/>
      </c>
      <c r="BD25" s="117" t="str">
        <f t="shared" si="43"/>
        <v/>
      </c>
      <c r="BE25" s="117" t="str">
        <f t="shared" si="44"/>
        <v/>
      </c>
      <c r="BF25" s="117" t="str">
        <f t="shared" si="45"/>
        <v/>
      </c>
      <c r="BG25" s="117" t="str">
        <f t="shared" si="46"/>
        <v/>
      </c>
      <c r="BH25" s="117" t="str">
        <f t="shared" si="47"/>
        <v/>
      </c>
      <c r="BI25" s="117" t="str">
        <f t="shared" si="48"/>
        <v/>
      </c>
      <c r="BJ25" s="117" t="str">
        <f t="shared" si="49"/>
        <v/>
      </c>
      <c r="BK25" s="117" t="str">
        <f t="shared" si="50"/>
        <v/>
      </c>
      <c r="BL25" s="117" t="str">
        <f t="shared" si="51"/>
        <v xml:space="preserve">tags:
- in_x000D_
- churches_x000D_
- marian-sites_x000D_
</v>
      </c>
      <c r="BM25" s="120" t="str">
        <f t="shared" si="62"/>
        <v>[Official site](https://www.velankannichurch.com/)</v>
      </c>
      <c r="BN25" s="120" t="str">
        <f t="shared" si="63"/>
        <v/>
      </c>
      <c r="BO25" s="120" t="str">
        <f t="shared" si="64"/>
        <v/>
      </c>
      <c r="BP25" s="120" t="str">
        <f t="shared" si="65"/>
        <v/>
      </c>
      <c r="BQ25" s="120" t="str">
        <f t="shared" si="52"/>
        <v xml:space="preserve">* [Official site](https://www.velankannichurch.com/)
</v>
      </c>
      <c r="BR25" s="120" t="str">
        <f t="shared" si="53"/>
        <v>[Link](http://www.therealpresence.org/eucharst/misc/BVM/32_VAILANKANNI_60x96.pdf)</v>
      </c>
      <c r="BS25" s="120" t="str">
        <f t="shared" si="54"/>
        <v>[Link](https://www.miraclehunter.com/marian_apparitions/approved_apparitions/vailankanni/)</v>
      </c>
      <c r="BT25" s="120" t="str">
        <f t="shared" si="55"/>
        <v>[Link](https://www.marypages.com/vailankanni-(india)-en.html)</v>
      </c>
      <c r="BU25" s="120" t="str">
        <f>IF(LEN(concat(BR25:BT25))&gt;0,concat("| ",BR25," | ",BS25," | ",BT25," |"),"")</f>
        <v>| [Link](http://www.therealpresence.org/eucharst/misc/BVM/32_VAILANKANNI_60x96.pdf) | [Link](https://www.miraclehunter.com/marian_apparitions/approved_apparitions/vailankanni/) | [Link](https://www.marypages.com/vailankanni-(india)-en.html) |</v>
      </c>
      <c r="BV25" s="117" t="str">
        <f t="shared" si="56"/>
        <v xml:space="preserve">| The Real Presence | Miracle Hunter | MaryPages |_x000D_
| --- | --- | --- |_x000D_
| [Link](http://www.therealpresence.org/eucharst/misc/BVM/32_VAILANKANNI_60x96.pdf) | [Link](https://www.miraclehunter.com/marian_apparitions/approved_apparitions/vailankanni/) | [Link](https://www.marypages.com/vailankanni-(india)-en.html) |_x000D_
</v>
      </c>
      <c r="BW25" s="117" t="str">
        <f>IF(LEN(BQ25&amp;BV25)&gt;0,concatll("#### More Information",BQ25,BV25),"")</f>
        <v xml:space="preserve">#### More Information_x000D_
_x000D_
* [Official site](https://www.velankannichurch.com/)
_x000D_
_x000D_
| The Real Presence | Miracle Hunter | MaryPages |_x000D_
| --- | --- | --- |_x000D_
| [Link](http://www.therealpresence.org/eucharst/misc/BVM/32_VAILANKANNI_60x96.pdf) | [Link](https://www.miraclehunter.com/marian_apparitions/approved_apparitions/vailankanni/) | [Link](https://www.marypages.com/vailankanni-(india)-en.html) |_x000D_
_x000D_
_x000D_
</v>
      </c>
      <c r="BX25" s="117" t="str">
        <f>IF(LEN(N25)&gt;1,concatll("#### Author's Note",N25,"-"&amp;B25),"")</f>
        <v xml:space="preserve">#### Author's Note_x000D_
_x000D_
An Indonesian parish of the same name also has a [good history](https://velangkanni.com/en/about-annai-velangkanni/) of the apparition._x000D_
_x000D_
-NDS_x000D_
_x000D_
</v>
      </c>
      <c r="BY25" s="117" t="s">
        <v>53</v>
      </c>
      <c r="BZ25" s="117" t="s">
        <v>53</v>
      </c>
      <c r="CA25" s="6" t="str">
        <f>IF(AS25,concatll(concatl("---",AT25:AV25,BL25,"---"),M25,BW25:BX25),"")</f>
        <v xml:space="preserve">---_x000D_
title: "Basilica of Our Lady of Good Health (Our Lady of Velankanni)"_x000D_
location: {lat: 10.6803068, lng: 79.8493137}_x000D_
interest: global_x000D_
tags:
- in_x000D_
- churches_x000D_
- marian-sites_x000D_
_x000D_
---_x000D_
_x000D_
_x000D_
According to tradition, there have been multiple apparitions of the Blessed Virgin Mary at Velankanni, also known as Our Lady of Good Health.  As tradition would have it, the first of many apparitions occured to a young boy who was delivering buttermilk._x000D_
_x000D_
#### More Information_x000D_
_x000D_
* [Official site](https://www.velankannichurch.com/)
_x000D_
_x000D_
| The Real Presence | Miracle Hunter | MaryPages |_x000D_
| --- | --- | --- |_x000D_
| [Link](http://www.therealpresence.org/eucharst/misc/BVM/32_VAILANKANNI_60x96.pdf) | [Link](https://www.miraclehunter.com/marian_apparitions/approved_apparitions/vailankanni/) | [Link](https://www.marypages.com/vailankanni-(india)-en.html) |_x000D_
_x000D_
_x000D_
_x000D_
_x000D_
#### Author's Note_x000D_
_x000D_
An Indonesian parish of the same name also has a [good history](https://velangkanni.com/en/about-annai-velangkanni/) of the apparition._x000D_
_x000D_
-NDS_x000D_
_x000D_
_x000D_
_x000D_
</v>
      </c>
      <c r="CB25" s="6" t="str">
        <f>IF(AS25,"places\"&amp;VLOOKUP(C25,'Country Tags'!C:D,2,)&amp;IF(LEN(D25)&gt;1,"-"&amp;LOWER(SUBSTITUTE(D25," ","-")),"")&amp;"-"&amp;LOWER(SUBSTITUTE(SUBSTITUTE(H25," ","-"),".",""))&amp;".md","")</f>
        <v>places\in-basilica-of-our-lady-of-good-health.md</v>
      </c>
      <c r="CC25" s="6"/>
      <c r="CD25" s="12" t="str">
        <f>IF(LEN(Z25)&gt;1,VLOOKUP(Z25,#REF!,2,),"")</f>
        <v/>
      </c>
      <c r="CE25" s="12" t="str">
        <f>IF(LEN(AA25)&gt;1,VLOOKUP(AA25,#REF!,2,),"")</f>
        <v/>
      </c>
      <c r="CF25" s="12" t="str">
        <f>IF(LEN(AB25)&gt;1,VLOOKUP(AB25,#REF!,2,),"")</f>
        <v/>
      </c>
      <c r="CG25" s="13" t="str">
        <f>IF(LEN(Z25)&gt;1,GetTagPage(CD25,Z25),"")</f>
        <v/>
      </c>
      <c r="CH25" s="13" t="str">
        <f>IF(LEN(AA25)&gt;1,GetTagPage(CE25,AA25),"")</f>
        <v/>
      </c>
      <c r="CI25" s="13" t="str">
        <f>IF(LEN(AB25)&gt;1,GetTagPage(CF25,AB25),"")</f>
        <v/>
      </c>
      <c r="CJ25" s="13" t="str">
        <f t="shared" si="57"/>
        <v xml:space="preserve">| </v>
      </c>
      <c r="CK25" s="13" t="str">
        <f t="shared" si="58"/>
        <v xml:space="preserve">| [Vailankanni](/places/places\in-basilica-of-our-lady-of-good-health) </v>
      </c>
      <c r="CL25" s="13" t="str">
        <f>"| "&amp;IF(AS25,GetTagPage(C25,VLOOKUP(C25,'Country Tags'!C:E,3,)),C25)&amp; " "</f>
        <v xml:space="preserve">| [India](/tags/in) </v>
      </c>
      <c r="CM25" s="13" t="str">
        <f t="shared" si="59"/>
        <v xml:space="preserve">| 16th Century </v>
      </c>
      <c r="CN25" s="13" t="str">
        <f t="shared" si="60"/>
        <v xml:space="preserve">| [Link](/places/places\in-basilica-of-our-lady-of-good-health) </v>
      </c>
      <c r="CO25" s="12" t="str">
        <f t="shared" si="61"/>
        <v xml:space="preserve">
| [Vailankanni](/places/places\in-basilica-of-our-lady-of-good-health) | [India](/tags/in) | 16th Century | [Link](/places/places\in-basilica-of-our-lady-of-good-health) [Official site](https://www.velankannichurch.com/)[Link](http://www.therealpresence.org/eucharst/misc/BVM/32_VAILANKANNI_60x96.pdf)[Link](https://www.miraclehunter.com/marian_apparitions/approved_apparitions/vailankanni/)[Link](https://www.marypages.com/vailankanni-(india)-en.html)| |</v>
      </c>
    </row>
    <row r="26" spans="1:93" ht="38.25" x14ac:dyDescent="0.25">
      <c r="A26" s="129" t="s">
        <v>786</v>
      </c>
      <c r="B26" s="130" t="s">
        <v>1657</v>
      </c>
      <c r="C26" s="7" t="s">
        <v>0</v>
      </c>
      <c r="D26" s="7" t="s">
        <v>1575</v>
      </c>
      <c r="E26" s="1">
        <v>15.391251440231599</v>
      </c>
      <c r="F26" s="30">
        <v>73.903795958225004</v>
      </c>
      <c r="G26" s="7" t="s">
        <v>1576</v>
      </c>
      <c r="H26" s="33" t="s">
        <v>1622</v>
      </c>
      <c r="I26" s="7" t="s">
        <v>1002</v>
      </c>
      <c r="J26" s="7" t="b">
        <v>1</v>
      </c>
      <c r="L26" s="7" t="b">
        <v>1</v>
      </c>
      <c r="M26" s="84" t="s">
        <v>1581</v>
      </c>
      <c r="O26" s="1" t="s">
        <v>1580</v>
      </c>
      <c r="P26" s="1" t="s">
        <v>53</v>
      </c>
      <c r="Q26" s="40" t="s">
        <v>1579</v>
      </c>
      <c r="R26" s="1" t="s">
        <v>1577</v>
      </c>
      <c r="S26" s="44" t="s">
        <v>53</v>
      </c>
      <c r="Z26" s="1" t="s">
        <v>1578</v>
      </c>
      <c r="AA26" s="89" t="s">
        <v>1582</v>
      </c>
      <c r="AS26" s="116" t="b">
        <f t="shared" si="33"/>
        <v>1</v>
      </c>
      <c r="AT26" s="117" t="str">
        <f t="shared" si="34"/>
        <v>title: "Sanctuary of St. Joseph Vaz"</v>
      </c>
      <c r="AU26" s="117" t="str">
        <f t="shared" si="35"/>
        <v>location: {lat: 15.3912514402316, lng: 73.903795958225}</v>
      </c>
      <c r="AV26" s="117" t="str">
        <f t="shared" si="36"/>
        <v>interest: local</v>
      </c>
      <c r="AW26" s="117" t="str">
        <f>"- "&amp;VLOOKUP(C26,'Country Tags'!C:E,3,)</f>
        <v>- in</v>
      </c>
      <c r="AX26" s="117" t="str">
        <f t="shared" si="37"/>
        <v>- goa</v>
      </c>
      <c r="AY26" s="117" t="str">
        <f t="shared" si="38"/>
        <v>- churches</v>
      </c>
      <c r="AZ26" s="117" t="str">
        <f t="shared" si="39"/>
        <v/>
      </c>
      <c r="BA26" s="117" t="str">
        <f t="shared" si="40"/>
        <v>- holy-persons</v>
      </c>
      <c r="BB26" s="117" t="str">
        <f t="shared" si="41"/>
        <v>- joseph-vaz</v>
      </c>
      <c r="BC26" s="117" t="str">
        <f t="shared" si="42"/>
        <v>- oratorians</v>
      </c>
      <c r="BD26" s="117" t="str">
        <f t="shared" si="43"/>
        <v/>
      </c>
      <c r="BE26" s="117" t="str">
        <f t="shared" si="44"/>
        <v/>
      </c>
      <c r="BF26" s="117" t="str">
        <f t="shared" si="45"/>
        <v/>
      </c>
      <c r="BG26" s="117" t="str">
        <f t="shared" si="46"/>
        <v/>
      </c>
      <c r="BH26" s="117" t="str">
        <f t="shared" si="47"/>
        <v/>
      </c>
      <c r="BI26" s="117" t="str">
        <f t="shared" si="48"/>
        <v/>
      </c>
      <c r="BJ26" s="117" t="str">
        <f t="shared" si="49"/>
        <v/>
      </c>
      <c r="BK26" s="117" t="str">
        <f t="shared" si="50"/>
        <v/>
      </c>
      <c r="BL26" s="117" t="str">
        <f t="shared" si="51"/>
        <v xml:space="preserve">tags:
- in_x000D_
- goa_x000D_
- churches_x000D_
- holy-persons_x000D_
- joseph-vaz_x000D_
- oratorians_x000D_
</v>
      </c>
      <c r="BM26" s="120" t="str">
        <f t="shared" si="62"/>
        <v>[Official site](https://blessedjosephvaz.org/sanctuary.htm)</v>
      </c>
      <c r="BN26" s="120" t="str">
        <f t="shared" si="63"/>
        <v>[Missionary Oblates of Mary Immaculate biography](https://www.omiworld.org/our-charism/our-saints/non-oblate-causes/saint-joseph-vaz-1651-1711/biography/)</v>
      </c>
      <c r="BO26" s="120" t="str">
        <f t="shared" si="64"/>
        <v/>
      </c>
      <c r="BP26" s="120" t="str">
        <f t="shared" si="65"/>
        <v/>
      </c>
      <c r="BQ26" s="117" t="str">
        <f t="shared" si="52"/>
        <v xml:space="preserve">* [Official site](https://blessedjosephvaz.org/sanctuary.htm)
* [Missionary Oblates of Mary Immaculate biography](https://www.omiworld.org/our-charism/our-saints/non-oblate-causes/saint-joseph-vaz-1651-1711/biography/)
</v>
      </c>
      <c r="BR26" s="117" t="str">
        <f t="shared" si="53"/>
        <v/>
      </c>
      <c r="BS26" s="117" t="str">
        <f t="shared" si="54"/>
        <v/>
      </c>
      <c r="BT26" s="117" t="str">
        <f t="shared" si="55"/>
        <v/>
      </c>
      <c r="BU26" s="117" t="str">
        <f>IF(LEN(concat(BR26:BT26))&gt;0,concat("| ",BR26," | ",BS26," | ",BT26," |"),"")</f>
        <v/>
      </c>
      <c r="BV26" s="117" t="str">
        <f t="shared" si="56"/>
        <v/>
      </c>
      <c r="BW26" s="117" t="str">
        <f>IF(LEN(BQ26&amp;BV26)&gt;0,concatll("#### More Information",BQ26,BV26),"")</f>
        <v xml:space="preserve">#### More Information_x000D_
_x000D_
* [Official site](https://blessedjosephvaz.org/sanctuary.htm)
* [Missionary Oblates of Mary Immaculate biography](https://www.omiworld.org/our-charism/our-saints/non-oblate-causes/saint-joseph-vaz-1651-1711/biography/)
_x000D_
_x000D_
</v>
      </c>
      <c r="BX26" s="117" t="str">
        <f>IF(LEN(N26)&gt;1,concatll("#### Author's Note",N26,"-"&amp;B26),"")</f>
        <v/>
      </c>
      <c r="BY26" s="117" t="s">
        <v>53</v>
      </c>
      <c r="BZ26" s="117" t="s">
        <v>53</v>
      </c>
      <c r="CA26" s="6" t="str">
        <f>IF(AS26,concatll(concatl("---",AT26:AV26,BL26,"---"),M26,BW26:BX26),"")</f>
        <v xml:space="preserve">---_x000D_
title: "Sanctuary of St. Joseph Vaz"_x000D_
location: {lat: 15.3912514402316, lng: 73.903795958225}_x000D_
interest: local_x000D_
tags:
- in_x000D_
- goa_x000D_
- churches_x000D_
- holy-persons_x000D_
- joseph-vaz_x000D_
- oratorians_x000D_
_x000D_
---_x000D_
_x000D_
_x000D_
St. Joseph Vaz was a priest form Goa, India, who became a missionary in Ceylon (now Sri Lanka), preaching to the abandoned Catholics in a largely Buddhist country.  This shrine is located in the city of his birth._x000D_
_x000D_
#### More Information_x000D_
_x000D_
* [Official site](https://blessedjosephvaz.org/sanctuary.htm)
* [Missionary Oblates of Mary Immaculate biography](https://www.omiworld.org/our-charism/our-saints/non-oblate-causes/saint-joseph-vaz-1651-1711/biography/)
_x000D_
_x000D_
_x000D_
_x000D_
</v>
      </c>
      <c r="CB26" s="6" t="str">
        <f>IF(AS26,"places\"&amp;VLOOKUP(C26,'Country Tags'!C:D,2,)&amp;IF(LEN(D26)&gt;1,"-"&amp;LOWER(SUBSTITUTE(D26," ","-")),"")&amp;"-"&amp;LOWER(SUBSTITUTE(SUBSTITUTE(H26," ","-"),".",""))&amp;".md","")</f>
        <v>places\in-goa-st-joseph-vaz.md</v>
      </c>
      <c r="CC26" s="6"/>
      <c r="CD26" s="12" t="e">
        <f>IF(LEN(Z26)&gt;1,VLOOKUP(Z26,#REF!,2,),"")</f>
        <v>#REF!</v>
      </c>
      <c r="CE26" s="12" t="e">
        <f>IF(LEN(AA26)&gt;1,VLOOKUP(AA26,#REF!,2,),"")</f>
        <v>#REF!</v>
      </c>
      <c r="CF26" s="12" t="str">
        <f>IF(LEN(AB26)&gt;1,VLOOKUP(AB26,#REF!,2,),"")</f>
        <v/>
      </c>
      <c r="CG26" s="12" t="e">
        <f>IF(LEN(Z26)&gt;1,GetTagPage(CD26,Z26),"")</f>
        <v>#VALUE!</v>
      </c>
      <c r="CH26" s="12" t="e">
        <f>IF(LEN(AA26)&gt;1,GetTagPage(CE26,AA26),"")</f>
        <v>#VALUE!</v>
      </c>
      <c r="CI26" s="12" t="str">
        <f>IF(LEN(AB26)&gt;1,GetTagPage(CF26,AB26),"")</f>
        <v/>
      </c>
      <c r="CJ26" s="12" t="e">
        <f t="shared" si="57"/>
        <v>#VALUE!</v>
      </c>
      <c r="CK26" s="12" t="str">
        <f t="shared" si="58"/>
        <v xml:space="preserve">| [](/places/places\in-goa-st-joseph-vaz) </v>
      </c>
      <c r="CL26" s="13" t="str">
        <f>"| "&amp;IF(AS26,GetTagPage(C26,VLOOKUP(C26,'Country Tags'!C:E,3,)),C26)&amp; " "</f>
        <v xml:space="preserve">| [India](/tags/in) </v>
      </c>
      <c r="CM26" s="12" t="str">
        <f t="shared" si="59"/>
        <v xml:space="preserve">|  </v>
      </c>
      <c r="CN26" s="12" t="str">
        <f t="shared" si="60"/>
        <v xml:space="preserve">| [Link](/places/places\in-goa-st-joseph-vaz) </v>
      </c>
      <c r="CO26" s="12" t="e">
        <f t="shared" si="61"/>
        <v>#VALUE!</v>
      </c>
    </row>
    <row r="27" spans="1:93" ht="76.5" x14ac:dyDescent="0.25">
      <c r="A27" s="129" t="s">
        <v>786</v>
      </c>
      <c r="B27" s="7" t="s">
        <v>1653</v>
      </c>
      <c r="C27" s="7" t="s">
        <v>297</v>
      </c>
      <c r="E27" s="1">
        <v>53.792756199999999</v>
      </c>
      <c r="F27" s="30">
        <v>-8.9189810000000005</v>
      </c>
      <c r="G27" s="7" t="s">
        <v>63</v>
      </c>
      <c r="H27" s="33" t="s">
        <v>119</v>
      </c>
      <c r="I27" s="7" t="s">
        <v>919</v>
      </c>
      <c r="J27" s="23" t="b">
        <v>1</v>
      </c>
      <c r="K27" s="7" t="b">
        <v>1</v>
      </c>
      <c r="M27" s="7" t="s">
        <v>707</v>
      </c>
      <c r="N27" s="139" t="s">
        <v>1674</v>
      </c>
      <c r="O27" s="1" t="s">
        <v>64</v>
      </c>
      <c r="P27" s="1" t="s">
        <v>53</v>
      </c>
      <c r="Z27" s="19" t="s">
        <v>53</v>
      </c>
      <c r="AA27" s="19"/>
      <c r="AB27" s="19"/>
      <c r="AC27" s="19"/>
      <c r="AD27" s="19"/>
      <c r="AE27" s="19"/>
      <c r="AF27" s="19"/>
      <c r="AG27" s="19"/>
      <c r="AH27" s="19"/>
      <c r="AI27" s="19"/>
      <c r="AJ27" s="56" t="s">
        <v>701</v>
      </c>
      <c r="AK27" s="57">
        <v>1879</v>
      </c>
      <c r="AL27" s="1" t="s">
        <v>42</v>
      </c>
      <c r="AM27" s="1" t="s">
        <v>53</v>
      </c>
      <c r="AN27" s="1" t="s">
        <v>66</v>
      </c>
      <c r="AO27" s="1" t="s">
        <v>53</v>
      </c>
      <c r="AP27" s="1" t="s">
        <v>67</v>
      </c>
      <c r="AQ27" s="30" t="s">
        <v>53</v>
      </c>
      <c r="AS27" s="116" t="b">
        <f t="shared" si="33"/>
        <v>1</v>
      </c>
      <c r="AT27" s="117" t="str">
        <f t="shared" si="34"/>
        <v>title: "Knock Shrine (Our Lady of Knock)"</v>
      </c>
      <c r="AU27" s="117" t="str">
        <f t="shared" si="35"/>
        <v>location: {lat: 53.7927562, lng: -8.918981}</v>
      </c>
      <c r="AV27" s="117" t="str">
        <f t="shared" si="36"/>
        <v>interest: global</v>
      </c>
      <c r="AW27" s="117" t="str">
        <f>"- "&amp;VLOOKUP(C27,'Country Tags'!C:E,3,)</f>
        <v>- ie</v>
      </c>
      <c r="AX27" s="117" t="str">
        <f t="shared" si="37"/>
        <v/>
      </c>
      <c r="AY27" s="117" t="str">
        <f t="shared" si="38"/>
        <v>- churches</v>
      </c>
      <c r="AZ27" s="117" t="str">
        <f t="shared" si="39"/>
        <v>- marian-sites</v>
      </c>
      <c r="BA27" s="117" t="str">
        <f t="shared" si="40"/>
        <v/>
      </c>
      <c r="BB27" s="117" t="str">
        <f t="shared" si="41"/>
        <v/>
      </c>
      <c r="BC27" s="117" t="str">
        <f t="shared" si="42"/>
        <v/>
      </c>
      <c r="BD27" s="117" t="str">
        <f t="shared" si="43"/>
        <v/>
      </c>
      <c r="BE27" s="117" t="str">
        <f t="shared" si="44"/>
        <v/>
      </c>
      <c r="BF27" s="117" t="str">
        <f t="shared" si="45"/>
        <v/>
      </c>
      <c r="BG27" s="117" t="str">
        <f t="shared" si="46"/>
        <v/>
      </c>
      <c r="BH27" s="117" t="str">
        <f t="shared" si="47"/>
        <v/>
      </c>
      <c r="BI27" s="117" t="str">
        <f t="shared" si="48"/>
        <v/>
      </c>
      <c r="BJ27" s="117" t="str">
        <f t="shared" si="49"/>
        <v/>
      </c>
      <c r="BK27" s="117" t="str">
        <f t="shared" si="50"/>
        <v/>
      </c>
      <c r="BL27" s="117" t="str">
        <f t="shared" si="51"/>
        <v xml:space="preserve">tags:
- ie_x000D_
- churches_x000D_
- marian-sites_x000D_
</v>
      </c>
      <c r="BM27" s="120" t="str">
        <f t="shared" si="62"/>
        <v>[Official site](https://www.knockshrine.ie/)</v>
      </c>
      <c r="BN27" s="120" t="str">
        <f t="shared" si="63"/>
        <v/>
      </c>
      <c r="BO27" s="120" t="str">
        <f t="shared" si="64"/>
        <v/>
      </c>
      <c r="BP27" s="120" t="str">
        <f t="shared" si="65"/>
        <v/>
      </c>
      <c r="BQ27" s="120" t="str">
        <f t="shared" si="52"/>
        <v xml:space="preserve">* [Official site](https://www.knockshrine.ie/)
</v>
      </c>
      <c r="BR27" s="120" t="str">
        <f t="shared" si="53"/>
        <v>[Link](http://www.therealpresence.org/eucharst/misc/BVM/63_KNOCK_60x96.pdf)</v>
      </c>
      <c r="BS27" s="120" t="str">
        <f t="shared" si="54"/>
        <v>[Link](http://www.miraclehunter.com/marian_apparitions/approved_apparitions/knock/index.html)</v>
      </c>
      <c r="BT27" s="120" t="str">
        <f t="shared" si="55"/>
        <v>[Link](https://www.marypages.com/knock-(ireland)-en.html)</v>
      </c>
      <c r="BU27" s="120" t="str">
        <f>IF(LEN(concat(BR27:BT27))&gt;0,concat("| ",BR27," | ",BS27," | ",BT27," |"),"")</f>
        <v>| [Link](http://www.therealpresence.org/eucharst/misc/BVM/63_KNOCK_60x96.pdf) | [Link](http://www.miraclehunter.com/marian_apparitions/approved_apparitions/knock/index.html) | [Link](https://www.marypages.com/knock-(ireland)-en.html) |</v>
      </c>
      <c r="BV27" s="117" t="str">
        <f t="shared" si="56"/>
        <v xml:space="preserve">| The Real Presence | Miracle Hunter | MaryPages |_x000D_
| --- | --- | --- |_x000D_
| [Link](http://www.therealpresence.org/eucharst/misc/BVM/63_KNOCK_60x96.pdf) | [Link](http://www.miraclehunter.com/marian_apparitions/approved_apparitions/knock/index.html) | [Link](https://www.marypages.com/knock-(ireland)-en.html) |_x000D_
</v>
      </c>
      <c r="BW27" s="117" t="str">
        <f>IF(LEN(BQ27&amp;BV27)&gt;0,concatll("#### More Information",BQ27,BV27),"")</f>
        <v xml:space="preserve">#### More Information_x000D_
_x000D_
* [Official site](https://www.knockshrine.ie/)
_x000D_
_x000D_
| The Real Presence | Miracle Hunter | MaryPages |_x000D_
| --- | --- | --- |_x000D_
| [Link](http://www.therealpresence.org/eucharst/misc/BVM/63_KNOCK_60x96.pdf) | [Link](http://www.miraclehunter.com/marian_apparitions/approved_apparitions/knock/index.html) | [Link](https://www.marypages.com/knock-(ireland)-en.html) |_x000D_
_x000D_
_x000D_
</v>
      </c>
      <c r="BX27" s="117" t="str">
        <f>IF(LEN(N27)&gt;1,concatll("#### Author's Note",N27,"-"&amp;B27),"")</f>
        <v xml:space="preserve">#### Author's Note_x000D_
_x000D_
Thanks to the testimonies of the visionaries, pilgrims today can experience a very accurate representation of the original apparition.  The statues have been placed in the same place as the apparition, in front of the church wall and slightly above ground level._x000D_
_x000D_
-JMM_x000D_
_x000D_
</v>
      </c>
      <c r="BY27" s="117" t="s">
        <v>53</v>
      </c>
      <c r="BZ27" s="117" t="s">
        <v>53</v>
      </c>
      <c r="CA27" s="6" t="str">
        <f>IF(AS27,concatll(concatl("---",AT27:AV27,BL27,"---"),M27,BW27:BX27),"")</f>
        <v xml:space="preserve">---_x000D_
title: "Knock Shrine (Our Lady of Knock)"_x000D_
location: {lat: 53.7927562, lng: -8.918981}_x000D_
interest: global_x000D_
tags:
- ie_x000D_
- churches_x000D_
- marian-sites_x000D_
_x000D_
---_x000D_
_x000D_
_x000D_
In 1879, 15 individuals witnessed the figures of Mary, Joseph, John the Evangelist, and a lamb and cross atop an altar, all enveloped in a bright light outside the local church.  The imagery is unique to Knock and holds eschatological significance for Catholics._x000D_
_x000D_
#### More Information_x000D_
_x000D_
* [Official site](https://www.knockshrine.ie/)
_x000D_
_x000D_
| The Real Presence | Miracle Hunter | MaryPages |_x000D_
| --- | --- | --- |_x000D_
| [Link](http://www.therealpresence.org/eucharst/misc/BVM/63_KNOCK_60x96.pdf) | [Link](http://www.miraclehunter.com/marian_apparitions/approved_apparitions/knock/index.html) | [Link](https://www.marypages.com/knock-(ireland)-en.html) |_x000D_
_x000D_
_x000D_
_x000D_
_x000D_
#### Author's Note_x000D_
_x000D_
Thanks to the testimonies of the visionaries, pilgrims today can experience a very accurate representation of the original apparition.  The statues have been placed in the same place as the apparition, in front of the church wall and slightly above ground level._x000D_
_x000D_
-JMM_x000D_
_x000D_
_x000D_
_x000D_
</v>
      </c>
      <c r="CB27" s="6" t="str">
        <f>IF(AS27,"places\"&amp;VLOOKUP(C27,'Country Tags'!C:D,2,)&amp;IF(LEN(D27)&gt;1,"-"&amp;LOWER(SUBSTITUTE(D27," ","-")),"")&amp;"-"&amp;LOWER(SUBSTITUTE(SUBSTITUTE(H27," ","-"),".",""))&amp;".md","")</f>
        <v>places\ie-knock-shrine.md</v>
      </c>
      <c r="CC27" s="6"/>
      <c r="CD27" s="21" t="str">
        <f>IF(LEN(Z27)&gt;1,VLOOKUP(Z27,#REF!,2,),"")</f>
        <v/>
      </c>
      <c r="CE27" s="21" t="str">
        <f>IF(LEN(AA27)&gt;1,VLOOKUP(AA27,#REF!,2,),"")</f>
        <v/>
      </c>
      <c r="CF27" s="21" t="str">
        <f>IF(LEN(AB27)&gt;1,VLOOKUP(AB27,#REF!,2,),"")</f>
        <v/>
      </c>
      <c r="CG27" s="13" t="str">
        <f>IF(LEN(Z27)&gt;1,GetTagPage(CD27,Z27),"")</f>
        <v/>
      </c>
      <c r="CH27" s="13" t="str">
        <f>IF(LEN(AA27)&gt;1,GetTagPage(CE27,AA27),"")</f>
        <v/>
      </c>
      <c r="CI27" s="13" t="str">
        <f>IF(LEN(AB27)&gt;1,GetTagPage(CF27,AB27),"")</f>
        <v/>
      </c>
      <c r="CJ27" s="13" t="str">
        <f t="shared" si="57"/>
        <v xml:space="preserve">| </v>
      </c>
      <c r="CK27" s="13" t="str">
        <f t="shared" si="58"/>
        <v xml:space="preserve">| [Knock](/places/places\ie-knock-shrine) </v>
      </c>
      <c r="CL27" s="13" t="str">
        <f>"| "&amp;IF(AS27,GetTagPage(C27,VLOOKUP(C27,'Country Tags'!C:E,3,)),C27)&amp; " "</f>
        <v xml:space="preserve">| [Ireland](/tags/ie) </v>
      </c>
      <c r="CM27" s="13" t="str">
        <f t="shared" si="59"/>
        <v xml:space="preserve">| 1879 </v>
      </c>
      <c r="CN27" s="13" t="str">
        <f t="shared" si="60"/>
        <v xml:space="preserve">| [Link](/places/places\ie-knock-shrine) </v>
      </c>
      <c r="CO27" s="12" t="str">
        <f t="shared" si="61"/>
        <v xml:space="preserve">
| [Knock](/places/places\ie-knock-shrine) | [Ireland](/tags/ie) | 1879 | [Link](/places/places\ie-knock-shrine) [Official site](https://www.knockshrine.ie/)[Link](http://www.therealpresence.org/eucharst/misc/BVM/63_KNOCK_60x96.pdf)[Link](http://www.miraclehunter.com/marian_apparitions/approved_apparitions/knock/index.html)[Link](https://www.marypages.com/knock-(ireland)-en.html)| |</v>
      </c>
    </row>
    <row r="28" spans="1:93" ht="102" x14ac:dyDescent="0.25">
      <c r="A28" s="129" t="s">
        <v>786</v>
      </c>
      <c r="B28" s="10" t="s">
        <v>1653</v>
      </c>
      <c r="C28" s="10" t="s">
        <v>1</v>
      </c>
      <c r="D28" s="26" t="s">
        <v>709</v>
      </c>
      <c r="E28" s="1">
        <v>41.897293109963897</v>
      </c>
      <c r="F28" s="30">
        <v>12.4989743434214</v>
      </c>
      <c r="G28" s="130" t="s">
        <v>1710</v>
      </c>
      <c r="H28" s="139" t="s">
        <v>1711</v>
      </c>
      <c r="I28" s="7" t="s">
        <v>919</v>
      </c>
      <c r="J28" s="23" t="b">
        <v>1</v>
      </c>
      <c r="K28" s="7" t="b">
        <v>1</v>
      </c>
      <c r="M28" s="130" t="s">
        <v>1712</v>
      </c>
      <c r="O28" s="1" t="s">
        <v>11</v>
      </c>
      <c r="P28" s="1" t="s">
        <v>53</v>
      </c>
      <c r="Z28" s="143" t="s">
        <v>1708</v>
      </c>
      <c r="AA28" s="20"/>
      <c r="AB28" s="19"/>
      <c r="AC28" s="19"/>
      <c r="AD28" s="19"/>
      <c r="AE28" s="19"/>
      <c r="AF28" s="19"/>
      <c r="AG28" s="19"/>
      <c r="AH28" s="19"/>
      <c r="AI28" s="19"/>
      <c r="AJ28" s="56" t="s">
        <v>778</v>
      </c>
      <c r="AK28" s="57">
        <v>352</v>
      </c>
      <c r="AL28" s="1" t="s">
        <v>15</v>
      </c>
      <c r="AM28" s="1" t="s">
        <v>53</v>
      </c>
      <c r="AN28" s="1" t="s">
        <v>6</v>
      </c>
      <c r="AO28" s="1" t="s">
        <v>53</v>
      </c>
      <c r="AP28" s="1" t="s">
        <v>12</v>
      </c>
      <c r="AQ28" s="30" t="s">
        <v>53</v>
      </c>
      <c r="AS28" s="116" t="b">
        <f t="shared" si="33"/>
        <v>1</v>
      </c>
      <c r="AT28" s="117" t="str">
        <f t="shared" si="34"/>
        <v>title: "St. Mary Major (S. Maria Maggiore) (Our Lady of the Snows)"</v>
      </c>
      <c r="AU28" s="117" t="str">
        <f t="shared" si="35"/>
        <v>location: {lat: 41.8972931099639, lng: 12.4989743434214}</v>
      </c>
      <c r="AV28" s="117" t="str">
        <f t="shared" si="36"/>
        <v>interest: global</v>
      </c>
      <c r="AW28" s="117" t="str">
        <f>"- "&amp;VLOOKUP(C28,'Country Tags'!C:E,3,)</f>
        <v>- it</v>
      </c>
      <c r="AX28" s="117" t="str">
        <f t="shared" si="37"/>
        <v>- rome</v>
      </c>
      <c r="AY28" s="117" t="str">
        <f t="shared" si="38"/>
        <v>- churches</v>
      </c>
      <c r="AZ28" s="117" t="str">
        <f t="shared" si="39"/>
        <v>- marian-sites</v>
      </c>
      <c r="BA28" s="117" t="str">
        <f t="shared" si="40"/>
        <v/>
      </c>
      <c r="BB28" s="117" t="str">
        <f t="shared" si="41"/>
        <v>- major-basilicas</v>
      </c>
      <c r="BC28" s="117" t="str">
        <f t="shared" si="42"/>
        <v/>
      </c>
      <c r="BD28" s="117" t="str">
        <f t="shared" si="43"/>
        <v/>
      </c>
      <c r="BE28" s="117" t="str">
        <f t="shared" si="44"/>
        <v/>
      </c>
      <c r="BF28" s="117" t="str">
        <f t="shared" si="45"/>
        <v/>
      </c>
      <c r="BG28" s="117" t="str">
        <f t="shared" si="46"/>
        <v/>
      </c>
      <c r="BH28" s="117" t="str">
        <f t="shared" si="47"/>
        <v/>
      </c>
      <c r="BI28" s="117" t="str">
        <f t="shared" si="48"/>
        <v/>
      </c>
      <c r="BJ28" s="117" t="str">
        <f t="shared" si="49"/>
        <v/>
      </c>
      <c r="BK28" s="117" t="str">
        <f t="shared" si="50"/>
        <v/>
      </c>
      <c r="BL28" s="117" t="str">
        <f t="shared" si="51"/>
        <v xml:space="preserve">tags:
- it_x000D_
- rome_x000D_
- churches_x000D_
- marian-sites_x000D_
- major-basilicas_x000D_
</v>
      </c>
      <c r="BM28" s="120" t="str">
        <f t="shared" si="62"/>
        <v>[Official site](https://www.vatican.va/various/basiliche/sm_maggiore/index_en.html)</v>
      </c>
      <c r="BN28" s="120" t="str">
        <f t="shared" si="63"/>
        <v/>
      </c>
      <c r="BO28" s="120" t="str">
        <f t="shared" si="64"/>
        <v/>
      </c>
      <c r="BP28" s="120" t="str">
        <f t="shared" si="65"/>
        <v/>
      </c>
      <c r="BQ28" s="120" t="str">
        <f t="shared" si="52"/>
        <v xml:space="preserve">* [Official site](https://www.vatican.va/various/basiliche/sm_maggiore/index_en.html)
</v>
      </c>
      <c r="BR28" s="120" t="str">
        <f t="shared" si="53"/>
        <v>[Link](http://www.therealpresence.org/eucharst/misc/BVM/117_ROMA_60x96.pdf)</v>
      </c>
      <c r="BS28" s="120" t="str">
        <f t="shared" si="54"/>
        <v>[Link](https://www.miraclehunter.com/marian_apparitions/approved_apparitions/rome/index.html)</v>
      </c>
      <c r="BT28" s="120" t="str">
        <f t="shared" si="55"/>
        <v>[Link](https://www.marypages.com/our-lady-of-the-snows-en.html)</v>
      </c>
      <c r="BU28" s="120" t="str">
        <f>IF(LEN(concat(BR28:BT28))&gt;0,concat("| ",BR28," | ",BS28," | ",BT28," |"),"")</f>
        <v>| [Link](http://www.therealpresence.org/eucharst/misc/BVM/117_ROMA_60x96.pdf) | [Link](https://www.miraclehunter.com/marian_apparitions/approved_apparitions/rome/index.html) | [Link](https://www.marypages.com/our-lady-of-the-snows-en.html) |</v>
      </c>
      <c r="BV28" s="117" t="str">
        <f t="shared" si="56"/>
        <v xml:space="preserve">| The Real Presence | Miracle Hunter | MaryPages |_x000D_
| --- | --- | --- |_x000D_
| [Link](http://www.therealpresence.org/eucharst/misc/BVM/117_ROMA_60x96.pdf) | [Link](https://www.miraclehunter.com/marian_apparitions/approved_apparitions/rome/index.html) | [Link](https://www.marypages.com/our-lady-of-the-snows-en.html) |_x000D_
</v>
      </c>
      <c r="BW28" s="117" t="str">
        <f>IF(LEN(BQ28&amp;BV28)&gt;0,concatll("#### More Information",BQ28,BV28),"")</f>
        <v xml:space="preserve">#### More Information_x000D_
_x000D_
* [Official site](https://www.vatican.va/various/basiliche/sm_maggiore/index_en.html)
_x000D_
_x000D_
| The Real Presence | Miracle Hunter | MaryPages |_x000D_
| --- | --- | --- |_x000D_
| [Link](http://www.therealpresence.org/eucharst/misc/BVM/117_ROMA_60x96.pdf) | [Link](https://www.miraclehunter.com/marian_apparitions/approved_apparitions/rome/index.html) | [Link](https://www.marypages.com/our-lady-of-the-snows-en.html) |_x000D_
_x000D_
_x000D_
</v>
      </c>
      <c r="BX28" s="117" t="str">
        <f>IF(LEN(N28)&gt;1,concatll("#### Author's Note",N28,"-"&amp;B28),"")</f>
        <v/>
      </c>
      <c r="BY28" s="117" t="s">
        <v>53</v>
      </c>
      <c r="BZ28" s="117" t="s">
        <v>53</v>
      </c>
      <c r="CA28" s="6" t="str">
        <f>IF(AS28,concatll(concatl("---",AT28:AV28,BL28,"---"),M28,BW28:BX28),"")</f>
        <v xml:space="preserve">---_x000D_
title: "St. Mary Major (S. Maria Maggiore) (Our Lady of the Snows)"_x000D_
location: {lat: 41.8972931099639, lng: 12.4989743434214}_x000D_
interest: global_x000D_
tags:
- it_x000D_
- rome_x000D_
- churches_x000D_
- marian-sites_x000D_
- major-basilicas_x000D_
_x000D_
---_x000D_
_x000D_
_x000D_
A wealthy but childless Christian Roman couple wanted to appoint the Virgin Mary as heiress of their property. On the night of August 4, Mary appeared simultaneously to the couple and Pope Liberius, expressing the wish that a church be erected on Esquiline Hill.  The morning of August 5, miraculous snow fell on a narrow piece of land, upon which the Church of Liberius was constructed.  This Marian shrine was replaced in the fifth century with a great church named Santa Maria Maggiore, which is now one of the four major basilicas._x000D_
_x000D_
#### More Information_x000D_
_x000D_
* [Official site](https://www.vatican.va/various/basiliche/sm_maggiore/index_en.html)
_x000D_
_x000D_
| The Real Presence | Miracle Hunter | MaryPages |_x000D_
| --- | --- | --- |_x000D_
| [Link](http://www.therealpresence.org/eucharst/misc/BVM/117_ROMA_60x96.pdf) | [Link](https://www.miraclehunter.com/marian_apparitions/approved_apparitions/rome/index.html) | [Link](https://www.marypages.com/our-lady-of-the-snows-en.html) |_x000D_
_x000D_
_x000D_
_x000D_
_x000D_
</v>
      </c>
      <c r="CB28" s="6" t="str">
        <f>IF(AS28,"places\"&amp;VLOOKUP(C28,'Country Tags'!C:D,2,)&amp;IF(LEN(D28)&gt;1,"-"&amp;LOWER(SUBSTITUTE(D28," ","-")),"")&amp;"-"&amp;LOWER(SUBSTITUTE(SUBSTITUTE(H28," ","-"),".",""))&amp;".md","")</f>
        <v>places\it-rome-st-mary-major.md</v>
      </c>
      <c r="CC28" s="6"/>
      <c r="CD28" s="21" t="e">
        <f>IF(LEN(Z28)&gt;1,VLOOKUP(Z28,#REF!,2,),"")</f>
        <v>#REF!</v>
      </c>
      <c r="CE28" s="21" t="str">
        <f>IF(LEN(AA28)&gt;1,VLOOKUP(AA28,#REF!,2,),"")</f>
        <v/>
      </c>
      <c r="CF28" s="21" t="str">
        <f>IF(LEN(AB28)&gt;1,VLOOKUP(AB28,#REF!,2,),"")</f>
        <v/>
      </c>
      <c r="CG28" s="13" t="e">
        <f>IF(LEN(Z28)&gt;1,GetTagPage(CD28,Z28),"")</f>
        <v>#VALUE!</v>
      </c>
      <c r="CH28" s="13" t="str">
        <f>IF(LEN(AA28)&gt;1,GetTagPage(CE28,AA28),"")</f>
        <v/>
      </c>
      <c r="CI28" s="13" t="str">
        <f>IF(LEN(AB28)&gt;1,GetTagPage(CF28,AB28),"")</f>
        <v/>
      </c>
      <c r="CJ28" s="13" t="e">
        <f t="shared" si="57"/>
        <v>#VALUE!</v>
      </c>
      <c r="CK28" s="13" t="str">
        <f t="shared" si="58"/>
        <v xml:space="preserve">| [Rome (Santa Maria Maggiore)](/places/places\it-rome-st-mary-major) </v>
      </c>
      <c r="CL28" s="13" t="str">
        <f>"| "&amp;IF(AS28,GetTagPage(C28,VLOOKUP(C28,'Country Tags'!C:E,3,)),C28)&amp; " "</f>
        <v xml:space="preserve">| [Italy](/tags/it) </v>
      </c>
      <c r="CM28" s="13" t="str">
        <f t="shared" si="59"/>
        <v xml:space="preserve">| 352 </v>
      </c>
      <c r="CN28" s="13" t="str">
        <f t="shared" si="60"/>
        <v xml:space="preserve">| [Link](/places/places\it-rome-st-mary-major) </v>
      </c>
      <c r="CO28" s="12" t="e">
        <f t="shared" si="61"/>
        <v>#VALUE!</v>
      </c>
    </row>
    <row r="29" spans="1:93" ht="76.5" x14ac:dyDescent="0.25">
      <c r="A29" s="129" t="s">
        <v>786</v>
      </c>
      <c r="B29" s="7" t="s">
        <v>1653</v>
      </c>
      <c r="C29" s="7" t="s">
        <v>1</v>
      </c>
      <c r="E29" s="1">
        <v>45.523673865207101</v>
      </c>
      <c r="F29" s="30">
        <v>10.3142692079531</v>
      </c>
      <c r="G29" s="55" t="s">
        <v>1056</v>
      </c>
      <c r="H29" s="33" t="s">
        <v>1056</v>
      </c>
      <c r="I29" s="7" t="s">
        <v>919</v>
      </c>
      <c r="J29" s="23" t="b">
        <v>1</v>
      </c>
      <c r="K29" s="7" t="b">
        <v>1</v>
      </c>
      <c r="M29" s="7" t="s">
        <v>823</v>
      </c>
      <c r="O29" s="1" t="s">
        <v>827</v>
      </c>
      <c r="P29" s="1" t="s">
        <v>53</v>
      </c>
      <c r="Z29" s="1" t="s">
        <v>53</v>
      </c>
      <c r="AJ29" s="56" t="s">
        <v>826</v>
      </c>
      <c r="AK29" s="57" t="s">
        <v>779</v>
      </c>
      <c r="AL29" s="1" t="s">
        <v>19</v>
      </c>
      <c r="AM29" s="1" t="s">
        <v>53</v>
      </c>
      <c r="AN29" s="1" t="s">
        <v>824</v>
      </c>
      <c r="AO29" s="1" t="s">
        <v>825</v>
      </c>
      <c r="AP29" s="1" t="s">
        <v>53</v>
      </c>
      <c r="AQ29" s="30" t="s">
        <v>53</v>
      </c>
      <c r="AS29" s="116" t="b">
        <f t="shared" si="33"/>
        <v>1</v>
      </c>
      <c r="AT29" s="117" t="str">
        <f t="shared" si="34"/>
        <v>title: "Sanctuary of Our Lady of Valverde"</v>
      </c>
      <c r="AU29" s="117" t="str">
        <f t="shared" si="35"/>
        <v>location: {lat: 45.5236738652071, lng: 10.3142692079531}</v>
      </c>
      <c r="AV29" s="117" t="str">
        <f t="shared" si="36"/>
        <v>interest: global</v>
      </c>
      <c r="AW29" s="117" t="str">
        <f>"- "&amp;VLOOKUP(C29,'Country Tags'!C:E,3,)</f>
        <v>- it</v>
      </c>
      <c r="AX29" s="117" t="str">
        <f t="shared" si="37"/>
        <v/>
      </c>
      <c r="AY29" s="117" t="str">
        <f t="shared" si="38"/>
        <v>- churches</v>
      </c>
      <c r="AZ29" s="117" t="str">
        <f t="shared" si="39"/>
        <v>- marian-sites</v>
      </c>
      <c r="BA29" s="117" t="str">
        <f t="shared" si="40"/>
        <v/>
      </c>
      <c r="BB29" s="117" t="str">
        <f t="shared" si="41"/>
        <v/>
      </c>
      <c r="BC29" s="117" t="str">
        <f t="shared" si="42"/>
        <v/>
      </c>
      <c r="BD29" s="117" t="str">
        <f t="shared" si="43"/>
        <v/>
      </c>
      <c r="BE29" s="117" t="str">
        <f t="shared" si="44"/>
        <v/>
      </c>
      <c r="BF29" s="117" t="str">
        <f t="shared" si="45"/>
        <v/>
      </c>
      <c r="BG29" s="117" t="str">
        <f t="shared" si="46"/>
        <v/>
      </c>
      <c r="BH29" s="117" t="str">
        <f t="shared" si="47"/>
        <v/>
      </c>
      <c r="BI29" s="117" t="str">
        <f t="shared" si="48"/>
        <v/>
      </c>
      <c r="BJ29" s="117" t="str">
        <f t="shared" si="49"/>
        <v/>
      </c>
      <c r="BK29" s="117" t="str">
        <f t="shared" si="50"/>
        <v/>
      </c>
      <c r="BL29" s="117" t="str">
        <f t="shared" si="51"/>
        <v xml:space="preserve">tags:
- it_x000D_
- churches_x000D_
- marian-sites_x000D_
</v>
      </c>
      <c r="BM29" s="120" t="str">
        <f t="shared" si="62"/>
        <v>[Official site](https://www.uprezzatovirle.it/santuario-valverde)</v>
      </c>
      <c r="BN29" s="120" t="str">
        <f t="shared" si="63"/>
        <v/>
      </c>
      <c r="BO29" s="120" t="str">
        <f t="shared" si="64"/>
        <v/>
      </c>
      <c r="BP29" s="120" t="str">
        <f t="shared" si="65"/>
        <v/>
      </c>
      <c r="BQ29" s="120" t="str">
        <f t="shared" si="52"/>
        <v xml:space="preserve">* [Official site](https://www.uprezzatovirle.it/santuario-valverde)
</v>
      </c>
      <c r="BR29" s="120" t="str">
        <f t="shared" si="53"/>
        <v>[Link](http://www.therealpresence.org/eucharst/misc/BVM/13_VALVERDE_60x96.pdf)</v>
      </c>
      <c r="BS29" s="120" t="str">
        <f t="shared" si="54"/>
        <v>[Link](https://www.miraclehunter.com/marian_apparitions/approved_apparitions/apparitions_1700-1799.html) (Search for "Valverde")</v>
      </c>
      <c r="BT29" s="120" t="str">
        <f t="shared" si="55"/>
        <v/>
      </c>
      <c r="BU29" s="120" t="str">
        <f>IF(LEN(concat(BR29:BT29))&gt;0,concat("| ",BR29," | ",BS29," | ",BT29," |"),"")</f>
        <v>| [Link](http://www.therealpresence.org/eucharst/misc/BVM/13_VALVERDE_60x96.pdf) | [Link](https://www.miraclehunter.com/marian_apparitions/approved_apparitions/apparitions_1700-1799.html) (Search for "Valverde") |  |</v>
      </c>
      <c r="BV29" s="117" t="str">
        <f t="shared" si="56"/>
        <v xml:space="preserve">| The Real Presence | Miracle Hunter | MaryPages |_x000D_
| --- | --- | --- |_x000D_
| [Link](http://www.therealpresence.org/eucharst/misc/BVM/13_VALVERDE_60x96.pdf) | [Link](https://www.miraclehunter.com/marian_apparitions/approved_apparitions/apparitions_1700-1799.html) (Search for "Valverde") |  |_x000D_
</v>
      </c>
      <c r="BW29" s="117" t="str">
        <f>IF(LEN(BQ29&amp;BV29)&gt;0,concatll("#### More Information",BQ29,BV29),"")</f>
        <v xml:space="preserve">#### More Information_x000D_
_x000D_
* [Official site](https://www.uprezzatovirle.it/santuario-valverde)
_x000D_
_x000D_
| The Real Presence | Miracle Hunter | MaryPages |_x000D_
| --- | --- | --- |_x000D_
| [Link](http://www.therealpresence.org/eucharst/misc/BVM/13_VALVERDE_60x96.pdf) | [Link](https://www.miraclehunter.com/marian_apparitions/approved_apparitions/apparitions_1700-1799.html) (Search for "Valverde") |  |_x000D_
_x000D_
_x000D_
</v>
      </c>
      <c r="BX29" s="117" t="str">
        <f>IF(LEN(N29)&gt;1,concatll("#### Author's Note",N29,"-"&amp;B29),"")</f>
        <v/>
      </c>
      <c r="BY29" s="117" t="s">
        <v>53</v>
      </c>
      <c r="BZ29" s="117" t="s">
        <v>53</v>
      </c>
      <c r="CA29" s="6" t="str">
        <f>IF(AS29,concatll(concatl("---",AT29:AV29,BL29,"---"),M29,BW29:BX29),"")</f>
        <v xml:space="preserve">---_x000D_
title: "Sanctuary of Our Lady of Valverde"_x000D_
location: {lat: 45.5236738652071, lng: 10.3142692079531}_x000D_
interest: global_x000D_
tags:
- it_x000D_
- churches_x000D_
- marian-sites_x000D_
_x000D_
---_x000D_
_x000D_
_x000D_
The Shrine of Our Lady of Valverde dates back to 1399, when Our Lady appeared to a farmer plowing his field.  During the summer of 1711, when the province was hit by a severe epidemic, the inhabitants of Rezzato prayed to Our Lady of Valverde.  On October 1, Our Lady appeared a second time to Paul Ogna, 8, and Francesco Pelizzari, 11, who went to collect chestnuts near the Sanctuary pond.  Our Lady promised the end of the epidemic._x000D_
_x000D_
#### More Information_x000D_
_x000D_
* [Official site](https://www.uprezzatovirle.it/santuario-valverde)
_x000D_
_x000D_
| The Real Presence | Miracle Hunter | MaryPages |_x000D_
| --- | --- | --- |_x000D_
| [Link](http://www.therealpresence.org/eucharst/misc/BVM/13_VALVERDE_60x96.pdf) | [Link](https://www.miraclehunter.com/marian_apparitions/approved_apparitions/apparitions_1700-1799.html) (Search for "Valverde") |  |_x000D_
_x000D_
_x000D_
_x000D_
_x000D_
</v>
      </c>
      <c r="CB29" s="6" t="str">
        <f>IF(AS29,"places\"&amp;VLOOKUP(C29,'Country Tags'!C:D,2,)&amp;IF(LEN(D29)&gt;1,"-"&amp;LOWER(SUBSTITUTE(D29," ","-")),"")&amp;"-"&amp;LOWER(SUBSTITUTE(SUBSTITUTE(H29," ","-"),".",""))&amp;".md","")</f>
        <v>places\it-sanctuary-of-our-lady-of-valverde.md</v>
      </c>
      <c r="CC29" s="6"/>
      <c r="CD29" s="12" t="str">
        <f>IF(LEN(Z29)&gt;1,VLOOKUP(Z29,#REF!,2,),"")</f>
        <v/>
      </c>
      <c r="CE29" s="12" t="str">
        <f>IF(LEN(AA29)&gt;1,VLOOKUP(AA29,#REF!,2,),"")</f>
        <v/>
      </c>
      <c r="CF29" s="12" t="str">
        <f>IF(LEN(AB29)&gt;1,VLOOKUP(AB29,#REF!,2,),"")</f>
        <v/>
      </c>
      <c r="CG29" s="13" t="str">
        <f>IF(LEN(Z29)&gt;1,GetTagPage(CD29,Z29),"")</f>
        <v/>
      </c>
      <c r="CH29" s="13" t="str">
        <f>IF(LEN(AA29)&gt;1,GetTagPage(CE29,AA29),"")</f>
        <v/>
      </c>
      <c r="CI29" s="13" t="str">
        <f>IF(LEN(AB29)&gt;1,GetTagPage(CF29,AB29),"")</f>
        <v/>
      </c>
      <c r="CJ29" s="13" t="str">
        <f t="shared" si="57"/>
        <v xml:space="preserve">| </v>
      </c>
      <c r="CK29" s="13" t="str">
        <f t="shared" si="58"/>
        <v xml:space="preserve">| [Valverde Di Rezzato](/places/places\it-sanctuary-of-our-lady-of-valverde) </v>
      </c>
      <c r="CL29" s="13" t="str">
        <f>"| "&amp;IF(AS29,GetTagPage(C29,VLOOKUP(C29,'Country Tags'!C:E,3,)),C29)&amp; " "</f>
        <v xml:space="preserve">| [Italy](/tags/it) </v>
      </c>
      <c r="CM29" s="13" t="str">
        <f t="shared" si="59"/>
        <v xml:space="preserve">| 1399, 1711 </v>
      </c>
      <c r="CN29" s="13" t="str">
        <f t="shared" si="60"/>
        <v xml:space="preserve">| [Link](/places/places\it-sanctuary-of-our-lady-of-valverde) </v>
      </c>
      <c r="CO29" s="12" t="str">
        <f t="shared" si="61"/>
        <v xml:space="preserve">
| [Valverde Di Rezzato](/places/places\it-sanctuary-of-our-lady-of-valverde) | [Italy](/tags/it) | 1399, 1711 | [Link](/places/places\it-sanctuary-of-our-lady-of-valverde) [Official site](https://www.uprezzatovirle.it/santuario-valverde)[Link](http://www.therealpresence.org/eucharst/misc/BVM/13_VALVERDE_60x96.pdf)[Link](https://www.miraclehunter.com/marian_apparitions/approved_apparitions/apparitions_1700-1799.html) (Search for "Valverde")| |</v>
      </c>
    </row>
    <row r="30" spans="1:93" ht="76.5" x14ac:dyDescent="0.25">
      <c r="A30" s="129" t="s">
        <v>786</v>
      </c>
      <c r="B30" s="7" t="s">
        <v>1653</v>
      </c>
      <c r="C30" s="7" t="s">
        <v>1</v>
      </c>
      <c r="D30" s="26" t="s">
        <v>709</v>
      </c>
      <c r="E30" s="1">
        <v>41.903563699999999</v>
      </c>
      <c r="F30" s="30">
        <v>12.483673899999999</v>
      </c>
      <c r="G30" s="7" t="s">
        <v>733</v>
      </c>
      <c r="H30" s="33" t="s">
        <v>734</v>
      </c>
      <c r="I30" s="7" t="s">
        <v>919</v>
      </c>
      <c r="J30" s="23" t="b">
        <v>1</v>
      </c>
      <c r="K30" s="7" t="b">
        <v>1</v>
      </c>
      <c r="M30" s="26" t="s">
        <v>932</v>
      </c>
      <c r="O30" s="1" t="s">
        <v>129</v>
      </c>
      <c r="P30" s="1" t="s">
        <v>53</v>
      </c>
      <c r="Z30" s="19" t="s">
        <v>204</v>
      </c>
      <c r="AA30" s="20"/>
      <c r="AB30" s="19"/>
      <c r="AC30" s="19"/>
      <c r="AD30" s="19"/>
      <c r="AE30" s="19"/>
      <c r="AF30" s="19"/>
      <c r="AG30" s="19"/>
      <c r="AH30" s="19"/>
      <c r="AI30" s="19"/>
      <c r="AJ30" s="56" t="s">
        <v>709</v>
      </c>
      <c r="AK30" s="57">
        <v>1842</v>
      </c>
      <c r="AL30" s="1" t="s">
        <v>35</v>
      </c>
      <c r="AM30" s="1" t="s">
        <v>53</v>
      </c>
      <c r="AN30" s="1" t="s">
        <v>172</v>
      </c>
      <c r="AO30" s="1" t="s">
        <v>53</v>
      </c>
      <c r="AP30" s="1" t="s">
        <v>173</v>
      </c>
      <c r="AQ30" s="30" t="s">
        <v>53</v>
      </c>
      <c r="AS30" s="116" t="b">
        <f t="shared" si="33"/>
        <v>1</v>
      </c>
      <c r="AT30" s="117" t="str">
        <f t="shared" si="34"/>
        <v>title: "Sant'Andrea delle Fratte (Shrine of Our Lady of the Miracle, Our Lady of Zion)"</v>
      </c>
      <c r="AU30" s="117" t="str">
        <f t="shared" si="35"/>
        <v>location: {lat: 41.9035637, lng: 12.4836739}</v>
      </c>
      <c r="AV30" s="117" t="str">
        <f t="shared" si="36"/>
        <v>interest: global</v>
      </c>
      <c r="AW30" s="117" t="str">
        <f>"- "&amp;VLOOKUP(C30,'Country Tags'!C:E,3,)</f>
        <v>- it</v>
      </c>
      <c r="AX30" s="117" t="str">
        <f t="shared" si="37"/>
        <v>- rome</v>
      </c>
      <c r="AY30" s="117" t="str">
        <f t="shared" si="38"/>
        <v>- churches</v>
      </c>
      <c r="AZ30" s="117" t="str">
        <f t="shared" si="39"/>
        <v>- marian-sites</v>
      </c>
      <c r="BA30" s="117" t="str">
        <f t="shared" si="40"/>
        <v/>
      </c>
      <c r="BB30" s="117" t="str">
        <f t="shared" si="41"/>
        <v>- marie-alphonse-ratisbonne</v>
      </c>
      <c r="BC30" s="117" t="str">
        <f t="shared" si="42"/>
        <v/>
      </c>
      <c r="BD30" s="117" t="str">
        <f t="shared" si="43"/>
        <v/>
      </c>
      <c r="BE30" s="117" t="str">
        <f t="shared" si="44"/>
        <v/>
      </c>
      <c r="BF30" s="117" t="str">
        <f t="shared" si="45"/>
        <v/>
      </c>
      <c r="BG30" s="117" t="str">
        <f t="shared" si="46"/>
        <v/>
      </c>
      <c r="BH30" s="117" t="str">
        <f t="shared" si="47"/>
        <v/>
      </c>
      <c r="BI30" s="117" t="str">
        <f t="shared" si="48"/>
        <v/>
      </c>
      <c r="BJ30" s="117" t="str">
        <f t="shared" si="49"/>
        <v/>
      </c>
      <c r="BK30" s="117" t="str">
        <f t="shared" si="50"/>
        <v/>
      </c>
      <c r="BL30" s="117" t="str">
        <f t="shared" si="51"/>
        <v xml:space="preserve">tags:
- it_x000D_
- rome_x000D_
- churches_x000D_
- marian-sites_x000D_
- marie-alphonse-ratisbonne_x000D_
</v>
      </c>
      <c r="BM30" s="120" t="str">
        <f t="shared" si="62"/>
        <v>[Official site](https://www.madonnadelmiracolo.it/)</v>
      </c>
      <c r="BN30" s="120" t="str">
        <f t="shared" si="63"/>
        <v/>
      </c>
      <c r="BO30" s="120" t="str">
        <f t="shared" si="64"/>
        <v/>
      </c>
      <c r="BP30" s="120" t="str">
        <f t="shared" si="65"/>
        <v/>
      </c>
      <c r="BQ30" s="120" t="str">
        <f t="shared" si="52"/>
        <v xml:space="preserve">* [Official site](https://www.madonnadelmiracolo.it/)
</v>
      </c>
      <c r="BR30" s="120" t="str">
        <f t="shared" si="53"/>
        <v>[Link](http://www.therealpresence.org/eucharst/misc/BVM/23_ROMA_60x96.pdf)</v>
      </c>
      <c r="BS30" s="120" t="str">
        <f t="shared" si="54"/>
        <v>[Link](https://www.miraclehunter.com/marian_apparitions/approved_apparitions/rome1842/index.html)</v>
      </c>
      <c r="BT30" s="120" t="str">
        <f t="shared" si="55"/>
        <v>[Link](https://www.marypages.com/rome-(itali%C3%AB).html)</v>
      </c>
      <c r="BU30" s="120" t="str">
        <f>IF(LEN(concat(BR30:BT30))&gt;0,concat("| ",BR30," | ",BS30," | ",BT30," |"),"")</f>
        <v>| [Link](http://www.therealpresence.org/eucharst/misc/BVM/23_ROMA_60x96.pdf) | [Link](https://www.miraclehunter.com/marian_apparitions/approved_apparitions/rome1842/index.html) | [Link](https://www.marypages.com/rome-(itali%C3%AB).html) |</v>
      </c>
      <c r="BV30" s="117" t="str">
        <f t="shared" si="56"/>
        <v xml:space="preserve">| The Real Presence | Miracle Hunter | MaryPages |_x000D_
| --- | --- | --- |_x000D_
| [Link](http://www.therealpresence.org/eucharst/misc/BVM/23_ROMA_60x96.pdf) | [Link](https://www.miraclehunter.com/marian_apparitions/approved_apparitions/rome1842/index.html) | [Link](https://www.marypages.com/rome-(itali%C3%AB).html) |_x000D_
</v>
      </c>
      <c r="BW30" s="117" t="str">
        <f>IF(LEN(BQ30&amp;BV30)&gt;0,concatll("#### More Information",BQ30,BV30),"")</f>
        <v xml:space="preserve">#### More Information_x000D_
_x000D_
* [Official site](https://www.madonnadelmiracolo.it/)
_x000D_
_x000D_
| The Real Presence | Miracle Hunter | MaryPages |_x000D_
| --- | --- | --- |_x000D_
| [Link](http://www.therealpresence.org/eucharst/misc/BVM/23_ROMA_60x96.pdf) | [Link](https://www.miraclehunter.com/marian_apparitions/approved_apparitions/rome1842/index.html) | [Link](https://www.marypages.com/rome-(itali%C3%AB).html) |_x000D_
_x000D_
_x000D_
</v>
      </c>
      <c r="BX30" s="117" t="str">
        <f>IF(LEN(N30)&gt;1,concatll("#### Author's Note",N30,"-"&amp;B30),"")</f>
        <v/>
      </c>
      <c r="BY30" s="117" t="s">
        <v>53</v>
      </c>
      <c r="BZ30" s="117" t="s">
        <v>53</v>
      </c>
      <c r="CA30" s="6" t="str">
        <f>IF(AS30,concatll(concatl("---",AT30:AV30,BL30,"---"),M30,BW30:BX30),"")</f>
        <v xml:space="preserve">---_x000D_
title: "Sant'Andrea delle Fratte (Shrine of Our Lady of the Miracle, Our Lady of Zion)"_x000D_
location: {lat: 41.9035637, lng: 12.4836739}_x000D_
interest: global_x000D_
tags:
- it_x000D_
- rome_x000D_
- churches_x000D_
- marian-sites_x000D_
- marie-alphonse-ratisbonne_x000D_
_x000D_
---_x000D_
_x000D_
_x000D_
Marie Alphonse Ratisbonne, an anti-Catholic Jew, befriended a baron in Rome and began wearing the [Miraculous Medal](/places/fr-paris-chapel-of-our-lady-of-the-miraculous-medal) as a simple test.  On January 20, 1842, after entering the church of Sant'Andrea delle Fratte, Ratisbonne experienced a vision of the Blessed Virgin Mary.  He converted to Catholicism, joined the priesthood, and began a ministry for the conversion of Jews._x000D_
_x000D_
#### More Information_x000D_
_x000D_
* [Official site](https://www.madonnadelmiracolo.it/)
_x000D_
_x000D_
| The Real Presence | Miracle Hunter | MaryPages |_x000D_
| --- | --- | --- |_x000D_
| [Link](http://www.therealpresence.org/eucharst/misc/BVM/23_ROMA_60x96.pdf) | [Link](https://www.miraclehunter.com/marian_apparitions/approved_apparitions/rome1842/index.html) | [Link](https://www.marypages.com/rome-(itali%C3%AB).html) |_x000D_
_x000D_
_x000D_
_x000D_
_x000D_
</v>
      </c>
      <c r="CB30" s="6" t="str">
        <f>IF(AS30,"places\"&amp;VLOOKUP(C30,'Country Tags'!C:D,2,)&amp;IF(LEN(D30)&gt;1,"-"&amp;LOWER(SUBSTITUTE(D30," ","-")),"")&amp;"-"&amp;LOWER(SUBSTITUTE(SUBSTITUTE(H30," ","-"),".",""))&amp;".md","")</f>
        <v>places\it-rome-sant-andrea-delle-fratte.md</v>
      </c>
      <c r="CC30" s="6"/>
      <c r="CD30" s="21" t="e">
        <f>IF(LEN(Z30)&gt;1,VLOOKUP(Z30,#REF!,2,),"")</f>
        <v>#REF!</v>
      </c>
      <c r="CE30" s="21" t="str">
        <f>IF(LEN(AA30)&gt;1,VLOOKUP(AA30,#REF!,2,),"")</f>
        <v/>
      </c>
      <c r="CF30" s="21" t="str">
        <f>IF(LEN(AB30)&gt;1,VLOOKUP(AB30,#REF!,2,),"")</f>
        <v/>
      </c>
      <c r="CG30" s="13" t="e">
        <f>IF(LEN(Z30)&gt;1,GetTagPage(CD30,Z30),"")</f>
        <v>#VALUE!</v>
      </c>
      <c r="CH30" s="13" t="str">
        <f>IF(LEN(AA30)&gt;1,GetTagPage(CE30,AA30),"")</f>
        <v/>
      </c>
      <c r="CI30" s="13" t="str">
        <f>IF(LEN(AB30)&gt;1,GetTagPage(CF30,AB30),"")</f>
        <v/>
      </c>
      <c r="CJ30" s="13" t="e">
        <f t="shared" si="57"/>
        <v>#VALUE!</v>
      </c>
      <c r="CK30" s="13" t="str">
        <f t="shared" si="58"/>
        <v xml:space="preserve">| [Rome](/places/places\it-rome-sant-andrea-delle-fratte) </v>
      </c>
      <c r="CL30" s="13" t="str">
        <f>"| "&amp;IF(AS30,GetTagPage(C30,VLOOKUP(C30,'Country Tags'!C:E,3,)),C30)&amp; " "</f>
        <v xml:space="preserve">| [Italy](/tags/it) </v>
      </c>
      <c r="CM30" s="13" t="str">
        <f t="shared" si="59"/>
        <v xml:space="preserve">| 1842 </v>
      </c>
      <c r="CN30" s="13" t="str">
        <f t="shared" si="60"/>
        <v xml:space="preserve">| [Link](/places/places\it-rome-sant-andrea-delle-fratte) </v>
      </c>
      <c r="CO30" s="12" t="e">
        <f t="shared" si="61"/>
        <v>#VALUE!</v>
      </c>
    </row>
    <row r="31" spans="1:93" ht="165.75" x14ac:dyDescent="0.25">
      <c r="A31" s="129" t="s">
        <v>786</v>
      </c>
      <c r="B31" s="130" t="s">
        <v>1655</v>
      </c>
      <c r="C31" s="7" t="s">
        <v>1</v>
      </c>
      <c r="D31" s="55" t="s">
        <v>1050</v>
      </c>
      <c r="E31" s="1">
        <v>41.457154000000003</v>
      </c>
      <c r="F31" s="30">
        <v>12.668148</v>
      </c>
      <c r="G31" s="55" t="s">
        <v>1052</v>
      </c>
      <c r="H31" s="61" t="s">
        <v>1053</v>
      </c>
      <c r="I31" s="26" t="s">
        <v>941</v>
      </c>
      <c r="J31" s="23" t="b">
        <v>1</v>
      </c>
      <c r="K31" s="7" t="b">
        <v>1</v>
      </c>
      <c r="L31" s="7" t="b">
        <v>1</v>
      </c>
      <c r="M31" s="26" t="s">
        <v>933</v>
      </c>
      <c r="N31" s="139" t="s">
        <v>1675</v>
      </c>
      <c r="O31" s="18" t="s">
        <v>935</v>
      </c>
      <c r="P31" s="145" t="s">
        <v>1740</v>
      </c>
      <c r="Q31" s="54" t="s">
        <v>996</v>
      </c>
      <c r="R31" s="18" t="s">
        <v>995</v>
      </c>
      <c r="S31" s="63" t="s">
        <v>53</v>
      </c>
      <c r="T31" s="42"/>
      <c r="U31" s="18"/>
      <c r="V31" s="46"/>
      <c r="W31" s="18"/>
      <c r="X31" s="18"/>
      <c r="Y31" s="69"/>
      <c r="Z31" s="18" t="s">
        <v>936</v>
      </c>
      <c r="AA31" s="132" t="s">
        <v>1695</v>
      </c>
      <c r="AB31" s="132" t="s">
        <v>1696</v>
      </c>
      <c r="AC31" s="18"/>
      <c r="AD31" s="18"/>
      <c r="AE31" s="18"/>
      <c r="AF31" s="18"/>
      <c r="AG31" s="18"/>
      <c r="AH31" s="18"/>
      <c r="AI31" s="18"/>
      <c r="AJ31" s="60" t="s">
        <v>866</v>
      </c>
      <c r="AL31" s="1" t="s">
        <v>53</v>
      </c>
      <c r="AM31" s="1" t="s">
        <v>53</v>
      </c>
      <c r="AN31" s="1" t="s">
        <v>848</v>
      </c>
      <c r="AO31" s="18" t="s">
        <v>934</v>
      </c>
      <c r="AP31" s="1" t="s">
        <v>53</v>
      </c>
      <c r="AS31" s="116" t="b">
        <f t="shared" si="33"/>
        <v>1</v>
      </c>
      <c r="AT31" s="117" t="str">
        <f t="shared" si="34"/>
        <v>title: "Basilica of Our Lady of Graces and St. Maria Goretti"</v>
      </c>
      <c r="AU31" s="117" t="str">
        <f t="shared" si="35"/>
        <v>location: {lat: 41.457154, lng: 12.668148}</v>
      </c>
      <c r="AV31" s="117" t="str">
        <f t="shared" si="36"/>
        <v>interest: regional</v>
      </c>
      <c r="AW31" s="117" t="str">
        <f>"- "&amp;VLOOKUP(C31,'Country Tags'!C:E,3,)</f>
        <v>- it</v>
      </c>
      <c r="AX31" s="117" t="str">
        <f t="shared" si="37"/>
        <v>- nettuno</v>
      </c>
      <c r="AY31" s="117" t="str">
        <f t="shared" si="38"/>
        <v>- churches</v>
      </c>
      <c r="AZ31" s="117" t="str">
        <f t="shared" si="39"/>
        <v>- marian-sites</v>
      </c>
      <c r="BA31" s="117" t="str">
        <f t="shared" si="40"/>
        <v>- holy-persons</v>
      </c>
      <c r="BB31" s="117" t="str">
        <f t="shared" si="41"/>
        <v>- maria-goretti</v>
      </c>
      <c r="BC31" s="117" t="str">
        <f t="shared" si="42"/>
        <v>- our-lady-grace</v>
      </c>
      <c r="BD31" s="117" t="str">
        <f t="shared" si="43"/>
        <v>- our-lady-ipswich</v>
      </c>
      <c r="BE31" s="117" t="str">
        <f t="shared" si="44"/>
        <v/>
      </c>
      <c r="BF31" s="117" t="str">
        <f t="shared" si="45"/>
        <v/>
      </c>
      <c r="BG31" s="117" t="str">
        <f t="shared" si="46"/>
        <v/>
      </c>
      <c r="BH31" s="117" t="str">
        <f t="shared" si="47"/>
        <v/>
      </c>
      <c r="BI31" s="117" t="str">
        <f t="shared" si="48"/>
        <v/>
      </c>
      <c r="BJ31" s="117" t="str">
        <f t="shared" si="49"/>
        <v/>
      </c>
      <c r="BK31" s="117" t="str">
        <f t="shared" si="50"/>
        <v/>
      </c>
      <c r="BL31" s="117" t="str">
        <f t="shared" si="51"/>
        <v xml:space="preserve">tags:
- it_x000D_
- nettuno_x000D_
- churches_x000D_
- marian-sites_x000D_
- holy-persons_x000D_
- maria-goretti_x000D_
- our-lady-grace_x000D_
- our-lady-ipswich_x000D_
</v>
      </c>
      <c r="BM31" s="120" t="str">
        <f t="shared" si="62"/>
        <v>[Official site](http://www.santuarionettuno.it/) - Note: website not active at time of writing</v>
      </c>
      <c r="BN31" s="120" t="str">
        <f t="shared" si="63"/>
        <v>[Official Facebook page](https://www.facebook.com/profile.php?id=100069705631532)</v>
      </c>
      <c r="BO31" s="120" t="str">
        <f t="shared" si="64"/>
        <v/>
      </c>
      <c r="BP31" s="120" t="str">
        <f t="shared" si="65"/>
        <v/>
      </c>
      <c r="BQ31" s="120" t="str">
        <f t="shared" si="52"/>
        <v xml:space="preserve">* [Official site](http://www.santuarionettuno.it/) - Note: website not active at time of writing
* [Official Facebook page](https://www.facebook.com/profile.php?id=100069705631532)
</v>
      </c>
      <c r="BR31" s="120" t="str">
        <f t="shared" si="53"/>
        <v/>
      </c>
      <c r="BS31" s="120" t="str">
        <f t="shared" si="54"/>
        <v>[Link](https://www.miraclehunter.com/marian_apparitions/approved_apparitions/apparitions_1500-1599.html) (Search "Ipswich")</v>
      </c>
      <c r="BT31" s="120" t="str">
        <f t="shared" si="55"/>
        <v/>
      </c>
      <c r="BU31" s="120" t="str">
        <f>IF(LEN(concat(BR31:BT31))&gt;0,concat("| ",BR31," | ",BS31," | ",BT31," |"),"")</f>
        <v>|  | [Link](https://www.miraclehunter.com/marian_apparitions/approved_apparitions/apparitions_1500-1599.html) (Search "Ipswich") |  |</v>
      </c>
      <c r="BV31" s="117" t="str">
        <f t="shared" si="56"/>
        <v xml:space="preserve">| The Real Presence | Miracle Hunter | MaryPages |_x000D_
| --- | --- | --- |_x000D_
|  | [Link](https://www.miraclehunter.com/marian_apparitions/approved_apparitions/apparitions_1500-1599.html) (Search "Ipswich") |  |_x000D_
</v>
      </c>
      <c r="BW31" s="117" t="str">
        <f>IF(LEN(BQ31&amp;BV31)&gt;0,concatll("#### More Information",BQ31,BV31),"")</f>
        <v xml:space="preserve">#### More Information_x000D_
_x000D_
* [Official site](http://www.santuarionettuno.it/) - Note: website not active at time of writing
* [Official Facebook page](https://www.facebook.com/profile.php?id=100069705631532)
_x000D_
_x000D_
| The Real Presence | Miracle Hunter | MaryPages |_x000D_
| --- | --- | --- |_x000D_
|  | [Link](https://www.miraclehunter.com/marian_apparitions/approved_apparitions/apparitions_1500-1599.html) (Search "Ipswich") |  |_x000D_
_x000D_
_x000D_
</v>
      </c>
      <c r="BX31" s="117" t="str">
        <f>IF(LEN(N31)&gt;1,concatll("#### Author's Note",N31,"-"&amp;B31),"")</f>
        <v xml:space="preserve">#### Author's Note_x000D_
_x000D_
On the basilica grounds, to the left of the main nave is a gift shop.  The people there can help you get to St. Maria Goretti's home in La Ferriere.
The statue is credited with at least one historic miracle by St. Thomas More, but details are lacking; Miracle Hunter's page references the associated [Wikipedia article](https://en.wikipedia.org/wiki/Our_Lady_of_Ipswich)._x000D_
_x000D_
-JPY, JMM_x000D_
_x000D_
</v>
      </c>
      <c r="BY31" s="117" t="s">
        <v>53</v>
      </c>
      <c r="BZ31" s="117" t="s">
        <v>53</v>
      </c>
      <c r="CA31" s="6" t="str">
        <f>IF(AS31,concatll(concatl("---",AT31:AV31,BL31,"---"),M31,BW31:BX31),"")</f>
        <v xml:space="preserve">---_x000D_
title: "Basilica of Our Lady of Graces and St. Maria Goretti"_x000D_
location: {lat: 41.457154, lng: 12.668148}_x000D_
interest: regional_x000D_
tags:
- it_x000D_
- nettuno_x000D_
- churches_x000D_
- marian-sites_x000D_
- holy-persons_x000D_
- maria-goretti_x000D_
- our-lady-grace_x000D_
- our-lady-ipswich_x000D_
_x000D_
---_x000D_
_x000D_
_x000D_
In Italian, Santuario di Nostra Signora delle Grazie e Santa Maria Goretti.  The church houses the remains of St. Maria Goretti, and what is believed to be the statue of Our Lady of Grace.
The remains of St. Maria Goretti lie in the crypt beneath the basilica.  The bones are encased in a wax statue; she is not incorrupt.
The church contains a statue called Our Lady of Grace, which may be the original statue from Ipswich.  Our Lady of Ipswich, along with Our Lady of Walsingham, was one of the largest pilgrimage sites in England up until the Reformation.  During this period, Our Lady of Grace may have been smuggled to Italy.  In modern times, the faithful hold a procession with the statue on the first Saturday each May._x000D_
_x000D_
#### More Information_x000D_
_x000D_
* [Official site](http://www.santuarionettuno.it/) - Note: website not active at time of writing
* [Official Facebook page](https://www.facebook.com/profile.php?id=100069705631532)
_x000D_
_x000D_
| The Real Presence | Miracle Hunter | MaryPages |_x000D_
| --- | --- | --- |_x000D_
|  | [Link](https://www.miraclehunter.com/marian_apparitions/approved_apparitions/apparitions_1500-1599.html) (Search "Ipswich") |  |_x000D_
_x000D_
_x000D_
_x000D_
_x000D_
#### Author's Note_x000D_
_x000D_
On the basilica grounds, to the left of the main nave is a gift shop.  The people there can help you get to St. Maria Goretti's home in La Ferriere.
The statue is credited with at least one historic miracle by St. Thomas More, but details are lacking; Miracle Hunter's page references the associated [Wikipedia article](https://en.wikipedia.org/wiki/Our_Lady_of_Ipswich)._x000D_
_x000D_
-JPY, JMM_x000D_
_x000D_
_x000D_
_x000D_
</v>
      </c>
      <c r="CB31" s="6" t="str">
        <f>IF(AS31,"places\"&amp;VLOOKUP(C31,'Country Tags'!C:D,2,)&amp;IF(LEN(D31)&gt;1,"-"&amp;LOWER(SUBSTITUTE(D31," ","-")),"")&amp;"-"&amp;LOWER(SUBSTITUTE(SUBSTITUTE(H31," ","-"),".",""))&amp;".md","")</f>
        <v>places\it-nettuno-basilica-of-our-lady-of-graces.md</v>
      </c>
      <c r="CC31" s="6"/>
      <c r="CD31" s="12" t="e">
        <f>IF(LEN(Z31)&gt;1,VLOOKUP(Z31,#REF!,2,),"")</f>
        <v>#REF!</v>
      </c>
      <c r="CE31" s="12" t="e">
        <f>IF(LEN(AA31)&gt;1,VLOOKUP(AA31,#REF!,2,),"")</f>
        <v>#REF!</v>
      </c>
      <c r="CF31" s="12" t="e">
        <f>IF(LEN(AB31)&gt;1,VLOOKUP(AB31,#REF!,2,),"")</f>
        <v>#REF!</v>
      </c>
      <c r="CG31" s="13" t="e">
        <f>IF(LEN(Z31)&gt;1,GetTagPage(CD31,Z31),"")</f>
        <v>#VALUE!</v>
      </c>
      <c r="CH31" s="13" t="e">
        <f>IF(LEN(AA31)&gt;1,GetTagPage(CE31,AA31),"")</f>
        <v>#VALUE!</v>
      </c>
      <c r="CI31" s="13" t="e">
        <f>IF(LEN(AB31)&gt;1,GetTagPage(CF31,AB31),"")</f>
        <v>#VALUE!</v>
      </c>
      <c r="CJ31" s="13" t="e">
        <f t="shared" si="57"/>
        <v>#VALUE!</v>
      </c>
      <c r="CK31" s="13" t="str">
        <f t="shared" si="58"/>
        <v xml:space="preserve">| [Our Lady of Grace and St. Maria Goretti](/places/places\it-nettuno-basilica-of-our-lady-of-graces) </v>
      </c>
      <c r="CL31" s="13" t="str">
        <f>"| "&amp;IF(AS31,GetTagPage(C31,VLOOKUP(C31,'Country Tags'!C:E,3,)),C31)&amp; " "</f>
        <v xml:space="preserve">| [Italy](/tags/it) </v>
      </c>
      <c r="CM31" s="13" t="str">
        <f t="shared" si="59"/>
        <v xml:space="preserve">|  </v>
      </c>
      <c r="CN31" s="13" t="str">
        <f t="shared" si="60"/>
        <v xml:space="preserve">| [Link](/places/places\it-nettuno-basilica-of-our-lady-of-graces) </v>
      </c>
      <c r="CO31" s="12" t="e">
        <f t="shared" si="61"/>
        <v>#VALUE!</v>
      </c>
    </row>
    <row r="32" spans="1:93" ht="102" x14ac:dyDescent="0.25">
      <c r="A32" s="129" t="s">
        <v>786</v>
      </c>
      <c r="B32" s="130" t="s">
        <v>1654</v>
      </c>
      <c r="C32" s="26" t="s">
        <v>1</v>
      </c>
      <c r="E32" s="1">
        <v>45.6258893442062</v>
      </c>
      <c r="F32" s="30">
        <v>7.9823763846553701</v>
      </c>
      <c r="G32" s="26" t="s">
        <v>944</v>
      </c>
      <c r="H32" s="38" t="s">
        <v>943</v>
      </c>
      <c r="I32" s="26" t="s">
        <v>941</v>
      </c>
      <c r="J32" s="23" t="b">
        <v>1</v>
      </c>
      <c r="K32" s="7" t="b">
        <v>1</v>
      </c>
      <c r="M32" s="26" t="s">
        <v>947</v>
      </c>
      <c r="O32" s="1" t="s">
        <v>945</v>
      </c>
      <c r="P32" s="1" t="s">
        <v>53</v>
      </c>
      <c r="Z32" s="1" t="s">
        <v>946</v>
      </c>
      <c r="AJ32" s="60" t="s">
        <v>943</v>
      </c>
      <c r="AL32" s="1" t="s">
        <v>53</v>
      </c>
      <c r="AM32" s="1" t="s">
        <v>53</v>
      </c>
      <c r="AN32" s="1" t="s">
        <v>53</v>
      </c>
      <c r="AO32" s="1" t="s">
        <v>53</v>
      </c>
      <c r="AP32" s="1" t="s">
        <v>53</v>
      </c>
      <c r="AS32" s="116" t="b">
        <f t="shared" si="33"/>
        <v>1</v>
      </c>
      <c r="AT32" s="117" t="str">
        <f t="shared" si="34"/>
        <v>title: "Sanctuary of Oropa (Black Madonna of Oropa)"</v>
      </c>
      <c r="AU32" s="117" t="str">
        <f t="shared" si="35"/>
        <v>location: {lat: 45.6258893442062, lng: 7.98237638465537}</v>
      </c>
      <c r="AV32" s="117" t="str">
        <f t="shared" si="36"/>
        <v>interest: regional</v>
      </c>
      <c r="AW32" s="117" t="str">
        <f>"- "&amp;VLOOKUP(C32,'Country Tags'!C:E,3,)</f>
        <v>- it</v>
      </c>
      <c r="AX32" s="117" t="str">
        <f t="shared" si="37"/>
        <v/>
      </c>
      <c r="AY32" s="117" t="str">
        <f t="shared" si="38"/>
        <v>- churches</v>
      </c>
      <c r="AZ32" s="117" t="str">
        <f t="shared" si="39"/>
        <v>- marian-sites</v>
      </c>
      <c r="BA32" s="117" t="str">
        <f t="shared" si="40"/>
        <v/>
      </c>
      <c r="BB32" s="117" t="str">
        <f t="shared" si="41"/>
        <v>- pier-giorgio-frassati</v>
      </c>
      <c r="BC32" s="117" t="str">
        <f t="shared" si="42"/>
        <v/>
      </c>
      <c r="BD32" s="117" t="str">
        <f t="shared" si="43"/>
        <v/>
      </c>
      <c r="BE32" s="117" t="str">
        <f t="shared" si="44"/>
        <v/>
      </c>
      <c r="BF32" s="117" t="str">
        <f t="shared" si="45"/>
        <v/>
      </c>
      <c r="BG32" s="117" t="str">
        <f t="shared" si="46"/>
        <v/>
      </c>
      <c r="BH32" s="117" t="str">
        <f t="shared" si="47"/>
        <v/>
      </c>
      <c r="BI32" s="117" t="str">
        <f t="shared" si="48"/>
        <v/>
      </c>
      <c r="BJ32" s="117" t="str">
        <f t="shared" si="49"/>
        <v/>
      </c>
      <c r="BK32" s="117" t="str">
        <f t="shared" si="50"/>
        <v/>
      </c>
      <c r="BL32" s="117" t="str">
        <f t="shared" si="51"/>
        <v xml:space="preserve">tags:
- it_x000D_
- churches_x000D_
- marian-sites_x000D_
- pier-giorgio-frassati_x000D_
</v>
      </c>
      <c r="BM32" s="120" t="str">
        <f t="shared" si="62"/>
        <v>[Official site](https://www.santuariodioropa.it/en/)</v>
      </c>
      <c r="BN32" s="120" t="str">
        <f t="shared" si="63"/>
        <v/>
      </c>
      <c r="BO32" s="120" t="str">
        <f t="shared" si="64"/>
        <v/>
      </c>
      <c r="BP32" s="120" t="str">
        <f t="shared" si="65"/>
        <v/>
      </c>
      <c r="BQ32" s="120" t="str">
        <f t="shared" si="52"/>
        <v xml:space="preserve">* [Official site](https://www.santuariodioropa.it/en/)
</v>
      </c>
      <c r="BR32" s="120" t="str">
        <f t="shared" si="53"/>
        <v/>
      </c>
      <c r="BS32" s="120" t="str">
        <f t="shared" si="54"/>
        <v/>
      </c>
      <c r="BT32" s="120" t="str">
        <f t="shared" si="55"/>
        <v/>
      </c>
      <c r="BU32" s="120" t="str">
        <f>IF(LEN(concat(BR32:BT32))&gt;0,concat("| ",BR32," | ",BS32," | ",BT32," |"),"")</f>
        <v/>
      </c>
      <c r="BV32" s="117" t="str">
        <f t="shared" si="56"/>
        <v xml:space="preserve">| The Real Presence | Miracle Hunter | MaryPages |_x000D_
| --- | --- | --- |_x000D_
</v>
      </c>
      <c r="BW32" s="117" t="str">
        <f>IF(LEN(BQ32&amp;BV32)&gt;0,concatll("#### More Information",BQ32,BV32),"")</f>
        <v xml:space="preserve">#### More Information_x000D_
_x000D_
* [Official site](https://www.santuariodioropa.it/en/)
_x000D_
_x000D_
| The Real Presence | Miracle Hunter | MaryPages |_x000D_
| --- | --- | --- |_x000D_
_x000D_
_x000D_
</v>
      </c>
      <c r="BX32" s="117" t="str">
        <f>IF(LEN(N32)&gt;1,concatll("#### Author's Note",N32,"-"&amp;B32),"")</f>
        <v/>
      </c>
      <c r="BY32" s="117" t="s">
        <v>53</v>
      </c>
      <c r="BZ32" s="117" t="s">
        <v>53</v>
      </c>
      <c r="CA32" s="6" t="str">
        <f>IF(AS32,concatll(concatl("---",AT32:AV32,BL32,"---"),M32,BW32:BX32),"")</f>
        <v xml:space="preserve">---_x000D_
title: "Sanctuary of Oropa (Black Madonna of Oropa)"_x000D_
location: {lat: 45.6258893442062, lng: 7.98237638465537}_x000D_
interest: regional_x000D_
tags:
- it_x000D_
- churches_x000D_
- marian-sites_x000D_
- pier-giorgio-frassati_x000D_
_x000D_
---_x000D_
_x000D_
_x000D_
According to tradition, this statue was brought to Italy from the Holy Land by Bishop Eusebius of Vercelli in the fourth century A.D.
Bl. Pier Giorgio Frassati would also hike in this area.  His family villa was nearby, and he would visit the shrine regularly.
![Santuario di Oropa](https://www.santuariodioropa.it/wp-content/uploads/2022/05/panoramica-oropa-foto-Tracanna-1024x576.jpg)_x000D_
_x000D_
#### More Information_x000D_
_x000D_
* [Official site](https://www.santuariodioropa.it/en/)
_x000D_
_x000D_
| The Real Presence | Miracle Hunter | MaryPages |_x000D_
| --- | --- | --- |_x000D_
_x000D_
_x000D_
_x000D_
_x000D_
</v>
      </c>
      <c r="CB32" s="6" t="str">
        <f>IF(AS32,"places\"&amp;VLOOKUP(C32,'Country Tags'!C:D,2,)&amp;IF(LEN(D32)&gt;1,"-"&amp;LOWER(SUBSTITUTE(D32," ","-")),"")&amp;"-"&amp;LOWER(SUBSTITUTE(SUBSTITUTE(H32," ","-"),".",""))&amp;".md","")</f>
        <v>places\it-sanctuary-of-oropa.md</v>
      </c>
      <c r="CC32" s="6"/>
      <c r="CD32" s="12" t="e">
        <f>IF(LEN(Z32)&gt;1,VLOOKUP(Z32,#REF!,2,),"")</f>
        <v>#REF!</v>
      </c>
      <c r="CE32" s="12" t="str">
        <f>IF(LEN(AA32)&gt;1,VLOOKUP(AA32,#REF!,2,),"")</f>
        <v/>
      </c>
      <c r="CF32" s="12" t="str">
        <f>IF(LEN(AB32)&gt;1,VLOOKUP(AB32,#REF!,2,),"")</f>
        <v/>
      </c>
      <c r="CG32" s="13" t="e">
        <f>IF(LEN(Z32)&gt;1,GetTagPage(CD32,Z32),"")</f>
        <v>#VALUE!</v>
      </c>
      <c r="CH32" s="13" t="str">
        <f>IF(LEN(AA32)&gt;1,GetTagPage(CE32,AA32),"")</f>
        <v/>
      </c>
      <c r="CI32" s="13" t="str">
        <f>IF(LEN(AB32)&gt;1,GetTagPage(CF32,AB32),"")</f>
        <v/>
      </c>
      <c r="CJ32" s="13" t="e">
        <f t="shared" si="57"/>
        <v>#VALUE!</v>
      </c>
      <c r="CK32" s="13" t="str">
        <f t="shared" si="58"/>
        <v xml:space="preserve">| [Sanctuary of Oropa](/places/places\it-sanctuary-of-oropa) </v>
      </c>
      <c r="CL32" s="13" t="str">
        <f>"| "&amp;IF(AS32,GetTagPage(C32,VLOOKUP(C32,'Country Tags'!C:E,3,)),C32)&amp; " "</f>
        <v xml:space="preserve">| [Italy](/tags/it) </v>
      </c>
      <c r="CM32" s="13" t="str">
        <f t="shared" si="59"/>
        <v xml:space="preserve">|  </v>
      </c>
      <c r="CN32" s="13" t="str">
        <f t="shared" si="60"/>
        <v xml:space="preserve">| [Link](/places/places\it-sanctuary-of-oropa) </v>
      </c>
      <c r="CO32" s="12" t="e">
        <f t="shared" si="61"/>
        <v>#VALUE!</v>
      </c>
    </row>
    <row r="33" spans="1:93" ht="38.25" x14ac:dyDescent="0.25">
      <c r="A33" s="129" t="s">
        <v>786</v>
      </c>
      <c r="B33" s="130" t="s">
        <v>1654</v>
      </c>
      <c r="C33" s="55" t="s">
        <v>1</v>
      </c>
      <c r="D33" s="55" t="s">
        <v>1039</v>
      </c>
      <c r="E33" s="1">
        <v>43.650784999999999</v>
      </c>
      <c r="F33" s="30">
        <v>13.047758</v>
      </c>
      <c r="G33" s="55" t="s">
        <v>1040</v>
      </c>
      <c r="H33" s="61" t="s">
        <v>1623</v>
      </c>
      <c r="I33" s="55" t="s">
        <v>1002</v>
      </c>
      <c r="J33" s="7" t="b">
        <v>1</v>
      </c>
      <c r="L33" s="7" t="b">
        <v>1</v>
      </c>
      <c r="M33" s="55" t="s">
        <v>1041</v>
      </c>
      <c r="N33" s="61"/>
      <c r="P33" s="1" t="s">
        <v>53</v>
      </c>
      <c r="Z33" s="62" t="s">
        <v>936</v>
      </c>
      <c r="AA33" s="62"/>
      <c r="AS33" s="116" t="b">
        <f t="shared" si="33"/>
        <v>1</v>
      </c>
      <c r="AT33" s="117" t="str">
        <f t="shared" si="34"/>
        <v>title: "Church of St. Francis, Corinaldo"</v>
      </c>
      <c r="AU33" s="117" t="str">
        <f t="shared" si="35"/>
        <v>location: {lat: 43.650785, lng: 13.047758}</v>
      </c>
      <c r="AV33" s="117" t="str">
        <f t="shared" si="36"/>
        <v>interest: local</v>
      </c>
      <c r="AW33" s="117" t="str">
        <f>"- "&amp;VLOOKUP(C33,'Country Tags'!C:E,3,)</f>
        <v>- it</v>
      </c>
      <c r="AX33" s="117" t="str">
        <f t="shared" si="37"/>
        <v>- corinaldo</v>
      </c>
      <c r="AY33" s="117" t="str">
        <f t="shared" si="38"/>
        <v>- churches</v>
      </c>
      <c r="AZ33" s="117" t="str">
        <f t="shared" si="39"/>
        <v/>
      </c>
      <c r="BA33" s="117" t="str">
        <f t="shared" si="40"/>
        <v>- holy-persons</v>
      </c>
      <c r="BB33" s="117" t="str">
        <f t="shared" si="41"/>
        <v>- maria-goretti</v>
      </c>
      <c r="BC33" s="117" t="str">
        <f t="shared" si="42"/>
        <v/>
      </c>
      <c r="BD33" s="117" t="str">
        <f t="shared" si="43"/>
        <v/>
      </c>
      <c r="BE33" s="117" t="str">
        <f t="shared" si="44"/>
        <v/>
      </c>
      <c r="BF33" s="117" t="str">
        <f t="shared" si="45"/>
        <v/>
      </c>
      <c r="BG33" s="117" t="str">
        <f t="shared" si="46"/>
        <v/>
      </c>
      <c r="BH33" s="117" t="str">
        <f t="shared" si="47"/>
        <v/>
      </c>
      <c r="BI33" s="117" t="str">
        <f t="shared" si="48"/>
        <v/>
      </c>
      <c r="BJ33" s="117" t="str">
        <f t="shared" si="49"/>
        <v/>
      </c>
      <c r="BK33" s="117" t="str">
        <f t="shared" si="50"/>
        <v/>
      </c>
      <c r="BL33" s="117" t="str">
        <f t="shared" si="51"/>
        <v xml:space="preserve">tags:
- it_x000D_
- corinaldo_x000D_
- churches_x000D_
- holy-persons_x000D_
- maria-goretti_x000D_
</v>
      </c>
      <c r="BM33" s="120" t="str">
        <f t="shared" si="62"/>
        <v/>
      </c>
      <c r="BN33" s="120" t="str">
        <f t="shared" si="63"/>
        <v/>
      </c>
      <c r="BO33" s="120" t="str">
        <f t="shared" si="64"/>
        <v/>
      </c>
      <c r="BP33" s="120" t="str">
        <f t="shared" si="65"/>
        <v/>
      </c>
      <c r="BQ33" s="117" t="str">
        <f t="shared" si="52"/>
        <v/>
      </c>
      <c r="BR33" s="117" t="str">
        <f t="shared" si="53"/>
        <v/>
      </c>
      <c r="BS33" s="117" t="str">
        <f t="shared" si="54"/>
        <v/>
      </c>
      <c r="BT33" s="117" t="str">
        <f t="shared" si="55"/>
        <v/>
      </c>
      <c r="BU33" s="117" t="str">
        <f>IF(LEN(concat(BR33:BT33))&gt;0,concat("| ",BR33," | ",BS33," | ",BT33," |"),"")</f>
        <v/>
      </c>
      <c r="BV33" s="117" t="str">
        <f t="shared" si="56"/>
        <v/>
      </c>
      <c r="BW33" s="117" t="str">
        <f>IF(LEN(BQ33&amp;BV33)&gt;0,concatll("#### More Information",BQ33,BV33),"")</f>
        <v/>
      </c>
      <c r="BX33" s="117" t="str">
        <f>IF(LEN(N33)&gt;1,concatll("#### Author's Note",N33,"-"&amp;B33),"")</f>
        <v/>
      </c>
      <c r="BY33" s="117" t="s">
        <v>53</v>
      </c>
      <c r="BZ33" s="117" t="s">
        <v>53</v>
      </c>
      <c r="CA33" s="6" t="str">
        <f>IF(AS33,concatll(concatl("---",AT33:AV33,BL33,"---"),M33,BW33:BX33),"")</f>
        <v xml:space="preserve">---_x000D_
title: "Church of St. Francis, Corinaldo"_x000D_
location: {lat: 43.650785, lng: 13.047758}_x000D_
interest: local_x000D_
tags:
- it_x000D_
- corinaldo_x000D_
- churches_x000D_
- holy-persons_x000D_
- maria-goretti_x000D_
_x000D_
---_x000D_
_x000D_
_x000D_
This was the Gorettis' parish church when they lived in Corinaldo.  Here Luigi and Assunta Goretti were married and St. Maria Goretti baptized.  The font where she was baptized is still preserved in the church._x000D_
_x000D_
</v>
      </c>
      <c r="CB33" s="6" t="str">
        <f>IF(AS33,"places\"&amp;VLOOKUP(C33,'Country Tags'!C:D,2,)&amp;IF(LEN(D33)&gt;1,"-"&amp;LOWER(SUBSTITUTE(D33," ","-")),"")&amp;"-"&amp;LOWER(SUBSTITUTE(SUBSTITUTE(H33," ","-"),".",""))&amp;".md","")</f>
        <v>places\it-corinaldo-church-of-st-francis.md</v>
      </c>
      <c r="CC33" s="6"/>
      <c r="CD33" s="12" t="e">
        <f>IF(LEN(Z33)&gt;1,VLOOKUP(Z33,#REF!,2,),"")</f>
        <v>#REF!</v>
      </c>
      <c r="CE33" s="12" t="str">
        <f>IF(LEN(AA33)&gt;1,VLOOKUP(AA33,#REF!,2,),"")</f>
        <v/>
      </c>
      <c r="CF33" s="12" t="str">
        <f>IF(LEN(AB33)&gt;1,VLOOKUP(AB33,#REF!,2,),"")</f>
        <v/>
      </c>
      <c r="CG33" s="12" t="e">
        <f>IF(LEN(Z33)&gt;1,GetTagPage(CD33,Z33),"")</f>
        <v>#VALUE!</v>
      </c>
      <c r="CH33" s="12" t="str">
        <f>IF(LEN(AA33)&gt;1,GetTagPage(CE33,AA33),"")</f>
        <v/>
      </c>
      <c r="CI33" s="12" t="str">
        <f>IF(LEN(AB33)&gt;1,GetTagPage(CF33,AB33),"")</f>
        <v/>
      </c>
      <c r="CJ33" s="12" t="e">
        <f t="shared" si="57"/>
        <v>#VALUE!</v>
      </c>
      <c r="CK33" s="12" t="str">
        <f t="shared" si="58"/>
        <v xml:space="preserve">| [](/places/places\it-corinaldo-church-of-st-francis) </v>
      </c>
      <c r="CL33" s="13" t="str">
        <f>"| "&amp;IF(AS33,GetTagPage(C33,VLOOKUP(C33,'Country Tags'!C:E,3,)),C33)&amp; " "</f>
        <v xml:space="preserve">| [Italy](/tags/it) </v>
      </c>
      <c r="CM33" s="12" t="str">
        <f t="shared" si="59"/>
        <v xml:space="preserve">|  </v>
      </c>
      <c r="CN33" s="12" t="str">
        <f t="shared" si="60"/>
        <v xml:space="preserve">| [Link](/places/places\it-corinaldo-church-of-st-francis) </v>
      </c>
      <c r="CO33" s="12" t="e">
        <f t="shared" si="61"/>
        <v>#VALUE!</v>
      </c>
    </row>
    <row r="34" spans="1:93" x14ac:dyDescent="0.25">
      <c r="A34" s="129" t="s">
        <v>786</v>
      </c>
      <c r="B34" s="7" t="s">
        <v>1654</v>
      </c>
      <c r="C34" s="7" t="s">
        <v>1</v>
      </c>
      <c r="D34" s="7" t="s">
        <v>1039</v>
      </c>
      <c r="E34" s="1">
        <v>43.659849000000001</v>
      </c>
      <c r="F34" s="30">
        <v>13.051119999999999</v>
      </c>
      <c r="G34" s="7" t="s">
        <v>1042</v>
      </c>
      <c r="H34" s="61" t="s">
        <v>1042</v>
      </c>
      <c r="I34" s="55" t="s">
        <v>1002</v>
      </c>
      <c r="L34" s="7" t="b">
        <v>1</v>
      </c>
      <c r="M34" s="55" t="s">
        <v>1043</v>
      </c>
      <c r="P34" s="1" t="s">
        <v>53</v>
      </c>
      <c r="Z34" s="1" t="s">
        <v>936</v>
      </c>
      <c r="AS34" s="116" t="b">
        <f t="shared" si="33"/>
        <v>1</v>
      </c>
      <c r="AT34" s="117" t="str">
        <f t="shared" si="34"/>
        <v>title: "Birthplace of St. Maria Goretti"</v>
      </c>
      <c r="AU34" s="117" t="str">
        <f t="shared" si="35"/>
        <v>location: {lat: 43.659849, lng: 13.05112}</v>
      </c>
      <c r="AV34" s="117" t="str">
        <f t="shared" si="36"/>
        <v>interest: local</v>
      </c>
      <c r="AW34" s="117" t="str">
        <f>"- "&amp;VLOOKUP(C34,'Country Tags'!C:E,3,)</f>
        <v>- it</v>
      </c>
      <c r="AX34" s="117" t="str">
        <f t="shared" si="37"/>
        <v>- corinaldo</v>
      </c>
      <c r="AY34" s="117" t="str">
        <f t="shared" si="38"/>
        <v/>
      </c>
      <c r="AZ34" s="117" t="str">
        <f t="shared" si="39"/>
        <v/>
      </c>
      <c r="BA34" s="117" t="str">
        <f t="shared" si="40"/>
        <v>- holy-persons</v>
      </c>
      <c r="BB34" s="117" t="str">
        <f t="shared" si="41"/>
        <v>- maria-goretti</v>
      </c>
      <c r="BC34" s="117" t="str">
        <f t="shared" si="42"/>
        <v/>
      </c>
      <c r="BD34" s="117" t="str">
        <f t="shared" si="43"/>
        <v/>
      </c>
      <c r="BE34" s="117" t="str">
        <f t="shared" si="44"/>
        <v/>
      </c>
      <c r="BF34" s="117" t="str">
        <f t="shared" si="45"/>
        <v/>
      </c>
      <c r="BG34" s="117" t="str">
        <f t="shared" si="46"/>
        <v/>
      </c>
      <c r="BH34" s="117" t="str">
        <f t="shared" si="47"/>
        <v/>
      </c>
      <c r="BI34" s="117" t="str">
        <f t="shared" si="48"/>
        <v/>
      </c>
      <c r="BJ34" s="117" t="str">
        <f t="shared" si="49"/>
        <v/>
      </c>
      <c r="BK34" s="117" t="str">
        <f t="shared" si="50"/>
        <v/>
      </c>
      <c r="BL34" s="117" t="str">
        <f t="shared" si="51"/>
        <v xml:space="preserve">tags:
- it_x000D_
- corinaldo_x000D_
- holy-persons_x000D_
- maria-goretti_x000D_
</v>
      </c>
      <c r="BM34" s="120" t="str">
        <f t="shared" si="62"/>
        <v/>
      </c>
      <c r="BN34" s="120" t="str">
        <f t="shared" si="63"/>
        <v/>
      </c>
      <c r="BO34" s="120" t="str">
        <f t="shared" si="64"/>
        <v/>
      </c>
      <c r="BP34" s="120" t="str">
        <f t="shared" si="65"/>
        <v/>
      </c>
      <c r="BQ34" s="117" t="str">
        <f t="shared" si="52"/>
        <v/>
      </c>
      <c r="BR34" s="117" t="str">
        <f t="shared" si="53"/>
        <v/>
      </c>
      <c r="BS34" s="117" t="str">
        <f t="shared" si="54"/>
        <v/>
      </c>
      <c r="BT34" s="117" t="str">
        <f t="shared" si="55"/>
        <v/>
      </c>
      <c r="BU34" s="117" t="str">
        <f>IF(LEN(concat(BR34:BT34))&gt;0,concat("| ",BR34," | ",BS34," | ",BT34," |"),"")</f>
        <v/>
      </c>
      <c r="BV34" s="117" t="str">
        <f t="shared" si="56"/>
        <v/>
      </c>
      <c r="BW34" s="117" t="str">
        <f>IF(LEN(BQ34&amp;BV34)&gt;0,concatll("#### More Information",BQ34,BV34),"")</f>
        <v/>
      </c>
      <c r="BX34" s="117" t="str">
        <f>IF(LEN(N34)&gt;1,concatll("#### Author's Note",N34,"-"&amp;B34),"")</f>
        <v/>
      </c>
      <c r="BY34" s="117" t="s">
        <v>53</v>
      </c>
      <c r="BZ34" s="117" t="s">
        <v>53</v>
      </c>
      <c r="CA34" s="6" t="str">
        <f>IF(AS34,concatll(concatl("---",AT34:AV34,BL34,"---"),M34,BW34:BX34),"")</f>
        <v xml:space="preserve">---_x000D_
title: "Birthplace of St. Maria Goretti"_x000D_
location: {lat: 43.659849, lng: 13.05112}_x000D_
interest: local_x000D_
tags:
- it_x000D_
- corinaldo_x000D_
- holy-persons_x000D_
- maria-goretti_x000D_
_x000D_
---_x000D_
_x000D_
_x000D_
Here St. Maria Goretti was born on October 16, 1890._x000D_
_x000D_
</v>
      </c>
      <c r="CB34" s="6" t="str">
        <f>IF(AS34,"places\"&amp;VLOOKUP(C34,'Country Tags'!C:D,2,)&amp;IF(LEN(D34)&gt;1,"-"&amp;LOWER(SUBSTITUTE(D34," ","-")),"")&amp;"-"&amp;LOWER(SUBSTITUTE(SUBSTITUTE(H34," ","-"),".",""))&amp;".md","")</f>
        <v>places\it-corinaldo-birthplace-of-st-maria-goretti.md</v>
      </c>
      <c r="CC34" s="6"/>
      <c r="CD34" s="12" t="e">
        <f>IF(LEN(Z34)&gt;1,VLOOKUP(Z34,#REF!,2,),"")</f>
        <v>#REF!</v>
      </c>
      <c r="CE34" s="12" t="str">
        <f>IF(LEN(AA34)&gt;1,VLOOKUP(AA34,#REF!,2,),"")</f>
        <v/>
      </c>
      <c r="CF34" s="12" t="str">
        <f>IF(LEN(AB34)&gt;1,VLOOKUP(AB34,#REF!,2,),"")</f>
        <v/>
      </c>
      <c r="CG34" s="12" t="e">
        <f>IF(LEN(Z34)&gt;1,GetTagPage(CD34,Z34),"")</f>
        <v>#VALUE!</v>
      </c>
      <c r="CH34" s="12" t="str">
        <f>IF(LEN(AA34)&gt;1,GetTagPage(CE34,AA34),"")</f>
        <v/>
      </c>
      <c r="CI34" s="12" t="str">
        <f>IF(LEN(AB34)&gt;1,GetTagPage(CF34,AB34),"")</f>
        <v/>
      </c>
      <c r="CJ34" s="12" t="e">
        <f t="shared" si="57"/>
        <v>#VALUE!</v>
      </c>
      <c r="CK34" s="12" t="str">
        <f t="shared" si="58"/>
        <v xml:space="preserve">| [](/places/places\it-corinaldo-birthplace-of-st-maria-goretti) </v>
      </c>
      <c r="CL34" s="13" t="str">
        <f>"| "&amp;IF(AS34,GetTagPage(C34,VLOOKUP(C34,'Country Tags'!C:E,3,)),C34)&amp; " "</f>
        <v xml:space="preserve">| [Italy](/tags/it) </v>
      </c>
      <c r="CM34" s="12" t="str">
        <f t="shared" si="59"/>
        <v xml:space="preserve">|  </v>
      </c>
      <c r="CN34" s="12" t="str">
        <f t="shared" si="60"/>
        <v xml:space="preserve">| [Link](/places/places\it-corinaldo-birthplace-of-st-maria-goretti) </v>
      </c>
      <c r="CO34" s="12" t="e">
        <f t="shared" si="61"/>
        <v>#VALUE!</v>
      </c>
    </row>
    <row r="35" spans="1:93" ht="38.25" x14ac:dyDescent="0.25">
      <c r="A35" s="129" t="s">
        <v>786</v>
      </c>
      <c r="B35" s="7" t="s">
        <v>1654</v>
      </c>
      <c r="C35" s="7" t="s">
        <v>1</v>
      </c>
      <c r="D35" s="7" t="s">
        <v>1039</v>
      </c>
      <c r="E35" s="1">
        <v>43.649306500000002</v>
      </c>
      <c r="F35" s="30">
        <v>13.0472097</v>
      </c>
      <c r="G35" s="55" t="s">
        <v>1045</v>
      </c>
      <c r="H35" s="61" t="s">
        <v>1624</v>
      </c>
      <c r="I35" s="55" t="s">
        <v>941</v>
      </c>
      <c r="J35" s="7" t="b">
        <v>1</v>
      </c>
      <c r="L35" s="7" t="b">
        <v>1</v>
      </c>
      <c r="M35" s="55" t="s">
        <v>1046</v>
      </c>
      <c r="O35" s="1" t="s">
        <v>1044</v>
      </c>
      <c r="P35" s="1" t="s">
        <v>53</v>
      </c>
      <c r="Z35" s="1" t="s">
        <v>936</v>
      </c>
      <c r="AS35" s="116" t="b">
        <f t="shared" si="33"/>
        <v>1</v>
      </c>
      <c r="AT35" s="117" t="str">
        <f t="shared" si="34"/>
        <v>title: "Diocesan Sanctuary of St. Maria Goretti"</v>
      </c>
      <c r="AU35" s="117" t="str">
        <f t="shared" si="35"/>
        <v>location: {lat: 43.6493065, lng: 13.0472097}</v>
      </c>
      <c r="AV35" s="117" t="str">
        <f t="shared" si="36"/>
        <v>interest: regional</v>
      </c>
      <c r="AW35" s="117" t="str">
        <f>"- "&amp;VLOOKUP(C35,'Country Tags'!C:E,3,)</f>
        <v>- it</v>
      </c>
      <c r="AX35" s="117" t="str">
        <f t="shared" si="37"/>
        <v>- corinaldo</v>
      </c>
      <c r="AY35" s="117" t="str">
        <f t="shared" si="38"/>
        <v>- churches</v>
      </c>
      <c r="AZ35" s="117" t="str">
        <f t="shared" si="39"/>
        <v/>
      </c>
      <c r="BA35" s="117" t="str">
        <f t="shared" si="40"/>
        <v>- holy-persons</v>
      </c>
      <c r="BB35" s="117" t="str">
        <f t="shared" si="41"/>
        <v>- maria-goretti</v>
      </c>
      <c r="BC35" s="117" t="str">
        <f t="shared" si="42"/>
        <v/>
      </c>
      <c r="BD35" s="117" t="str">
        <f t="shared" si="43"/>
        <v/>
      </c>
      <c r="BE35" s="117" t="str">
        <f t="shared" si="44"/>
        <v/>
      </c>
      <c r="BF35" s="117" t="str">
        <f t="shared" si="45"/>
        <v/>
      </c>
      <c r="BG35" s="117" t="str">
        <f t="shared" si="46"/>
        <v/>
      </c>
      <c r="BH35" s="117" t="str">
        <f t="shared" si="47"/>
        <v/>
      </c>
      <c r="BI35" s="117" t="str">
        <f t="shared" si="48"/>
        <v/>
      </c>
      <c r="BJ35" s="117" t="str">
        <f t="shared" si="49"/>
        <v/>
      </c>
      <c r="BK35" s="117" t="str">
        <f t="shared" si="50"/>
        <v/>
      </c>
      <c r="BL35" s="117" t="str">
        <f t="shared" si="51"/>
        <v xml:space="preserve">tags:
- it_x000D_
- corinaldo_x000D_
- churches_x000D_
- holy-persons_x000D_
- maria-goretti_x000D_
</v>
      </c>
      <c r="BM35" s="120" t="str">
        <f t="shared" si="62"/>
        <v>[Official site](https://www.santamariagoretti.it/home/)</v>
      </c>
      <c r="BN35" s="120" t="str">
        <f t="shared" si="63"/>
        <v/>
      </c>
      <c r="BO35" s="120" t="str">
        <f t="shared" si="64"/>
        <v/>
      </c>
      <c r="BP35" s="120" t="str">
        <f t="shared" si="65"/>
        <v/>
      </c>
      <c r="BQ35" s="117" t="str">
        <f t="shared" si="52"/>
        <v xml:space="preserve">* [Official site](https://www.santamariagoretti.it/home/)
</v>
      </c>
      <c r="BR35" s="117" t="str">
        <f t="shared" si="53"/>
        <v/>
      </c>
      <c r="BS35" s="117" t="str">
        <f t="shared" si="54"/>
        <v/>
      </c>
      <c r="BT35" s="117" t="str">
        <f t="shared" si="55"/>
        <v/>
      </c>
      <c r="BU35" s="117" t="str">
        <f>IF(LEN(concat(BR35:BT35))&gt;0,concat("| ",BR35," | ",BS35," | ",BT35," |"),"")</f>
        <v/>
      </c>
      <c r="BV35" s="117" t="str">
        <f t="shared" si="56"/>
        <v/>
      </c>
      <c r="BW35" s="117" t="str">
        <f>IF(LEN(BQ35&amp;BV35)&gt;0,concatll("#### More Information",BQ35,BV35),"")</f>
        <v xml:space="preserve">#### More Information_x000D_
_x000D_
* [Official site](https://www.santamariagoretti.it/home/)
_x000D_
_x000D_
</v>
      </c>
      <c r="BX35" s="117" t="str">
        <f>IF(LEN(N35)&gt;1,concatll("#### Author's Note",N35,"-"&amp;B35),"")</f>
        <v/>
      </c>
      <c r="BY35" s="117" t="s">
        <v>53</v>
      </c>
      <c r="BZ35" s="117" t="s">
        <v>53</v>
      </c>
      <c r="CA35" s="6" t="str">
        <f>IF(AS35,concatll(concatl("---",AT35:AV35,BL35,"---"),M35,BW35:BX35),"")</f>
        <v xml:space="preserve">---_x000D_
title: "Diocesan Sanctuary of St. Maria Goretti"_x000D_
location: {lat: 43.6493065, lng: 13.0472097}_x000D_
interest: regional_x000D_
tags:
- it_x000D_
- corinaldo_x000D_
- churches_x000D_
- holy-persons_x000D_
- maria-goretti_x000D_
_x000D_
---_x000D_
_x000D_
_x000D_
This church is the final resting place for St. Maria Goretti's mother, Assunta, and her repentant murderer, Alessandro Serenelli.  There is also a relic of Maria's arm here._x000D_
_x000D_
#### More Information_x000D_
_x000D_
* [Official site](https://www.santamariagoretti.it/home/)
_x000D_
_x000D_
_x000D_
_x000D_
</v>
      </c>
      <c r="CB35" s="6" t="str">
        <f>IF(AS35,"places\"&amp;VLOOKUP(C35,'Country Tags'!C:D,2,)&amp;IF(LEN(D35)&gt;1,"-"&amp;LOWER(SUBSTITUTE(D35," ","-")),"")&amp;"-"&amp;LOWER(SUBSTITUTE(SUBSTITUTE(H35," ","-"),".",""))&amp;".md","")</f>
        <v>places\it-corinaldo-sanctuary-of-st-maria-goretti.md</v>
      </c>
      <c r="CC35" s="6"/>
      <c r="CD35" s="12" t="e">
        <f>IF(LEN(Z35)&gt;1,VLOOKUP(Z35,#REF!,2,),"")</f>
        <v>#REF!</v>
      </c>
      <c r="CE35" s="12" t="str">
        <f>IF(LEN(AA35)&gt;1,VLOOKUP(AA35,#REF!,2,),"")</f>
        <v/>
      </c>
      <c r="CF35" s="12" t="str">
        <f>IF(LEN(AB35)&gt;1,VLOOKUP(AB35,#REF!,2,),"")</f>
        <v/>
      </c>
      <c r="CG35" s="12" t="e">
        <f>IF(LEN(Z35)&gt;1,GetTagPage(CD35,Z35),"")</f>
        <v>#VALUE!</v>
      </c>
      <c r="CH35" s="12" t="str">
        <f>IF(LEN(AA35)&gt;1,GetTagPage(CE35,AA35),"")</f>
        <v/>
      </c>
      <c r="CI35" s="12" t="str">
        <f>IF(LEN(AB35)&gt;1,GetTagPage(CF35,AB35),"")</f>
        <v/>
      </c>
      <c r="CJ35" s="12" t="e">
        <f t="shared" si="57"/>
        <v>#VALUE!</v>
      </c>
      <c r="CK35" s="12" t="str">
        <f t="shared" si="58"/>
        <v xml:space="preserve">| [](/places/places\it-corinaldo-sanctuary-of-st-maria-goretti) </v>
      </c>
      <c r="CL35" s="13" t="str">
        <f>"| "&amp;IF(AS35,GetTagPage(C35,VLOOKUP(C35,'Country Tags'!C:E,3,)),C35)&amp; " "</f>
        <v xml:space="preserve">| [Italy](/tags/it) </v>
      </c>
      <c r="CM35" s="12" t="str">
        <f t="shared" si="59"/>
        <v xml:space="preserve">|  </v>
      </c>
      <c r="CN35" s="12" t="str">
        <f t="shared" si="60"/>
        <v xml:space="preserve">| [Link](/places/places\it-corinaldo-sanctuary-of-st-maria-goretti) </v>
      </c>
      <c r="CO35" s="12" t="e">
        <f t="shared" si="61"/>
        <v>#VALUE!</v>
      </c>
    </row>
    <row r="36" spans="1:93" ht="38.25" x14ac:dyDescent="0.25">
      <c r="A36" s="129" t="s">
        <v>786</v>
      </c>
      <c r="B36" s="55" t="s">
        <v>1654</v>
      </c>
      <c r="C36" s="55" t="s">
        <v>1</v>
      </c>
      <c r="D36" s="55" t="s">
        <v>1047</v>
      </c>
      <c r="E36" s="1">
        <v>41.516100799999997</v>
      </c>
      <c r="F36" s="30">
        <v>12.7567</v>
      </c>
      <c r="G36" s="55" t="s">
        <v>1048</v>
      </c>
      <c r="H36" s="33" t="s">
        <v>1048</v>
      </c>
      <c r="I36" s="55" t="s">
        <v>941</v>
      </c>
      <c r="L36" s="7" t="b">
        <v>1</v>
      </c>
      <c r="M36" s="55" t="s">
        <v>1049</v>
      </c>
      <c r="P36" s="1" t="s">
        <v>53</v>
      </c>
      <c r="Z36" s="1" t="s">
        <v>936</v>
      </c>
      <c r="AS36" s="116" t="b">
        <f t="shared" si="33"/>
        <v>1</v>
      </c>
      <c r="AT36" s="117" t="str">
        <f t="shared" si="34"/>
        <v>title: "Goretti House"</v>
      </c>
      <c r="AU36" s="117" t="str">
        <f t="shared" si="35"/>
        <v>location: {lat: 41.5161008, lng: 12.7567}</v>
      </c>
      <c r="AV36" s="117" t="str">
        <f t="shared" si="36"/>
        <v>interest: regional</v>
      </c>
      <c r="AW36" s="117" t="str">
        <f>"- "&amp;VLOOKUP(C36,'Country Tags'!C:E,3,)</f>
        <v>- it</v>
      </c>
      <c r="AX36" s="117" t="str">
        <f t="shared" si="37"/>
        <v>- la-ferriere</v>
      </c>
      <c r="AY36" s="117" t="str">
        <f t="shared" si="38"/>
        <v/>
      </c>
      <c r="AZ36" s="117" t="str">
        <f t="shared" si="39"/>
        <v/>
      </c>
      <c r="BA36" s="117" t="str">
        <f t="shared" si="40"/>
        <v>- holy-persons</v>
      </c>
      <c r="BB36" s="117" t="str">
        <f t="shared" si="41"/>
        <v>- maria-goretti</v>
      </c>
      <c r="BC36" s="117" t="str">
        <f t="shared" si="42"/>
        <v/>
      </c>
      <c r="BD36" s="117" t="str">
        <f t="shared" si="43"/>
        <v/>
      </c>
      <c r="BE36" s="117" t="str">
        <f t="shared" si="44"/>
        <v/>
      </c>
      <c r="BF36" s="117" t="str">
        <f t="shared" si="45"/>
        <v/>
      </c>
      <c r="BG36" s="117" t="str">
        <f t="shared" si="46"/>
        <v/>
      </c>
      <c r="BH36" s="117" t="str">
        <f t="shared" si="47"/>
        <v/>
      </c>
      <c r="BI36" s="117" t="str">
        <f t="shared" si="48"/>
        <v/>
      </c>
      <c r="BJ36" s="117" t="str">
        <f t="shared" si="49"/>
        <v/>
      </c>
      <c r="BK36" s="117" t="str">
        <f t="shared" si="50"/>
        <v/>
      </c>
      <c r="BL36" s="117" t="str">
        <f t="shared" si="51"/>
        <v xml:space="preserve">tags:
- it_x000D_
- la-ferriere_x000D_
- holy-persons_x000D_
- maria-goretti_x000D_
</v>
      </c>
      <c r="BM36" s="120" t="str">
        <f t="shared" si="62"/>
        <v/>
      </c>
      <c r="BN36" s="120" t="str">
        <f t="shared" si="63"/>
        <v/>
      </c>
      <c r="BO36" s="120" t="str">
        <f t="shared" si="64"/>
        <v/>
      </c>
      <c r="BP36" s="120" t="str">
        <f t="shared" si="65"/>
        <v/>
      </c>
      <c r="BQ36" s="117" t="str">
        <f t="shared" si="52"/>
        <v/>
      </c>
      <c r="BR36" s="117" t="str">
        <f t="shared" si="53"/>
        <v/>
      </c>
      <c r="BS36" s="117" t="str">
        <f t="shared" si="54"/>
        <v/>
      </c>
      <c r="BT36" s="117" t="str">
        <f t="shared" si="55"/>
        <v/>
      </c>
      <c r="BU36" s="117" t="str">
        <f>IF(LEN(concat(BR36:BT36))&gt;0,concat("| ",BR36," | ",BS36," | ",BT36," |"),"")</f>
        <v/>
      </c>
      <c r="BV36" s="117" t="str">
        <f t="shared" si="56"/>
        <v/>
      </c>
      <c r="BW36" s="117" t="str">
        <f>IF(LEN(BQ36&amp;BV36)&gt;0,concatll("#### More Information",BQ36,BV36),"")</f>
        <v/>
      </c>
      <c r="BX36" s="117" t="str">
        <f>IF(LEN(N36)&gt;1,concatll("#### Author's Note",N36,"-"&amp;B36),"")</f>
        <v/>
      </c>
      <c r="BY36" s="117" t="s">
        <v>53</v>
      </c>
      <c r="BZ36" s="117" t="s">
        <v>53</v>
      </c>
      <c r="CA36" s="6" t="str">
        <f>IF(AS36,concatll(concatl("---",AT36:AV36,BL36,"---"),M36,BW36:BX36),"")</f>
        <v xml:space="preserve">---_x000D_
title: "Goretti House"_x000D_
location: {lat: 41.5161008, lng: 12.7567}_x000D_
interest: regional_x000D_
tags:
- it_x000D_
- la-ferriere_x000D_
- holy-persons_x000D_
- maria-goretti_x000D_
_x000D_
---_x000D_
_x000D_
_x000D_
Here St. Maria Goretti lived with her family and where she was martyred, stabbed by Alessandro Serenelli.  She died the next day in a hospital in Nettuno.  Today it is a museum._x000D_
_x000D_
</v>
      </c>
      <c r="CB36" s="6" t="str">
        <f>IF(AS36,"places\"&amp;VLOOKUP(C36,'Country Tags'!C:D,2,)&amp;IF(LEN(D36)&gt;1,"-"&amp;LOWER(SUBSTITUTE(D36," ","-")),"")&amp;"-"&amp;LOWER(SUBSTITUTE(SUBSTITUTE(H36," ","-"),".",""))&amp;".md","")</f>
        <v>places\it-la-ferriere-goretti-house.md</v>
      </c>
      <c r="CC36" s="6"/>
      <c r="CD36" s="12" t="e">
        <f>IF(LEN(Z36)&gt;1,VLOOKUP(Z36,#REF!,2,),"")</f>
        <v>#REF!</v>
      </c>
      <c r="CE36" s="12" t="str">
        <f>IF(LEN(AA36)&gt;1,VLOOKUP(AA36,#REF!,2,),"")</f>
        <v/>
      </c>
      <c r="CF36" s="12" t="str">
        <f>IF(LEN(AB36)&gt;1,VLOOKUP(AB36,#REF!,2,),"")</f>
        <v/>
      </c>
      <c r="CG36" s="12" t="e">
        <f>IF(LEN(Z36)&gt;1,GetTagPage(CD36,Z36),"")</f>
        <v>#VALUE!</v>
      </c>
      <c r="CH36" s="12" t="str">
        <f>IF(LEN(AA36)&gt;1,GetTagPage(CE36,AA36),"")</f>
        <v/>
      </c>
      <c r="CI36" s="12" t="str">
        <f>IF(LEN(AB36)&gt;1,GetTagPage(CF36,AB36),"")</f>
        <v/>
      </c>
      <c r="CJ36" s="12" t="e">
        <f t="shared" si="57"/>
        <v>#VALUE!</v>
      </c>
      <c r="CK36" s="12" t="str">
        <f t="shared" si="58"/>
        <v xml:space="preserve">| [](/places/places\it-la-ferriere-goretti-house) </v>
      </c>
      <c r="CL36" s="13" t="str">
        <f>"| "&amp;IF(AS36,GetTagPage(C36,VLOOKUP(C36,'Country Tags'!C:E,3,)),C36)&amp; " "</f>
        <v xml:space="preserve">| [Italy](/tags/it) </v>
      </c>
      <c r="CM36" s="12" t="str">
        <f t="shared" si="59"/>
        <v xml:space="preserve">|  </v>
      </c>
      <c r="CN36" s="12" t="str">
        <f t="shared" si="60"/>
        <v xml:space="preserve">| [Link](/places/places\it-la-ferriere-goretti-house) </v>
      </c>
      <c r="CO36" s="12" t="e">
        <f t="shared" si="61"/>
        <v>#VALUE!</v>
      </c>
    </row>
    <row r="37" spans="1:93" x14ac:dyDescent="0.25">
      <c r="A37" s="129" t="s">
        <v>786</v>
      </c>
      <c r="B37" s="55" t="s">
        <v>1654</v>
      </c>
      <c r="C37" s="55" t="s">
        <v>1</v>
      </c>
      <c r="D37" s="55" t="s">
        <v>1050</v>
      </c>
      <c r="E37" s="1">
        <v>41.457250000000002</v>
      </c>
      <c r="F37" s="30">
        <v>12.655849999999999</v>
      </c>
      <c r="G37" s="55" t="s">
        <v>1051</v>
      </c>
      <c r="H37" s="61" t="s">
        <v>1051</v>
      </c>
      <c r="I37" s="55" t="s">
        <v>1002</v>
      </c>
      <c r="L37" s="7" t="b">
        <v>1</v>
      </c>
      <c r="M37" s="7" t="s">
        <v>1054</v>
      </c>
      <c r="P37" s="1" t="s">
        <v>53</v>
      </c>
      <c r="Z37" s="1" t="s">
        <v>936</v>
      </c>
      <c r="AS37" s="116" t="b">
        <f t="shared" si="33"/>
        <v>1</v>
      </c>
      <c r="AT37" s="117" t="str">
        <f t="shared" si="34"/>
        <v>title: "Statue of St. Maria Goretti"</v>
      </c>
      <c r="AU37" s="117" t="str">
        <f t="shared" si="35"/>
        <v>location: {lat: 41.45725, lng: 12.65585}</v>
      </c>
      <c r="AV37" s="117" t="str">
        <f t="shared" si="36"/>
        <v>interest: local</v>
      </c>
      <c r="AW37" s="117" t="str">
        <f>"- "&amp;VLOOKUP(C37,'Country Tags'!C:E,3,)</f>
        <v>- it</v>
      </c>
      <c r="AX37" s="117" t="str">
        <f t="shared" si="37"/>
        <v>- nettuno</v>
      </c>
      <c r="AY37" s="117" t="str">
        <f t="shared" si="38"/>
        <v/>
      </c>
      <c r="AZ37" s="117" t="str">
        <f t="shared" si="39"/>
        <v/>
      </c>
      <c r="BA37" s="117" t="str">
        <f t="shared" si="40"/>
        <v>- holy-persons</v>
      </c>
      <c r="BB37" s="117" t="str">
        <f t="shared" si="41"/>
        <v>- maria-goretti</v>
      </c>
      <c r="BC37" s="117" t="str">
        <f t="shared" si="42"/>
        <v/>
      </c>
      <c r="BD37" s="117" t="str">
        <f t="shared" si="43"/>
        <v/>
      </c>
      <c r="BE37" s="117" t="str">
        <f t="shared" si="44"/>
        <v/>
      </c>
      <c r="BF37" s="117" t="str">
        <f t="shared" si="45"/>
        <v/>
      </c>
      <c r="BG37" s="117" t="str">
        <f t="shared" si="46"/>
        <v/>
      </c>
      <c r="BH37" s="117" t="str">
        <f t="shared" si="47"/>
        <v/>
      </c>
      <c r="BI37" s="117" t="str">
        <f t="shared" si="48"/>
        <v/>
      </c>
      <c r="BJ37" s="117" t="str">
        <f t="shared" si="49"/>
        <v/>
      </c>
      <c r="BK37" s="117" t="str">
        <f t="shared" si="50"/>
        <v/>
      </c>
      <c r="BL37" s="117" t="str">
        <f t="shared" si="51"/>
        <v xml:space="preserve">tags:
- it_x000D_
- nettuno_x000D_
- holy-persons_x000D_
- maria-goretti_x000D_
</v>
      </c>
      <c r="BM37" s="120" t="str">
        <f t="shared" si="62"/>
        <v/>
      </c>
      <c r="BN37" s="120" t="str">
        <f t="shared" si="63"/>
        <v/>
      </c>
      <c r="BO37" s="120" t="str">
        <f t="shared" si="64"/>
        <v/>
      </c>
      <c r="BP37" s="120" t="str">
        <f t="shared" si="65"/>
        <v/>
      </c>
      <c r="BQ37" s="117" t="str">
        <f t="shared" si="52"/>
        <v/>
      </c>
      <c r="BR37" s="117" t="str">
        <f t="shared" si="53"/>
        <v/>
      </c>
      <c r="BS37" s="117" t="str">
        <f t="shared" si="54"/>
        <v/>
      </c>
      <c r="BT37" s="117" t="str">
        <f t="shared" si="55"/>
        <v/>
      </c>
      <c r="BU37" s="117" t="str">
        <f>IF(LEN(concat(BR37:BT37))&gt;0,concat("| ",BR37," | ",BS37," | ",BT37," |"),"")</f>
        <v/>
      </c>
      <c r="BV37" s="117" t="str">
        <f t="shared" si="56"/>
        <v/>
      </c>
      <c r="BW37" s="117" t="str">
        <f>IF(LEN(BQ37&amp;BV37)&gt;0,concatll("#### More Information",BQ37,BV37),"")</f>
        <v/>
      </c>
      <c r="BX37" s="117" t="str">
        <f>IF(LEN(N37)&gt;1,concatll("#### Author's Note",N37,"-"&amp;B37),"")</f>
        <v/>
      </c>
      <c r="BY37" s="117" t="s">
        <v>53</v>
      </c>
      <c r="BZ37" s="117" t="s">
        <v>53</v>
      </c>
      <c r="CA37" s="6" t="str">
        <f>IF(AS37,concatll(concatl("---",AT37:AV37,BL37,"---"),M37,BW37:BX37),"")</f>
        <v xml:space="preserve">---_x000D_
title: "Statue of St. Maria Goretti"_x000D_
location: {lat: 41.45725, lng: 12.65585}_x000D_
interest: local_x000D_
tags:
- it_x000D_
- nettuno_x000D_
- holy-persons_x000D_
- maria-goretti_x000D_
_x000D_
---_x000D_
_x000D_
_x000D_
A statue of St. Maria Goretti in Nettuno, the town where she died._x000D_
_x000D_
</v>
      </c>
      <c r="CB37" s="6" t="str">
        <f>IF(AS37,"places\"&amp;VLOOKUP(C37,'Country Tags'!C:D,2,)&amp;IF(LEN(D37)&gt;1,"-"&amp;LOWER(SUBSTITUTE(D37," ","-")),"")&amp;"-"&amp;LOWER(SUBSTITUTE(SUBSTITUTE(H37," ","-"),".",""))&amp;".md","")</f>
        <v>places\it-nettuno-statue-of-st-maria-goretti.md</v>
      </c>
      <c r="CC37" s="6"/>
      <c r="CD37" s="12" t="e">
        <f>IF(LEN(Z37)&gt;1,VLOOKUP(Z37,#REF!,2,),"")</f>
        <v>#REF!</v>
      </c>
      <c r="CE37" s="12" t="str">
        <f>IF(LEN(AA37)&gt;1,VLOOKUP(AA37,#REF!,2,),"")</f>
        <v/>
      </c>
      <c r="CF37" s="12" t="str">
        <f>IF(LEN(AB37)&gt;1,VLOOKUP(AB37,#REF!,2,),"")</f>
        <v/>
      </c>
      <c r="CG37" s="12" t="e">
        <f>IF(LEN(Z37)&gt;1,GetTagPage(CD37,Z37),"")</f>
        <v>#VALUE!</v>
      </c>
      <c r="CH37" s="12" t="str">
        <f>IF(LEN(AA37)&gt;1,GetTagPage(CE37,AA37),"")</f>
        <v/>
      </c>
      <c r="CI37" s="12" t="str">
        <f>IF(LEN(AB37)&gt;1,GetTagPage(CF37,AB37),"")</f>
        <v/>
      </c>
      <c r="CJ37" s="12" t="e">
        <f t="shared" si="57"/>
        <v>#VALUE!</v>
      </c>
      <c r="CK37" s="12" t="str">
        <f t="shared" si="58"/>
        <v xml:space="preserve">| [](/places/places\it-nettuno-statue-of-st-maria-goretti) </v>
      </c>
      <c r="CL37" s="13" t="str">
        <f>"| "&amp;IF(AS37,GetTagPage(C37,VLOOKUP(C37,'Country Tags'!C:E,3,)),C37)&amp; " "</f>
        <v xml:space="preserve">| [Italy](/tags/it) </v>
      </c>
      <c r="CM37" s="12" t="str">
        <f t="shared" si="59"/>
        <v xml:space="preserve">|  </v>
      </c>
      <c r="CN37" s="12" t="str">
        <f t="shared" si="60"/>
        <v xml:space="preserve">| [Link](/places/places\it-nettuno-statue-of-st-maria-goretti) </v>
      </c>
      <c r="CO37" s="12" t="e">
        <f t="shared" si="61"/>
        <v>#VALUE!</v>
      </c>
    </row>
    <row r="38" spans="1:93" ht="51" x14ac:dyDescent="0.25">
      <c r="A38" s="129" t="s">
        <v>786</v>
      </c>
      <c r="B38" s="55" t="s">
        <v>1654</v>
      </c>
      <c r="C38" s="55" t="s">
        <v>1</v>
      </c>
      <c r="D38" s="55" t="s">
        <v>1050</v>
      </c>
      <c r="E38" s="1">
        <v>41.456946000000002</v>
      </c>
      <c r="F38" s="30">
        <v>12.649850000000001</v>
      </c>
      <c r="G38" s="55" t="s">
        <v>1068</v>
      </c>
      <c r="H38" s="61" t="s">
        <v>1625</v>
      </c>
      <c r="I38" s="7" t="s">
        <v>1002</v>
      </c>
      <c r="L38" s="7" t="b">
        <v>1</v>
      </c>
      <c r="M38" s="55" t="s">
        <v>1055</v>
      </c>
      <c r="P38" s="1" t="s">
        <v>53</v>
      </c>
      <c r="Z38" s="1" t="s">
        <v>936</v>
      </c>
      <c r="AS38" s="116" t="b">
        <f t="shared" ref="AS38:AS69" si="66">IF(OR(A38="Done",A38="In Progress"),TRUE)</f>
        <v>1</v>
      </c>
      <c r="AT38" s="117" t="str">
        <f t="shared" ref="AT38:AT69" si="67">"title: """&amp;G38&amp;""""</f>
        <v>title: "St. Maria Goretti Tent of Pardon (Tenda del Perdono)"</v>
      </c>
      <c r="AU38" s="117" t="str">
        <f t="shared" ref="AU38:AU69" si="68">"location: {lat: "&amp;E38&amp;", lng: "&amp;F38&amp;"}"</f>
        <v>location: {lat: 41.456946, lng: 12.64985}</v>
      </c>
      <c r="AV38" s="117" t="str">
        <f t="shared" ref="AV38:AV69" si="69">"interest: "&amp;I38</f>
        <v>interest: local</v>
      </c>
      <c r="AW38" s="117" t="str">
        <f>"- "&amp;VLOOKUP(C38,'Country Tags'!C:E,3,)</f>
        <v>- it</v>
      </c>
      <c r="AX38" s="117" t="str">
        <f t="shared" ref="AX38:AX69" si="70">IF(LEN(D38)&gt;1,"- "&amp;LOWER(SUBSTITUTE(D38," ","-")),"")</f>
        <v>- nettuno</v>
      </c>
      <c r="AY38" s="117" t="str">
        <f t="shared" ref="AY38:AY69" si="71">IF(J38,"- churches","")</f>
        <v/>
      </c>
      <c r="AZ38" s="117" t="str">
        <f t="shared" ref="AZ38:AZ69" si="72">IF(K38,"- marian-sites","")</f>
        <v/>
      </c>
      <c r="BA38" s="117" t="str">
        <f t="shared" ref="BA38:BA69" si="73">IF(L38,"- holy-persons","")</f>
        <v>- holy-persons</v>
      </c>
      <c r="BB38" s="117" t="str">
        <f t="shared" ref="BB38:BB69" si="74">IF(LEN(Z38)&gt;0,"- "&amp;Z38,"")</f>
        <v>- maria-goretti</v>
      </c>
      <c r="BC38" s="117" t="str">
        <f t="shared" ref="BC38:BC69" si="75">IF(LEN(AA38)&gt;0,"- "&amp;AA38,"")</f>
        <v/>
      </c>
      <c r="BD38" s="117" t="str">
        <f t="shared" ref="BD38:BD69" si="76">IF(LEN(AB38)&gt;0,"- "&amp;AB38,"")</f>
        <v/>
      </c>
      <c r="BE38" s="117" t="str">
        <f t="shared" ref="BE38:BE69" si="77">IF(LEN(AC38)&gt;0,"- "&amp;AC38,"")</f>
        <v/>
      </c>
      <c r="BF38" s="117" t="str">
        <f t="shared" ref="BF38:BF69" si="78">IF(LEN(AD38)&gt;0,"- "&amp;AD38,"")</f>
        <v/>
      </c>
      <c r="BG38" s="117" t="str">
        <f t="shared" ref="BG38:BG69" si="79">IF(LEN(AE38)&gt;0,"- "&amp;AE38,"")</f>
        <v/>
      </c>
      <c r="BH38" s="117" t="str">
        <f t="shared" ref="BH38:BH69" si="80">IF(LEN(AF38)&gt;0,"- "&amp;AF38,"")</f>
        <v/>
      </c>
      <c r="BI38" s="117" t="str">
        <f t="shared" ref="BI38:BI69" si="81">IF(LEN(AG38)&gt;0,"- "&amp;AG38,"")</f>
        <v/>
      </c>
      <c r="BJ38" s="117" t="str">
        <f t="shared" ref="BJ38:BJ69" si="82">IF(LEN(AH38)&gt;0,"- "&amp;AH38,"")</f>
        <v/>
      </c>
      <c r="BK38" s="117" t="str">
        <f t="shared" ref="BK38:BK69" si="83">IF(LEN(AI38)&gt;0,"- "&amp;AI38,"")</f>
        <v/>
      </c>
      <c r="BL38" s="117" t="str">
        <f t="shared" ref="BL38:BL69" si="84">"tags:"&amp;CHAR(10)&amp;concatl(AW38:BK38)</f>
        <v xml:space="preserve">tags:
- it_x000D_
- nettuno_x000D_
- holy-persons_x000D_
- maria-goretti_x000D_
</v>
      </c>
      <c r="BM38" s="120" t="str">
        <f t="shared" si="62"/>
        <v/>
      </c>
      <c r="BN38" s="120" t="str">
        <f t="shared" si="63"/>
        <v/>
      </c>
      <c r="BO38" s="120" t="str">
        <f t="shared" si="64"/>
        <v/>
      </c>
      <c r="BP38" s="120" t="str">
        <f t="shared" si="65"/>
        <v/>
      </c>
      <c r="BQ38" s="117" t="str">
        <f t="shared" ref="BQ38:BQ69" si="85">IF(LEN(BM38)&gt;0,"* "&amp;BM38&amp;CHAR(10),"")&amp;
IF(LEN(BN38)&gt;0,"* "&amp;BN38&amp;CHAR(10),"")&amp;
IF(LEN(BO38)&gt;0,"* "&amp;BO38&amp;CHAR(10),"")&amp;
IF(LEN(BP38)&gt;0,"* "&amp;BP38&amp;CHAR(10),"")</f>
        <v/>
      </c>
      <c r="BR38" s="117" t="str">
        <f t="shared" ref="BR38:BR69" si="86">IF(LEN(AL38)&gt;0,TRIM(CONCATENATE("[Link](",AL38,") ",AM38)),"")</f>
        <v/>
      </c>
      <c r="BS38" s="117" t="str">
        <f t="shared" ref="BS38:BS69" si="87">IF(LEN(AN38)&gt;0,TRIM(CONCATENATE("[Link](",AN38,") ",AO38)),"")</f>
        <v/>
      </c>
      <c r="BT38" s="117" t="str">
        <f t="shared" ref="BT38:BT69" si="88">IF(LEN(AP38)&gt;0,TRIM(CONCATENATE("[Link](",AP38,") ",AQ38)),"")</f>
        <v/>
      </c>
      <c r="BU38" s="117" t="str">
        <f>IF(LEN(concat(BR38:BT38))&gt;0,concat("| ",BR38," | ",BS38," | ",BT38," |"),"")</f>
        <v/>
      </c>
      <c r="BV38" s="117" t="str">
        <f t="shared" ref="BV38:BV69" si="89">IF(K38,concatl("| The Real Presence | Miracle Hunter | MaryPages |","| --- | --- | --- |",BU38),"")</f>
        <v/>
      </c>
      <c r="BW38" s="117" t="str">
        <f>IF(LEN(BQ38&amp;BV38)&gt;0,concatll("#### More Information",BQ38,BV38),"")</f>
        <v/>
      </c>
      <c r="BX38" s="117" t="str">
        <f>IF(LEN(N38)&gt;1,concatll("#### Author's Note",N38,"-"&amp;B38),"")</f>
        <v/>
      </c>
      <c r="BY38" s="117" t="s">
        <v>53</v>
      </c>
      <c r="BZ38" s="117" t="s">
        <v>53</v>
      </c>
      <c r="CA38" s="6" t="str">
        <f>IF(AS38,concatll(concatl("---",AT38:AV38,BL38,"---"),M38,BW38:BX38),"")</f>
        <v xml:space="preserve">---_x000D_
title: "St. Maria Goretti Tent of Pardon (Tenda del Perdono)"_x000D_
location: {lat: 41.456946, lng: 12.64985}_x000D_
interest: local_x000D_
tags:
- it_x000D_
- nettuno_x000D_
- holy-persons_x000D_
- maria-goretti_x000D_
_x000D_
---_x000D_
_x000D_
_x000D_
The "Tent of Pardon" is the site where, [according to the National Catholic Register](https://www.ncregister.com/blog/in-the-footsteps-of-st-maria-goretti), St. Maria Goretti lay dying in Nettuno.  It was here that she forgave her murderer, and may also be the place of her death._x000D_
_x000D_
</v>
      </c>
      <c r="CB38" s="6" t="str">
        <f>IF(AS38,"places\"&amp;VLOOKUP(C38,'Country Tags'!C:D,2,)&amp;IF(LEN(D38)&gt;1,"-"&amp;LOWER(SUBSTITUTE(D38," ","-")),"")&amp;"-"&amp;LOWER(SUBSTITUTE(SUBSTITUTE(H38," ","-"),".",""))&amp;".md","")</f>
        <v>places\it-nettuno-st-maria-goretti-tent-of-pardon.md</v>
      </c>
      <c r="CC38" s="6"/>
      <c r="CD38" s="12" t="e">
        <f>IF(LEN(Z38)&gt;1,VLOOKUP(Z38,#REF!,2,),"")</f>
        <v>#REF!</v>
      </c>
      <c r="CE38" s="12" t="str">
        <f>IF(LEN(AA38)&gt;1,VLOOKUP(AA38,#REF!,2,),"")</f>
        <v/>
      </c>
      <c r="CF38" s="12" t="str">
        <f>IF(LEN(AB38)&gt;1,VLOOKUP(AB38,#REF!,2,),"")</f>
        <v/>
      </c>
      <c r="CG38" s="12" t="e">
        <f>IF(LEN(Z38)&gt;1,GetTagPage(CD38,Z38),"")</f>
        <v>#VALUE!</v>
      </c>
      <c r="CH38" s="12" t="str">
        <f>IF(LEN(AA38)&gt;1,GetTagPage(CE38,AA38),"")</f>
        <v/>
      </c>
      <c r="CI38" s="12" t="str">
        <f>IF(LEN(AB38)&gt;1,GetTagPage(CF38,AB38),"")</f>
        <v/>
      </c>
      <c r="CJ38" s="12" t="e">
        <f t="shared" ref="CJ38:CJ69" si="90">"|"&amp;IF(LEN(CG38)&gt;1," "&amp;CG38,"")&amp;IF(LEN(CH38)&gt;1,", "&amp;CH38,"")&amp;IF(LEN(CI38)&gt;1,", "&amp;CI38,"")&amp;" "</f>
        <v>#VALUE!</v>
      </c>
      <c r="CK38" s="12" t="str">
        <f t="shared" ref="CK38:CK69" si="91">"| "&amp;IF(AS38,"["&amp;AJ38&amp;"](/places/"&amp;SUBSTITUTE(CB38,".md","")&amp;")",AJ38)&amp;" "</f>
        <v xml:space="preserve">| [](/places/places\it-nettuno-st-maria-goretti-tent-of-pardon) </v>
      </c>
      <c r="CL38" s="13" t="str">
        <f>"| "&amp;IF(AS38,GetTagPage(C38,VLOOKUP(C38,'Country Tags'!C:E,3,)),C38)&amp; " "</f>
        <v xml:space="preserve">| [Italy](/tags/it) </v>
      </c>
      <c r="CM38" s="12" t="str">
        <f t="shared" ref="CM38:CM69" si="92">"| "&amp;AK38&amp;" "</f>
        <v xml:space="preserve">|  </v>
      </c>
      <c r="CN38" s="12" t="str">
        <f t="shared" ref="CN38:CN69" si="93">"|"&amp;IF(AS38," [Link](/places/"&amp;SUBSTITUTE(CB38,".md","")&amp;")","")&amp;" "</f>
        <v xml:space="preserve">| [Link](/places/places\it-nettuno-st-maria-goretti-tent-of-pardon) </v>
      </c>
      <c r="CO38" s="12" t="e">
        <f t="shared" ref="CO38:CO69" si="94">"
"&amp;CK38&amp;CL38&amp;CM38&amp;CN38&amp;BM38&amp;BR38&amp;BS38&amp;BT38&amp;CJ38&amp;"|"</f>
        <v>#VALUE!</v>
      </c>
    </row>
    <row r="39" spans="1:93" ht="51" x14ac:dyDescent="0.25">
      <c r="A39" s="129" t="s">
        <v>786</v>
      </c>
      <c r="B39" s="7" t="s">
        <v>1653</v>
      </c>
      <c r="C39" s="7" t="s">
        <v>306</v>
      </c>
      <c r="E39" s="1">
        <v>39.759224404162097</v>
      </c>
      <c r="F39" s="30">
        <v>140.14975314135</v>
      </c>
      <c r="G39" s="7" t="s">
        <v>820</v>
      </c>
      <c r="H39" s="33" t="s">
        <v>821</v>
      </c>
      <c r="I39" s="7" t="s">
        <v>919</v>
      </c>
      <c r="J39" s="23" t="b">
        <v>1</v>
      </c>
      <c r="K39" s="7" t="b">
        <v>1</v>
      </c>
      <c r="M39" s="7" t="s">
        <v>836</v>
      </c>
      <c r="O39" s="1" t="s">
        <v>822</v>
      </c>
      <c r="P39" s="1" t="s">
        <v>53</v>
      </c>
      <c r="Z39" s="1" t="s">
        <v>53</v>
      </c>
      <c r="AJ39" s="56" t="s">
        <v>776</v>
      </c>
      <c r="AK39" s="57">
        <v>1973</v>
      </c>
      <c r="AL39" s="1" t="s">
        <v>47</v>
      </c>
      <c r="AM39" s="1" t="s">
        <v>53</v>
      </c>
      <c r="AN39" s="1" t="s">
        <v>814</v>
      </c>
      <c r="AO39" s="1" t="s">
        <v>53</v>
      </c>
      <c r="AP39" s="1" t="s">
        <v>813</v>
      </c>
      <c r="AQ39" s="30" t="s">
        <v>53</v>
      </c>
      <c r="AS39" s="116" t="b">
        <f t="shared" si="66"/>
        <v>1</v>
      </c>
      <c r="AT39" s="117" t="str">
        <f t="shared" si="67"/>
        <v>title: "Seitai Hoshikai (Our Lady of Akita)"</v>
      </c>
      <c r="AU39" s="117" t="str">
        <f t="shared" si="68"/>
        <v>location: {lat: 39.7592244041621, lng: 140.14975314135}</v>
      </c>
      <c r="AV39" s="117" t="str">
        <f t="shared" si="69"/>
        <v>interest: global</v>
      </c>
      <c r="AW39" s="117" t="str">
        <f>"- "&amp;VLOOKUP(C39,'Country Tags'!C:E,3,)</f>
        <v>- jp</v>
      </c>
      <c r="AX39" s="117" t="str">
        <f t="shared" si="70"/>
        <v/>
      </c>
      <c r="AY39" s="117" t="str">
        <f t="shared" si="71"/>
        <v>- churches</v>
      </c>
      <c r="AZ39" s="117" t="str">
        <f t="shared" si="72"/>
        <v>- marian-sites</v>
      </c>
      <c r="BA39" s="117" t="str">
        <f t="shared" si="73"/>
        <v/>
      </c>
      <c r="BB39" s="117" t="str">
        <f t="shared" si="74"/>
        <v/>
      </c>
      <c r="BC39" s="117" t="str">
        <f t="shared" si="75"/>
        <v/>
      </c>
      <c r="BD39" s="117" t="str">
        <f t="shared" si="76"/>
        <v/>
      </c>
      <c r="BE39" s="117" t="str">
        <f t="shared" si="77"/>
        <v/>
      </c>
      <c r="BF39" s="117" t="str">
        <f t="shared" si="78"/>
        <v/>
      </c>
      <c r="BG39" s="117" t="str">
        <f t="shared" si="79"/>
        <v/>
      </c>
      <c r="BH39" s="117" t="str">
        <f t="shared" si="80"/>
        <v/>
      </c>
      <c r="BI39" s="117" t="str">
        <f t="shared" si="81"/>
        <v/>
      </c>
      <c r="BJ39" s="117" t="str">
        <f t="shared" si="82"/>
        <v/>
      </c>
      <c r="BK39" s="117" t="str">
        <f t="shared" si="83"/>
        <v/>
      </c>
      <c r="BL39" s="117" t="str">
        <f t="shared" si="84"/>
        <v xml:space="preserve">tags:
- jp_x000D_
- churches_x000D_
- marian-sites_x000D_
</v>
      </c>
      <c r="BM39" s="120" t="str">
        <f t="shared" si="62"/>
        <v>[Official site](https://www.seitaihoshikai.com/)</v>
      </c>
      <c r="BN39" s="120" t="str">
        <f t="shared" si="63"/>
        <v/>
      </c>
      <c r="BO39" s="120" t="str">
        <f t="shared" si="64"/>
        <v/>
      </c>
      <c r="BP39" s="120" t="str">
        <f t="shared" si="65"/>
        <v/>
      </c>
      <c r="BQ39" s="120" t="str">
        <f t="shared" si="85"/>
        <v xml:space="preserve">* [Official site](https://www.seitaihoshikai.com/)
</v>
      </c>
      <c r="BR39" s="120" t="str">
        <f t="shared" si="86"/>
        <v>[Link](http://www.therealpresence.org/eucharst/misc/BVM/01_AKITA_60x96.pdf)</v>
      </c>
      <c r="BS39" s="120" t="str">
        <f t="shared" si="87"/>
        <v>[Link](https://www.miraclehunter.com/marian_apparitions/approved_apparitions/akita/index.html)</v>
      </c>
      <c r="BT39" s="120" t="str">
        <f t="shared" si="88"/>
        <v>[Link](https://www.marypages.com/akita-(japan)-en.html)</v>
      </c>
      <c r="BU39" s="120" t="str">
        <f>IF(LEN(concat(BR39:BT39))&gt;0,concat("| ",BR39," | ",BS39," | ",BT39," |"),"")</f>
        <v>| [Link](http://www.therealpresence.org/eucharst/misc/BVM/01_AKITA_60x96.pdf) | [Link](https://www.miraclehunter.com/marian_apparitions/approved_apparitions/akita/index.html) | [Link](https://www.marypages.com/akita-(japan)-en.html) |</v>
      </c>
      <c r="BV39" s="117" t="str">
        <f t="shared" si="89"/>
        <v xml:space="preserve">| The Real Presence | Miracle Hunter | MaryPages |_x000D_
| --- | --- | --- |_x000D_
| [Link](http://www.therealpresence.org/eucharst/misc/BVM/01_AKITA_60x96.pdf) | [Link](https://www.miraclehunter.com/marian_apparitions/approved_apparitions/akita/index.html) | [Link](https://www.marypages.com/akita-(japan)-en.html) |_x000D_
</v>
      </c>
      <c r="BW39" s="117" t="str">
        <f>IF(LEN(BQ39&amp;BV39)&gt;0,concatll("#### More Information",BQ39,BV39),"")</f>
        <v xml:space="preserve">#### More Information_x000D_
_x000D_
* [Official site](https://www.seitaihoshikai.com/)
_x000D_
_x000D_
| The Real Presence | Miracle Hunter | MaryPages |_x000D_
| --- | --- | --- |_x000D_
| [Link](http://www.therealpresence.org/eucharst/misc/BVM/01_AKITA_60x96.pdf) | [Link](https://www.miraclehunter.com/marian_apparitions/approved_apparitions/akita/index.html) | [Link](https://www.marypages.com/akita-(japan)-en.html) |_x000D_
_x000D_
_x000D_
</v>
      </c>
      <c r="BX39" s="117" t="str">
        <f>IF(LEN(N39)&gt;1,concatll("#### Author's Note",N39,"-"&amp;B39),"")</f>
        <v/>
      </c>
      <c r="BY39" s="117" t="s">
        <v>53</v>
      </c>
      <c r="BZ39" s="117" t="s">
        <v>53</v>
      </c>
      <c r="CA39" s="6" t="str">
        <f>IF(AS39,concatll(concatl("---",AT39:AV39,BL39,"---"),M39,BW39:BX39),"")</f>
        <v xml:space="preserve">---_x000D_
title: "Seitai Hoshikai (Our Lady of Akita)"_x000D_
location: {lat: 39.7592244041621, lng: 140.14975314135}_x000D_
interest: global_x000D_
tags:
- jp_x000D_
- churches_x000D_
- marian-sites_x000D_
_x000D_
---_x000D_
_x000D_
_x000D_
Sister Agnes Sasagawa received visions of an angel and messages emanating from a wooden statue of Our Lady which wept 101 times, including one instance which was broadcast on Japanese national television in December 1973._x000D_
_x000D_
#### More Information_x000D_
_x000D_
* [Official site](https://www.seitaihoshikai.com/)
_x000D_
_x000D_
| The Real Presence | Miracle Hunter | MaryPages |_x000D_
| --- | --- | --- |_x000D_
| [Link](http://www.therealpresence.org/eucharst/misc/BVM/01_AKITA_60x96.pdf) | [Link](https://www.miraclehunter.com/marian_apparitions/approved_apparitions/akita/index.html) | [Link](https://www.marypages.com/akita-(japan)-en.html) |_x000D_
_x000D_
_x000D_
_x000D_
_x000D_
</v>
      </c>
      <c r="CB39" s="6" t="str">
        <f>IF(AS39,"places\"&amp;VLOOKUP(C39,'Country Tags'!C:D,2,)&amp;IF(LEN(D39)&gt;1,"-"&amp;LOWER(SUBSTITUTE(D39," ","-")),"")&amp;"-"&amp;LOWER(SUBSTITUTE(SUBSTITUTE(H39," ","-"),".",""))&amp;".md","")</f>
        <v>places\jp-seitai-hoshikai.md</v>
      </c>
      <c r="CC39" s="6"/>
      <c r="CD39" s="12" t="str">
        <f>IF(LEN(Z39)&gt;1,VLOOKUP(Z39,#REF!,2,),"")</f>
        <v/>
      </c>
      <c r="CE39" s="12" t="str">
        <f>IF(LEN(AA39)&gt;1,VLOOKUP(AA39,#REF!,2,),"")</f>
        <v/>
      </c>
      <c r="CF39" s="12" t="str">
        <f>IF(LEN(AB39)&gt;1,VLOOKUP(AB39,#REF!,2,),"")</f>
        <v/>
      </c>
      <c r="CG39" s="13" t="str">
        <f>IF(LEN(Z39)&gt;1,GetTagPage(CD39,Z39),"")</f>
        <v/>
      </c>
      <c r="CH39" s="13" t="str">
        <f>IF(LEN(AA39)&gt;1,GetTagPage(CE39,AA39),"")</f>
        <v/>
      </c>
      <c r="CI39" s="13" t="str">
        <f>IF(LEN(AB39)&gt;1,GetTagPage(CF39,AB39),"")</f>
        <v/>
      </c>
      <c r="CJ39" s="13" t="str">
        <f t="shared" si="90"/>
        <v xml:space="preserve">| </v>
      </c>
      <c r="CK39" s="13" t="str">
        <f t="shared" si="91"/>
        <v xml:space="preserve">| [Akita](/places/places\jp-seitai-hoshikai) </v>
      </c>
      <c r="CL39" s="13" t="str">
        <f>"| "&amp;IF(AS39,GetTagPage(C39,VLOOKUP(C39,'Country Tags'!C:E,3,)),C39)&amp; " "</f>
        <v xml:space="preserve">| [Japan](/tags/jp) </v>
      </c>
      <c r="CM39" s="13" t="str">
        <f t="shared" si="92"/>
        <v xml:space="preserve">| 1973 </v>
      </c>
      <c r="CN39" s="13" t="str">
        <f t="shared" si="93"/>
        <v xml:space="preserve">| [Link](/places/places\jp-seitai-hoshikai) </v>
      </c>
      <c r="CO39" s="12" t="str">
        <f t="shared" si="94"/>
        <v xml:space="preserve">
| [Akita](/places/places\jp-seitai-hoshikai) | [Japan](/tags/jp) | 1973 | [Link](/places/places\jp-seitai-hoshikai) [Official site](https://www.seitaihoshikai.com/)[Link](http://www.therealpresence.org/eucharst/misc/BVM/01_AKITA_60x96.pdf)[Link](https://www.miraclehunter.com/marian_apparitions/approved_apparitions/akita/index.html)[Link](https://www.marypages.com/akita-(japan)-en.html)| |</v>
      </c>
    </row>
    <row r="40" spans="1:93" ht="63.75" x14ac:dyDescent="0.25">
      <c r="A40" s="129" t="s">
        <v>786</v>
      </c>
      <c r="B40" s="7" t="s">
        <v>1653</v>
      </c>
      <c r="C40" s="7" t="s">
        <v>321</v>
      </c>
      <c r="E40" s="1">
        <v>55.530612599999998</v>
      </c>
      <c r="F40" s="30">
        <v>23.219925199999999</v>
      </c>
      <c r="G40" s="7" t="s">
        <v>736</v>
      </c>
      <c r="H40" s="33" t="s">
        <v>712</v>
      </c>
      <c r="I40" s="7" t="s">
        <v>919</v>
      </c>
      <c r="J40" s="23" t="b">
        <v>1</v>
      </c>
      <c r="K40" s="7" t="b">
        <v>1</v>
      </c>
      <c r="M40" s="7" t="s">
        <v>177</v>
      </c>
      <c r="N40" s="139" t="s">
        <v>1676</v>
      </c>
      <c r="O40" s="1" t="s">
        <v>713</v>
      </c>
      <c r="P40" s="1" t="s">
        <v>53</v>
      </c>
      <c r="Z40" s="2" t="s">
        <v>53</v>
      </c>
      <c r="AA40" s="2"/>
      <c r="AB40" s="2"/>
      <c r="AC40" s="2"/>
      <c r="AD40" s="2"/>
      <c r="AE40" s="2"/>
      <c r="AF40" s="2"/>
      <c r="AG40" s="2"/>
      <c r="AH40" s="2"/>
      <c r="AI40" s="2"/>
      <c r="AJ40" s="56" t="s">
        <v>711</v>
      </c>
      <c r="AK40" s="57">
        <v>1608</v>
      </c>
      <c r="AL40" s="1" t="s">
        <v>27</v>
      </c>
      <c r="AM40" s="1" t="s">
        <v>53</v>
      </c>
      <c r="AN40" s="1" t="s">
        <v>179</v>
      </c>
      <c r="AO40" s="1" t="s">
        <v>53</v>
      </c>
      <c r="AP40" s="1" t="s">
        <v>178</v>
      </c>
      <c r="AQ40" s="30" t="s">
        <v>53</v>
      </c>
      <c r="AS40" s="116" t="b">
        <f t="shared" si="66"/>
        <v>1</v>
      </c>
      <c r="AT40" s="117" t="str">
        <f t="shared" si="67"/>
        <v>title: "Basilica of the Nativity of the Blessed Virgin Mary (Our Lady of Siluva)"</v>
      </c>
      <c r="AU40" s="117" t="str">
        <f t="shared" si="68"/>
        <v>location: {lat: 55.5306126, lng: 23.2199252}</v>
      </c>
      <c r="AV40" s="117" t="str">
        <f t="shared" si="69"/>
        <v>interest: global</v>
      </c>
      <c r="AW40" s="117" t="str">
        <f>"- "&amp;VLOOKUP(C40,'Country Tags'!C:E,3,)</f>
        <v>- lt</v>
      </c>
      <c r="AX40" s="117" t="str">
        <f t="shared" si="70"/>
        <v/>
      </c>
      <c r="AY40" s="117" t="str">
        <f t="shared" si="71"/>
        <v>- churches</v>
      </c>
      <c r="AZ40" s="117" t="str">
        <f t="shared" si="72"/>
        <v>- marian-sites</v>
      </c>
      <c r="BA40" s="117" t="str">
        <f t="shared" si="73"/>
        <v/>
      </c>
      <c r="BB40" s="117" t="str">
        <f t="shared" si="74"/>
        <v/>
      </c>
      <c r="BC40" s="117" t="str">
        <f t="shared" si="75"/>
        <v/>
      </c>
      <c r="BD40" s="117" t="str">
        <f t="shared" si="76"/>
        <v/>
      </c>
      <c r="BE40" s="117" t="str">
        <f t="shared" si="77"/>
        <v/>
      </c>
      <c r="BF40" s="117" t="str">
        <f t="shared" si="78"/>
        <v/>
      </c>
      <c r="BG40" s="117" t="str">
        <f t="shared" si="79"/>
        <v/>
      </c>
      <c r="BH40" s="117" t="str">
        <f t="shared" si="80"/>
        <v/>
      </c>
      <c r="BI40" s="117" t="str">
        <f t="shared" si="81"/>
        <v/>
      </c>
      <c r="BJ40" s="117" t="str">
        <f t="shared" si="82"/>
        <v/>
      </c>
      <c r="BK40" s="117" t="str">
        <f t="shared" si="83"/>
        <v/>
      </c>
      <c r="BL40" s="117" t="str">
        <f t="shared" si="84"/>
        <v xml:space="preserve">tags:
- lt_x000D_
- churches_x000D_
- marian-sites_x000D_
</v>
      </c>
      <c r="BM40" s="120" t="str">
        <f t="shared" si="62"/>
        <v>[Official site](https://siluva.lt/)</v>
      </c>
      <c r="BN40" s="120" t="str">
        <f t="shared" si="63"/>
        <v/>
      </c>
      <c r="BO40" s="120" t="str">
        <f t="shared" si="64"/>
        <v/>
      </c>
      <c r="BP40" s="120" t="str">
        <f t="shared" si="65"/>
        <v/>
      </c>
      <c r="BQ40" s="120" t="str">
        <f t="shared" si="85"/>
        <v xml:space="preserve">* [Official site](https://siluva.lt/)
</v>
      </c>
      <c r="BR40" s="120" t="str">
        <f t="shared" si="86"/>
        <v>[Link](http://www.therealpresence.org/eucharst/misc/BVM/57_SILUVA_96x96.pdf)</v>
      </c>
      <c r="BS40" s="120" t="str">
        <f t="shared" si="87"/>
        <v>[Link](https://www.miraclehunter.com/marian_apparitions/approved_apparitions/siluva/index.html)</v>
      </c>
      <c r="BT40" s="120" t="str">
        <f t="shared" si="88"/>
        <v>[Link](https://www.marypages.com/our-lady-of-siluva-en.html)</v>
      </c>
      <c r="BU40" s="120" t="str">
        <f>IF(LEN(concat(BR40:BT40))&gt;0,concat("| ",BR40," | ",BS40," | ",BT40," |"),"")</f>
        <v>| [Link](http://www.therealpresence.org/eucharst/misc/BVM/57_SILUVA_96x96.pdf) | [Link](https://www.miraclehunter.com/marian_apparitions/approved_apparitions/siluva/index.html) | [Link](https://www.marypages.com/our-lady-of-siluva-en.html) |</v>
      </c>
      <c r="BV40" s="117" t="str">
        <f t="shared" si="89"/>
        <v xml:space="preserve">| The Real Presence | Miracle Hunter | MaryPages |_x000D_
| --- | --- | --- |_x000D_
| [Link](http://www.therealpresence.org/eucharst/misc/BVM/57_SILUVA_96x96.pdf) | [Link](https://www.miraclehunter.com/marian_apparitions/approved_apparitions/siluva/index.html) | [Link](https://www.marypages.com/our-lady-of-siluva-en.html) |_x000D_
</v>
      </c>
      <c r="BW40" s="117" t="str">
        <f>IF(LEN(BQ40&amp;BV40)&gt;0,concatll("#### More Information",BQ40,BV40),"")</f>
        <v xml:space="preserve">#### More Information_x000D_
_x000D_
* [Official site](https://siluva.lt/)
_x000D_
_x000D_
| The Real Presence | Miracle Hunter | MaryPages |_x000D_
| --- | --- | --- |_x000D_
| [Link](http://www.therealpresence.org/eucharst/misc/BVM/57_SILUVA_96x96.pdf) | [Link](https://www.miraclehunter.com/marian_apparitions/approved_apparitions/siluva/index.html) | [Link](https://www.marypages.com/our-lady-of-siluva-en.html) |_x000D_
_x000D_
_x000D_
</v>
      </c>
      <c r="BX40" s="117" t="str">
        <f>IF(LEN(N40)&gt;1,concatll("#### Author's Note",N40,"-"&amp;B40),"")</f>
        <v xml:space="preserve">#### Author's Note_x000D_
_x000D_
Additional info and a good history [here](https://www.ourladyofsiluva.org/our_lady/)._x000D_
_x000D_
-JMM_x000D_
_x000D_
</v>
      </c>
      <c r="BY40" s="117" t="s">
        <v>53</v>
      </c>
      <c r="BZ40" s="117" t="s">
        <v>53</v>
      </c>
      <c r="CA40" s="6" t="str">
        <f>IF(AS40,concatll(concatl("---",AT40:AV40,BL40,"---"),M40,BW40:BX40),"")</f>
        <v xml:space="preserve">---_x000D_
title: "Basilica of the Nativity of the Blessed Virgin Mary (Our Lady of Siluva)"_x000D_
location: {lat: 55.5306126, lng: 23.2199252}_x000D_
interest: global_x000D_
tags:
- lt_x000D_
- churches_x000D_
- marian-sites_x000D_
_x000D_
---_x000D_
_x000D_
_x000D_
One summer day, in 1608, a number of children were playing while tending their sheep in a field on the outskirts of the village of Siluva.  They beheld a beautiful young woman standing on the rock holding a baby in her arms and weeping bitterly.  The town which had lost its Catholic identity to the Calvinists over the course of 80 years was restored to the Faith._x000D_
_x000D_
#### More Information_x000D_
_x000D_
* [Official site](https://siluva.lt/)
_x000D_
_x000D_
| The Real Presence | Miracle Hunter | MaryPages |_x000D_
| --- | --- | --- |_x000D_
| [Link](http://www.therealpresence.org/eucharst/misc/BVM/57_SILUVA_96x96.pdf) | [Link](https://www.miraclehunter.com/marian_apparitions/approved_apparitions/siluva/index.html) | [Link](https://www.marypages.com/our-lady-of-siluva-en.html) |_x000D_
_x000D_
_x000D_
_x000D_
_x000D_
#### Author's Note_x000D_
_x000D_
Additional info and a good history [here](https://www.ourladyofsiluva.org/our_lady/)._x000D_
_x000D_
-JMM_x000D_
_x000D_
_x000D_
_x000D_
</v>
      </c>
      <c r="CB40" s="6" t="str">
        <f>IF(AS40,"places\"&amp;VLOOKUP(C40,'Country Tags'!C:D,2,)&amp;IF(LEN(D40)&gt;1,"-"&amp;LOWER(SUBSTITUTE(D40," ","-")),"")&amp;"-"&amp;LOWER(SUBSTITUTE(SUBSTITUTE(H40," ","-"),".",""))&amp;".md","")</f>
        <v>places\lt-basilica-of-the-nativity-of-the-blessed-virgin-mary.md</v>
      </c>
      <c r="CC40" s="6"/>
      <c r="CD40" s="13" t="str">
        <f>IF(LEN(Z40)&gt;1,VLOOKUP(Z40,#REF!,2,),"")</f>
        <v/>
      </c>
      <c r="CE40" s="13" t="str">
        <f>IF(LEN(AA40)&gt;1,VLOOKUP(AA40,#REF!,2,),"")</f>
        <v/>
      </c>
      <c r="CF40" s="13" t="str">
        <f>IF(LEN(AB40)&gt;1,VLOOKUP(AB40,#REF!,2,),"")</f>
        <v/>
      </c>
      <c r="CG40" s="13" t="str">
        <f>IF(LEN(Z40)&gt;1,GetTagPage(CD40,Z40),"")</f>
        <v/>
      </c>
      <c r="CH40" s="13" t="str">
        <f>IF(LEN(AA40)&gt;1,GetTagPage(CE40,AA40),"")</f>
        <v/>
      </c>
      <c r="CI40" s="13" t="str">
        <f>IF(LEN(AB40)&gt;1,GetTagPage(CF40,AB40),"")</f>
        <v/>
      </c>
      <c r="CJ40" s="13" t="str">
        <f t="shared" si="90"/>
        <v xml:space="preserve">| </v>
      </c>
      <c r="CK40" s="13" t="str">
        <f t="shared" si="91"/>
        <v xml:space="preserve">| [Šiluva](/places/places\lt-basilica-of-the-nativity-of-the-blessed-virgin-mary) </v>
      </c>
      <c r="CL40" s="13" t="str">
        <f>"| "&amp;IF(AS40,GetTagPage(C40,VLOOKUP(C40,'Country Tags'!C:E,3,)),C40)&amp; " "</f>
        <v xml:space="preserve">| [Lithuania](/tags/lt) </v>
      </c>
      <c r="CM40" s="13" t="str">
        <f t="shared" si="92"/>
        <v xml:space="preserve">| 1608 </v>
      </c>
      <c r="CN40" s="13" t="str">
        <f t="shared" si="93"/>
        <v xml:space="preserve">| [Link](/places/places\lt-basilica-of-the-nativity-of-the-blessed-virgin-mary) </v>
      </c>
      <c r="CO40" s="12" t="str">
        <f t="shared" si="94"/>
        <v xml:space="preserve">
| [Šiluva](/places/places\lt-basilica-of-the-nativity-of-the-blessed-virgin-mary) | [Lithuania](/tags/lt) | 1608 | [Link](/places/places\lt-basilica-of-the-nativity-of-the-blessed-virgin-mary) [Official site](https://siluva.lt/)[Link](http://www.therealpresence.org/eucharst/misc/BVM/57_SILUVA_96x96.pdf)[Link](https://www.miraclehunter.com/marian_apparitions/approved_apparitions/siluva/index.html)[Link](https://www.marypages.com/our-lady-of-siluva-en.html)| |</v>
      </c>
    </row>
    <row r="41" spans="1:93" ht="51" x14ac:dyDescent="0.25">
      <c r="A41" s="129" t="s">
        <v>786</v>
      </c>
      <c r="B41" s="7" t="s">
        <v>1653</v>
      </c>
      <c r="C41" s="7" t="s">
        <v>344</v>
      </c>
      <c r="D41" s="26" t="s">
        <v>942</v>
      </c>
      <c r="E41" s="1">
        <v>19.483432799999999</v>
      </c>
      <c r="F41" s="30">
        <v>-99.117410300000003</v>
      </c>
      <c r="G41" s="7" t="s">
        <v>147</v>
      </c>
      <c r="H41" s="33" t="s">
        <v>147</v>
      </c>
      <c r="I41" s="7" t="s">
        <v>919</v>
      </c>
      <c r="J41" s="23" t="b">
        <v>1</v>
      </c>
      <c r="K41" s="7" t="b">
        <v>1</v>
      </c>
      <c r="L41" s="7" t="b">
        <v>1</v>
      </c>
      <c r="M41" s="7" t="s">
        <v>168</v>
      </c>
      <c r="O41" s="1" t="s">
        <v>146</v>
      </c>
      <c r="P41" s="1" t="s">
        <v>53</v>
      </c>
      <c r="Z41" s="19" t="s">
        <v>201</v>
      </c>
      <c r="AA41" s="19"/>
      <c r="AB41" s="19"/>
      <c r="AC41" s="19"/>
      <c r="AD41" s="19"/>
      <c r="AE41" s="19"/>
      <c r="AF41" s="19"/>
      <c r="AG41" s="19"/>
      <c r="AH41" s="19"/>
      <c r="AI41" s="19"/>
      <c r="AJ41" s="56" t="s">
        <v>710</v>
      </c>
      <c r="AK41" s="57">
        <v>1531</v>
      </c>
      <c r="AL41" s="1" t="s">
        <v>21</v>
      </c>
      <c r="AM41" s="1" t="s">
        <v>53</v>
      </c>
      <c r="AN41" s="1" t="s">
        <v>169</v>
      </c>
      <c r="AO41" s="1" t="s">
        <v>53</v>
      </c>
      <c r="AP41" s="1" t="s">
        <v>170</v>
      </c>
      <c r="AQ41" s="30" t="s">
        <v>53</v>
      </c>
      <c r="AS41" s="116" t="b">
        <f t="shared" si="66"/>
        <v>1</v>
      </c>
      <c r="AT41" s="117" t="str">
        <f t="shared" si="67"/>
        <v>title: "Basilica of Our Lady of Guadalupe"</v>
      </c>
      <c r="AU41" s="117" t="str">
        <f t="shared" si="68"/>
        <v>location: {lat: 19.4834328, lng: -99.1174103}</v>
      </c>
      <c r="AV41" s="117" t="str">
        <f t="shared" si="69"/>
        <v>interest: global</v>
      </c>
      <c r="AW41" s="117" t="str">
        <f>"- "&amp;VLOOKUP(C41,'Country Tags'!C:E,3,)</f>
        <v>- mx</v>
      </c>
      <c r="AX41" s="117" t="str">
        <f t="shared" si="70"/>
        <v>- mexico-city</v>
      </c>
      <c r="AY41" s="117" t="str">
        <f t="shared" si="71"/>
        <v>- churches</v>
      </c>
      <c r="AZ41" s="117" t="str">
        <f t="shared" si="72"/>
        <v>- marian-sites</v>
      </c>
      <c r="BA41" s="117" t="str">
        <f t="shared" si="73"/>
        <v>- holy-persons</v>
      </c>
      <c r="BB41" s="117" t="str">
        <f t="shared" si="74"/>
        <v>- juan-diego</v>
      </c>
      <c r="BC41" s="117" t="str">
        <f t="shared" si="75"/>
        <v/>
      </c>
      <c r="BD41" s="117" t="str">
        <f t="shared" si="76"/>
        <v/>
      </c>
      <c r="BE41" s="117" t="str">
        <f t="shared" si="77"/>
        <v/>
      </c>
      <c r="BF41" s="117" t="str">
        <f t="shared" si="78"/>
        <v/>
      </c>
      <c r="BG41" s="117" t="str">
        <f t="shared" si="79"/>
        <v/>
      </c>
      <c r="BH41" s="117" t="str">
        <f t="shared" si="80"/>
        <v/>
      </c>
      <c r="BI41" s="117" t="str">
        <f t="shared" si="81"/>
        <v/>
      </c>
      <c r="BJ41" s="117" t="str">
        <f t="shared" si="82"/>
        <v/>
      </c>
      <c r="BK41" s="117" t="str">
        <f t="shared" si="83"/>
        <v/>
      </c>
      <c r="BL41" s="117" t="str">
        <f t="shared" si="84"/>
        <v xml:space="preserve">tags:
- mx_x000D_
- mexico-city_x000D_
- churches_x000D_
- marian-sites_x000D_
- holy-persons_x000D_
- juan-diego_x000D_
</v>
      </c>
      <c r="BM41" s="120" t="str">
        <f t="shared" si="62"/>
        <v>[Official site](https://virgendeguadalupe.org.mx/)</v>
      </c>
      <c r="BN41" s="120" t="str">
        <f t="shared" si="63"/>
        <v/>
      </c>
      <c r="BO41" s="120" t="str">
        <f t="shared" si="64"/>
        <v/>
      </c>
      <c r="BP41" s="120" t="str">
        <f t="shared" si="65"/>
        <v/>
      </c>
      <c r="BQ41" s="120" t="str">
        <f t="shared" si="85"/>
        <v xml:space="preserve">* [Official site](https://virgendeguadalupe.org.mx/)
</v>
      </c>
      <c r="BR41" s="120" t="str">
        <f t="shared" si="86"/>
        <v>[Link](http://www.therealpresence.org/eucharst/misc/BVM/70_GUADALUPE_96x96.pdf)</v>
      </c>
      <c r="BS41" s="120" t="str">
        <f t="shared" si="87"/>
        <v>[Link](https://www.miraclehunter.com/marian_apparitions/approved_apparitions/guadalupe/index.html)</v>
      </c>
      <c r="BT41" s="120" t="str">
        <f t="shared" si="88"/>
        <v>[Link](https://www.marypages.com/guadalupe-(mexico).html)</v>
      </c>
      <c r="BU41" s="120" t="str">
        <f>IF(LEN(concat(BR41:BT41))&gt;0,concat("| ",BR41," | ",BS41," | ",BT41," |"),"")</f>
        <v>| [Link](http://www.therealpresence.org/eucharst/misc/BVM/70_GUADALUPE_96x96.pdf) | [Link](https://www.miraclehunter.com/marian_apparitions/approved_apparitions/guadalupe/index.html) | [Link](https://www.marypages.com/guadalupe-(mexico).html) |</v>
      </c>
      <c r="BV41" s="117" t="str">
        <f t="shared" si="89"/>
        <v xml:space="preserve">| The Real Presence | Miracle Hunter | MaryPages |_x000D_
| --- | --- | --- |_x000D_
| [Link](http://www.therealpresence.org/eucharst/misc/BVM/70_GUADALUPE_96x96.pdf) | [Link](https://www.miraclehunter.com/marian_apparitions/approved_apparitions/guadalupe/index.html) | [Link](https://www.marypages.com/guadalupe-(mexico).html) |_x000D_
</v>
      </c>
      <c r="BW41" s="117" t="str">
        <f>IF(LEN(BQ41&amp;BV41)&gt;0,concatll("#### More Information",BQ41,BV41),"")</f>
        <v xml:space="preserve">#### More Information_x000D_
_x000D_
* [Official site](https://virgendeguadalupe.org.mx/)
_x000D_
_x000D_
| The Real Presence | Miracle Hunter | MaryPages |_x000D_
| --- | --- | --- |_x000D_
| [Link](http://www.therealpresence.org/eucharst/misc/BVM/70_GUADALUPE_96x96.pdf) | [Link](https://www.miraclehunter.com/marian_apparitions/approved_apparitions/guadalupe/index.html) | [Link](https://www.marypages.com/guadalupe-(mexico).html) |_x000D_
_x000D_
_x000D_
</v>
      </c>
      <c r="BX41" s="117" t="str">
        <f>IF(LEN(N41)&gt;1,concatll("#### Author's Note",N41,"-"&amp;B41),"")</f>
        <v/>
      </c>
      <c r="BY41" s="117" t="s">
        <v>53</v>
      </c>
      <c r="BZ41" s="117" t="s">
        <v>53</v>
      </c>
      <c r="CA41" s="6" t="str">
        <f>IF(AS41,concatll(concatl("---",AT41:AV41,BL41,"---"),M41,BW41:BX41),"")</f>
        <v xml:space="preserve">---_x000D_
title: "Basilica of Our Lady of Guadalupe"_x000D_
location: {lat: 19.4834328, lng: -99.1174103}_x000D_
interest: global_x000D_
tags:
- mx_x000D_
- mexico-city_x000D_
- churches_x000D_
- marian-sites_x000D_
- holy-persons_x000D_
- juan-diego_x000D_
_x000D_
---_x000D_
_x000D_
_x000D_
In December 1531, the Virgin Mary appeared to St. Juan Diego and his uncle.  The miraculous image imprinted on Juan Diego's tilma is on display at the Basilica of Our Lady of Guadalupe, which is the most-visited Catholic shrine in the world._x000D_
_x000D_
#### More Information_x000D_
_x000D_
* [Official site](https://virgendeguadalupe.org.mx/)
_x000D_
_x000D_
| The Real Presence | Miracle Hunter | MaryPages |_x000D_
| --- | --- | --- |_x000D_
| [Link](http://www.therealpresence.org/eucharst/misc/BVM/70_GUADALUPE_96x96.pdf) | [Link](https://www.miraclehunter.com/marian_apparitions/approved_apparitions/guadalupe/index.html) | [Link](https://www.marypages.com/guadalupe-(mexico).html) |_x000D_
_x000D_
_x000D_
_x000D_
_x000D_
</v>
      </c>
      <c r="CB41" s="6" t="str">
        <f>IF(AS41,"places\"&amp;VLOOKUP(C41,'Country Tags'!C:D,2,)&amp;IF(LEN(D41)&gt;1,"-"&amp;LOWER(SUBSTITUTE(D41," ","-")),"")&amp;"-"&amp;LOWER(SUBSTITUTE(SUBSTITUTE(H41," ","-"),".",""))&amp;".md","")</f>
        <v>places\mx-mexico-city-basilica-of-our-lady-of-guadalupe.md</v>
      </c>
      <c r="CC41" s="6"/>
      <c r="CD41" s="21" t="e">
        <f>IF(LEN(Z41)&gt;1,VLOOKUP(Z41,#REF!,2,),"")</f>
        <v>#REF!</v>
      </c>
      <c r="CE41" s="21" t="str">
        <f>IF(LEN(AA41)&gt;1,VLOOKUP(AA41,#REF!,2,),"")</f>
        <v/>
      </c>
      <c r="CF41" s="21" t="str">
        <f>IF(LEN(AB41)&gt;1,VLOOKUP(AB41,#REF!,2,),"")</f>
        <v/>
      </c>
      <c r="CG41" s="13" t="e">
        <f>IF(LEN(Z41)&gt;1,GetTagPage(CD41,Z41),"")</f>
        <v>#VALUE!</v>
      </c>
      <c r="CH41" s="13" t="str">
        <f>IF(LEN(AA41)&gt;1,GetTagPage(CE41,AA41),"")</f>
        <v/>
      </c>
      <c r="CI41" s="13" t="str">
        <f>IF(LEN(AB41)&gt;1,GetTagPage(CF41,AB41),"")</f>
        <v/>
      </c>
      <c r="CJ41" s="13" t="e">
        <f t="shared" si="90"/>
        <v>#VALUE!</v>
      </c>
      <c r="CK41" s="13" t="str">
        <f t="shared" si="91"/>
        <v xml:space="preserve">| [Guadalupe](/places/places\mx-mexico-city-basilica-of-our-lady-of-guadalupe) </v>
      </c>
      <c r="CL41" s="13" t="str">
        <f>"| "&amp;IF(AS41,GetTagPage(C41,VLOOKUP(C41,'Country Tags'!C:E,3,)),C41)&amp; " "</f>
        <v xml:space="preserve">| [Mexico](/tags/mx) </v>
      </c>
      <c r="CM41" s="13" t="str">
        <f t="shared" si="92"/>
        <v xml:space="preserve">| 1531 </v>
      </c>
      <c r="CN41" s="13" t="str">
        <f t="shared" si="93"/>
        <v xml:space="preserve">| [Link](/places/places\mx-mexico-city-basilica-of-our-lady-of-guadalupe) </v>
      </c>
      <c r="CO41" s="12" t="e">
        <f t="shared" si="94"/>
        <v>#VALUE!</v>
      </c>
    </row>
    <row r="42" spans="1:93" ht="38.25" x14ac:dyDescent="0.25">
      <c r="A42" s="129" t="s">
        <v>786</v>
      </c>
      <c r="B42" s="7" t="s">
        <v>1654</v>
      </c>
      <c r="C42" s="7" t="s">
        <v>344</v>
      </c>
      <c r="D42" s="7" t="s">
        <v>942</v>
      </c>
      <c r="E42" s="1">
        <v>19.422522000000001</v>
      </c>
      <c r="F42" s="30">
        <v>-99.160942700000007</v>
      </c>
      <c r="G42" s="7" t="s">
        <v>1057</v>
      </c>
      <c r="H42" s="61" t="s">
        <v>1058</v>
      </c>
      <c r="I42" s="55" t="s">
        <v>941</v>
      </c>
      <c r="J42" s="7" t="b">
        <v>1</v>
      </c>
      <c r="L42" s="7" t="b">
        <v>1</v>
      </c>
      <c r="M42" s="55" t="s">
        <v>1059</v>
      </c>
      <c r="P42" s="1" t="s">
        <v>53</v>
      </c>
      <c r="Z42" s="62" t="s">
        <v>1060</v>
      </c>
      <c r="AA42" s="62" t="s">
        <v>1230</v>
      </c>
      <c r="AS42" s="116" t="b">
        <f t="shared" si="66"/>
        <v>1</v>
      </c>
      <c r="AT42" s="117" t="str">
        <f t="shared" si="67"/>
        <v>title: "Church of the Holy Family (La Sagrada Familia), Mexico City"</v>
      </c>
      <c r="AU42" s="117" t="str">
        <f t="shared" si="68"/>
        <v>location: {lat: 19.422522, lng: -99.1609427}</v>
      </c>
      <c r="AV42" s="117" t="str">
        <f t="shared" si="69"/>
        <v>interest: regional</v>
      </c>
      <c r="AW42" s="117" t="str">
        <f>"- "&amp;VLOOKUP(C42,'Country Tags'!C:E,3,)</f>
        <v>- mx</v>
      </c>
      <c r="AX42" s="117" t="str">
        <f t="shared" si="70"/>
        <v>- mexico-city</v>
      </c>
      <c r="AY42" s="117" t="str">
        <f t="shared" si="71"/>
        <v>- churches</v>
      </c>
      <c r="AZ42" s="117" t="str">
        <f t="shared" si="72"/>
        <v/>
      </c>
      <c r="BA42" s="117" t="str">
        <f t="shared" si="73"/>
        <v>- holy-persons</v>
      </c>
      <c r="BB42" s="117" t="str">
        <f t="shared" si="74"/>
        <v>- miguel-pro</v>
      </c>
      <c r="BC42" s="117" t="str">
        <f t="shared" si="75"/>
        <v>- jesuits</v>
      </c>
      <c r="BD42" s="117" t="str">
        <f t="shared" si="76"/>
        <v/>
      </c>
      <c r="BE42" s="117" t="str">
        <f t="shared" si="77"/>
        <v/>
      </c>
      <c r="BF42" s="117" t="str">
        <f t="shared" si="78"/>
        <v/>
      </c>
      <c r="BG42" s="117" t="str">
        <f t="shared" si="79"/>
        <v/>
      </c>
      <c r="BH42" s="117" t="str">
        <f t="shared" si="80"/>
        <v/>
      </c>
      <c r="BI42" s="117" t="str">
        <f t="shared" si="81"/>
        <v/>
      </c>
      <c r="BJ42" s="117" t="str">
        <f t="shared" si="82"/>
        <v/>
      </c>
      <c r="BK42" s="117" t="str">
        <f t="shared" si="83"/>
        <v/>
      </c>
      <c r="BL42" s="117" t="str">
        <f t="shared" si="84"/>
        <v xml:space="preserve">tags:
- mx_x000D_
- mexico-city_x000D_
- churches_x000D_
- holy-persons_x000D_
- miguel-pro_x000D_
- jesuits_x000D_
</v>
      </c>
      <c r="BM42" s="120" t="str">
        <f t="shared" si="62"/>
        <v/>
      </c>
      <c r="BN42" s="120" t="str">
        <f t="shared" si="63"/>
        <v/>
      </c>
      <c r="BO42" s="120" t="str">
        <f t="shared" si="64"/>
        <v/>
      </c>
      <c r="BP42" s="120" t="str">
        <f t="shared" si="65"/>
        <v/>
      </c>
      <c r="BQ42" s="117" t="str">
        <f t="shared" si="85"/>
        <v/>
      </c>
      <c r="BR42" s="117" t="str">
        <f t="shared" si="86"/>
        <v/>
      </c>
      <c r="BS42" s="117" t="str">
        <f t="shared" si="87"/>
        <v/>
      </c>
      <c r="BT42" s="117" t="str">
        <f t="shared" si="88"/>
        <v/>
      </c>
      <c r="BU42" s="117" t="str">
        <f>IF(LEN(concat(BR42:BT42))&gt;0,concat("| ",BR42," | ",BS42," | ",BT42," |"),"")</f>
        <v/>
      </c>
      <c r="BV42" s="117" t="str">
        <f t="shared" si="89"/>
        <v/>
      </c>
      <c r="BW42" s="117" t="str">
        <f>IF(LEN(BQ42&amp;BV42)&gt;0,concatll("#### More Information",BQ42,BV42),"")</f>
        <v/>
      </c>
      <c r="BX42" s="117" t="str">
        <f>IF(LEN(N42)&gt;1,concatll("#### Author's Note",N42,"-"&amp;B42),"")</f>
        <v/>
      </c>
      <c r="BY42" s="117" t="s">
        <v>53</v>
      </c>
      <c r="BZ42" s="117" t="s">
        <v>53</v>
      </c>
      <c r="CA42" s="6" t="str">
        <f>IF(AS42,concatll(concatl("---",AT42:AV42,BL42,"---"),M42,BW42:BX42),"")</f>
        <v xml:space="preserve">---_x000D_
title: "Church of the Holy Family (La Sagrada Familia), Mexico City"_x000D_
location: {lat: 19.422522, lng: -99.1609427}_x000D_
interest: regional_x000D_
tags:
- mx_x000D_
- mexico-city_x000D_
- churches_x000D_
- holy-persons_x000D_
- miguel-pro_x000D_
- jesuits_x000D_
_x000D_
---_x000D_
_x000D_
_x000D_
This church, aside from being incredibly beautiful, is where Bl. Miguel Pro's remains are kept, to the right of the main altar.  His funeral procession passed in front of this church, though we are not sure if he had a funeral here._x000D_
_x000D_
</v>
      </c>
      <c r="CB42" s="6" t="str">
        <f>IF(AS42,"places\"&amp;VLOOKUP(C42,'Country Tags'!C:D,2,)&amp;IF(LEN(D42)&gt;1,"-"&amp;LOWER(SUBSTITUTE(D42," ","-")),"")&amp;"-"&amp;LOWER(SUBSTITUTE(SUBSTITUTE(H42," ","-"),".",""))&amp;".md","")</f>
        <v>places\mx-mexico-city-la-sagrada-familia.md</v>
      </c>
      <c r="CC42" s="6"/>
      <c r="CD42" s="12" t="e">
        <f>IF(LEN(Z42)&gt;1,VLOOKUP(Z42,#REF!,2,),"")</f>
        <v>#REF!</v>
      </c>
      <c r="CE42" s="12" t="e">
        <f>IF(LEN(AA42)&gt;1,VLOOKUP(AA42,#REF!,2,),"")</f>
        <v>#REF!</v>
      </c>
      <c r="CF42" s="12" t="str">
        <f>IF(LEN(AB42)&gt;1,VLOOKUP(AB42,#REF!,2,),"")</f>
        <v/>
      </c>
      <c r="CG42" s="12" t="e">
        <f>IF(LEN(Z42)&gt;1,GetTagPage(CD42,Z42),"")</f>
        <v>#VALUE!</v>
      </c>
      <c r="CH42" s="12" t="e">
        <f>IF(LEN(AA42)&gt;1,GetTagPage(CE42,AA42),"")</f>
        <v>#VALUE!</v>
      </c>
      <c r="CI42" s="12" t="str">
        <f>IF(LEN(AB42)&gt;1,GetTagPage(CF42,AB42),"")</f>
        <v/>
      </c>
      <c r="CJ42" s="12" t="e">
        <f t="shared" si="90"/>
        <v>#VALUE!</v>
      </c>
      <c r="CK42" s="12" t="str">
        <f t="shared" si="91"/>
        <v xml:space="preserve">| [](/places/places\mx-mexico-city-la-sagrada-familia) </v>
      </c>
      <c r="CL42" s="13" t="str">
        <f>"| "&amp;IF(AS42,GetTagPage(C42,VLOOKUP(C42,'Country Tags'!C:E,3,)),C42)&amp; " "</f>
        <v xml:space="preserve">| [Mexico](/tags/mx) </v>
      </c>
      <c r="CM42" s="12" t="str">
        <f t="shared" si="92"/>
        <v xml:space="preserve">|  </v>
      </c>
      <c r="CN42" s="12" t="str">
        <f t="shared" si="93"/>
        <v xml:space="preserve">| [Link](/places/places\mx-mexico-city-la-sagrada-familia) </v>
      </c>
      <c r="CO42" s="12" t="e">
        <f t="shared" si="94"/>
        <v>#VALUE!</v>
      </c>
    </row>
    <row r="43" spans="1:93" ht="51" x14ac:dyDescent="0.25">
      <c r="A43" s="129" t="s">
        <v>786</v>
      </c>
      <c r="B43" s="7" t="s">
        <v>1654</v>
      </c>
      <c r="C43" s="7" t="s">
        <v>344</v>
      </c>
      <c r="D43" s="7" t="s">
        <v>942</v>
      </c>
      <c r="E43" s="1">
        <v>19.436178000000002</v>
      </c>
      <c r="F43" s="30">
        <v>-99.150290999999996</v>
      </c>
      <c r="G43" s="55" t="s">
        <v>1064</v>
      </c>
      <c r="H43" s="61" t="s">
        <v>1062</v>
      </c>
      <c r="I43" s="55" t="s">
        <v>941</v>
      </c>
      <c r="L43" s="7" t="b">
        <v>1</v>
      </c>
      <c r="M43" s="55" t="s">
        <v>1063</v>
      </c>
      <c r="N43" s="139" t="s">
        <v>1677</v>
      </c>
      <c r="P43" s="1" t="s">
        <v>53</v>
      </c>
      <c r="Z43" s="1" t="s">
        <v>1060</v>
      </c>
      <c r="AA43" s="1" t="s">
        <v>1230</v>
      </c>
      <c r="AS43" s="116" t="b">
        <f t="shared" si="66"/>
        <v>1</v>
      </c>
      <c r="AT43" s="117" t="str">
        <f t="shared" si="67"/>
        <v>title: "Site of Bl. Miguel Pro's Martyrdom"</v>
      </c>
      <c r="AU43" s="117" t="str">
        <f t="shared" si="68"/>
        <v>location: {lat: 19.436178, lng: -99.150291}</v>
      </c>
      <c r="AV43" s="117" t="str">
        <f t="shared" si="69"/>
        <v>interest: regional</v>
      </c>
      <c r="AW43" s="117" t="str">
        <f>"- "&amp;VLOOKUP(C43,'Country Tags'!C:E,3,)</f>
        <v>- mx</v>
      </c>
      <c r="AX43" s="117" t="str">
        <f t="shared" si="70"/>
        <v>- mexico-city</v>
      </c>
      <c r="AY43" s="117" t="str">
        <f t="shared" si="71"/>
        <v/>
      </c>
      <c r="AZ43" s="117" t="str">
        <f t="shared" si="72"/>
        <v/>
      </c>
      <c r="BA43" s="117" t="str">
        <f t="shared" si="73"/>
        <v>- holy-persons</v>
      </c>
      <c r="BB43" s="117" t="str">
        <f t="shared" si="74"/>
        <v>- miguel-pro</v>
      </c>
      <c r="BC43" s="117" t="str">
        <f t="shared" si="75"/>
        <v>- jesuits</v>
      </c>
      <c r="BD43" s="117" t="str">
        <f t="shared" si="76"/>
        <v/>
      </c>
      <c r="BE43" s="117" t="str">
        <f t="shared" si="77"/>
        <v/>
      </c>
      <c r="BF43" s="117" t="str">
        <f t="shared" si="78"/>
        <v/>
      </c>
      <c r="BG43" s="117" t="str">
        <f t="shared" si="79"/>
        <v/>
      </c>
      <c r="BH43" s="117" t="str">
        <f t="shared" si="80"/>
        <v/>
      </c>
      <c r="BI43" s="117" t="str">
        <f t="shared" si="81"/>
        <v/>
      </c>
      <c r="BJ43" s="117" t="str">
        <f t="shared" si="82"/>
        <v/>
      </c>
      <c r="BK43" s="117" t="str">
        <f t="shared" si="83"/>
        <v/>
      </c>
      <c r="BL43" s="117" t="str">
        <f t="shared" si="84"/>
        <v xml:space="preserve">tags:
- mx_x000D_
- mexico-city_x000D_
- holy-persons_x000D_
- miguel-pro_x000D_
- jesuits_x000D_
</v>
      </c>
      <c r="BM43" s="120" t="str">
        <f t="shared" si="62"/>
        <v/>
      </c>
      <c r="BN43" s="120" t="str">
        <f t="shared" si="63"/>
        <v/>
      </c>
      <c r="BO43" s="120" t="str">
        <f t="shared" si="64"/>
        <v/>
      </c>
      <c r="BP43" s="120" t="str">
        <f t="shared" si="65"/>
        <v/>
      </c>
      <c r="BQ43" s="117" t="str">
        <f t="shared" si="85"/>
        <v/>
      </c>
      <c r="BR43" s="117" t="str">
        <f t="shared" si="86"/>
        <v/>
      </c>
      <c r="BS43" s="117" t="str">
        <f t="shared" si="87"/>
        <v/>
      </c>
      <c r="BT43" s="117" t="str">
        <f t="shared" si="88"/>
        <v/>
      </c>
      <c r="BU43" s="117" t="str">
        <f>IF(LEN(concat(BR43:BT43))&gt;0,concat("| ",BR43," | ",BS43," | ",BT43," |"),"")</f>
        <v/>
      </c>
      <c r="BV43" s="117" t="str">
        <f t="shared" si="89"/>
        <v/>
      </c>
      <c r="BW43" s="117" t="str">
        <f>IF(LEN(BQ43&amp;BV43)&gt;0,concatll("#### More Information",BQ43,BV43),"")</f>
        <v/>
      </c>
      <c r="BX43" s="117" t="str">
        <f>IF(LEN(N43)&gt;1,concatll("#### Author's Note",N43,"-"&amp;B43),"")</f>
        <v xml:space="preserve">#### Author's Note_x000D_
_x000D_
Across the street, a bit above head level, is a commemerative plaque on the restaurant.  The restaurant is owned by a Catholic family who provide information on Bl. Miguel Pro._x000D_
_x000D_
-JPY_x000D_
_x000D_
</v>
      </c>
      <c r="BY43" s="117" t="s">
        <v>53</v>
      </c>
      <c r="BZ43" s="117" t="s">
        <v>53</v>
      </c>
      <c r="CA43" s="6" t="str">
        <f>IF(AS43,concatll(concatl("---",AT43:AV43,BL43,"---"),M43,BW43:BX43),"")</f>
        <v xml:space="preserve">---_x000D_
title: "Site of Bl. Miguel Pro's Martyrdom"_x000D_
location: {lat: 19.436178, lng: -99.150291}_x000D_
interest: regional_x000D_
tags:
- mx_x000D_
- mexico-city_x000D_
- holy-persons_x000D_
- miguel-pro_x000D_
- jesuits_x000D_
_x000D_
---_x000D_
_x000D_
_x000D_
At this site, where an outdoor short stairway stands on the lottery building, is the site where Bl. Miguel Pro was martyred by firing squad.  These buildings were all built since that time._x000D_
_x000D_
#### Author's Note_x000D_
_x000D_
Across the street, a bit above head level, is a commemerative plaque on the restaurant.  The restaurant is owned by a Catholic family who provide information on Bl. Miguel Pro._x000D_
_x000D_
-JPY_x000D_
_x000D_
_x000D_
_x000D_
</v>
      </c>
      <c r="CB43" s="6" t="str">
        <f>IF(AS43,"places\"&amp;VLOOKUP(C43,'Country Tags'!C:D,2,)&amp;IF(LEN(D43)&gt;1,"-"&amp;LOWER(SUBSTITUTE(D43," ","-")),"")&amp;"-"&amp;LOWER(SUBSTITUTE(SUBSTITUTE(H43," ","-"),".",""))&amp;".md","")</f>
        <v>places\mx-mexico-city-miguel-pro-martyrdom-site.md</v>
      </c>
      <c r="CC43" s="6"/>
      <c r="CD43" s="12" t="e">
        <f>IF(LEN(Z43)&gt;1,VLOOKUP(Z43,#REF!,2,),"")</f>
        <v>#REF!</v>
      </c>
      <c r="CE43" s="12" t="e">
        <f>IF(LEN(AA43)&gt;1,VLOOKUP(AA43,#REF!,2,),"")</f>
        <v>#REF!</v>
      </c>
      <c r="CF43" s="12" t="str">
        <f>IF(LEN(AB43)&gt;1,VLOOKUP(AB43,#REF!,2,),"")</f>
        <v/>
      </c>
      <c r="CG43" s="12" t="e">
        <f>IF(LEN(Z43)&gt;1,GetTagPage(CD43,Z43),"")</f>
        <v>#VALUE!</v>
      </c>
      <c r="CH43" s="12" t="e">
        <f>IF(LEN(AA43)&gt;1,GetTagPage(CE43,AA43),"")</f>
        <v>#VALUE!</v>
      </c>
      <c r="CI43" s="12" t="str">
        <f>IF(LEN(AB43)&gt;1,GetTagPage(CF43,AB43),"")</f>
        <v/>
      </c>
      <c r="CJ43" s="12" t="e">
        <f t="shared" si="90"/>
        <v>#VALUE!</v>
      </c>
      <c r="CK43" s="12" t="str">
        <f t="shared" si="91"/>
        <v xml:space="preserve">| [](/places/places\mx-mexico-city-miguel-pro-martyrdom-site) </v>
      </c>
      <c r="CL43" s="13" t="str">
        <f>"| "&amp;IF(AS43,GetTagPage(C43,VLOOKUP(C43,'Country Tags'!C:E,3,)),C43)&amp; " "</f>
        <v xml:space="preserve">| [Mexico](/tags/mx) </v>
      </c>
      <c r="CM43" s="12" t="str">
        <f t="shared" si="92"/>
        <v xml:space="preserve">|  </v>
      </c>
      <c r="CN43" s="12" t="str">
        <f t="shared" si="93"/>
        <v xml:space="preserve">| [Link](/places/places\mx-mexico-city-miguel-pro-martyrdom-site) </v>
      </c>
      <c r="CO43" s="12" t="e">
        <f t="shared" si="94"/>
        <v>#VALUE!</v>
      </c>
    </row>
    <row r="44" spans="1:93" ht="76.5" x14ac:dyDescent="0.25">
      <c r="A44" s="129" t="s">
        <v>786</v>
      </c>
      <c r="B44" s="7" t="s">
        <v>1654</v>
      </c>
      <c r="C44" s="7" t="s">
        <v>344</v>
      </c>
      <c r="D44" s="7" t="s">
        <v>942</v>
      </c>
      <c r="E44" s="1">
        <v>19.4224</v>
      </c>
      <c r="F44" s="30">
        <v>-99.16095</v>
      </c>
      <c r="G44" s="55" t="s">
        <v>1065</v>
      </c>
      <c r="H44" s="61" t="s">
        <v>1066</v>
      </c>
      <c r="I44" s="7" t="s">
        <v>941</v>
      </c>
      <c r="L44" s="7" t="b">
        <v>1</v>
      </c>
      <c r="M44" s="55" t="s">
        <v>1067</v>
      </c>
      <c r="N44" s="139" t="s">
        <v>1678</v>
      </c>
      <c r="P44" s="1" t="s">
        <v>53</v>
      </c>
      <c r="Z44" s="1" t="s">
        <v>1060</v>
      </c>
      <c r="AA44" s="1" t="s">
        <v>1230</v>
      </c>
      <c r="AS44" s="116" t="b">
        <f t="shared" si="66"/>
        <v>1</v>
      </c>
      <c r="AT44" s="117" t="str">
        <f t="shared" si="67"/>
        <v>title: "Museum of Bl. Miguel Agustin Pro"</v>
      </c>
      <c r="AU44" s="117" t="str">
        <f t="shared" si="68"/>
        <v>location: {lat: 19.4224, lng: -99.16095}</v>
      </c>
      <c r="AV44" s="117" t="str">
        <f t="shared" si="69"/>
        <v>interest: regional</v>
      </c>
      <c r="AW44" s="117" t="str">
        <f>"- "&amp;VLOOKUP(C44,'Country Tags'!C:E,3,)</f>
        <v>- mx</v>
      </c>
      <c r="AX44" s="117" t="str">
        <f t="shared" si="70"/>
        <v>- mexico-city</v>
      </c>
      <c r="AY44" s="117" t="str">
        <f t="shared" si="71"/>
        <v/>
      </c>
      <c r="AZ44" s="117" t="str">
        <f t="shared" si="72"/>
        <v/>
      </c>
      <c r="BA44" s="117" t="str">
        <f t="shared" si="73"/>
        <v>- holy-persons</v>
      </c>
      <c r="BB44" s="117" t="str">
        <f t="shared" si="74"/>
        <v>- miguel-pro</v>
      </c>
      <c r="BC44" s="117" t="str">
        <f t="shared" si="75"/>
        <v>- jesuits</v>
      </c>
      <c r="BD44" s="117" t="str">
        <f t="shared" si="76"/>
        <v/>
      </c>
      <c r="BE44" s="117" t="str">
        <f t="shared" si="77"/>
        <v/>
      </c>
      <c r="BF44" s="117" t="str">
        <f t="shared" si="78"/>
        <v/>
      </c>
      <c r="BG44" s="117" t="str">
        <f t="shared" si="79"/>
        <v/>
      </c>
      <c r="BH44" s="117" t="str">
        <f t="shared" si="80"/>
        <v/>
      </c>
      <c r="BI44" s="117" t="str">
        <f t="shared" si="81"/>
        <v/>
      </c>
      <c r="BJ44" s="117" t="str">
        <f t="shared" si="82"/>
        <v/>
      </c>
      <c r="BK44" s="117" t="str">
        <f t="shared" si="83"/>
        <v/>
      </c>
      <c r="BL44" s="117" t="str">
        <f t="shared" si="84"/>
        <v xml:space="preserve">tags:
- mx_x000D_
- mexico-city_x000D_
- holy-persons_x000D_
- miguel-pro_x000D_
- jesuits_x000D_
</v>
      </c>
      <c r="BM44" s="120" t="str">
        <f t="shared" si="62"/>
        <v/>
      </c>
      <c r="BN44" s="120" t="str">
        <f t="shared" si="63"/>
        <v/>
      </c>
      <c r="BO44" s="120" t="str">
        <f t="shared" si="64"/>
        <v/>
      </c>
      <c r="BP44" s="120" t="str">
        <f t="shared" si="65"/>
        <v/>
      </c>
      <c r="BQ44" s="117" t="str">
        <f t="shared" si="85"/>
        <v/>
      </c>
      <c r="BR44" s="117" t="str">
        <f t="shared" si="86"/>
        <v/>
      </c>
      <c r="BS44" s="117" t="str">
        <f t="shared" si="87"/>
        <v/>
      </c>
      <c r="BT44" s="117" t="str">
        <f t="shared" si="88"/>
        <v/>
      </c>
      <c r="BU44" s="117" t="str">
        <f>IF(LEN(concat(BR44:BT44))&gt;0,concat("| ",BR44," | ",BS44," | ",BT44," |"),"")</f>
        <v/>
      </c>
      <c r="BV44" s="117" t="str">
        <f t="shared" si="89"/>
        <v/>
      </c>
      <c r="BW44" s="117" t="str">
        <f>IF(LEN(BQ44&amp;BV44)&gt;0,concatll("#### More Information",BQ44,BV44),"")</f>
        <v/>
      </c>
      <c r="BX44" s="117" t="str">
        <f>IF(LEN(N44)&gt;1,concatll("#### Author's Note",N44,"-"&amp;B44),"")</f>
        <v xml:space="preserve">#### Author's Note_x000D_
_x000D_
The hours are rather strange: certain days of the week in the middle of the day.  The entrance is to the left of the entrance to La Sagrada Familia.  The gift shop is also excellent._x000D_
_x000D_
-JPY_x000D_
_x000D_
</v>
      </c>
      <c r="BY44" s="117" t="s">
        <v>53</v>
      </c>
      <c r="BZ44" s="117" t="s">
        <v>53</v>
      </c>
      <c r="CA44" s="6" t="str">
        <f>IF(AS44,concatll(concatl("---",AT44:AV44,BL44,"---"),M44,BW44:BX44),"")</f>
        <v xml:space="preserve">---_x000D_
title: "Museum of Bl. Miguel Agustin Pro"_x000D_
location: {lat: 19.4224, lng: -99.16095}_x000D_
interest: regional_x000D_
tags:
- mx_x000D_
- mexico-city_x000D_
- holy-persons_x000D_
- miguel-pro_x000D_
- jesuits_x000D_
_x000D_
---_x000D_
_x000D_
_x000D_
This museum contains many of Bl. Miguel Pro's personal belongings, including cassocks, vestments, the suit he was shot in, and the cot where he slept the night before his martyrdom.
The location of Fr. Pro's arrest appears to be unknown, but the location of his martyrdom is known._x000D_
_x000D_
#### Author's Note_x000D_
_x000D_
The hours are rather strange: certain days of the week in the middle of the day.  The entrance is to the left of the entrance to La Sagrada Familia.  The gift shop is also excellent._x000D_
_x000D_
-JPY_x000D_
_x000D_
_x000D_
_x000D_
</v>
      </c>
      <c r="CB44" s="6" t="str">
        <f>IF(AS44,"places\"&amp;VLOOKUP(C44,'Country Tags'!C:D,2,)&amp;IF(LEN(D44)&gt;1,"-"&amp;LOWER(SUBSTITUTE(D44," ","-")),"")&amp;"-"&amp;LOWER(SUBSTITUTE(SUBSTITUTE(H44," ","-"),".",""))&amp;".md","")</f>
        <v>places\mx-mexico-city-miguel-pro-museum.md</v>
      </c>
      <c r="CC44" s="6"/>
      <c r="CD44" s="12" t="e">
        <f>IF(LEN(Z44)&gt;1,VLOOKUP(Z44,#REF!,2,),"")</f>
        <v>#REF!</v>
      </c>
      <c r="CE44" s="12" t="e">
        <f>IF(LEN(AA44)&gt;1,VLOOKUP(AA44,#REF!,2,),"")</f>
        <v>#REF!</v>
      </c>
      <c r="CF44" s="12" t="str">
        <f>IF(LEN(AB44)&gt;1,VLOOKUP(AB44,#REF!,2,),"")</f>
        <v/>
      </c>
      <c r="CG44" s="12" t="e">
        <f>IF(LEN(Z44)&gt;1,GetTagPage(CD44,Z44),"")</f>
        <v>#VALUE!</v>
      </c>
      <c r="CH44" s="12" t="e">
        <f>IF(LEN(AA44)&gt;1,GetTagPage(CE44,AA44),"")</f>
        <v>#VALUE!</v>
      </c>
      <c r="CI44" s="12" t="str">
        <f>IF(LEN(AB44)&gt;1,GetTagPage(CF44,AB44),"")</f>
        <v/>
      </c>
      <c r="CJ44" s="12" t="e">
        <f t="shared" si="90"/>
        <v>#VALUE!</v>
      </c>
      <c r="CK44" s="12" t="str">
        <f t="shared" si="91"/>
        <v xml:space="preserve">| [](/places/places\mx-mexico-city-miguel-pro-museum) </v>
      </c>
      <c r="CL44" s="13" t="str">
        <f>"| "&amp;IF(AS44,GetTagPage(C44,VLOOKUP(C44,'Country Tags'!C:E,3,)),C44)&amp; " "</f>
        <v xml:space="preserve">| [Mexico](/tags/mx) </v>
      </c>
      <c r="CM44" s="12" t="str">
        <f t="shared" si="92"/>
        <v xml:space="preserve">|  </v>
      </c>
      <c r="CN44" s="12" t="str">
        <f t="shared" si="93"/>
        <v xml:space="preserve">| [Link](/places/places\mx-mexico-city-miguel-pro-museum) </v>
      </c>
      <c r="CO44" s="12" t="e">
        <f t="shared" si="94"/>
        <v>#VALUE!</v>
      </c>
    </row>
    <row r="45" spans="1:93" ht="63.75" x14ac:dyDescent="0.25">
      <c r="A45" s="129" t="s">
        <v>786</v>
      </c>
      <c r="B45" s="7" t="s">
        <v>1653</v>
      </c>
      <c r="C45" s="7" t="s">
        <v>363</v>
      </c>
      <c r="E45" s="1">
        <v>16.0440593284094</v>
      </c>
      <c r="F45" s="30">
        <v>120.488325579597</v>
      </c>
      <c r="G45" s="7" t="s">
        <v>841</v>
      </c>
      <c r="H45" s="33" t="s">
        <v>842</v>
      </c>
      <c r="I45" s="7" t="s">
        <v>919</v>
      </c>
      <c r="J45" s="23" t="b">
        <v>1</v>
      </c>
      <c r="K45" s="7" t="b">
        <v>1</v>
      </c>
      <c r="M45" s="130" t="s">
        <v>1693</v>
      </c>
      <c r="O45" s="1" t="s">
        <v>843</v>
      </c>
      <c r="P45" s="1" t="s">
        <v>53</v>
      </c>
      <c r="Z45" s="1" t="s">
        <v>53</v>
      </c>
      <c r="AJ45" s="56" t="s">
        <v>770</v>
      </c>
      <c r="AK45" s="57">
        <v>1610</v>
      </c>
      <c r="AL45" s="1" t="s">
        <v>28</v>
      </c>
      <c r="AM45" s="1" t="s">
        <v>53</v>
      </c>
      <c r="AN45" s="1" t="s">
        <v>844</v>
      </c>
      <c r="AO45" s="1" t="s">
        <v>53</v>
      </c>
      <c r="AP45" s="1" t="s">
        <v>53</v>
      </c>
      <c r="AQ45" s="30" t="s">
        <v>53</v>
      </c>
      <c r="AS45" s="116" t="b">
        <f t="shared" si="66"/>
        <v>1</v>
      </c>
      <c r="AT45" s="117" t="str">
        <f t="shared" si="67"/>
        <v>title: "Minor Basilica of Our Lady of the Rosary of Manaoag"</v>
      </c>
      <c r="AU45" s="117" t="str">
        <f t="shared" si="68"/>
        <v>location: {lat: 16.0440593284094, lng: 120.488325579597}</v>
      </c>
      <c r="AV45" s="117" t="str">
        <f t="shared" si="69"/>
        <v>interest: global</v>
      </c>
      <c r="AW45" s="117" t="str">
        <f>"- "&amp;VLOOKUP(C45,'Country Tags'!C:E,3,)</f>
        <v>- ph</v>
      </c>
      <c r="AX45" s="117" t="str">
        <f t="shared" si="70"/>
        <v/>
      </c>
      <c r="AY45" s="117" t="str">
        <f t="shared" si="71"/>
        <v>- churches</v>
      </c>
      <c r="AZ45" s="117" t="str">
        <f t="shared" si="72"/>
        <v>- marian-sites</v>
      </c>
      <c r="BA45" s="117" t="str">
        <f t="shared" si="73"/>
        <v/>
      </c>
      <c r="BB45" s="117" t="str">
        <f t="shared" si="74"/>
        <v/>
      </c>
      <c r="BC45" s="117" t="str">
        <f t="shared" si="75"/>
        <v/>
      </c>
      <c r="BD45" s="117" t="str">
        <f t="shared" si="76"/>
        <v/>
      </c>
      <c r="BE45" s="117" t="str">
        <f t="shared" si="77"/>
        <v/>
      </c>
      <c r="BF45" s="117" t="str">
        <f t="shared" si="78"/>
        <v/>
      </c>
      <c r="BG45" s="117" t="str">
        <f t="shared" si="79"/>
        <v/>
      </c>
      <c r="BH45" s="117" t="str">
        <f t="shared" si="80"/>
        <v/>
      </c>
      <c r="BI45" s="117" t="str">
        <f t="shared" si="81"/>
        <v/>
      </c>
      <c r="BJ45" s="117" t="str">
        <f t="shared" si="82"/>
        <v/>
      </c>
      <c r="BK45" s="117" t="str">
        <f t="shared" si="83"/>
        <v/>
      </c>
      <c r="BL45" s="117" t="str">
        <f t="shared" si="84"/>
        <v xml:space="preserve">tags:
- ph_x000D_
- churches_x000D_
- marian-sites_x000D_
</v>
      </c>
      <c r="BM45" s="120" t="str">
        <f t="shared" si="62"/>
        <v>[Official site](https://www.manaoagminorbasilica.org/)</v>
      </c>
      <c r="BN45" s="120" t="str">
        <f t="shared" si="63"/>
        <v/>
      </c>
      <c r="BO45" s="120" t="str">
        <f t="shared" si="64"/>
        <v/>
      </c>
      <c r="BP45" s="120" t="str">
        <f t="shared" si="65"/>
        <v/>
      </c>
      <c r="BQ45" s="120" t="str">
        <f t="shared" si="85"/>
        <v xml:space="preserve">* [Official site](https://www.manaoagminorbasilica.org/)
</v>
      </c>
      <c r="BR45" s="120" t="str">
        <f t="shared" si="86"/>
        <v>[Link](http://www.therealpresence.org/eucharst/misc/BVM/88_MANAOAG_60x96.pdf)</v>
      </c>
      <c r="BS45" s="120" t="str">
        <f t="shared" si="87"/>
        <v>[Link](https://www.miraclehunter.com/marian_apparitions/approved_apparitions/manaoag/index.html)</v>
      </c>
      <c r="BT45" s="120" t="str">
        <f t="shared" si="88"/>
        <v/>
      </c>
      <c r="BU45" s="120" t="str">
        <f>IF(LEN(concat(BR45:BT45))&gt;0,concat("| ",BR45," | ",BS45," | ",BT45," |"),"")</f>
        <v>| [Link](http://www.therealpresence.org/eucharst/misc/BVM/88_MANAOAG_60x96.pdf) | [Link](https://www.miraclehunter.com/marian_apparitions/approved_apparitions/manaoag/index.html) |  |</v>
      </c>
      <c r="BV45" s="117" t="str">
        <f t="shared" si="89"/>
        <v xml:space="preserve">| The Real Presence | Miracle Hunter | MaryPages |_x000D_
| --- | --- | --- |_x000D_
| [Link](http://www.therealpresence.org/eucharst/misc/BVM/88_MANAOAG_60x96.pdf) | [Link](https://www.miraclehunter.com/marian_apparitions/approved_apparitions/manaoag/index.html) |  |_x000D_
</v>
      </c>
      <c r="BW45" s="117" t="str">
        <f>IF(LEN(BQ45&amp;BV45)&gt;0,concatll("#### More Information",BQ45,BV45),"")</f>
        <v xml:space="preserve">#### More Information_x000D_
_x000D_
* [Official site](https://www.manaoagminorbasilica.org/)
_x000D_
_x000D_
| The Real Presence | Miracle Hunter | MaryPages |_x000D_
| --- | --- | --- |_x000D_
| [Link](http://www.therealpresence.org/eucharst/misc/BVM/88_MANAOAG_60x96.pdf) | [Link](https://www.miraclehunter.com/marian_apparitions/approved_apparitions/manaoag/index.html) |  |_x000D_
_x000D_
_x000D_
</v>
      </c>
      <c r="BX45" s="117" t="str">
        <f>IF(LEN(N45)&gt;1,concatll("#### Author's Note",N45,"-"&amp;B45),"")</f>
        <v/>
      </c>
      <c r="BY45" s="117" t="s">
        <v>53</v>
      </c>
      <c r="BZ45" s="117" t="s">
        <v>53</v>
      </c>
      <c r="CA45" s="6" t="str">
        <f>IF(AS45,concatll(concatl("---",AT45:AV45,BL45,"---"),M45,BW45:BX45),"")</f>
        <v xml:space="preserve">---_x000D_
title: "Minor Basilica of Our Lady of the Rosary of Manaoag"_x000D_
location: {lat: 16.0440593284094, lng: 120.488325579597}_x000D_
interest: global_x000D_
tags:
- ph_x000D_
- churches_x000D_
- marian-sites_x000D_
_x000D_
---_x000D_
_x000D_
_x000D_
Tradition dicates that the Blessed Mother showed herself to a middle-aged farmer and gave him a message on where she wanted her church to be built, appearing to him on a tree amidst a heavenly glow.  Today the center of devotion is the miraculous image of Our Lady of the Holy Rosary (Nuestra Senora de Manaoag, or Apo Baket as known to the local townspeople)._x000D_
_x000D_
#### More Information_x000D_
_x000D_
* [Official site](https://www.manaoagminorbasilica.org/)
_x000D_
_x000D_
| The Real Presence | Miracle Hunter | MaryPages |_x000D_
| --- | --- | --- |_x000D_
| [Link](http://www.therealpresence.org/eucharst/misc/BVM/88_MANAOAG_60x96.pdf) | [Link](https://www.miraclehunter.com/marian_apparitions/approved_apparitions/manaoag/index.html) |  |_x000D_
_x000D_
_x000D_
_x000D_
_x000D_
</v>
      </c>
      <c r="CB45" s="6" t="str">
        <f>IF(AS45,"places\"&amp;VLOOKUP(C45,'Country Tags'!C:D,2,)&amp;IF(LEN(D45)&gt;1,"-"&amp;LOWER(SUBSTITUTE(D45," ","-")),"")&amp;"-"&amp;LOWER(SUBSTITUTE(SUBSTITUTE(H45," ","-"),".",""))&amp;".md","")</f>
        <v>places\ph-basilica-of-our-lady-of-the-rosary-of-manaoag.md</v>
      </c>
      <c r="CC45" s="6"/>
      <c r="CD45" s="12" t="str">
        <f>IF(LEN(Z45)&gt;1,VLOOKUP(Z45,#REF!,2,),"")</f>
        <v/>
      </c>
      <c r="CE45" s="12" t="str">
        <f>IF(LEN(AA45)&gt;1,VLOOKUP(AA45,#REF!,2,),"")</f>
        <v/>
      </c>
      <c r="CF45" s="12" t="str">
        <f>IF(LEN(AB45)&gt;1,VLOOKUP(AB45,#REF!,2,),"")</f>
        <v/>
      </c>
      <c r="CG45" s="13" t="str">
        <f>IF(LEN(Z45)&gt;1,GetTagPage(CD45,Z45),"")</f>
        <v/>
      </c>
      <c r="CH45" s="13" t="str">
        <f>IF(LEN(AA45)&gt;1,GetTagPage(CE45,AA45),"")</f>
        <v/>
      </c>
      <c r="CI45" s="13" t="str">
        <f>IF(LEN(AB45)&gt;1,GetTagPage(CF45,AB45),"")</f>
        <v/>
      </c>
      <c r="CJ45" s="13" t="str">
        <f t="shared" si="90"/>
        <v xml:space="preserve">| </v>
      </c>
      <c r="CK45" s="13" t="str">
        <f t="shared" si="91"/>
        <v xml:space="preserve">| [Manaoag](/places/places\ph-basilica-of-our-lady-of-the-rosary-of-manaoag) </v>
      </c>
      <c r="CL45" s="13" t="str">
        <f>"| "&amp;IF(AS45,GetTagPage(C45,VLOOKUP(C45,'Country Tags'!C:E,3,)),C45)&amp; " "</f>
        <v xml:space="preserve">| [Philippines](/tags/ph) </v>
      </c>
      <c r="CM45" s="13" t="str">
        <f t="shared" si="92"/>
        <v xml:space="preserve">| 1610 </v>
      </c>
      <c r="CN45" s="13" t="str">
        <f t="shared" si="93"/>
        <v xml:space="preserve">| [Link](/places/places\ph-basilica-of-our-lady-of-the-rosary-of-manaoag) </v>
      </c>
      <c r="CO45" s="12" t="str">
        <f t="shared" si="94"/>
        <v xml:space="preserve">
| [Manaoag](/places/places\ph-basilica-of-our-lady-of-the-rosary-of-manaoag) | [Philippines](/tags/ph) | 1610 | [Link](/places/places\ph-basilica-of-our-lady-of-the-rosary-of-manaoag) [Official site](https://www.manaoagminorbasilica.org/)[Link](http://www.therealpresence.org/eucharst/misc/BVM/88_MANAOAG_60x96.pdf)[Link](https://www.miraclehunter.com/marian_apparitions/approved_apparitions/manaoag/index.html)| |</v>
      </c>
    </row>
    <row r="46" spans="1:93" ht="153" x14ac:dyDescent="0.25">
      <c r="A46" s="129" t="s">
        <v>786</v>
      </c>
      <c r="B46" s="7" t="s">
        <v>1653</v>
      </c>
      <c r="C46" s="7" t="s">
        <v>365</v>
      </c>
      <c r="E46" s="1">
        <v>54.024675490094602</v>
      </c>
      <c r="F46" s="30">
        <v>21.217746272668698</v>
      </c>
      <c r="G46" s="7" t="s">
        <v>781</v>
      </c>
      <c r="H46" s="33" t="s">
        <v>781</v>
      </c>
      <c r="I46" s="7" t="s">
        <v>919</v>
      </c>
      <c r="J46" s="23" t="b">
        <v>1</v>
      </c>
      <c r="K46" s="7" t="b">
        <v>1</v>
      </c>
      <c r="M46" s="23" t="s">
        <v>917</v>
      </c>
      <c r="N46" s="139" t="s">
        <v>1679</v>
      </c>
      <c r="O46" s="1" t="s">
        <v>788</v>
      </c>
      <c r="P46" s="1" t="s">
        <v>53</v>
      </c>
      <c r="Z46" s="1" t="s">
        <v>53</v>
      </c>
      <c r="AJ46" s="56" t="s">
        <v>763</v>
      </c>
      <c r="AK46" s="57" t="s">
        <v>756</v>
      </c>
      <c r="AL46" s="1" t="s">
        <v>18</v>
      </c>
      <c r="AM46" s="1" t="s">
        <v>53</v>
      </c>
      <c r="AN46" s="1" t="s">
        <v>789</v>
      </c>
      <c r="AO46" s="1" t="s">
        <v>801</v>
      </c>
      <c r="AP46" s="1" t="s">
        <v>53</v>
      </c>
      <c r="AQ46" s="30" t="s">
        <v>53</v>
      </c>
      <c r="AS46" s="116" t="b">
        <f t="shared" si="66"/>
        <v>1</v>
      </c>
      <c r="AT46" s="117" t="str">
        <f t="shared" si="67"/>
        <v>title: "Swieta Lipka Sanctuary"</v>
      </c>
      <c r="AU46" s="117" t="str">
        <f t="shared" si="68"/>
        <v>location: {lat: 54.0246754900946, lng: 21.2177462726687}</v>
      </c>
      <c r="AV46" s="117" t="str">
        <f t="shared" si="69"/>
        <v>interest: global</v>
      </c>
      <c r="AW46" s="117" t="str">
        <f>"- "&amp;VLOOKUP(C46,'Country Tags'!C:E,3,)</f>
        <v>- pl</v>
      </c>
      <c r="AX46" s="117" t="str">
        <f t="shared" si="70"/>
        <v/>
      </c>
      <c r="AY46" s="117" t="str">
        <f t="shared" si="71"/>
        <v>- churches</v>
      </c>
      <c r="AZ46" s="117" t="str">
        <f t="shared" si="72"/>
        <v>- marian-sites</v>
      </c>
      <c r="BA46" s="117" t="str">
        <f t="shared" si="73"/>
        <v/>
      </c>
      <c r="BB46" s="117" t="str">
        <f t="shared" si="74"/>
        <v/>
      </c>
      <c r="BC46" s="117" t="str">
        <f t="shared" si="75"/>
        <v/>
      </c>
      <c r="BD46" s="117" t="str">
        <f t="shared" si="76"/>
        <v/>
      </c>
      <c r="BE46" s="117" t="str">
        <f t="shared" si="77"/>
        <v/>
      </c>
      <c r="BF46" s="117" t="str">
        <f t="shared" si="78"/>
        <v/>
      </c>
      <c r="BG46" s="117" t="str">
        <f t="shared" si="79"/>
        <v/>
      </c>
      <c r="BH46" s="117" t="str">
        <f t="shared" si="80"/>
        <v/>
      </c>
      <c r="BI46" s="117" t="str">
        <f t="shared" si="81"/>
        <v/>
      </c>
      <c r="BJ46" s="117" t="str">
        <f t="shared" si="82"/>
        <v/>
      </c>
      <c r="BK46" s="117" t="str">
        <f t="shared" si="83"/>
        <v/>
      </c>
      <c r="BL46" s="117" t="str">
        <f t="shared" si="84"/>
        <v xml:space="preserve">tags:
- pl_x000D_
- churches_x000D_
- marian-sites_x000D_
</v>
      </c>
      <c r="BM46" s="120" t="str">
        <f t="shared" si="62"/>
        <v>[Official site](https://www.swlipka.pl/)</v>
      </c>
      <c r="BN46" s="120" t="str">
        <f t="shared" si="63"/>
        <v/>
      </c>
      <c r="BO46" s="120" t="str">
        <f t="shared" si="64"/>
        <v/>
      </c>
      <c r="BP46" s="120" t="str">
        <f t="shared" si="65"/>
        <v/>
      </c>
      <c r="BQ46" s="120" t="str">
        <f t="shared" si="85"/>
        <v xml:space="preserve">* [Official site](https://www.swlipka.pl/)
</v>
      </c>
      <c r="BR46" s="120" t="str">
        <f t="shared" si="86"/>
        <v>[Link](http://www.therealpresence.org/eucharst/misc/BVM/138_SWIETA_LIPKA_60x96.pdf)</v>
      </c>
      <c r="BS46" s="120" t="str">
        <f t="shared" si="87"/>
        <v>[Link](http://www.miraclehunter.com/marian_apparitions/approved_apparitions/apparitions_1200-1299.html) (Search for "Swieta Lipka")</v>
      </c>
      <c r="BT46" s="120" t="str">
        <f t="shared" si="88"/>
        <v/>
      </c>
      <c r="BU46" s="120" t="str">
        <f>IF(LEN(concat(BR46:BT46))&gt;0,concat("| ",BR46," | ",BS46," | ",BT46," |"),"")</f>
        <v>| [Link](http://www.therealpresence.org/eucharst/misc/BVM/138_SWIETA_LIPKA_60x96.pdf) | [Link](http://www.miraclehunter.com/marian_apparitions/approved_apparitions/apparitions_1200-1299.html) (Search for "Swieta Lipka") |  |</v>
      </c>
      <c r="BV46" s="117" t="str">
        <f t="shared" si="89"/>
        <v xml:space="preserve">| The Real Presence | Miracle Hunter | MaryPages |_x000D_
| --- | --- | --- |_x000D_
| [Link](http://www.therealpresence.org/eucharst/misc/BVM/138_SWIETA_LIPKA_60x96.pdf) | [Link](http://www.miraclehunter.com/marian_apparitions/approved_apparitions/apparitions_1200-1299.html) (Search for "Swieta Lipka") |  |_x000D_
</v>
      </c>
      <c r="BW46" s="117" t="str">
        <f>IF(LEN(BQ46&amp;BV46)&gt;0,concatll("#### More Information",BQ46,BV46),"")</f>
        <v xml:space="preserve">#### More Information_x000D_
_x000D_
* [Official site](https://www.swlipka.pl/)
_x000D_
_x000D_
| The Real Presence | Miracle Hunter | MaryPages |_x000D_
| --- | --- | --- |_x000D_
| [Link](http://www.therealpresence.org/eucharst/misc/BVM/138_SWIETA_LIPKA_60x96.pdf) | [Link](http://www.miraclehunter.com/marian_apparitions/approved_apparitions/apparitions_1200-1299.html) (Search for "Swieta Lipka") |  |_x000D_
_x000D_
_x000D_
</v>
      </c>
      <c r="BX46" s="117" t="str">
        <f>IF(LEN(N46)&gt;1,concatll("#### Author's Note",N46,"-"&amp;B46),"")</f>
        <v xml:space="preserve">#### Author's Note_x000D_
_x000D_
Because of the Jesuit influence, there are noticeable similarities to the Chiesa del Gesù in Rome, both in decoration and function.  The image of Our Blessed Mother behind the altar is covered after each mass, similar to some Jesuit churches in Rome._x000D_
_x000D_
-JMM_x000D_
_x000D_
</v>
      </c>
      <c r="BY46" s="117" t="s">
        <v>53</v>
      </c>
      <c r="BZ46" s="117" t="s">
        <v>53</v>
      </c>
      <c r="CA46" s="6" t="str">
        <f>IF(AS46,concatll(concatl("---",AT46:AV46,BL46,"---"),M46,BW46:BX46),"")</f>
        <v xml:space="preserve">---_x000D_
title: "Swieta Lipka Sanctuary"_x000D_
location: {lat: 54.0246754900946, lng: 21.2177462726687}_x000D_
interest: global_x000D_
tags:
- pl_x000D_
- churches_x000D_
- marian-sites_x000D_
_x000D_
---_x000D_
_x000D_
_x000D_
In the 13th century, Our Blessed Mother appeared to a condemned innocent person in his prison cell. Bringing him a piece of wood and a knife, she told him to carve an image of the Blessed Mother with Child.  When he had done so, the jailers and judge were so moved they gave him back his freedom.  In gratitude for the divine assistance, the man sought to place the sculpture near a linden tree along the road, as Mary had suggested.  The present-day basilica was built next to this great linden tree, which was the site of many miracles and healings over the centuries.
With the Prussian occupation of Poland, the sanctuary was defiled and the linden tree cut down.  Upon Poland's independence, Jesuits were invited to renew the sanctuary, and it remains in beautiful condition to this day._x000D_
_x000D_
#### More Information_x000D_
_x000D_
* [Official site](https://www.swlipka.pl/)
_x000D_
_x000D_
| The Real Presence | Miracle Hunter | MaryPages |_x000D_
| --- | --- | --- |_x000D_
| [Link](http://www.therealpresence.org/eucharst/misc/BVM/138_SWIETA_LIPKA_60x96.pdf) | [Link](http://www.miraclehunter.com/marian_apparitions/approved_apparitions/apparitions_1200-1299.html) (Search for "Swieta Lipka") |  |_x000D_
_x000D_
_x000D_
_x000D_
_x000D_
#### Author's Note_x000D_
_x000D_
Because of the Jesuit influence, there are noticeable similarities to the Chiesa del Gesù in Rome, both in decoration and function.  The image of Our Blessed Mother behind the altar is covered after each mass, similar to some Jesuit churches in Rome._x000D_
_x000D_
-JMM_x000D_
_x000D_
_x000D_
_x000D_
</v>
      </c>
      <c r="CB46" s="6" t="str">
        <f>IF(AS46,"places\"&amp;VLOOKUP(C46,'Country Tags'!C:D,2,)&amp;IF(LEN(D46)&gt;1,"-"&amp;LOWER(SUBSTITUTE(D46," ","-")),"")&amp;"-"&amp;LOWER(SUBSTITUTE(SUBSTITUTE(H46," ","-"),".",""))&amp;".md","")</f>
        <v>places\pl-swieta-lipka-sanctuary.md</v>
      </c>
      <c r="CC46" s="6"/>
      <c r="CD46" s="12" t="str">
        <f>IF(LEN(Z46)&gt;1,VLOOKUP(Z46,#REF!,2,),"")</f>
        <v/>
      </c>
      <c r="CE46" s="12" t="str">
        <f>IF(LEN(AA46)&gt;1,VLOOKUP(AA46,#REF!,2,),"")</f>
        <v/>
      </c>
      <c r="CF46" s="12" t="str">
        <f>IF(LEN(AB46)&gt;1,VLOOKUP(AB46,#REF!,2,),"")</f>
        <v/>
      </c>
      <c r="CG46" s="13" t="str">
        <f>IF(LEN(Z46)&gt;1,GetTagPage(CD46,Z46),"")</f>
        <v/>
      </c>
      <c r="CH46" s="13" t="str">
        <f>IF(LEN(AA46)&gt;1,GetTagPage(CE46,AA46),"")</f>
        <v/>
      </c>
      <c r="CI46" s="13" t="str">
        <f>IF(LEN(AB46)&gt;1,GetTagPage(CF46,AB46),"")</f>
        <v/>
      </c>
      <c r="CJ46" s="13" t="str">
        <f t="shared" si="90"/>
        <v xml:space="preserve">| </v>
      </c>
      <c r="CK46" s="13" t="str">
        <f t="shared" si="91"/>
        <v xml:space="preserve">| [Swieta Lipka](/places/places\pl-swieta-lipka-sanctuary) </v>
      </c>
      <c r="CL46" s="13" t="str">
        <f>"| "&amp;IF(AS46,GetTagPage(C46,VLOOKUP(C46,'Country Tags'!C:E,3,)),C46)&amp; " "</f>
        <v xml:space="preserve">| [Poland](/tags/pl) </v>
      </c>
      <c r="CM46" s="13" t="str">
        <f t="shared" si="92"/>
        <v xml:space="preserve">| 13th Century </v>
      </c>
      <c r="CN46" s="13" t="str">
        <f t="shared" si="93"/>
        <v xml:space="preserve">| [Link](/places/places\pl-swieta-lipka-sanctuary) </v>
      </c>
      <c r="CO46" s="12" t="str">
        <f t="shared" si="94"/>
        <v xml:space="preserve">
| [Swieta Lipka](/places/places\pl-swieta-lipka-sanctuary) | [Poland](/tags/pl) | 13th Century | [Link](/places/places\pl-swieta-lipka-sanctuary) [Official site](https://www.swlipka.pl/)[Link](http://www.therealpresence.org/eucharst/misc/BVM/138_SWIETA_LIPKA_60x96.pdf)[Link](http://www.miraclehunter.com/marian_apparitions/approved_apparitions/apparitions_1200-1299.html) (Search for "Swieta Lipka")| |</v>
      </c>
    </row>
    <row r="47" spans="1:93" ht="140.25" x14ac:dyDescent="0.25">
      <c r="A47" s="129" t="s">
        <v>786</v>
      </c>
      <c r="B47" s="10" t="s">
        <v>1653</v>
      </c>
      <c r="C47" s="10" t="s">
        <v>365</v>
      </c>
      <c r="E47" s="1">
        <v>49.465129655108299</v>
      </c>
      <c r="F47" s="30">
        <v>19.982843057005098</v>
      </c>
      <c r="G47" s="10" t="s">
        <v>870</v>
      </c>
      <c r="H47" s="33" t="s">
        <v>870</v>
      </c>
      <c r="I47" s="7" t="s">
        <v>919</v>
      </c>
      <c r="J47" s="23" t="b">
        <v>1</v>
      </c>
      <c r="K47" s="7" t="b">
        <v>1</v>
      </c>
      <c r="M47" s="10" t="s">
        <v>871</v>
      </c>
      <c r="N47" s="139" t="s">
        <v>1680</v>
      </c>
      <c r="O47" s="1" t="s">
        <v>872</v>
      </c>
      <c r="P47" s="1" t="s">
        <v>53</v>
      </c>
      <c r="Z47" s="22" t="s">
        <v>873</v>
      </c>
      <c r="AA47" s="22"/>
      <c r="AB47" s="22"/>
      <c r="AC47" s="22"/>
      <c r="AD47" s="22"/>
      <c r="AE47" s="22"/>
      <c r="AF47" s="22"/>
      <c r="AG47" s="22"/>
      <c r="AH47" s="22"/>
      <c r="AI47" s="22"/>
      <c r="AJ47" s="56" t="s">
        <v>868</v>
      </c>
      <c r="AK47" s="58" t="s">
        <v>869</v>
      </c>
      <c r="AL47" s="1" t="s">
        <v>53</v>
      </c>
      <c r="AM47" s="1" t="s">
        <v>53</v>
      </c>
      <c r="AN47" s="1" t="s">
        <v>53</v>
      </c>
      <c r="AO47" s="1" t="s">
        <v>53</v>
      </c>
      <c r="AP47" s="1" t="s">
        <v>53</v>
      </c>
      <c r="AQ47" s="30" t="s">
        <v>53</v>
      </c>
      <c r="AS47" s="116" t="b">
        <f t="shared" si="66"/>
        <v>1</v>
      </c>
      <c r="AT47" s="117" t="str">
        <f t="shared" si="67"/>
        <v>title: "Sanctuary of Our Lady Queen of Podhale"</v>
      </c>
      <c r="AU47" s="117" t="str">
        <f t="shared" si="68"/>
        <v>location: {lat: 49.4651296551083, lng: 19.9828430570051}</v>
      </c>
      <c r="AV47" s="117" t="str">
        <f t="shared" si="69"/>
        <v>interest: global</v>
      </c>
      <c r="AW47" s="117" t="str">
        <f>"- "&amp;VLOOKUP(C47,'Country Tags'!C:E,3,)</f>
        <v>- pl</v>
      </c>
      <c r="AX47" s="117" t="str">
        <f t="shared" si="70"/>
        <v/>
      </c>
      <c r="AY47" s="117" t="str">
        <f t="shared" si="71"/>
        <v>- churches</v>
      </c>
      <c r="AZ47" s="117" t="str">
        <f t="shared" si="72"/>
        <v>- marian-sites</v>
      </c>
      <c r="BA47" s="117" t="str">
        <f t="shared" si="73"/>
        <v/>
      </c>
      <c r="BB47" s="117" t="str">
        <f t="shared" si="74"/>
        <v>- john-paul-ii</v>
      </c>
      <c r="BC47" s="117" t="str">
        <f t="shared" si="75"/>
        <v/>
      </c>
      <c r="BD47" s="117" t="str">
        <f t="shared" si="76"/>
        <v/>
      </c>
      <c r="BE47" s="117" t="str">
        <f t="shared" si="77"/>
        <v/>
      </c>
      <c r="BF47" s="117" t="str">
        <f t="shared" si="78"/>
        <v/>
      </c>
      <c r="BG47" s="117" t="str">
        <f t="shared" si="79"/>
        <v/>
      </c>
      <c r="BH47" s="117" t="str">
        <f t="shared" si="80"/>
        <v/>
      </c>
      <c r="BI47" s="117" t="str">
        <f t="shared" si="81"/>
        <v/>
      </c>
      <c r="BJ47" s="117" t="str">
        <f t="shared" si="82"/>
        <v/>
      </c>
      <c r="BK47" s="117" t="str">
        <f t="shared" si="83"/>
        <v/>
      </c>
      <c r="BL47" s="117" t="str">
        <f t="shared" si="84"/>
        <v xml:space="preserve">tags:
- pl_x000D_
- churches_x000D_
- marian-sites_x000D_
- john-paul-ii_x000D_
</v>
      </c>
      <c r="BM47" s="120" t="str">
        <f t="shared" si="62"/>
        <v>[Official site](ps://www.mbludzm.pl/)</v>
      </c>
      <c r="BN47" s="120" t="str">
        <f t="shared" si="63"/>
        <v/>
      </c>
      <c r="BO47" s="120" t="str">
        <f t="shared" si="64"/>
        <v/>
      </c>
      <c r="BP47" s="120" t="str">
        <f t="shared" si="65"/>
        <v/>
      </c>
      <c r="BQ47" s="120" t="str">
        <f t="shared" si="85"/>
        <v xml:space="preserve">* [Official site](ps://www.mbludzm.pl/)
</v>
      </c>
      <c r="BR47" s="120" t="str">
        <f t="shared" si="86"/>
        <v/>
      </c>
      <c r="BS47" s="120" t="str">
        <f t="shared" si="87"/>
        <v/>
      </c>
      <c r="BT47" s="120" t="str">
        <f t="shared" si="88"/>
        <v/>
      </c>
      <c r="BU47" s="120" t="str">
        <f>IF(LEN(concat(BR47:BT47))&gt;0,concat("| ",BR47," | ",BS47," | ",BT47," |"),"")</f>
        <v/>
      </c>
      <c r="BV47" s="117" t="str">
        <f t="shared" si="89"/>
        <v xml:space="preserve">| The Real Presence | Miracle Hunter | MaryPages |_x000D_
| --- | --- | --- |_x000D_
</v>
      </c>
      <c r="BW47" s="117" t="str">
        <f>IF(LEN(BQ47&amp;BV47)&gt;0,concatll("#### More Information",BQ47,BV47),"")</f>
        <v xml:space="preserve">#### More Information_x000D_
_x000D_
* [Official site](ps://www.mbludzm.pl/)
_x000D_
_x000D_
| The Real Presence | Miracle Hunter | MaryPages |_x000D_
| --- | --- | --- |_x000D_
_x000D_
_x000D_
</v>
      </c>
      <c r="BX47" s="117" t="str">
        <f>IF(LEN(N47)&gt;1,concatll("#### Author's Note",N47,"-"&amp;B47),"")</f>
        <v xml:space="preserve">#### Author's Note_x000D_
_x000D_
Some good information on [Catholic Shrine Basilica](https://catholicshrinebasilica.com/sanctuary-of-our-lady-of-ludzmierz-poland/)._x000D_
_x000D_
-JMM_x000D_
_x000D_
</v>
      </c>
      <c r="BY47" s="117" t="s">
        <v>53</v>
      </c>
      <c r="BZ47" s="117" t="s">
        <v>53</v>
      </c>
      <c r="CA47" s="6" t="str">
        <f>IF(AS47,concatll(concatl("---",AT47:AV47,BL47,"---"),M47,BW47:BX47),"")</f>
        <v xml:space="preserve">---_x000D_
title: "Sanctuary of Our Lady Queen of Podhale"_x000D_
location: {lat: 49.4651296551083, lng: 19.9828430570051}_x000D_
interest: global_x000D_
tags:
- pl_x000D_
- churches_x000D_
- marian-sites_x000D_
- john-paul-ii_x000D_
_x000D_
---_x000D_
_x000D_
_x000D_
This church was originally founded in the 13th century by Cistercians from France.  According to legend, around the year 1400, a merchant lost in the nearby swamps was led to the church by a figure he discerned to be Mary.  Out of gratitude, he commissioned a statue which can be found in the church today.
A regular visitor to the shrine was Karol Wojtyła, the future Pope St. John Paul II.  In August 1963, in his capacity as Archbishop of Kraków, the statue slipped during a ceremony and the future pontiff caught the scepter which had fallen out of the statue's grasp.  This scene was interpreted by many as a prophecy of his upcoming papacy._x000D_
_x000D_
#### More Information_x000D_
_x000D_
* [Official site](ps://www.mbludzm.pl/)
_x000D_
_x000D_
| The Real Presence | Miracle Hunter | MaryPages |_x000D_
| --- | --- | --- |_x000D_
_x000D_
_x000D_
_x000D_
_x000D_
#### Author's Note_x000D_
_x000D_
Some good information on [Catholic Shrine Basilica](https://catholicshrinebasilica.com/sanctuary-of-our-lady-of-ludzmierz-poland/)._x000D_
_x000D_
-JMM_x000D_
_x000D_
_x000D_
_x000D_
</v>
      </c>
      <c r="CB47" s="6" t="str">
        <f>IF(AS47,"places\"&amp;VLOOKUP(C47,'Country Tags'!C:D,2,)&amp;IF(LEN(D47)&gt;1,"-"&amp;LOWER(SUBSTITUTE(D47," ","-")),"")&amp;"-"&amp;LOWER(SUBSTITUTE(SUBSTITUTE(H47," ","-"),".",""))&amp;".md","")</f>
        <v>places\pl-sanctuary-of-our-lady-queen-of-podhale.md</v>
      </c>
      <c r="CC47" s="6"/>
      <c r="CD47" s="12" t="e">
        <f>IF(LEN(Z47)&gt;1,VLOOKUP(Z47,#REF!,2,),"")</f>
        <v>#REF!</v>
      </c>
      <c r="CE47" s="12" t="str">
        <f>IF(LEN(AA47)&gt;1,VLOOKUP(AA47,#REF!,2,),"")</f>
        <v/>
      </c>
      <c r="CF47" s="12" t="str">
        <f>IF(LEN(AB47)&gt;1,VLOOKUP(AB47,#REF!,2,),"")</f>
        <v/>
      </c>
      <c r="CG47" s="13" t="e">
        <f>IF(LEN(Z47)&gt;1,GetTagPage(CD47,Z47),"")</f>
        <v>#VALUE!</v>
      </c>
      <c r="CH47" s="13" t="str">
        <f>IF(LEN(AA47)&gt;1,GetTagPage(CE47,AA47),"")</f>
        <v/>
      </c>
      <c r="CI47" s="13" t="str">
        <f>IF(LEN(AB47)&gt;1,GetTagPage(CF47,AB47),"")</f>
        <v/>
      </c>
      <c r="CJ47" s="13" t="e">
        <f t="shared" si="90"/>
        <v>#VALUE!</v>
      </c>
      <c r="CK47" s="13" t="str">
        <f t="shared" si="91"/>
        <v xml:space="preserve">| [Ludzmierz](/places/places\pl-sanctuary-of-our-lady-queen-of-podhale) </v>
      </c>
      <c r="CL47" s="13" t="str">
        <f>"| "&amp;IF(AS47,GetTagPage(C47,VLOOKUP(C47,'Country Tags'!C:E,3,)),C47)&amp; " "</f>
        <v xml:space="preserve">| [Poland](/tags/pl) </v>
      </c>
      <c r="CM47" s="13" t="str">
        <f t="shared" si="92"/>
        <v xml:space="preserve">| c. 1400 </v>
      </c>
      <c r="CN47" s="13" t="str">
        <f t="shared" si="93"/>
        <v xml:space="preserve">| [Link](/places/places\pl-sanctuary-of-our-lady-queen-of-podhale) </v>
      </c>
      <c r="CO47" s="12" t="e">
        <f t="shared" si="94"/>
        <v>#VALUE!</v>
      </c>
    </row>
    <row r="48" spans="1:93" ht="89.25" x14ac:dyDescent="0.25">
      <c r="A48" s="129" t="s">
        <v>786</v>
      </c>
      <c r="B48" s="7" t="s">
        <v>1653</v>
      </c>
      <c r="C48" s="7" t="s">
        <v>365</v>
      </c>
      <c r="E48" s="1">
        <v>50.270467699999998</v>
      </c>
      <c r="F48" s="30">
        <v>22.408031600000001</v>
      </c>
      <c r="G48" s="55" t="s">
        <v>997</v>
      </c>
      <c r="H48" s="33" t="s">
        <v>745</v>
      </c>
      <c r="I48" s="7" t="s">
        <v>919</v>
      </c>
      <c r="J48" s="23" t="b">
        <v>1</v>
      </c>
      <c r="K48" s="7" t="b">
        <v>1</v>
      </c>
      <c r="M48" s="7" t="s">
        <v>746</v>
      </c>
      <c r="N48" s="139" t="s">
        <v>1681</v>
      </c>
      <c r="O48" s="1" t="s">
        <v>138</v>
      </c>
      <c r="P48" s="1" t="s">
        <v>53</v>
      </c>
      <c r="Z48" s="7" t="s">
        <v>880</v>
      </c>
      <c r="AA48" s="7"/>
      <c r="AB48" s="7"/>
      <c r="AC48" s="7"/>
      <c r="AD48" s="7"/>
      <c r="AE48" s="7"/>
      <c r="AF48" s="7"/>
      <c r="AG48" s="7"/>
      <c r="AH48" s="7"/>
      <c r="AI48" s="7"/>
      <c r="AJ48" s="56" t="s">
        <v>744</v>
      </c>
      <c r="AK48" s="57">
        <v>1578</v>
      </c>
      <c r="AL48" s="2" t="s">
        <v>53</v>
      </c>
      <c r="AM48" s="2" t="s">
        <v>53</v>
      </c>
      <c r="AN48" s="1" t="s">
        <v>171</v>
      </c>
      <c r="AO48" s="1" t="s">
        <v>53</v>
      </c>
      <c r="AP48" s="1" t="s">
        <v>53</v>
      </c>
      <c r="AQ48" s="30" t="s">
        <v>53</v>
      </c>
      <c r="AS48" s="116" t="b">
        <f t="shared" si="66"/>
        <v>1</v>
      </c>
      <c r="AT48" s="117" t="str">
        <f t="shared" si="67"/>
        <v>title: "Basilica of the Annunciation of the Blessed Virgin Mary (Our Lady of Lezajsk, Lady of Consolation)"</v>
      </c>
      <c r="AU48" s="117" t="str">
        <f t="shared" si="68"/>
        <v>location: {lat: 50.2704677, lng: 22.4080316}</v>
      </c>
      <c r="AV48" s="117" t="str">
        <f t="shared" si="69"/>
        <v>interest: global</v>
      </c>
      <c r="AW48" s="117" t="str">
        <f>"- "&amp;VLOOKUP(C48,'Country Tags'!C:E,3,)</f>
        <v>- pl</v>
      </c>
      <c r="AX48" s="117" t="str">
        <f t="shared" si="70"/>
        <v/>
      </c>
      <c r="AY48" s="117" t="str">
        <f t="shared" si="71"/>
        <v>- churches</v>
      </c>
      <c r="AZ48" s="117" t="str">
        <f t="shared" si="72"/>
        <v>- marian-sites</v>
      </c>
      <c r="BA48" s="117" t="str">
        <f t="shared" si="73"/>
        <v/>
      </c>
      <c r="BB48" s="117" t="str">
        <f t="shared" si="74"/>
        <v>- communities</v>
      </c>
      <c r="BC48" s="117" t="str">
        <f t="shared" si="75"/>
        <v/>
      </c>
      <c r="BD48" s="117" t="str">
        <f t="shared" si="76"/>
        <v/>
      </c>
      <c r="BE48" s="117" t="str">
        <f t="shared" si="77"/>
        <v/>
      </c>
      <c r="BF48" s="117" t="str">
        <f t="shared" si="78"/>
        <v/>
      </c>
      <c r="BG48" s="117" t="str">
        <f t="shared" si="79"/>
        <v/>
      </c>
      <c r="BH48" s="117" t="str">
        <f t="shared" si="80"/>
        <v/>
      </c>
      <c r="BI48" s="117" t="str">
        <f t="shared" si="81"/>
        <v/>
      </c>
      <c r="BJ48" s="117" t="str">
        <f t="shared" si="82"/>
        <v/>
      </c>
      <c r="BK48" s="117" t="str">
        <f t="shared" si="83"/>
        <v/>
      </c>
      <c r="BL48" s="117" t="str">
        <f t="shared" si="84"/>
        <v xml:space="preserve">tags:
- pl_x000D_
- churches_x000D_
- marian-sites_x000D_
- communities_x000D_
</v>
      </c>
      <c r="BM48" s="120" t="str">
        <f t="shared" si="62"/>
        <v>[Official site](https://lezajsk.bernardyni.pl/)</v>
      </c>
      <c r="BN48" s="120" t="str">
        <f t="shared" si="63"/>
        <v/>
      </c>
      <c r="BO48" s="120" t="str">
        <f t="shared" si="64"/>
        <v/>
      </c>
      <c r="BP48" s="120" t="str">
        <f t="shared" si="65"/>
        <v/>
      </c>
      <c r="BQ48" s="120" t="str">
        <f t="shared" si="85"/>
        <v xml:space="preserve">* [Official site](https://lezajsk.bernardyni.pl/)
</v>
      </c>
      <c r="BR48" s="120" t="str">
        <f t="shared" si="86"/>
        <v/>
      </c>
      <c r="BS48" s="120" t="str">
        <f t="shared" si="87"/>
        <v>[Link](https://www.miraclehunter.com/marian_apparitions/approved_apparitions/lejask/index.html)</v>
      </c>
      <c r="BT48" s="120" t="str">
        <f t="shared" si="88"/>
        <v/>
      </c>
      <c r="BU48" s="120" t="str">
        <f>IF(LEN(concat(BR48:BT48))&gt;0,concat("| ",BR48," | ",BS48," | ",BT48," |"),"")</f>
        <v>|  | [Link](https://www.miraclehunter.com/marian_apparitions/approved_apparitions/lejask/index.html) |  |</v>
      </c>
      <c r="BV48" s="117" t="str">
        <f t="shared" si="89"/>
        <v xml:space="preserve">| The Real Presence | Miracle Hunter | MaryPages |_x000D_
| --- | --- | --- |_x000D_
|  | [Link](https://www.miraclehunter.com/marian_apparitions/approved_apparitions/lejask/index.html) |  |_x000D_
</v>
      </c>
      <c r="BW48" s="117" t="str">
        <f>IF(LEN(BQ48&amp;BV48)&gt;0,concatll("#### More Information",BQ48,BV48),"")</f>
        <v xml:space="preserve">#### More Information_x000D_
_x000D_
* [Official site](https://lezajsk.bernardyni.pl/)
_x000D_
_x000D_
| The Real Presence | Miracle Hunter | MaryPages |_x000D_
| --- | --- | --- |_x000D_
|  | [Link](https://www.miraclehunter.com/marian_apparitions/approved_apparitions/lejask/index.html) |  |_x000D_
_x000D_
_x000D_
</v>
      </c>
      <c r="BX48" s="117" t="str">
        <f>IF(LEN(N48)&gt;1,concatll("#### Author's Note",N48,"-"&amp;B48),"")</f>
        <v xml:space="preserve">#### Author's Note_x000D_
_x000D_
The monastery has published an excellent history of the shrine [here](https://lezajsk.bernardyni.pl/historia/) (in Polish)._x000D_
_x000D_
-JMM_x000D_
_x000D_
</v>
      </c>
      <c r="BY48" s="117" t="s">
        <v>53</v>
      </c>
      <c r="BZ48" s="117" t="s">
        <v>53</v>
      </c>
      <c r="CA48" s="6" t="str">
        <f>IF(AS48,concatll(concatl("---",AT48:AV48,BL48,"---"),M48,BW48:BX48),"")</f>
        <v xml:space="preserve">---_x000D_
title: "Basilica of the Annunciation of the Blessed Virgin Mary (Our Lady of Lezajsk, Lady of Consolation)"_x000D_
location: {lat: 50.2704677, lng: 22.4080316}_x000D_
interest: global_x000D_
tags:
- pl_x000D_
- churches_x000D_
- marian-sites_x000D_
- communities_x000D_
_x000D_
---_x000D_
_x000D_
_x000D_
In 1578, a pious woodcutter named Tomasz Michałek saw a bright light in the forest.  The Virgin asked him to alert the authorities to build a church.  Thomas, scared, did nothing.  The Virgin appeared again, asking him to take action and ending his silence.  Thomas approached the authorities but was not believed.  Under a subsequent priest, a small chapel was built, then a larger shrine in 1606.  Today the shrine is part of a larger Bernardine monastery, and contains the image of Our Lady of Consolation._x000D_
_x000D_
#### More Information_x000D_
_x000D_
* [Official site](https://lezajsk.bernardyni.pl/)
_x000D_
_x000D_
| The Real Presence | Miracle Hunter | MaryPages |_x000D_
| --- | --- | --- |_x000D_
|  | [Link](https://www.miraclehunter.com/marian_apparitions/approved_apparitions/lejask/index.html) |  |_x000D_
_x000D_
_x000D_
_x000D_
_x000D_
#### Author's Note_x000D_
_x000D_
The monastery has published an excellent history of the shrine [here](https://lezajsk.bernardyni.pl/historia/) (in Polish)._x000D_
_x000D_
-JMM_x000D_
_x000D_
_x000D_
_x000D_
</v>
      </c>
      <c r="CB48" s="6" t="str">
        <f>IF(AS48,"places\"&amp;VLOOKUP(C48,'Country Tags'!C:D,2,)&amp;IF(LEN(D48)&gt;1,"-"&amp;LOWER(SUBSTITUTE(D48," ","-")),"")&amp;"-"&amp;LOWER(SUBSTITUTE(SUBSTITUTE(H48," ","-"),".",""))&amp;".md","")</f>
        <v>places\pl-basilica-of-the-annunciation-of-the-blessed-virgin-mary.md</v>
      </c>
      <c r="CC48" s="6"/>
      <c r="CD48" s="11" t="e">
        <f>IF(LEN(Z48)&gt;1,VLOOKUP(Z48,#REF!,2,),"")</f>
        <v>#REF!</v>
      </c>
      <c r="CE48" s="11" t="str">
        <f>IF(LEN(AA48)&gt;1,VLOOKUP(AA48,#REF!,2,),"")</f>
        <v/>
      </c>
      <c r="CF48" s="11" t="str">
        <f>IF(LEN(AB48)&gt;1,VLOOKUP(AB48,#REF!,2,),"")</f>
        <v/>
      </c>
      <c r="CG48" s="13" t="e">
        <f>IF(LEN(Z48)&gt;1,GetTagPage(CD48,Z48),"")</f>
        <v>#VALUE!</v>
      </c>
      <c r="CH48" s="13" t="str">
        <f>IF(LEN(AA48)&gt;1,GetTagPage(CE48,AA48),"")</f>
        <v/>
      </c>
      <c r="CI48" s="13" t="str">
        <f>IF(LEN(AB48)&gt;1,GetTagPage(CF48,AB48),"")</f>
        <v/>
      </c>
      <c r="CJ48" s="13" t="e">
        <f t="shared" si="90"/>
        <v>#VALUE!</v>
      </c>
      <c r="CK48" s="13" t="str">
        <f t="shared" si="91"/>
        <v xml:space="preserve">| [Leżajsk](/places/places\pl-basilica-of-the-annunciation-of-the-blessed-virgin-mary) </v>
      </c>
      <c r="CL48" s="13" t="str">
        <f>"| "&amp;IF(AS48,GetTagPage(C48,VLOOKUP(C48,'Country Tags'!C:E,3,)),C48)&amp; " "</f>
        <v xml:space="preserve">| [Poland](/tags/pl) </v>
      </c>
      <c r="CM48" s="13" t="str">
        <f t="shared" si="92"/>
        <v xml:space="preserve">| 1578 </v>
      </c>
      <c r="CN48" s="13" t="str">
        <f t="shared" si="93"/>
        <v xml:space="preserve">| [Link](/places/places\pl-basilica-of-the-annunciation-of-the-blessed-virgin-mary) </v>
      </c>
      <c r="CO48" s="12" t="e">
        <f t="shared" si="94"/>
        <v>#VALUE!</v>
      </c>
    </row>
    <row r="49" spans="1:94" ht="63.75" x14ac:dyDescent="0.25">
      <c r="A49" s="129" t="s">
        <v>786</v>
      </c>
      <c r="B49" s="7" t="s">
        <v>1653</v>
      </c>
      <c r="C49" s="7" t="s">
        <v>365</v>
      </c>
      <c r="E49" s="1">
        <v>52.323705849375003</v>
      </c>
      <c r="F49" s="30">
        <v>18.358432557028099</v>
      </c>
      <c r="G49" s="7" t="s">
        <v>728</v>
      </c>
      <c r="H49" s="33" t="s">
        <v>729</v>
      </c>
      <c r="I49" s="7" t="s">
        <v>919</v>
      </c>
      <c r="J49" s="23" t="b">
        <v>1</v>
      </c>
      <c r="K49" s="7" t="b">
        <v>1</v>
      </c>
      <c r="M49" s="7" t="s">
        <v>194</v>
      </c>
      <c r="O49" s="1" t="s">
        <v>92</v>
      </c>
      <c r="P49" s="1" t="s">
        <v>53</v>
      </c>
      <c r="Z49" s="2" t="s">
        <v>53</v>
      </c>
      <c r="AA49" s="2"/>
      <c r="AB49" s="2"/>
      <c r="AC49" s="2"/>
      <c r="AD49" s="2"/>
      <c r="AE49" s="2"/>
      <c r="AF49" s="2"/>
      <c r="AG49" s="2"/>
      <c r="AH49" s="2"/>
      <c r="AI49" s="2"/>
      <c r="AJ49" s="56" t="s">
        <v>726</v>
      </c>
      <c r="AK49" s="57" t="s">
        <v>727</v>
      </c>
      <c r="AL49" s="1" t="s">
        <v>33</v>
      </c>
      <c r="AM49" s="1" t="s">
        <v>53</v>
      </c>
      <c r="AN49" s="1" t="s">
        <v>71</v>
      </c>
      <c r="AO49" s="1" t="s">
        <v>53</v>
      </c>
      <c r="AP49" s="1" t="s">
        <v>195</v>
      </c>
      <c r="AQ49" s="30" t="s">
        <v>53</v>
      </c>
      <c r="AS49" s="116" t="b">
        <f t="shared" si="66"/>
        <v>1</v>
      </c>
      <c r="AT49" s="117" t="str">
        <f t="shared" si="67"/>
        <v>title: "Basilica of Our Lady of Licheń (Holy Mother of Sorrows, Queen of Poland)"</v>
      </c>
      <c r="AU49" s="117" t="str">
        <f t="shared" si="68"/>
        <v>location: {lat: 52.323705849375, lng: 18.3584325570281}</v>
      </c>
      <c r="AV49" s="117" t="str">
        <f t="shared" si="69"/>
        <v>interest: global</v>
      </c>
      <c r="AW49" s="117" t="str">
        <f>"- "&amp;VLOOKUP(C49,'Country Tags'!C:E,3,)</f>
        <v>- pl</v>
      </c>
      <c r="AX49" s="117" t="str">
        <f t="shared" si="70"/>
        <v/>
      </c>
      <c r="AY49" s="117" t="str">
        <f t="shared" si="71"/>
        <v>- churches</v>
      </c>
      <c r="AZ49" s="117" t="str">
        <f t="shared" si="72"/>
        <v>- marian-sites</v>
      </c>
      <c r="BA49" s="117" t="str">
        <f t="shared" si="73"/>
        <v/>
      </c>
      <c r="BB49" s="117" t="str">
        <f t="shared" si="74"/>
        <v/>
      </c>
      <c r="BC49" s="117" t="str">
        <f t="shared" si="75"/>
        <v/>
      </c>
      <c r="BD49" s="117" t="str">
        <f t="shared" si="76"/>
        <v/>
      </c>
      <c r="BE49" s="117" t="str">
        <f t="shared" si="77"/>
        <v/>
      </c>
      <c r="BF49" s="117" t="str">
        <f t="shared" si="78"/>
        <v/>
      </c>
      <c r="BG49" s="117" t="str">
        <f t="shared" si="79"/>
        <v/>
      </c>
      <c r="BH49" s="117" t="str">
        <f t="shared" si="80"/>
        <v/>
      </c>
      <c r="BI49" s="117" t="str">
        <f t="shared" si="81"/>
        <v/>
      </c>
      <c r="BJ49" s="117" t="str">
        <f t="shared" si="82"/>
        <v/>
      </c>
      <c r="BK49" s="117" t="str">
        <f t="shared" si="83"/>
        <v/>
      </c>
      <c r="BL49" s="117" t="str">
        <f t="shared" si="84"/>
        <v xml:space="preserve">tags:
- pl_x000D_
- churches_x000D_
- marian-sites_x000D_
</v>
      </c>
      <c r="BM49" s="120" t="str">
        <f t="shared" si="62"/>
        <v>[Official site](https://www.lichen.pl/)</v>
      </c>
      <c r="BN49" s="120" t="str">
        <f t="shared" si="63"/>
        <v/>
      </c>
      <c r="BO49" s="120" t="str">
        <f t="shared" si="64"/>
        <v/>
      </c>
      <c r="BP49" s="120" t="str">
        <f t="shared" si="65"/>
        <v/>
      </c>
      <c r="BQ49" s="120" t="str">
        <f t="shared" si="85"/>
        <v xml:space="preserve">* [Official site](https://www.lichen.pl/)
</v>
      </c>
      <c r="BR49" s="120" t="str">
        <f t="shared" si="86"/>
        <v>[Link](http://www.therealpresence.org/eucharst/misc/BVM/110_LICHEN_96x96.pdf)</v>
      </c>
      <c r="BS49" s="120" t="str">
        <f t="shared" si="87"/>
        <v>[Link](http://www.miraclehunter.com/marian_apparitions/approved_apparitions/gietrzwald/index.html)</v>
      </c>
      <c r="BT49" s="120" t="str">
        <f t="shared" si="88"/>
        <v>[Link](https://www.marypages.com/lichen-(poland)-holy-mother-of-sorrow-en.html)</v>
      </c>
      <c r="BU49" s="120" t="str">
        <f>IF(LEN(concat(BR49:BT49))&gt;0,concat("| ",BR49," | ",BS49," | ",BT49," |"),"")</f>
        <v>| [Link](http://www.therealpresence.org/eucharst/misc/BVM/110_LICHEN_96x96.pdf) | [Link](http://www.miraclehunter.com/marian_apparitions/approved_apparitions/gietrzwald/index.html) | [Link](https://www.marypages.com/lichen-(poland)-holy-mother-of-sorrow-en.html) |</v>
      </c>
      <c r="BV49" s="117" t="str">
        <f t="shared" si="89"/>
        <v xml:space="preserve">| The Real Presence | Miracle Hunter | MaryPages |_x000D_
| --- | --- | --- |_x000D_
| [Link](http://www.therealpresence.org/eucharst/misc/BVM/110_LICHEN_96x96.pdf) | [Link](http://www.miraclehunter.com/marian_apparitions/approved_apparitions/gietrzwald/index.html) | [Link](https://www.marypages.com/lichen-(poland)-holy-mother-of-sorrow-en.html) |_x000D_
</v>
      </c>
      <c r="BW49" s="117" t="str">
        <f>IF(LEN(BQ49&amp;BV49)&gt;0,concatll("#### More Information",BQ49,BV49),"")</f>
        <v xml:space="preserve">#### More Information_x000D_
_x000D_
* [Official site](https://www.lichen.pl/)
_x000D_
_x000D_
| The Real Presence | Miracle Hunter | MaryPages |_x000D_
| --- | --- | --- |_x000D_
| [Link](http://www.therealpresence.org/eucharst/misc/BVM/110_LICHEN_96x96.pdf) | [Link](http://www.miraclehunter.com/marian_apparitions/approved_apparitions/gietrzwald/index.html) | [Link](https://www.marypages.com/lichen-(poland)-holy-mother-of-sorrow-en.html) |_x000D_
_x000D_
_x000D_
</v>
      </c>
      <c r="BX49" s="117" t="str">
        <f>IF(LEN(N49)&gt;1,concatll("#### Author's Note",N49,"-"&amp;B49),"")</f>
        <v/>
      </c>
      <c r="BY49" s="117" t="s">
        <v>53</v>
      </c>
      <c r="BZ49" s="117" t="s">
        <v>53</v>
      </c>
      <c r="CA49" s="6" t="str">
        <f>IF(AS49,concatll(concatl("---",AT49:AV49,BL49,"---"),M49,BW49:BX49),"")</f>
        <v xml:space="preserve">---_x000D_
title: "Basilica of Our Lady of Licheń (Holy Mother of Sorrows, Queen of Poland)"_x000D_
location: {lat: 52.323705849375, lng: 18.3584325570281}_x000D_
interest: global_x000D_
tags:
- pl_x000D_
- churches_x000D_
- marian-sites_x000D_
_x000D_
---_x000D_
_x000D_
_x000D_
According to legend, the Virgin Mary appeared in Licheń, Poland to Tomasz Klossowski, a wounded soldier, in 1813 who was healed and discovered a miraculous portrait of Our Lady.  She then appeared to a poor shepherd, Mikolaj Sikatka, in 1850 who promoted her devotion.  She foretold of a cholera epidemic and interceded for the healing of many who sought her help._x000D_
_x000D_
#### More Information_x000D_
_x000D_
* [Official site](https://www.lichen.pl/)
_x000D_
_x000D_
| The Real Presence | Miracle Hunter | MaryPages |_x000D_
| --- | --- | --- |_x000D_
| [Link](http://www.therealpresence.org/eucharst/misc/BVM/110_LICHEN_96x96.pdf) | [Link](http://www.miraclehunter.com/marian_apparitions/approved_apparitions/gietrzwald/index.html) | [Link](https://www.marypages.com/lichen-(poland)-holy-mother-of-sorrow-en.html) |_x000D_
_x000D_
_x000D_
_x000D_
_x000D_
</v>
      </c>
      <c r="CB49" s="6" t="str">
        <f>IF(AS49,"places\"&amp;VLOOKUP(C49,'Country Tags'!C:D,2,)&amp;IF(LEN(D49)&gt;1,"-"&amp;LOWER(SUBSTITUTE(D49," ","-")),"")&amp;"-"&amp;LOWER(SUBSTITUTE(SUBSTITUTE(H49," ","-"),".",""))&amp;".md","")</f>
        <v>places\pl-basilica-of-our-lady-of-lichen.md</v>
      </c>
      <c r="CC49" s="6"/>
      <c r="CD49" s="13" t="str">
        <f>IF(LEN(Z49)&gt;1,VLOOKUP(Z49,#REF!,2,),"")</f>
        <v/>
      </c>
      <c r="CE49" s="13" t="str">
        <f>IF(LEN(AA49)&gt;1,VLOOKUP(AA49,#REF!,2,),"")</f>
        <v/>
      </c>
      <c r="CF49" s="13" t="str">
        <f>IF(LEN(AB49)&gt;1,VLOOKUP(AB49,#REF!,2,),"")</f>
        <v/>
      </c>
      <c r="CG49" s="13" t="str">
        <f>IF(LEN(Z49)&gt;1,GetTagPage(CD49,Z49),"")</f>
        <v/>
      </c>
      <c r="CH49" s="13" t="str">
        <f>IF(LEN(AA49)&gt;1,GetTagPage(CE49,AA49),"")</f>
        <v/>
      </c>
      <c r="CI49" s="13" t="str">
        <f>IF(LEN(AB49)&gt;1,GetTagPage(CF49,AB49),"")</f>
        <v/>
      </c>
      <c r="CJ49" s="13" t="str">
        <f t="shared" si="90"/>
        <v xml:space="preserve">| </v>
      </c>
      <c r="CK49" s="13" t="str">
        <f t="shared" si="91"/>
        <v xml:space="preserve">| [Licheń](/places/places\pl-basilica-of-our-lady-of-lichen) </v>
      </c>
      <c r="CL49" s="13" t="str">
        <f>"| "&amp;IF(AS49,GetTagPage(C49,VLOOKUP(C49,'Country Tags'!C:E,3,)),C49)&amp; " "</f>
        <v xml:space="preserve">| [Poland](/tags/pl) </v>
      </c>
      <c r="CM49" s="13" t="str">
        <f t="shared" si="92"/>
        <v xml:space="preserve">| 1813-1850 </v>
      </c>
      <c r="CN49" s="13" t="str">
        <f t="shared" si="93"/>
        <v xml:space="preserve">| [Link](/places/places\pl-basilica-of-our-lady-of-lichen) </v>
      </c>
      <c r="CO49" s="12" t="str">
        <f t="shared" si="94"/>
        <v xml:space="preserve">
| [Licheń](/places/places\pl-basilica-of-our-lady-of-lichen) | [Poland](/tags/pl) | 1813-1850 | [Link](/places/places\pl-basilica-of-our-lady-of-lichen) [Official site](https://www.lichen.pl/)[Link](http://www.therealpresence.org/eucharst/misc/BVM/110_LICHEN_96x96.pdf)[Link](http://www.miraclehunter.com/marian_apparitions/approved_apparitions/gietrzwald/index.html)[Link](https://www.marypages.com/lichen-(poland)-holy-mother-of-sorrow-en.html)| |</v>
      </c>
    </row>
    <row r="50" spans="1:94" ht="51" x14ac:dyDescent="0.25">
      <c r="A50" s="129" t="s">
        <v>786</v>
      </c>
      <c r="B50" s="7" t="s">
        <v>1653</v>
      </c>
      <c r="C50" s="7" t="s">
        <v>365</v>
      </c>
      <c r="E50" s="1">
        <v>53.7480853</v>
      </c>
      <c r="F50" s="30">
        <v>20.235602400000001</v>
      </c>
      <c r="G50" s="7" t="s">
        <v>189</v>
      </c>
      <c r="H50" s="33" t="s">
        <v>189</v>
      </c>
      <c r="I50" s="7" t="s">
        <v>919</v>
      </c>
      <c r="J50" s="23" t="b">
        <v>1</v>
      </c>
      <c r="K50" s="7" t="b">
        <v>1</v>
      </c>
      <c r="M50" s="7" t="s">
        <v>69</v>
      </c>
      <c r="O50" s="1" t="s">
        <v>72</v>
      </c>
      <c r="P50" s="1" t="s">
        <v>53</v>
      </c>
      <c r="Z50" s="19" t="s">
        <v>53</v>
      </c>
      <c r="AA50" s="19"/>
      <c r="AB50" s="19"/>
      <c r="AC50" s="19"/>
      <c r="AD50" s="19"/>
      <c r="AE50" s="19"/>
      <c r="AF50" s="19"/>
      <c r="AG50" s="19"/>
      <c r="AH50" s="19"/>
      <c r="AI50" s="19"/>
      <c r="AJ50" s="56" t="s">
        <v>702</v>
      </c>
      <c r="AK50" s="57">
        <v>1877</v>
      </c>
      <c r="AL50" s="1" t="s">
        <v>41</v>
      </c>
      <c r="AM50" s="1" t="s">
        <v>53</v>
      </c>
      <c r="AN50" s="1" t="s">
        <v>71</v>
      </c>
      <c r="AO50" s="1" t="s">
        <v>53</v>
      </c>
      <c r="AP50" s="1" t="s">
        <v>70</v>
      </c>
      <c r="AQ50" s="30" t="s">
        <v>53</v>
      </c>
      <c r="AS50" s="116" t="b">
        <f t="shared" si="66"/>
        <v>1</v>
      </c>
      <c r="AT50" s="117" t="str">
        <f t="shared" si="67"/>
        <v>title: "Sanctuary of Our Lady of Gietrzwałd"</v>
      </c>
      <c r="AU50" s="117" t="str">
        <f t="shared" si="68"/>
        <v>location: {lat: 53.7480853, lng: 20.2356024}</v>
      </c>
      <c r="AV50" s="117" t="str">
        <f t="shared" si="69"/>
        <v>interest: global</v>
      </c>
      <c r="AW50" s="117" t="str">
        <f>"- "&amp;VLOOKUP(C50,'Country Tags'!C:E,3,)</f>
        <v>- pl</v>
      </c>
      <c r="AX50" s="117" t="str">
        <f t="shared" si="70"/>
        <v/>
      </c>
      <c r="AY50" s="117" t="str">
        <f t="shared" si="71"/>
        <v>- churches</v>
      </c>
      <c r="AZ50" s="117" t="str">
        <f t="shared" si="72"/>
        <v>- marian-sites</v>
      </c>
      <c r="BA50" s="117" t="str">
        <f t="shared" si="73"/>
        <v/>
      </c>
      <c r="BB50" s="117" t="str">
        <f t="shared" si="74"/>
        <v/>
      </c>
      <c r="BC50" s="117" t="str">
        <f t="shared" si="75"/>
        <v/>
      </c>
      <c r="BD50" s="117" t="str">
        <f t="shared" si="76"/>
        <v/>
      </c>
      <c r="BE50" s="117" t="str">
        <f t="shared" si="77"/>
        <v/>
      </c>
      <c r="BF50" s="117" t="str">
        <f t="shared" si="78"/>
        <v/>
      </c>
      <c r="BG50" s="117" t="str">
        <f t="shared" si="79"/>
        <v/>
      </c>
      <c r="BH50" s="117" t="str">
        <f t="shared" si="80"/>
        <v/>
      </c>
      <c r="BI50" s="117" t="str">
        <f t="shared" si="81"/>
        <v/>
      </c>
      <c r="BJ50" s="117" t="str">
        <f t="shared" si="82"/>
        <v/>
      </c>
      <c r="BK50" s="117" t="str">
        <f t="shared" si="83"/>
        <v/>
      </c>
      <c r="BL50" s="117" t="str">
        <f t="shared" si="84"/>
        <v xml:space="preserve">tags:
- pl_x000D_
- churches_x000D_
- marian-sites_x000D_
</v>
      </c>
      <c r="BM50" s="120" t="str">
        <f t="shared" si="62"/>
        <v>[Official site](https://sanktuariummaryjne.pl/)</v>
      </c>
      <c r="BN50" s="120" t="str">
        <f t="shared" si="63"/>
        <v/>
      </c>
      <c r="BO50" s="120" t="str">
        <f t="shared" si="64"/>
        <v/>
      </c>
      <c r="BP50" s="120" t="str">
        <f t="shared" si="65"/>
        <v/>
      </c>
      <c r="BQ50" s="120" t="str">
        <f t="shared" si="85"/>
        <v xml:space="preserve">* [Official site](https://sanktuariummaryjne.pl/)
</v>
      </c>
      <c r="BR50" s="120" t="str">
        <f t="shared" si="86"/>
        <v>[Link](http://www.therealpresence.org/eucharst/misc/BVM/85_GIETRZALD_96x96.pdf)</v>
      </c>
      <c r="BS50" s="120" t="str">
        <f t="shared" si="87"/>
        <v>[Link](http://www.miraclehunter.com/marian_apparitions/approved_apparitions/gietrzwald/index.html)</v>
      </c>
      <c r="BT50" s="120" t="str">
        <f t="shared" si="88"/>
        <v>[Link](https://www.marypages.com/giertzwald-(poland)-en.html)</v>
      </c>
      <c r="BU50" s="120" t="str">
        <f>IF(LEN(concat(BR50:BT50))&gt;0,concat("| ",BR50," | ",BS50," | ",BT50," |"),"")</f>
        <v>| [Link](http://www.therealpresence.org/eucharst/misc/BVM/85_GIETRZALD_96x96.pdf) | [Link](http://www.miraclehunter.com/marian_apparitions/approved_apparitions/gietrzwald/index.html) | [Link](https://www.marypages.com/giertzwald-(poland)-en.html) |</v>
      </c>
      <c r="BV50" s="117" t="str">
        <f t="shared" si="89"/>
        <v xml:space="preserve">| The Real Presence | Miracle Hunter | MaryPages |_x000D_
| --- | --- | --- |_x000D_
| [Link](http://www.therealpresence.org/eucharst/misc/BVM/85_GIETRZALD_96x96.pdf) | [Link](http://www.miraclehunter.com/marian_apparitions/approved_apparitions/gietrzwald/index.html) | [Link](https://www.marypages.com/giertzwald-(poland)-en.html) |_x000D_
</v>
      </c>
      <c r="BW50" s="117" t="str">
        <f>IF(LEN(BQ50&amp;BV50)&gt;0,concatll("#### More Information",BQ50,BV50),"")</f>
        <v xml:space="preserve">#### More Information_x000D_
_x000D_
* [Official site](https://sanktuariummaryjne.pl/)
_x000D_
_x000D_
| The Real Presence | Miracle Hunter | MaryPages |_x000D_
| --- | --- | --- |_x000D_
| [Link](http://www.therealpresence.org/eucharst/misc/BVM/85_GIETRZALD_96x96.pdf) | [Link](http://www.miraclehunter.com/marian_apparitions/approved_apparitions/gietrzwald/index.html) | [Link](https://www.marypages.com/giertzwald-(poland)-en.html) |_x000D_
_x000D_
_x000D_
</v>
      </c>
      <c r="BX50" s="117" t="str">
        <f>IF(LEN(N50)&gt;1,concatll("#### Author's Note",N50,"-"&amp;B50),"")</f>
        <v/>
      </c>
      <c r="BY50" s="117" t="s">
        <v>53</v>
      </c>
      <c r="BZ50" s="117" t="s">
        <v>53</v>
      </c>
      <c r="CA50" s="6" t="str">
        <f>IF(AS50,concatll(concatl("---",AT50:AV50,BL50,"---"),M50,BW50:BX50),"")</f>
        <v xml:space="preserve">---_x000D_
title: "Sanctuary of Our Lady of Gietrzwałd"_x000D_
location: {lat: 53.7480853, lng: 20.2356024}_x000D_
interest: global_x000D_
tags:
- pl_x000D_
- churches_x000D_
- marian-sites_x000D_
_x000D_
---_x000D_
_x000D_
_x000D_
In 1877, Our Lady appeared to Justyna Szafrynska (13) just before receiving her First Holy Communion.  The next day, Barbara Samulowska (12) also saw the "Bright Lady" sitting on the throne with Infant Christ among angels.  The Blessed Mother's ask of the girls was for them to pray the rosary daily._x000D_
_x000D_
#### More Information_x000D_
_x000D_
* [Official site](https://sanktuariummaryjne.pl/)
_x000D_
_x000D_
| The Real Presence | Miracle Hunter | MaryPages |_x000D_
| --- | --- | --- |_x000D_
| [Link](http://www.therealpresence.org/eucharst/misc/BVM/85_GIETRZALD_96x96.pdf) | [Link](http://www.miraclehunter.com/marian_apparitions/approved_apparitions/gietrzwald/index.html) | [Link](https://www.marypages.com/giertzwald-(poland)-en.html) |_x000D_
_x000D_
_x000D_
_x000D_
_x000D_
</v>
      </c>
      <c r="CB50" s="6" t="str">
        <f>IF(AS50,"places\"&amp;VLOOKUP(C50,'Country Tags'!C:D,2,)&amp;IF(LEN(D50)&gt;1,"-"&amp;LOWER(SUBSTITUTE(D50," ","-")),"")&amp;"-"&amp;LOWER(SUBSTITUTE(SUBSTITUTE(H50," ","-"),".",""))&amp;".md","")</f>
        <v>places\pl-sanctuary-of-our-lady-of-gietrzwałd.md</v>
      </c>
      <c r="CC50" s="6"/>
      <c r="CD50" s="21" t="str">
        <f>IF(LEN(Z50)&gt;1,VLOOKUP(Z50,#REF!,2,),"")</f>
        <v/>
      </c>
      <c r="CE50" s="21" t="str">
        <f>IF(LEN(AA50)&gt;1,VLOOKUP(AA50,#REF!,2,),"")</f>
        <v/>
      </c>
      <c r="CF50" s="21" t="str">
        <f>IF(LEN(AB50)&gt;1,VLOOKUP(AB50,#REF!,2,),"")</f>
        <v/>
      </c>
      <c r="CG50" s="13" t="str">
        <f>IF(LEN(Z50)&gt;1,GetTagPage(CD50,Z50),"")</f>
        <v/>
      </c>
      <c r="CH50" s="13" t="str">
        <f>IF(LEN(AA50)&gt;1,GetTagPage(CE50,AA50),"")</f>
        <v/>
      </c>
      <c r="CI50" s="13" t="str">
        <f>IF(LEN(AB50)&gt;1,GetTagPage(CF50,AB50),"")</f>
        <v/>
      </c>
      <c r="CJ50" s="13" t="str">
        <f t="shared" si="90"/>
        <v xml:space="preserve">| </v>
      </c>
      <c r="CK50" s="13" t="str">
        <f t="shared" si="91"/>
        <v xml:space="preserve">| [Gietrzwald](/places/places\pl-sanctuary-of-our-lady-of-gietrzwałd) </v>
      </c>
      <c r="CL50" s="13" t="str">
        <f>"| "&amp;IF(AS50,GetTagPage(C50,VLOOKUP(C50,'Country Tags'!C:E,3,)),C50)&amp; " "</f>
        <v xml:space="preserve">| [Poland](/tags/pl) </v>
      </c>
      <c r="CM50" s="13" t="str">
        <f t="shared" si="92"/>
        <v xml:space="preserve">| 1877 </v>
      </c>
      <c r="CN50" s="13" t="str">
        <f t="shared" si="93"/>
        <v xml:space="preserve">| [Link](/places/places\pl-sanctuary-of-our-lady-of-gietrzwałd) </v>
      </c>
      <c r="CO50" s="12" t="str">
        <f t="shared" si="94"/>
        <v xml:space="preserve">
| [Gietrzwald](/places/places\pl-sanctuary-of-our-lady-of-gietrzwałd) | [Poland](/tags/pl) | 1877 | [Link](/places/places\pl-sanctuary-of-our-lady-of-gietrzwałd) [Official site](https://sanktuariummaryjne.pl/)[Link](http://www.therealpresence.org/eucharst/misc/BVM/85_GIETRZALD_96x96.pdf)[Link](http://www.miraclehunter.com/marian_apparitions/approved_apparitions/gietrzwald/index.html)[Link](https://www.marypages.com/giertzwald-(poland)-en.html)| |</v>
      </c>
    </row>
    <row r="51" spans="1:94" ht="51" x14ac:dyDescent="0.25">
      <c r="A51" s="129" t="s">
        <v>786</v>
      </c>
      <c r="B51" s="7" t="s">
        <v>1653</v>
      </c>
      <c r="C51" s="7" t="s">
        <v>365</v>
      </c>
      <c r="E51" s="1">
        <v>50.812751619291099</v>
      </c>
      <c r="F51" s="30">
        <v>19.096651748272901</v>
      </c>
      <c r="G51" s="10" t="s">
        <v>749</v>
      </c>
      <c r="H51" s="33" t="s">
        <v>750</v>
      </c>
      <c r="I51" s="7" t="s">
        <v>919</v>
      </c>
      <c r="J51" s="23" t="b">
        <v>1</v>
      </c>
      <c r="K51" s="7" t="b">
        <v>1</v>
      </c>
      <c r="M51" s="10" t="s">
        <v>754</v>
      </c>
      <c r="O51" s="1" t="s">
        <v>751</v>
      </c>
      <c r="P51" s="1" t="s">
        <v>53</v>
      </c>
      <c r="Z51" s="7" t="s">
        <v>880</v>
      </c>
      <c r="AA51" s="7"/>
      <c r="AB51" s="7"/>
      <c r="AC51" s="7"/>
      <c r="AD51" s="7"/>
      <c r="AE51" s="7"/>
      <c r="AF51" s="7"/>
      <c r="AG51" s="7"/>
      <c r="AH51" s="7"/>
      <c r="AI51" s="7"/>
      <c r="AJ51" s="56" t="s">
        <v>747</v>
      </c>
      <c r="AK51" s="57" t="s">
        <v>748</v>
      </c>
      <c r="AL51" s="1" t="s">
        <v>53</v>
      </c>
      <c r="AM51" s="1" t="s">
        <v>53</v>
      </c>
      <c r="AN51" s="1" t="s">
        <v>752</v>
      </c>
      <c r="AO51" s="1" t="s">
        <v>53</v>
      </c>
      <c r="AP51" s="1" t="s">
        <v>753</v>
      </c>
      <c r="AQ51" s="30" t="s">
        <v>53</v>
      </c>
      <c r="AS51" s="116" t="b">
        <f t="shared" si="66"/>
        <v>1</v>
      </c>
      <c r="AT51" s="117" t="str">
        <f t="shared" si="67"/>
        <v>title: "Jasna Gora Monastery (Our Lady of Czestochowa)"</v>
      </c>
      <c r="AU51" s="117" t="str">
        <f t="shared" si="68"/>
        <v>location: {lat: 50.8127516192911, lng: 19.0966517482729}</v>
      </c>
      <c r="AV51" s="117" t="str">
        <f t="shared" si="69"/>
        <v>interest: global</v>
      </c>
      <c r="AW51" s="117" t="str">
        <f>"- "&amp;VLOOKUP(C51,'Country Tags'!C:E,3,)</f>
        <v>- pl</v>
      </c>
      <c r="AX51" s="117" t="str">
        <f t="shared" si="70"/>
        <v/>
      </c>
      <c r="AY51" s="117" t="str">
        <f t="shared" si="71"/>
        <v>- churches</v>
      </c>
      <c r="AZ51" s="117" t="str">
        <f t="shared" si="72"/>
        <v>- marian-sites</v>
      </c>
      <c r="BA51" s="117" t="str">
        <f t="shared" si="73"/>
        <v/>
      </c>
      <c r="BB51" s="117" t="str">
        <f t="shared" si="74"/>
        <v>- communities</v>
      </c>
      <c r="BC51" s="117" t="str">
        <f t="shared" si="75"/>
        <v/>
      </c>
      <c r="BD51" s="117" t="str">
        <f t="shared" si="76"/>
        <v/>
      </c>
      <c r="BE51" s="117" t="str">
        <f t="shared" si="77"/>
        <v/>
      </c>
      <c r="BF51" s="117" t="str">
        <f t="shared" si="78"/>
        <v/>
      </c>
      <c r="BG51" s="117" t="str">
        <f t="shared" si="79"/>
        <v/>
      </c>
      <c r="BH51" s="117" t="str">
        <f t="shared" si="80"/>
        <v/>
      </c>
      <c r="BI51" s="117" t="str">
        <f t="shared" si="81"/>
        <v/>
      </c>
      <c r="BJ51" s="117" t="str">
        <f t="shared" si="82"/>
        <v/>
      </c>
      <c r="BK51" s="117" t="str">
        <f t="shared" si="83"/>
        <v/>
      </c>
      <c r="BL51" s="117" t="str">
        <f t="shared" si="84"/>
        <v xml:space="preserve">tags:
- pl_x000D_
- churches_x000D_
- marian-sites_x000D_
- communities_x000D_
</v>
      </c>
      <c r="BM51" s="120" t="str">
        <f t="shared" si="62"/>
        <v>[Official site](https://jasnagora.pl/)</v>
      </c>
      <c r="BN51" s="120" t="str">
        <f t="shared" si="63"/>
        <v/>
      </c>
      <c r="BO51" s="120" t="str">
        <f t="shared" si="64"/>
        <v/>
      </c>
      <c r="BP51" s="120" t="str">
        <f t="shared" si="65"/>
        <v/>
      </c>
      <c r="BQ51" s="120" t="str">
        <f t="shared" si="85"/>
        <v xml:space="preserve">* [Official site](https://jasnagora.pl/)
</v>
      </c>
      <c r="BR51" s="120" t="str">
        <f t="shared" si="86"/>
        <v/>
      </c>
      <c r="BS51" s="120" t="str">
        <f t="shared" si="87"/>
        <v>[Link](https://www.miraclehunter.com/marian_apparitions/approved_apparitions/czestochowa/)</v>
      </c>
      <c r="BT51" s="120" t="str">
        <f t="shared" si="88"/>
        <v>[Link](https://www.marypages.com/czestochowa-(poland)-en.html)</v>
      </c>
      <c r="BU51" s="120" t="str">
        <f>IF(LEN(concat(BR51:BT51))&gt;0,concat("| ",BR51," | ",BS51," | ",BT51," |"),"")</f>
        <v>|  | [Link](https://www.miraclehunter.com/marian_apparitions/approved_apparitions/czestochowa/) | [Link](https://www.marypages.com/czestochowa-(poland)-en.html) |</v>
      </c>
      <c r="BV51" s="117" t="str">
        <f t="shared" si="89"/>
        <v xml:space="preserve">| The Real Presence | Miracle Hunter | MaryPages |_x000D_
| --- | --- | --- |_x000D_
|  | [Link](https://www.miraclehunter.com/marian_apparitions/approved_apparitions/czestochowa/) | [Link](https://www.marypages.com/czestochowa-(poland)-en.html) |_x000D_
</v>
      </c>
      <c r="BW51" s="117" t="str">
        <f>IF(LEN(BQ51&amp;BV51)&gt;0,concatll("#### More Information",BQ51,BV51),"")</f>
        <v xml:space="preserve">#### More Information_x000D_
_x000D_
* [Official site](https://jasnagora.pl/)
_x000D_
_x000D_
| The Real Presence | Miracle Hunter | MaryPages |_x000D_
| --- | --- | --- |_x000D_
|  | [Link](https://www.miraclehunter.com/marian_apparitions/approved_apparitions/czestochowa/) | [Link](https://www.marypages.com/czestochowa-(poland)-en.html) |_x000D_
_x000D_
_x000D_
</v>
      </c>
      <c r="BX51" s="117" t="str">
        <f>IF(LEN(N51)&gt;1,concatll("#### Author's Note",N51,"-"&amp;B51),"")</f>
        <v/>
      </c>
      <c r="BY51" s="117" t="s">
        <v>53</v>
      </c>
      <c r="BZ51" s="117" t="s">
        <v>53</v>
      </c>
      <c r="CA51" s="6" t="str">
        <f>IF(AS51,concatll(concatl("---",AT51:AV51,BL51,"---"),M51,BW51:BX51),"")</f>
        <v xml:space="preserve">---_x000D_
title: "Jasna Gora Monastery (Our Lady of Czestochowa)"_x000D_
location: {lat: 50.8127516192911, lng: 19.0966517482729}_x000D_
interest: global_x000D_
tags:
- pl_x000D_
- churches_x000D_
- marian-sites_x000D_
- communities_x000D_
_x000D_
---_x000D_
_x000D_
_x000D_
The Monastery of Jasna Gora in Częstochowa, Poland, is the third-largest Catholic pilgrimage site in the world.  Home to the beloved miraculous icon of Our Lady of Częstochowa, the monastery is also the national shrine of Poland and a pillar of Polish Catholicism._x000D_
_x000D_
#### More Information_x000D_
_x000D_
* [Official site](https://jasnagora.pl/)
_x000D_
_x000D_
| The Real Presence | Miracle Hunter | MaryPages |_x000D_
| --- | --- | --- |_x000D_
|  | [Link](https://www.miraclehunter.com/marian_apparitions/approved_apparitions/czestochowa/) | [Link](https://www.marypages.com/czestochowa-(poland)-en.html) |_x000D_
_x000D_
_x000D_
_x000D_
_x000D_
</v>
      </c>
      <c r="CB51" s="6" t="str">
        <f>IF(AS51,"places\"&amp;VLOOKUP(C51,'Country Tags'!C:D,2,)&amp;IF(LEN(D51)&gt;1,"-"&amp;LOWER(SUBSTITUTE(D51," ","-")),"")&amp;"-"&amp;LOWER(SUBSTITUTE(SUBSTITUTE(H51," ","-"),".",""))&amp;".md","")</f>
        <v>places\pl-jasna-gora-monastery.md</v>
      </c>
      <c r="CC51" s="6"/>
      <c r="CD51" s="11" t="e">
        <f>IF(LEN(Z51)&gt;1,VLOOKUP(Z51,#REF!,2,),"")</f>
        <v>#REF!</v>
      </c>
      <c r="CE51" s="11" t="str">
        <f>IF(LEN(AA51)&gt;1,VLOOKUP(AA51,#REF!,2,),"")</f>
        <v/>
      </c>
      <c r="CF51" s="11" t="str">
        <f>IF(LEN(AB51)&gt;1,VLOOKUP(AB51,#REF!,2,),"")</f>
        <v/>
      </c>
      <c r="CG51" s="13" t="e">
        <f>IF(LEN(Z51)&gt;1,GetTagPage(CD51,Z51),"")</f>
        <v>#VALUE!</v>
      </c>
      <c r="CH51" s="13" t="str">
        <f>IF(LEN(AA51)&gt;1,GetTagPage(CE51,AA51),"")</f>
        <v/>
      </c>
      <c r="CI51" s="13" t="str">
        <f>IF(LEN(AB51)&gt;1,GetTagPage(CF51,AB51),"")</f>
        <v/>
      </c>
      <c r="CJ51" s="13" t="e">
        <f t="shared" si="90"/>
        <v>#VALUE!</v>
      </c>
      <c r="CK51" s="13" t="str">
        <f t="shared" si="91"/>
        <v xml:space="preserve">| [Czestochowa](/places/places\pl-jasna-gora-monastery) </v>
      </c>
      <c r="CL51" s="13" t="str">
        <f>"| "&amp;IF(AS51,GetTagPage(C51,VLOOKUP(C51,'Country Tags'!C:E,3,)),C51)&amp; " "</f>
        <v xml:space="preserve">| [Poland](/tags/pl) </v>
      </c>
      <c r="CM51" s="13" t="str">
        <f t="shared" si="92"/>
        <v xml:space="preserve">| Unknown </v>
      </c>
      <c r="CN51" s="13" t="str">
        <f t="shared" si="93"/>
        <v xml:space="preserve">| [Link](/places/places\pl-jasna-gora-monastery) </v>
      </c>
      <c r="CO51" s="12" t="e">
        <f t="shared" si="94"/>
        <v>#VALUE!</v>
      </c>
    </row>
    <row r="52" spans="1:94" ht="63.75" x14ac:dyDescent="0.25">
      <c r="A52" s="129" t="s">
        <v>786</v>
      </c>
      <c r="B52" s="7" t="s">
        <v>1653</v>
      </c>
      <c r="C52" s="7" t="s">
        <v>369</v>
      </c>
      <c r="E52" s="1">
        <v>39.631263799999999</v>
      </c>
      <c r="F52" s="30">
        <v>-8.6731570999999992</v>
      </c>
      <c r="G52" s="7" t="s">
        <v>737</v>
      </c>
      <c r="H52" s="33" t="s">
        <v>439</v>
      </c>
      <c r="I52" s="7" t="s">
        <v>919</v>
      </c>
      <c r="J52" s="23" t="b">
        <v>1</v>
      </c>
      <c r="K52" s="7" t="b">
        <v>1</v>
      </c>
      <c r="L52" s="7" t="b">
        <v>1</v>
      </c>
      <c r="M52" s="7" t="s">
        <v>186</v>
      </c>
      <c r="O52" s="1" t="s">
        <v>141</v>
      </c>
      <c r="P52" s="1" t="s">
        <v>53</v>
      </c>
      <c r="Z52" s="19" t="s">
        <v>881</v>
      </c>
      <c r="AA52" s="19" t="s">
        <v>882</v>
      </c>
      <c r="AB52" s="19"/>
      <c r="AC52" s="19"/>
      <c r="AD52" s="19"/>
      <c r="AE52" s="19"/>
      <c r="AF52" s="19"/>
      <c r="AG52" s="19"/>
      <c r="AH52" s="19"/>
      <c r="AI52" s="19"/>
      <c r="AJ52" s="56" t="s">
        <v>438</v>
      </c>
      <c r="AK52" s="57">
        <v>1916</v>
      </c>
      <c r="AL52" s="1" t="s">
        <v>43</v>
      </c>
      <c r="AM52" s="1" t="s">
        <v>793</v>
      </c>
      <c r="AN52" s="1" t="s">
        <v>187</v>
      </c>
      <c r="AO52" s="1" t="s">
        <v>53</v>
      </c>
      <c r="AP52" s="1" t="s">
        <v>188</v>
      </c>
      <c r="AQ52" s="30" t="s">
        <v>53</v>
      </c>
      <c r="AS52" s="116" t="b">
        <f t="shared" si="66"/>
        <v>1</v>
      </c>
      <c r="AT52" s="117" t="str">
        <f t="shared" si="67"/>
        <v>title: "Sanctuary of Our Lady of the Rosary of Fatima"</v>
      </c>
      <c r="AU52" s="117" t="str">
        <f t="shared" si="68"/>
        <v>location: {lat: 39.6312638, lng: -8.6731571}</v>
      </c>
      <c r="AV52" s="117" t="str">
        <f t="shared" si="69"/>
        <v>interest: global</v>
      </c>
      <c r="AW52" s="117" t="str">
        <f>"- "&amp;VLOOKUP(C52,'Country Tags'!C:E,3,)</f>
        <v>- pt</v>
      </c>
      <c r="AX52" s="117" t="str">
        <f t="shared" si="70"/>
        <v/>
      </c>
      <c r="AY52" s="117" t="str">
        <f t="shared" si="71"/>
        <v>- churches</v>
      </c>
      <c r="AZ52" s="117" t="str">
        <f t="shared" si="72"/>
        <v>- marian-sites</v>
      </c>
      <c r="BA52" s="117" t="str">
        <f t="shared" si="73"/>
        <v>- holy-persons</v>
      </c>
      <c r="BB52" s="117" t="str">
        <f t="shared" si="74"/>
        <v>- lucia-dos-santos</v>
      </c>
      <c r="BC52" s="117" t="str">
        <f t="shared" si="75"/>
        <v>- francisco-and-jacinta-marto</v>
      </c>
      <c r="BD52" s="117" t="str">
        <f t="shared" si="76"/>
        <v/>
      </c>
      <c r="BE52" s="117" t="str">
        <f t="shared" si="77"/>
        <v/>
      </c>
      <c r="BF52" s="117" t="str">
        <f t="shared" si="78"/>
        <v/>
      </c>
      <c r="BG52" s="117" t="str">
        <f t="shared" si="79"/>
        <v/>
      </c>
      <c r="BH52" s="117" t="str">
        <f t="shared" si="80"/>
        <v/>
      </c>
      <c r="BI52" s="117" t="str">
        <f t="shared" si="81"/>
        <v/>
      </c>
      <c r="BJ52" s="117" t="str">
        <f t="shared" si="82"/>
        <v/>
      </c>
      <c r="BK52" s="117" t="str">
        <f t="shared" si="83"/>
        <v/>
      </c>
      <c r="BL52" s="117" t="str">
        <f t="shared" si="84"/>
        <v xml:space="preserve">tags:
- pt_x000D_
- churches_x000D_
- marian-sites_x000D_
- holy-persons_x000D_
- lucia-dos-santos_x000D_
- francisco-and-jacinta-marto_x000D_
</v>
      </c>
      <c r="BM52" s="120" t="str">
        <f t="shared" si="62"/>
        <v>[Official site](https://www.fatima.pt/)</v>
      </c>
      <c r="BN52" s="120" t="str">
        <f t="shared" si="63"/>
        <v/>
      </c>
      <c r="BO52" s="120" t="str">
        <f t="shared" si="64"/>
        <v/>
      </c>
      <c r="BP52" s="120" t="str">
        <f t="shared" si="65"/>
        <v/>
      </c>
      <c r="BQ52" s="120" t="str">
        <f t="shared" si="85"/>
        <v xml:space="preserve">* [Official site](https://www.fatima.pt/)
</v>
      </c>
      <c r="BR52" s="120" t="str">
        <f t="shared" si="86"/>
        <v>[Link](http://www.therealpresence.org/eucharst/misc/BVM/154_FATIMA_96x96_1.pdf) , [Link](http://www.therealpresence.org/eucharst/misc/BVM/154_FATIMA_140x96_2.pdf), [Link](http://www.therealpresence.org/eucharst/misc/BVM/154_FATIMA_96x96_3.pdf)</v>
      </c>
      <c r="BS52" s="120" t="str">
        <f t="shared" si="87"/>
        <v>[Link](https://www.miraclehunter.com/marian_apparitions/approved_apparitions/fatima/index.html)</v>
      </c>
      <c r="BT52" s="120" t="str">
        <f t="shared" si="88"/>
        <v>[Link](https://www.marypages.com/fatima-(portugal)-1917.html)</v>
      </c>
      <c r="BU52" s="120" t="str">
        <f>IF(LEN(concat(BR52:BT52))&gt;0,concat("| ",BR52," | ",BS52," | ",BT52," |"),"")</f>
        <v>| [Link](http://www.therealpresence.org/eucharst/misc/BVM/154_FATIMA_96x96_1.pdf) , [Link](http://www.therealpresence.org/eucharst/misc/BVM/154_FATIMA_140x96_2.pdf), [Link](http://www.therealpresence.org/eucharst/misc/BVM/154_FATIMA_96x96_3.pdf) | [Link](https://www.miraclehunter.com/marian_apparitions/approved_apparitions/fatima/index.html) | [Link](https://www.marypages.com/fatima-(portugal)-1917.html) |</v>
      </c>
      <c r="BV52" s="117" t="str">
        <f t="shared" si="89"/>
        <v xml:space="preserve">| The Real Presence | Miracle Hunter | MaryPages |_x000D_
| --- | --- | --- |_x000D_
| [Link](http://www.therealpresence.org/eucharst/misc/BVM/154_FATIMA_96x96_1.pdf) , [Link](http://www.therealpresence.org/eucharst/misc/BVM/154_FATIMA_140x96_2.pdf), [Link](http://www.therealpresence.org/eucharst/misc/BVM/154_FATIMA_96x96_3.pdf) | [Link](https://www.miraclehunter.com/marian_apparitions/approved_apparitions/fatima/index.html) | [Link](https://www.marypages.com/fatima-(portugal)-1917.html) |_x000D_
</v>
      </c>
      <c r="BW52" s="117" t="str">
        <f>IF(LEN(BQ52&amp;BV52)&gt;0,concatll("#### More Information",BQ52,BV52),"")</f>
        <v xml:space="preserve">#### More Information_x000D_
_x000D_
* [Official site](https://www.fatima.pt/)
_x000D_
_x000D_
| The Real Presence | Miracle Hunter | MaryPages |_x000D_
| --- | --- | --- |_x000D_
| [Link](http://www.therealpresence.org/eucharst/misc/BVM/154_FATIMA_96x96_1.pdf) , [Link](http://www.therealpresence.org/eucharst/misc/BVM/154_FATIMA_140x96_2.pdf), [Link](http://www.therealpresence.org/eucharst/misc/BVM/154_FATIMA_96x96_3.pdf) | [Link](https://www.miraclehunter.com/marian_apparitions/approved_apparitions/fatima/index.html) | [Link](https://www.marypages.com/fatima-(portugal)-1917.html) |_x000D_
_x000D_
_x000D_
</v>
      </c>
      <c r="BX52" s="117" t="str">
        <f>IF(LEN(N52)&gt;1,concatll("#### Author's Note",N52,"-"&amp;B52),"")</f>
        <v/>
      </c>
      <c r="BY52" s="117" t="s">
        <v>53</v>
      </c>
      <c r="BZ52" s="117" t="s">
        <v>53</v>
      </c>
      <c r="CA52" s="6" t="str">
        <f>IF(AS52,concatll(concatl("---",AT52:AV52,BL52,"---"),M52,BW52:BX52),"")</f>
        <v xml:space="preserve">---_x000D_
title: "Sanctuary of Our Lady of the Rosary of Fatima"_x000D_
location: {lat: 39.6312638, lng: -8.6731571}_x000D_
interest: global_x000D_
tags:
- pt_x000D_
- churches_x000D_
- marian-sites_x000D_
- holy-persons_x000D_
- lucia-dos-santos_x000D_
- francisco-and-jacinta-marto_x000D_
_x000D_
---_x000D_
_x000D_
_x000D_
While tending sheep in a field called the Cova de Iria, Lucia de Santos (aged 10) and her two cousins, Francisco and Jacinta Marto, reported six apparitions of Mary, who identified herself as "Our Lady of the Rosary."  Mary urged prayer of the rosary, penance for the conversion of sinners and consecration of Russia to her Immaculate Heart._x000D_
_x000D_
#### More Information_x000D_
_x000D_
* [Official site](https://www.fatima.pt/)
_x000D_
_x000D_
| The Real Presence | Miracle Hunter | MaryPages |_x000D_
| --- | --- | --- |_x000D_
| [Link](http://www.therealpresence.org/eucharst/misc/BVM/154_FATIMA_96x96_1.pdf) , [Link](http://www.therealpresence.org/eucharst/misc/BVM/154_FATIMA_140x96_2.pdf), [Link](http://www.therealpresence.org/eucharst/misc/BVM/154_FATIMA_96x96_3.pdf) | [Link](https://www.miraclehunter.com/marian_apparitions/approved_apparitions/fatima/index.html) | [Link](https://www.marypages.com/fatima-(portugal)-1917.html) |_x000D_
_x000D_
_x000D_
_x000D_
_x000D_
</v>
      </c>
      <c r="CB52" s="6" t="str">
        <f>IF(AS52,"places\"&amp;VLOOKUP(C52,'Country Tags'!C:D,2,)&amp;IF(LEN(D52)&gt;1,"-"&amp;LOWER(SUBSTITUTE(D52," ","-")),"")&amp;"-"&amp;LOWER(SUBSTITUTE(SUBSTITUTE(H52," ","-"),".",""))&amp;".md","")</f>
        <v>places\pt-shrine-of-fatima.md</v>
      </c>
      <c r="CC52" s="6"/>
      <c r="CD52" s="21" t="e">
        <f>IF(LEN(Z52)&gt;1,VLOOKUP(Z52,#REF!,2,),"")</f>
        <v>#REF!</v>
      </c>
      <c r="CE52" s="21" t="e">
        <f>IF(LEN(AA52)&gt;1,VLOOKUP(AA52,#REF!,2,),"")</f>
        <v>#REF!</v>
      </c>
      <c r="CF52" s="21" t="str">
        <f>IF(LEN(AB52)&gt;1,VLOOKUP(AB52,#REF!,2,),"")</f>
        <v/>
      </c>
      <c r="CG52" s="13" t="e">
        <f>IF(LEN(Z52)&gt;1,GetTagPage(CD52,Z52),"")</f>
        <v>#VALUE!</v>
      </c>
      <c r="CH52" s="13" t="e">
        <f>IF(LEN(AA52)&gt;1,GetTagPage(CE52,AA52),"")</f>
        <v>#VALUE!</v>
      </c>
      <c r="CI52" s="13" t="str">
        <f>IF(LEN(AB52)&gt;1,GetTagPage(CF52,AB52),"")</f>
        <v/>
      </c>
      <c r="CJ52" s="13" t="e">
        <f t="shared" si="90"/>
        <v>#VALUE!</v>
      </c>
      <c r="CK52" s="13" t="str">
        <f t="shared" si="91"/>
        <v xml:space="preserve">| [Fatima](/places/places\pt-shrine-of-fatima) </v>
      </c>
      <c r="CL52" s="13" t="str">
        <f>"| "&amp;IF(AS52,GetTagPage(C52,VLOOKUP(C52,'Country Tags'!C:E,3,)),C52)&amp; " "</f>
        <v xml:space="preserve">| [Portugal](/tags/pt) </v>
      </c>
      <c r="CM52" s="13" t="str">
        <f t="shared" si="92"/>
        <v xml:space="preserve">| 1916 </v>
      </c>
      <c r="CN52" s="13" t="str">
        <f t="shared" si="93"/>
        <v xml:space="preserve">| [Link](/places/places\pt-shrine-of-fatima) </v>
      </c>
      <c r="CO52" s="12" t="e">
        <f t="shared" si="94"/>
        <v>#VALUE!</v>
      </c>
    </row>
    <row r="53" spans="1:94" ht="76.5" x14ac:dyDescent="0.25">
      <c r="A53" s="129" t="s">
        <v>786</v>
      </c>
      <c r="B53" s="7" t="s">
        <v>1653</v>
      </c>
      <c r="C53" s="7" t="s">
        <v>197</v>
      </c>
      <c r="E53" s="1">
        <v>-2.6496097000000001</v>
      </c>
      <c r="F53" s="30">
        <v>29.553281200000001</v>
      </c>
      <c r="G53" s="7" t="s">
        <v>196</v>
      </c>
      <c r="H53" s="33" t="s">
        <v>115</v>
      </c>
      <c r="I53" s="7" t="s">
        <v>919</v>
      </c>
      <c r="J53" s="23" t="b">
        <v>1</v>
      </c>
      <c r="K53" s="7" t="b">
        <v>1</v>
      </c>
      <c r="M53" s="7" t="s">
        <v>73</v>
      </c>
      <c r="O53" s="1" t="s">
        <v>56</v>
      </c>
      <c r="P53" s="1" t="s">
        <v>53</v>
      </c>
      <c r="Z53" s="19" t="s">
        <v>53</v>
      </c>
      <c r="AA53" s="19"/>
      <c r="AB53" s="19"/>
      <c r="AC53" s="19"/>
      <c r="AD53" s="19"/>
      <c r="AE53" s="19"/>
      <c r="AF53" s="19"/>
      <c r="AG53" s="19"/>
      <c r="AH53" s="19"/>
      <c r="AI53" s="19"/>
      <c r="AJ53" s="56" t="s">
        <v>199</v>
      </c>
      <c r="AK53" s="57">
        <v>1981</v>
      </c>
      <c r="AL53" s="1" t="s">
        <v>49</v>
      </c>
      <c r="AM53" s="1" t="s">
        <v>53</v>
      </c>
      <c r="AN53" s="1" t="s">
        <v>74</v>
      </c>
      <c r="AO53" s="1" t="s">
        <v>53</v>
      </c>
      <c r="AP53" s="1" t="s">
        <v>75</v>
      </c>
      <c r="AQ53" s="30" t="s">
        <v>53</v>
      </c>
      <c r="AS53" s="116" t="b">
        <f t="shared" si="66"/>
        <v>1</v>
      </c>
      <c r="AT53" s="117" t="str">
        <f t="shared" si="67"/>
        <v>title: "Shrine of Our Lady of Kibeho (Mother of the Word)"</v>
      </c>
      <c r="AU53" s="117" t="str">
        <f t="shared" si="68"/>
        <v>location: {lat: -2.6496097, lng: 29.5532812}</v>
      </c>
      <c r="AV53" s="117" t="str">
        <f t="shared" si="69"/>
        <v>interest: global</v>
      </c>
      <c r="AW53" s="117" t="str">
        <f>"- "&amp;VLOOKUP(C53,'Country Tags'!C:E,3,)</f>
        <v>- rw</v>
      </c>
      <c r="AX53" s="117" t="str">
        <f t="shared" si="70"/>
        <v/>
      </c>
      <c r="AY53" s="117" t="str">
        <f t="shared" si="71"/>
        <v>- churches</v>
      </c>
      <c r="AZ53" s="117" t="str">
        <f t="shared" si="72"/>
        <v>- marian-sites</v>
      </c>
      <c r="BA53" s="117" t="str">
        <f t="shared" si="73"/>
        <v/>
      </c>
      <c r="BB53" s="117" t="str">
        <f t="shared" si="74"/>
        <v/>
      </c>
      <c r="BC53" s="117" t="str">
        <f t="shared" si="75"/>
        <v/>
      </c>
      <c r="BD53" s="117" t="str">
        <f t="shared" si="76"/>
        <v/>
      </c>
      <c r="BE53" s="117" t="str">
        <f t="shared" si="77"/>
        <v/>
      </c>
      <c r="BF53" s="117" t="str">
        <f t="shared" si="78"/>
        <v/>
      </c>
      <c r="BG53" s="117" t="str">
        <f t="shared" si="79"/>
        <v/>
      </c>
      <c r="BH53" s="117" t="str">
        <f t="shared" si="80"/>
        <v/>
      </c>
      <c r="BI53" s="117" t="str">
        <f t="shared" si="81"/>
        <v/>
      </c>
      <c r="BJ53" s="117" t="str">
        <f t="shared" si="82"/>
        <v/>
      </c>
      <c r="BK53" s="117" t="str">
        <f t="shared" si="83"/>
        <v/>
      </c>
      <c r="BL53" s="117" t="str">
        <f t="shared" si="84"/>
        <v xml:space="preserve">tags:
- rw_x000D_
- churches_x000D_
- marian-sites_x000D_
</v>
      </c>
      <c r="BM53" s="120" t="str">
        <f t="shared" si="62"/>
        <v>[Official site](https://kibeho-sanctuary.com/)</v>
      </c>
      <c r="BN53" s="120" t="str">
        <f t="shared" si="63"/>
        <v/>
      </c>
      <c r="BO53" s="120" t="str">
        <f t="shared" si="64"/>
        <v/>
      </c>
      <c r="BP53" s="120" t="str">
        <f t="shared" si="65"/>
        <v/>
      </c>
      <c r="BQ53" s="120" t="str">
        <f t="shared" si="85"/>
        <v xml:space="preserve">* [Official site](https://kibeho-sanctuary.com/)
</v>
      </c>
      <c r="BR53" s="120" t="str">
        <f t="shared" si="86"/>
        <v>[Link](http://www.therealpresence.org/eucharst/misc/BVM/20_KIBEHO_96x96.pdf)</v>
      </c>
      <c r="BS53" s="120" t="str">
        <f t="shared" si="87"/>
        <v>[Link](https://www.miraclehunter.com/marian_apparitions/approved_apparitions/kibeho_rwanda/index.html)</v>
      </c>
      <c r="BT53" s="120" t="str">
        <f t="shared" si="88"/>
        <v>[Link](https://www.marypages.com/kibeho-(rwanda)-en.html)</v>
      </c>
      <c r="BU53" s="120" t="str">
        <f>IF(LEN(concat(BR53:BT53))&gt;0,concat("| ",BR53," | ",BS53," | ",BT53," |"),"")</f>
        <v>| [Link](http://www.therealpresence.org/eucharst/misc/BVM/20_KIBEHO_96x96.pdf) | [Link](https://www.miraclehunter.com/marian_apparitions/approved_apparitions/kibeho_rwanda/index.html) | [Link](https://www.marypages.com/kibeho-(rwanda)-en.html) |</v>
      </c>
      <c r="BV53" s="117" t="str">
        <f t="shared" si="89"/>
        <v xml:space="preserve">| The Real Presence | Miracle Hunter | MaryPages |_x000D_
| --- | --- | --- |_x000D_
| [Link](http://www.therealpresence.org/eucharst/misc/BVM/20_KIBEHO_96x96.pdf) | [Link](https://www.miraclehunter.com/marian_apparitions/approved_apparitions/kibeho_rwanda/index.html) | [Link](https://www.marypages.com/kibeho-(rwanda)-en.html) |_x000D_
</v>
      </c>
      <c r="BW53" s="117" t="str">
        <f>IF(LEN(BQ53&amp;BV53)&gt;0,concatll("#### More Information",BQ53,BV53),"")</f>
        <v xml:space="preserve">#### More Information_x000D_
_x000D_
* [Official site](https://kibeho-sanctuary.com/)
_x000D_
_x000D_
| The Real Presence | Miracle Hunter | MaryPages |_x000D_
| --- | --- | --- |_x000D_
| [Link](http://www.therealpresence.org/eucharst/misc/BVM/20_KIBEHO_96x96.pdf) | [Link](https://www.miraclehunter.com/marian_apparitions/approved_apparitions/kibeho_rwanda/index.html) | [Link](https://www.marypages.com/kibeho-(rwanda)-en.html) |_x000D_
_x000D_
_x000D_
</v>
      </c>
      <c r="BX53" s="117" t="str">
        <f>IF(LEN(N53)&gt;1,concatll("#### Author's Note",N53,"-"&amp;B53),"")</f>
        <v/>
      </c>
      <c r="BY53" s="117" t="s">
        <v>53</v>
      </c>
      <c r="BZ53" s="117" t="s">
        <v>53</v>
      </c>
      <c r="CA53" s="6" t="str">
        <f>IF(AS53,concatll(concatl("---",AT53:AV53,BL53,"---"),M53,BW53:BX53),"")</f>
        <v xml:space="preserve">---_x000D_
title: "Shrine of Our Lady of Kibeho (Mother of the Word)"_x000D_
location: {lat: -2.6496097, lng: 29.5532812}_x000D_
interest: global_x000D_
tags:
- rw_x000D_
- churches_x000D_
- marian-sites_x000D_
_x000D_
---_x000D_
_x000D_
_x000D_
Between 1981 and 1989, the Virgin Mary appeared to several girls in Rwanda.  She appeared to them with the name "Nyina wa Jambo" ("Mother of the Word"), synonymous with "Umubyeyl W'iamna" ("Mother of God").  Mary emphasized the call to pray the rosary and asked for penance and fasting.  The three girls reported a vision foreshadowing the Rwandan Genocide which would occur just 13 years later, which would claim one of their lives._x000D_
_x000D_
#### More Information_x000D_
_x000D_
* [Official site](https://kibeho-sanctuary.com/)
_x000D_
_x000D_
| The Real Presence | Miracle Hunter | MaryPages |_x000D_
| --- | --- | --- |_x000D_
| [Link](http://www.therealpresence.org/eucharst/misc/BVM/20_KIBEHO_96x96.pdf) | [Link](https://www.miraclehunter.com/marian_apparitions/approved_apparitions/kibeho_rwanda/index.html) | [Link](https://www.marypages.com/kibeho-(rwanda)-en.html) |_x000D_
_x000D_
_x000D_
_x000D_
_x000D_
</v>
      </c>
      <c r="CB53" s="6" t="str">
        <f>IF(AS53,"places\"&amp;VLOOKUP(C53,'Country Tags'!C:D,2,)&amp;IF(LEN(D53)&gt;1,"-"&amp;LOWER(SUBSTITUTE(D53," ","-")),"")&amp;"-"&amp;LOWER(SUBSTITUTE(SUBSTITUTE(H53," ","-"),".",""))&amp;".md","")</f>
        <v>places\rw-shrine-of-our-lady-of-kibeho.md</v>
      </c>
      <c r="CC53" s="6"/>
      <c r="CD53" s="21" t="str">
        <f>IF(LEN(Z53)&gt;1,VLOOKUP(Z53,#REF!,2,),"")</f>
        <v/>
      </c>
      <c r="CE53" s="21" t="str">
        <f>IF(LEN(AA53)&gt;1,VLOOKUP(AA53,#REF!,2,),"")</f>
        <v/>
      </c>
      <c r="CF53" s="21" t="str">
        <f>IF(LEN(AB53)&gt;1,VLOOKUP(AB53,#REF!,2,),"")</f>
        <v/>
      </c>
      <c r="CG53" s="13" t="str">
        <f>IF(LEN(Z53)&gt;1,GetTagPage(CD53,Z53),"")</f>
        <v/>
      </c>
      <c r="CH53" s="13" t="str">
        <f>IF(LEN(AA53)&gt;1,GetTagPage(CE53,AA53),"")</f>
        <v/>
      </c>
      <c r="CI53" s="13" t="str">
        <f>IF(LEN(AB53)&gt;1,GetTagPage(CF53,AB53),"")</f>
        <v/>
      </c>
      <c r="CJ53" s="13" t="str">
        <f t="shared" si="90"/>
        <v xml:space="preserve">| </v>
      </c>
      <c r="CK53" s="13" t="str">
        <f t="shared" si="91"/>
        <v xml:space="preserve">| [Kibeho](/places/places\rw-shrine-of-our-lady-of-kibeho) </v>
      </c>
      <c r="CL53" s="13" t="str">
        <f>"| "&amp;IF(AS53,GetTagPage(C53,VLOOKUP(C53,'Country Tags'!C:E,3,)),C53)&amp; " "</f>
        <v xml:space="preserve">| [Rwanda](/tags/rw) </v>
      </c>
      <c r="CM53" s="13" t="str">
        <f t="shared" si="92"/>
        <v xml:space="preserve">| 1981 </v>
      </c>
      <c r="CN53" s="13" t="str">
        <f t="shared" si="93"/>
        <v xml:space="preserve">| [Link](/places/places\rw-shrine-of-our-lady-of-kibeho) </v>
      </c>
      <c r="CO53" s="12" t="str">
        <f t="shared" si="94"/>
        <v xml:space="preserve">
| [Kibeho](/places/places\rw-shrine-of-our-lady-of-kibeho) | [Rwanda](/tags/rw) | 1981 | [Link](/places/places\rw-shrine-of-our-lady-of-kibeho) [Official site](https://kibeho-sanctuary.com/)[Link](http://www.therealpresence.org/eucharst/misc/BVM/20_KIBEHO_96x96.pdf)[Link](https://www.miraclehunter.com/marian_apparitions/approved_apparitions/kibeho_rwanda/index.html)[Link](https://www.marypages.com/kibeho-(rwanda)-en.html)| |</v>
      </c>
    </row>
    <row r="54" spans="1:94" ht="63.75" x14ac:dyDescent="0.25">
      <c r="A54" s="129" t="s">
        <v>786</v>
      </c>
      <c r="B54" s="7" t="s">
        <v>1653</v>
      </c>
      <c r="C54" s="7" t="s">
        <v>374</v>
      </c>
      <c r="E54" s="1">
        <v>45.592976471079801</v>
      </c>
      <c r="F54" s="30">
        <v>19.1905119128275</v>
      </c>
      <c r="G54" s="24" t="s">
        <v>851</v>
      </c>
      <c r="H54" s="36" t="s">
        <v>852</v>
      </c>
      <c r="I54" s="24" t="s">
        <v>919</v>
      </c>
      <c r="J54" s="23" t="b">
        <v>1</v>
      </c>
      <c r="K54" s="7" t="b">
        <v>1</v>
      </c>
      <c r="M54" s="7" t="s">
        <v>853</v>
      </c>
      <c r="N54" s="139" t="s">
        <v>1682</v>
      </c>
      <c r="O54" s="1" t="s">
        <v>854</v>
      </c>
      <c r="P54" s="82" t="s">
        <v>53</v>
      </c>
      <c r="Q54" s="54" t="s">
        <v>992</v>
      </c>
      <c r="R54" s="17" t="s">
        <v>991</v>
      </c>
      <c r="S54" s="83" t="s">
        <v>53</v>
      </c>
      <c r="T54" s="41"/>
      <c r="U54" s="17"/>
      <c r="V54" s="45"/>
      <c r="W54" s="17"/>
      <c r="X54" s="17"/>
      <c r="Y54" s="68"/>
      <c r="Z54" s="1" t="s">
        <v>53</v>
      </c>
      <c r="AJ54" s="56" t="s">
        <v>769</v>
      </c>
      <c r="AK54" s="57">
        <v>1603</v>
      </c>
      <c r="AL54" s="1" t="s">
        <v>26</v>
      </c>
      <c r="AM54" s="1" t="s">
        <v>53</v>
      </c>
      <c r="AN54" s="1" t="s">
        <v>824</v>
      </c>
      <c r="AO54" s="25" t="s">
        <v>850</v>
      </c>
      <c r="AP54" s="1" t="s">
        <v>53</v>
      </c>
      <c r="AQ54" s="30" t="s">
        <v>53</v>
      </c>
      <c r="AS54" s="116" t="b">
        <f t="shared" si="66"/>
        <v>1</v>
      </c>
      <c r="AT54" s="117" t="str">
        <f t="shared" si="67"/>
        <v>title: "Diocesan Shrine of Mary, Help of Christians"</v>
      </c>
      <c r="AU54" s="117" t="str">
        <f t="shared" si="68"/>
        <v>location: {lat: 45.5929764710798, lng: 19.1905119128275}</v>
      </c>
      <c r="AV54" s="117" t="str">
        <f t="shared" si="69"/>
        <v>interest: global</v>
      </c>
      <c r="AW54" s="117" t="str">
        <f>"- "&amp;VLOOKUP(C54,'Country Tags'!C:E,3,)</f>
        <v>- rs</v>
      </c>
      <c r="AX54" s="117" t="str">
        <f t="shared" si="70"/>
        <v/>
      </c>
      <c r="AY54" s="117" t="str">
        <f t="shared" si="71"/>
        <v>- churches</v>
      </c>
      <c r="AZ54" s="117" t="str">
        <f t="shared" si="72"/>
        <v>- marian-sites</v>
      </c>
      <c r="BA54" s="117" t="str">
        <f t="shared" si="73"/>
        <v/>
      </c>
      <c r="BB54" s="117" t="str">
        <f t="shared" si="74"/>
        <v/>
      </c>
      <c r="BC54" s="117" t="str">
        <f t="shared" si="75"/>
        <v/>
      </c>
      <c r="BD54" s="117" t="str">
        <f t="shared" si="76"/>
        <v/>
      </c>
      <c r="BE54" s="117" t="str">
        <f t="shared" si="77"/>
        <v/>
      </c>
      <c r="BF54" s="117" t="str">
        <f t="shared" si="78"/>
        <v/>
      </c>
      <c r="BG54" s="117" t="str">
        <f t="shared" si="79"/>
        <v/>
      </c>
      <c r="BH54" s="117" t="str">
        <f t="shared" si="80"/>
        <v/>
      </c>
      <c r="BI54" s="117" t="str">
        <f t="shared" si="81"/>
        <v/>
      </c>
      <c r="BJ54" s="117" t="str">
        <f t="shared" si="82"/>
        <v/>
      </c>
      <c r="BK54" s="117" t="str">
        <f t="shared" si="83"/>
        <v/>
      </c>
      <c r="BL54" s="117" t="str">
        <f t="shared" si="84"/>
        <v xml:space="preserve">tags:
- rs_x000D_
- churches_x000D_
- marian-sites_x000D_
</v>
      </c>
      <c r="BM54" s="120" t="str">
        <f t="shared" si="62"/>
        <v>[Official site](https://szentkut.eu/)</v>
      </c>
      <c r="BN54" s="120" t="str">
        <f t="shared" si="63"/>
        <v>[Additional site](https://doroszlo.net/)</v>
      </c>
      <c r="BO54" s="120" t="str">
        <f t="shared" si="64"/>
        <v/>
      </c>
      <c r="BP54" s="120" t="str">
        <f t="shared" si="65"/>
        <v/>
      </c>
      <c r="BQ54" s="120" t="str">
        <f t="shared" si="85"/>
        <v xml:space="preserve">* [Official site](https://szentkut.eu/)
* [Additional site](https://doroszlo.net/)
</v>
      </c>
      <c r="BR54" s="120" t="str">
        <f t="shared" si="86"/>
        <v>[Link](http://www.therealpresence.org/eucharst/misc/BVM/104_DOROSZLO_60x96.pdf)</v>
      </c>
      <c r="BS54" s="120" t="str">
        <f t="shared" si="87"/>
        <v>[Link](https://www.miraclehunter.com/marian_apparitions/approved_apparitions/apparitions_1700-1799.html) (Search "Doroszlo")</v>
      </c>
      <c r="BT54" s="120" t="str">
        <f t="shared" si="88"/>
        <v/>
      </c>
      <c r="BU54" s="120" t="str">
        <f>IF(LEN(concat(BR54:BT54))&gt;0,concat("| ",BR54," | ",BS54," | ",BT54," |"),"")</f>
        <v>| [Link](http://www.therealpresence.org/eucharst/misc/BVM/104_DOROSZLO_60x96.pdf) | [Link](https://www.miraclehunter.com/marian_apparitions/approved_apparitions/apparitions_1700-1799.html) (Search "Doroszlo") |  |</v>
      </c>
      <c r="BV54" s="117" t="str">
        <f t="shared" si="89"/>
        <v xml:space="preserve">| The Real Presence | Miracle Hunter | MaryPages |_x000D_
| --- | --- | --- |_x000D_
| [Link](http://www.therealpresence.org/eucharst/misc/BVM/104_DOROSZLO_60x96.pdf) | [Link](https://www.miraclehunter.com/marian_apparitions/approved_apparitions/apparitions_1700-1799.html) (Search "Doroszlo") |  |_x000D_
</v>
      </c>
      <c r="BW54" s="117" t="str">
        <f>IF(LEN(BQ54&amp;BV54)&gt;0,concatll("#### More Information",BQ54,BV54),"")</f>
        <v xml:space="preserve">#### More Information_x000D_
_x000D_
* [Official site](https://szentkut.eu/)
* [Additional site](https://doroszlo.net/)
_x000D_
_x000D_
| The Real Presence | Miracle Hunter | MaryPages |_x000D_
| --- | --- | --- |_x000D_
| [Link](http://www.therealpresence.org/eucharst/misc/BVM/104_DOROSZLO_60x96.pdf) | [Link](https://www.miraclehunter.com/marian_apparitions/approved_apparitions/apparitions_1700-1799.html) (Search "Doroszlo") |  |_x000D_
_x000D_
_x000D_
</v>
      </c>
      <c r="BX54" s="117" t="str">
        <f>IF(LEN(N54)&gt;1,concatll("#### Author's Note",N54,"-"&amp;B54),"")</f>
        <v xml:space="preserve">#### Author's Note_x000D_
_x000D_
At the time of this miracle the land belonged to Hungary; a few sources still refer to the site as Hungarian.  The two potential official pages listed may not be accurate; please [contact us](/contact) if you have any better information._x000D_
_x000D_
-JMM_x000D_
_x000D_
</v>
      </c>
      <c r="BY54" s="117" t="s">
        <v>53</v>
      </c>
      <c r="BZ54" s="117" t="s">
        <v>53</v>
      </c>
      <c r="CA54" s="6" t="str">
        <f>IF(AS54,concatll(concatl("---",AT54:AV54,BL54,"---"),M54,BW54:BX54),"")</f>
        <v xml:space="preserve">---_x000D_
title: "Diocesan Shrine of Mary, Help of Christians"_x000D_
location: {lat: 45.5929764710798, lng: 19.1905119128275}_x000D_
interest: global_x000D_
tags:
- rs_x000D_
- churches_x000D_
- marian-sites_x000D_
_x000D_
---_x000D_
_x000D_
_x000D_
In 1792, the Virgin Mary appeared to a blind man, advising him to bathe his eyes in a miraculous fountain.  Upon his healing, a chapel was built and was eventually expanded to a larger church._x000D_
_x000D_
#### More Information_x000D_
_x000D_
* [Official site](https://szentkut.eu/)
* [Additional site](https://doroszlo.net/)
_x000D_
_x000D_
| The Real Presence | Miracle Hunter | MaryPages |_x000D_
| --- | --- | --- |_x000D_
| [Link](http://www.therealpresence.org/eucharst/misc/BVM/104_DOROSZLO_60x96.pdf) | [Link](https://www.miraclehunter.com/marian_apparitions/approved_apparitions/apparitions_1700-1799.html) (Search "Doroszlo") |  |_x000D_
_x000D_
_x000D_
_x000D_
_x000D_
#### Author's Note_x000D_
_x000D_
At the time of this miracle the land belonged to Hungary; a few sources still refer to the site as Hungarian.  The two potential official pages listed may not be accurate; please [contact us](/contact) if you have any better information._x000D_
_x000D_
-JMM_x000D_
_x000D_
_x000D_
_x000D_
</v>
      </c>
      <c r="CB54" s="6" t="str">
        <f>IF(AS54,"places\"&amp;VLOOKUP(C54,'Country Tags'!C:D,2,)&amp;IF(LEN(D54)&gt;1,"-"&amp;LOWER(SUBSTITUTE(D54," ","-")),"")&amp;"-"&amp;LOWER(SUBSTITUTE(SUBSTITUTE(H54," ","-"),".",""))&amp;".md","")</f>
        <v>places\rs-shrine-of-mary-help-of-christians.md</v>
      </c>
      <c r="CC54" s="6"/>
      <c r="CD54" s="12" t="str">
        <f>IF(LEN(Z54)&gt;1,VLOOKUP(Z54,#REF!,2,),"")</f>
        <v/>
      </c>
      <c r="CE54" s="12" t="str">
        <f>IF(LEN(AA54)&gt;1,VLOOKUP(AA54,#REF!,2,),"")</f>
        <v/>
      </c>
      <c r="CF54" s="12" t="str">
        <f>IF(LEN(AB54)&gt;1,VLOOKUP(AB54,#REF!,2,),"")</f>
        <v/>
      </c>
      <c r="CG54" s="13" t="str">
        <f>IF(LEN(Z54)&gt;1,GetTagPage(CD54,Z54),"")</f>
        <v/>
      </c>
      <c r="CH54" s="13" t="str">
        <f>IF(LEN(AA54)&gt;1,GetTagPage(CE54,AA54),"")</f>
        <v/>
      </c>
      <c r="CI54" s="13" t="str">
        <f>IF(LEN(AB54)&gt;1,GetTagPage(CF54,AB54),"")</f>
        <v/>
      </c>
      <c r="CJ54" s="13" t="str">
        <f t="shared" si="90"/>
        <v xml:space="preserve">| </v>
      </c>
      <c r="CK54" s="13" t="str">
        <f t="shared" si="91"/>
        <v xml:space="preserve">| [Doroszló](/places/places\rs-shrine-of-mary-help-of-christians) </v>
      </c>
      <c r="CL54" s="13" t="str">
        <f>"| "&amp;IF(AS54,GetTagPage(C54,VLOOKUP(C54,'Country Tags'!C:E,3,)),C54)&amp; " "</f>
        <v xml:space="preserve">| [Serbia](/tags/rs) </v>
      </c>
      <c r="CM54" s="13" t="str">
        <f t="shared" si="92"/>
        <v xml:space="preserve">| 1603 </v>
      </c>
      <c r="CN54" s="13" t="str">
        <f t="shared" si="93"/>
        <v xml:space="preserve">| [Link](/places/places\rs-shrine-of-mary-help-of-christians) </v>
      </c>
      <c r="CO54" s="12" t="str">
        <f t="shared" si="94"/>
        <v xml:space="preserve">
| [Doroszló](/places/places\rs-shrine-of-mary-help-of-christians) | [Serbia](/tags/rs) | 1603 | [Link](/places/places\rs-shrine-of-mary-help-of-christians) [Official site](https://szentkut.eu/)[Link](http://www.therealpresence.org/eucharst/misc/BVM/104_DOROSZLO_60x96.pdf)[Link](https://www.miraclehunter.com/marian_apparitions/approved_apparitions/apparitions_1700-1799.html) (Search "Doroszlo")| |</v>
      </c>
    </row>
    <row r="55" spans="1:94" ht="63.75" x14ac:dyDescent="0.25">
      <c r="A55" s="129" t="s">
        <v>786</v>
      </c>
      <c r="B55" s="7" t="s">
        <v>1653</v>
      </c>
      <c r="C55" s="7" t="s">
        <v>382</v>
      </c>
      <c r="E55" s="1">
        <v>45.998943044455899</v>
      </c>
      <c r="F55" s="30">
        <v>13.6553373449013</v>
      </c>
      <c r="G55" s="24" t="s">
        <v>845</v>
      </c>
      <c r="H55" s="33" t="s">
        <v>845</v>
      </c>
      <c r="I55" s="7" t="s">
        <v>919</v>
      </c>
      <c r="J55" s="23" t="b">
        <v>1</v>
      </c>
      <c r="K55" s="7" t="b">
        <v>1</v>
      </c>
      <c r="M55" s="24" t="s">
        <v>847</v>
      </c>
      <c r="O55" s="1" t="s">
        <v>846</v>
      </c>
      <c r="P55" s="1" t="s">
        <v>53</v>
      </c>
      <c r="Z55" s="1" t="s">
        <v>53</v>
      </c>
      <c r="AJ55" s="56" t="s">
        <v>765</v>
      </c>
      <c r="AK55" s="57">
        <v>1539</v>
      </c>
      <c r="AL55" s="1" t="s">
        <v>22</v>
      </c>
      <c r="AM55" s="1" t="s">
        <v>53</v>
      </c>
      <c r="AN55" s="1" t="s">
        <v>848</v>
      </c>
      <c r="AO55" s="25" t="s">
        <v>849</v>
      </c>
      <c r="AP55" s="1" t="s">
        <v>53</v>
      </c>
      <c r="AQ55" s="30" t="s">
        <v>53</v>
      </c>
      <c r="AS55" s="116" t="b">
        <f t="shared" si="66"/>
        <v>1</v>
      </c>
      <c r="AT55" s="117" t="str">
        <f t="shared" si="67"/>
        <v>title: "Basilica of the Holy Mother of God"</v>
      </c>
      <c r="AU55" s="117" t="str">
        <f t="shared" si="68"/>
        <v>location: {lat: 45.9989430444559, lng: 13.6553373449013}</v>
      </c>
      <c r="AV55" s="117" t="str">
        <f t="shared" si="69"/>
        <v>interest: global</v>
      </c>
      <c r="AW55" s="117" t="str">
        <f>"- "&amp;VLOOKUP(C55,'Country Tags'!C:E,3,)</f>
        <v>- si</v>
      </c>
      <c r="AX55" s="117" t="str">
        <f t="shared" si="70"/>
        <v/>
      </c>
      <c r="AY55" s="117" t="str">
        <f t="shared" si="71"/>
        <v>- churches</v>
      </c>
      <c r="AZ55" s="117" t="str">
        <f t="shared" si="72"/>
        <v>- marian-sites</v>
      </c>
      <c r="BA55" s="117" t="str">
        <f t="shared" si="73"/>
        <v/>
      </c>
      <c r="BB55" s="117" t="str">
        <f t="shared" si="74"/>
        <v/>
      </c>
      <c r="BC55" s="117" t="str">
        <f t="shared" si="75"/>
        <v/>
      </c>
      <c r="BD55" s="117" t="str">
        <f t="shared" si="76"/>
        <v/>
      </c>
      <c r="BE55" s="117" t="str">
        <f t="shared" si="77"/>
        <v/>
      </c>
      <c r="BF55" s="117" t="str">
        <f t="shared" si="78"/>
        <v/>
      </c>
      <c r="BG55" s="117" t="str">
        <f t="shared" si="79"/>
        <v/>
      </c>
      <c r="BH55" s="117" t="str">
        <f t="shared" si="80"/>
        <v/>
      </c>
      <c r="BI55" s="117" t="str">
        <f t="shared" si="81"/>
        <v/>
      </c>
      <c r="BJ55" s="117" t="str">
        <f t="shared" si="82"/>
        <v/>
      </c>
      <c r="BK55" s="117" t="str">
        <f t="shared" si="83"/>
        <v/>
      </c>
      <c r="BL55" s="117" t="str">
        <f t="shared" si="84"/>
        <v xml:space="preserve">tags:
- si_x000D_
- churches_x000D_
- marian-sites_x000D_
</v>
      </c>
      <c r="BM55" s="120" t="str">
        <f t="shared" si="62"/>
        <v>[Official site](https://svetagora.si/)</v>
      </c>
      <c r="BN55" s="120" t="str">
        <f t="shared" si="63"/>
        <v/>
      </c>
      <c r="BO55" s="120" t="str">
        <f t="shared" si="64"/>
        <v/>
      </c>
      <c r="BP55" s="120" t="str">
        <f t="shared" si="65"/>
        <v/>
      </c>
      <c r="BQ55" s="120" t="str">
        <f t="shared" si="85"/>
        <v xml:space="preserve">* [Official site](https://svetagora.si/)
</v>
      </c>
      <c r="BR55" s="120" t="str">
        <f t="shared" si="86"/>
        <v>[Link](http://www.therealpresence.org/eucharst/misc/BVM/137_SVETA_GORA_60x96.pdf)</v>
      </c>
      <c r="BS55" s="120" t="str">
        <f t="shared" si="87"/>
        <v>[Link](https://www.miraclehunter.com/marian_apparitions/approved_apparitions/apparitions_1500-1599.html) (Search "Sveta Gora")</v>
      </c>
      <c r="BT55" s="120" t="str">
        <f t="shared" si="88"/>
        <v/>
      </c>
      <c r="BU55" s="120" t="str">
        <f>IF(LEN(concat(BR55:BT55))&gt;0,concat("| ",BR55," | ",BS55," | ",BT55," |"),"")</f>
        <v>| [Link](http://www.therealpresence.org/eucharst/misc/BVM/137_SVETA_GORA_60x96.pdf) | [Link](https://www.miraclehunter.com/marian_apparitions/approved_apparitions/apparitions_1500-1599.html) (Search "Sveta Gora") |  |</v>
      </c>
      <c r="BV55" s="117" t="str">
        <f t="shared" si="89"/>
        <v xml:space="preserve">| The Real Presence | Miracle Hunter | MaryPages |_x000D_
| --- | --- | --- |_x000D_
| [Link](http://www.therealpresence.org/eucharst/misc/BVM/137_SVETA_GORA_60x96.pdf) | [Link](https://www.miraclehunter.com/marian_apparitions/approved_apparitions/apparitions_1500-1599.html) (Search "Sveta Gora") |  |_x000D_
</v>
      </c>
      <c r="BW55" s="117" t="str">
        <f>IF(LEN(BQ55&amp;BV55)&gt;0,concatll("#### More Information",BQ55,BV55),"")</f>
        <v xml:space="preserve">#### More Information_x000D_
_x000D_
* [Official site](https://svetagora.si/)
_x000D_
_x000D_
| The Real Presence | Miracle Hunter | MaryPages |_x000D_
| --- | --- | --- |_x000D_
| [Link](http://www.therealpresence.org/eucharst/misc/BVM/137_SVETA_GORA_60x96.pdf) | [Link](https://www.miraclehunter.com/marian_apparitions/approved_apparitions/apparitions_1500-1599.html) (Search "Sveta Gora") |  |_x000D_
_x000D_
_x000D_
</v>
      </c>
      <c r="BX55" s="117" t="str">
        <f>IF(LEN(N55)&gt;1,concatll("#### Author's Note",N55,"-"&amp;B55),"")</f>
        <v/>
      </c>
      <c r="BY55" s="117" t="s">
        <v>53</v>
      </c>
      <c r="BZ55" s="117" t="s">
        <v>53</v>
      </c>
      <c r="CA55" s="6" t="str">
        <f>IF(AS55,concatll(concatl("---",AT55:AV55,BL55,"---"),M55,BW55:BX55),"")</f>
        <v xml:space="preserve">---_x000D_
title: "Basilica of the Holy Mother of God"_x000D_
location: {lat: 45.9989430444559, lng: 13.6553373449013}_x000D_
interest: global_x000D_
tags:
- si_x000D_
- churches_x000D_
- marian-sites_x000D_
_x000D_
---_x000D_
_x000D_
_x000D_
In 1539, Our Blessed Mother appeared to a shepherdess on Mt. Skalnica, now called the Holy Mountain (Sveta Gora), and instructed her: "Tell the people, let them build me a house here and ask me for mercy." The shepherdess was imprisoned by the unbelieving secular authorities several times, but was always miraculously rescued._x000D_
_x000D_
#### More Information_x000D_
_x000D_
* [Official site](https://svetagora.si/)
_x000D_
_x000D_
| The Real Presence | Miracle Hunter | MaryPages |_x000D_
| --- | --- | --- |_x000D_
| [Link](http://www.therealpresence.org/eucharst/misc/BVM/137_SVETA_GORA_60x96.pdf) | [Link](https://www.miraclehunter.com/marian_apparitions/approved_apparitions/apparitions_1500-1599.html) (Search "Sveta Gora") |  |_x000D_
_x000D_
_x000D_
_x000D_
_x000D_
</v>
      </c>
      <c r="CB55" s="6" t="str">
        <f>IF(AS55,"places\"&amp;VLOOKUP(C55,'Country Tags'!C:D,2,)&amp;IF(LEN(D55)&gt;1,"-"&amp;LOWER(SUBSTITUTE(D55," ","-")),"")&amp;"-"&amp;LOWER(SUBSTITUTE(SUBSTITUTE(H55," ","-"),".",""))&amp;".md","")</f>
        <v>places\si-basilica-of-the-holy-mother-of-god.md</v>
      </c>
      <c r="CC55" s="6"/>
      <c r="CD55" s="12" t="str">
        <f>IF(LEN(Z55)&gt;1,VLOOKUP(Z55,#REF!,2,),"")</f>
        <v/>
      </c>
      <c r="CE55" s="12" t="str">
        <f>IF(LEN(AA55)&gt;1,VLOOKUP(AA55,#REF!,2,),"")</f>
        <v/>
      </c>
      <c r="CF55" s="12" t="str">
        <f>IF(LEN(AB55)&gt;1,VLOOKUP(AB55,#REF!,2,),"")</f>
        <v/>
      </c>
      <c r="CG55" s="13" t="str">
        <f>IF(LEN(Z55)&gt;1,GetTagPage(CD55,Z55),"")</f>
        <v/>
      </c>
      <c r="CH55" s="13" t="str">
        <f>IF(LEN(AA55)&gt;1,GetTagPage(CE55,AA55),"")</f>
        <v/>
      </c>
      <c r="CI55" s="13" t="str">
        <f>IF(LEN(AB55)&gt;1,GetTagPage(CF55,AB55),"")</f>
        <v/>
      </c>
      <c r="CJ55" s="13" t="str">
        <f t="shared" si="90"/>
        <v xml:space="preserve">| </v>
      </c>
      <c r="CK55" s="13" t="str">
        <f t="shared" si="91"/>
        <v xml:space="preserve">| [Sveta Gora](/places/places\si-basilica-of-the-holy-mother-of-god) </v>
      </c>
      <c r="CL55" s="13" t="str">
        <f>"| "&amp;IF(AS55,GetTagPage(C55,VLOOKUP(C55,'Country Tags'!C:E,3,)),C55)&amp; " "</f>
        <v xml:space="preserve">| [Slovenia](/tags/si) </v>
      </c>
      <c r="CM55" s="13" t="str">
        <f t="shared" si="92"/>
        <v xml:space="preserve">| 1539 </v>
      </c>
      <c r="CN55" s="13" t="str">
        <f t="shared" si="93"/>
        <v xml:space="preserve">| [Link](/places/places\si-basilica-of-the-holy-mother-of-god) </v>
      </c>
      <c r="CO55" s="12" t="str">
        <f t="shared" si="94"/>
        <v xml:space="preserve">
| [Sveta Gora](/places/places\si-basilica-of-the-holy-mother-of-god) | [Slovenia](/tags/si) | 1539 | [Link](/places/places\si-basilica-of-the-holy-mother-of-god) [Official site](https://svetagora.si/)[Link](http://www.therealpresence.org/eucharst/misc/BVM/137_SVETA_GORA_60x96.pdf)[Link](https://www.miraclehunter.com/marian_apparitions/approved_apparitions/apparitions_1500-1599.html) (Search "Sveta Gora")| |</v>
      </c>
    </row>
    <row r="56" spans="1:94" ht="76.5" x14ac:dyDescent="0.25">
      <c r="A56" s="129" t="s">
        <v>786</v>
      </c>
      <c r="B56" s="7" t="s">
        <v>1653</v>
      </c>
      <c r="C56" s="7" t="s">
        <v>266</v>
      </c>
      <c r="D56" s="90" t="s">
        <v>742</v>
      </c>
      <c r="E56" s="1">
        <v>41.656656769330702</v>
      </c>
      <c r="F56" s="30">
        <v>-0.87824062054636098</v>
      </c>
      <c r="G56" s="7" t="s">
        <v>738</v>
      </c>
      <c r="H56" s="33" t="s">
        <v>739</v>
      </c>
      <c r="I56" s="23" t="s">
        <v>919</v>
      </c>
      <c r="J56" s="23" t="b">
        <v>1</v>
      </c>
      <c r="K56" s="7" t="b">
        <v>1</v>
      </c>
      <c r="L56" s="7" t="b">
        <v>1</v>
      </c>
      <c r="M56" s="28" t="s">
        <v>988</v>
      </c>
      <c r="N56" s="139" t="s">
        <v>1683</v>
      </c>
      <c r="O56" s="2" t="s">
        <v>740</v>
      </c>
      <c r="P56" s="2" t="s">
        <v>53</v>
      </c>
      <c r="Q56" s="52"/>
      <c r="R56" s="51"/>
      <c r="S56" s="53"/>
      <c r="T56" s="39"/>
      <c r="U56" s="2"/>
      <c r="V56" s="43"/>
      <c r="W56" s="2"/>
      <c r="X56" s="2"/>
      <c r="Y56" s="31"/>
      <c r="Z56" s="135" t="s">
        <v>1701</v>
      </c>
      <c r="AA56" s="93" t="s">
        <v>1594</v>
      </c>
      <c r="AB56" s="9"/>
      <c r="AC56" s="9"/>
      <c r="AD56" s="9"/>
      <c r="AE56" s="9"/>
      <c r="AF56" s="9"/>
      <c r="AG56" s="9"/>
      <c r="AH56" s="9"/>
      <c r="AI56" s="9"/>
      <c r="AJ56" s="56" t="s">
        <v>742</v>
      </c>
      <c r="AK56" s="57">
        <v>40</v>
      </c>
      <c r="AL56" s="1" t="s">
        <v>13</v>
      </c>
      <c r="AM56" s="1" t="s">
        <v>53</v>
      </c>
      <c r="AN56" s="1" t="s">
        <v>3</v>
      </c>
      <c r="AO56" s="1" t="s">
        <v>53</v>
      </c>
      <c r="AP56" s="1" t="s">
        <v>741</v>
      </c>
      <c r="AQ56" s="30" t="s">
        <v>53</v>
      </c>
      <c r="AR56" s="123"/>
      <c r="AS56" s="116" t="b">
        <f t="shared" si="66"/>
        <v>1</v>
      </c>
      <c r="AT56" s="117" t="str">
        <f t="shared" si="67"/>
        <v>title: "Cathedral-Basilica of Our Lady of the Pillar"</v>
      </c>
      <c r="AU56" s="117" t="str">
        <f t="shared" si="68"/>
        <v>location: {lat: 41.6566567693307, lng: -0.878240620546361}</v>
      </c>
      <c r="AV56" s="117" t="str">
        <f t="shared" si="69"/>
        <v>interest: global</v>
      </c>
      <c r="AW56" s="117" t="str">
        <f>"- "&amp;VLOOKUP(C56,'Country Tags'!C:E,3,)</f>
        <v>- es</v>
      </c>
      <c r="AX56" s="117" t="str">
        <f t="shared" si="70"/>
        <v>- zaragoza</v>
      </c>
      <c r="AY56" s="117" t="str">
        <f t="shared" si="71"/>
        <v>- churches</v>
      </c>
      <c r="AZ56" s="117" t="str">
        <f t="shared" si="72"/>
        <v>- marian-sites</v>
      </c>
      <c r="BA56" s="117" t="str">
        <f t="shared" si="73"/>
        <v>- holy-persons</v>
      </c>
      <c r="BB56" s="117" t="str">
        <f t="shared" si="74"/>
        <v>- james-great</v>
      </c>
      <c r="BC56" s="117" t="str">
        <f t="shared" si="75"/>
        <v>- apostles</v>
      </c>
      <c r="BD56" s="117" t="str">
        <f t="shared" si="76"/>
        <v/>
      </c>
      <c r="BE56" s="117" t="str">
        <f t="shared" si="77"/>
        <v/>
      </c>
      <c r="BF56" s="117" t="str">
        <f t="shared" si="78"/>
        <v/>
      </c>
      <c r="BG56" s="117" t="str">
        <f t="shared" si="79"/>
        <v/>
      </c>
      <c r="BH56" s="117" t="str">
        <f t="shared" si="80"/>
        <v/>
      </c>
      <c r="BI56" s="117" t="str">
        <f t="shared" si="81"/>
        <v/>
      </c>
      <c r="BJ56" s="117" t="str">
        <f t="shared" si="82"/>
        <v/>
      </c>
      <c r="BK56" s="117" t="str">
        <f t="shared" si="83"/>
        <v/>
      </c>
      <c r="BL56" s="117" t="str">
        <f t="shared" si="84"/>
        <v xml:space="preserve">tags:
- es_x000D_
- zaragoza_x000D_
- churches_x000D_
- marian-sites_x000D_
- holy-persons_x000D_
- james-great_x000D_
- apostles_x000D_
</v>
      </c>
      <c r="BM56" s="120" t="str">
        <f t="shared" si="62"/>
        <v>[Official site](https://catedraldezaragoza.es/basilica/)</v>
      </c>
      <c r="BN56" s="120" t="str">
        <f t="shared" si="63"/>
        <v/>
      </c>
      <c r="BO56" s="120" t="str">
        <f t="shared" si="64"/>
        <v/>
      </c>
      <c r="BP56" s="120" t="str">
        <f t="shared" si="65"/>
        <v/>
      </c>
      <c r="BQ56" s="120" t="str">
        <f t="shared" si="85"/>
        <v xml:space="preserve">* [Official site](https://catedraldezaragoza.es/basilica/)
</v>
      </c>
      <c r="BR56" s="120" t="str">
        <f t="shared" si="86"/>
        <v>[Link](http://www.therealpresence.org/eucharst/misc/BVM/09_ZARAGOZA_60x96.pdf)</v>
      </c>
      <c r="BS56" s="120" t="str">
        <f t="shared" si="87"/>
        <v>[Link](https://www.miraclehunter.com/marian_apparitions/approved_apparitions/zaragoza/index.html)</v>
      </c>
      <c r="BT56" s="120" t="str">
        <f t="shared" si="88"/>
        <v>[Link](https://www.marypages.com/our-lady-of-the-pillar.html)</v>
      </c>
      <c r="BU56" s="120" t="str">
        <f>IF(LEN(concat(BR56:BT56))&gt;0,concat("| ",BR56," | ",BS56," | ",BT56," |"),"")</f>
        <v>| [Link](http://www.therealpresence.org/eucharst/misc/BVM/09_ZARAGOZA_60x96.pdf) | [Link](https://www.miraclehunter.com/marian_apparitions/approved_apparitions/zaragoza/index.html) | [Link](https://www.marypages.com/our-lady-of-the-pillar.html) |</v>
      </c>
      <c r="BV56" s="117" t="str">
        <f t="shared" si="89"/>
        <v xml:space="preserve">| The Real Presence | Miracle Hunter | MaryPages |_x000D_
| --- | --- | --- |_x000D_
| [Link](http://www.therealpresence.org/eucharst/misc/BVM/09_ZARAGOZA_60x96.pdf) | [Link](https://www.miraclehunter.com/marian_apparitions/approved_apparitions/zaragoza/index.html) | [Link](https://www.marypages.com/our-lady-of-the-pillar.html) |_x000D_
</v>
      </c>
      <c r="BW56" s="117" t="str">
        <f>IF(LEN(BQ56&amp;BV56)&gt;0,concatll("#### More Information",BQ56,BV56),"")</f>
        <v xml:space="preserve">#### More Information_x000D_
_x000D_
* [Official site](https://catedraldezaragoza.es/basilica/)
_x000D_
_x000D_
| The Real Presence | Miracle Hunter | MaryPages |_x000D_
| --- | --- | --- |_x000D_
| [Link](http://www.therealpresence.org/eucharst/misc/BVM/09_ZARAGOZA_60x96.pdf) | [Link](https://www.miraclehunter.com/marian_apparitions/approved_apparitions/zaragoza/index.html) | [Link](https://www.marypages.com/our-lady-of-the-pillar.html) |_x000D_
_x000D_
_x000D_
</v>
      </c>
      <c r="BX56" s="117" t="str">
        <f>IF(LEN(N56)&gt;1,concatll("#### Author's Note",N56,"-"&amp;B56),"")</f>
        <v xml:space="preserve">#### Author's Note_x000D_
_x000D_
Unfortunately many modern visitors to the cathedral are more interested in its rooftop views, so it's important to be specific when asking for accurate information about services.  The cathedral website lists their service schedule [here](https://catedraldezaragoza.es/culto/)._x000D_
_x000D_
-JMM_x000D_
_x000D_
</v>
      </c>
      <c r="BY56" s="117" t="s">
        <v>53</v>
      </c>
      <c r="BZ56" s="117" t="s">
        <v>53</v>
      </c>
      <c r="CA56" s="6" t="str">
        <f>IF(AS56,concatll(concatl("---",AT56:AV56,BL56,"---"),M56,BW56:BX56),"")</f>
        <v xml:space="preserve">---_x000D_
title: "Cathedral-Basilica of Our Lady of the Pillar"_x000D_
location: {lat: 41.6566567693307, lng: -0.878240620546361}_x000D_
interest: global_x000D_
tags:
- es_x000D_
- zaragoza_x000D_
- churches_x000D_
- marian-sites_x000D_
- holy-persons_x000D_
- james-great_x000D_
- apostles_x000D_
_x000D_
---_x000D_
_x000D_
_x000D_
According to ancient Christian tradition, Mary appeared to the apostle James the Greater as he was preaching in Spain.  In 40 AD, while facing severe discouragement, St. James was praying on the banks of the Ebro River when the Blessed Mother appeared to him on a column, encouraging him to persevere in his missionary efforts.  This apparition is unique because Mary would have bilocated while still alive in Jerusalem or Ephesus._x000D_
_x000D_
#### More Information_x000D_
_x000D_
* [Official site](https://catedraldezaragoza.es/basilica/)
_x000D_
_x000D_
| The Real Presence | Miracle Hunter | MaryPages |_x000D_
| --- | --- | --- |_x000D_
| [Link](http://www.therealpresence.org/eucharst/misc/BVM/09_ZARAGOZA_60x96.pdf) | [Link](https://www.miraclehunter.com/marian_apparitions/approved_apparitions/zaragoza/index.html) | [Link](https://www.marypages.com/our-lady-of-the-pillar.html) |_x000D_
_x000D_
_x000D_
_x000D_
_x000D_
#### Author's Note_x000D_
_x000D_
Unfortunately many modern visitors to the cathedral are more interested in its rooftop views, so it's important to be specific when asking for accurate information about services.  The cathedral website lists their service schedule [here](https://catedraldezaragoza.es/culto/)._x000D_
_x000D_
-JMM_x000D_
_x000D_
_x000D_
_x000D_
</v>
      </c>
      <c r="CB56" s="6" t="str">
        <f>IF(AS56,"places\"&amp;VLOOKUP(C56,'Country Tags'!C:D,2,)&amp;IF(LEN(D56)&gt;1,"-"&amp;LOWER(SUBSTITUTE(D56," ","-")),"")&amp;"-"&amp;LOWER(SUBSTITUTE(SUBSTITUTE(H56," ","-"),".",""))&amp;".md","")</f>
        <v>places\es-zaragoza-cathedral-basilica-of-our-lady-of-the-pillar.md</v>
      </c>
      <c r="CC56" s="6"/>
      <c r="CD56" s="13" t="e">
        <f>IF(LEN(Z56)&gt;1,VLOOKUP(Z56,#REF!,2,),"")</f>
        <v>#REF!</v>
      </c>
      <c r="CE56" s="13" t="e">
        <f>IF(LEN(AA56)&gt;1,VLOOKUP(AA56,#REF!,2,),"")</f>
        <v>#REF!</v>
      </c>
      <c r="CF56" s="13" t="str">
        <f>IF(LEN(AB56)&gt;1,VLOOKUP(AB56,#REF!,2,),"")</f>
        <v/>
      </c>
      <c r="CG56" s="13" t="e">
        <f>IF(LEN(Z56)&gt;1,GetTagPage(CD56,Z56),"")</f>
        <v>#VALUE!</v>
      </c>
      <c r="CH56" s="13" t="e">
        <f>IF(LEN(AA56)&gt;1,GetTagPage(CE56,AA56),"")</f>
        <v>#VALUE!</v>
      </c>
      <c r="CI56" s="13" t="str">
        <f>IF(LEN(AB56)&gt;1,GetTagPage(CF56,AB56),"")</f>
        <v/>
      </c>
      <c r="CJ56" s="13" t="e">
        <f t="shared" si="90"/>
        <v>#VALUE!</v>
      </c>
      <c r="CK56" s="13" t="str">
        <f t="shared" si="91"/>
        <v xml:space="preserve">| [Zaragoza](/places/places\es-zaragoza-cathedral-basilica-of-our-lady-of-the-pillar) </v>
      </c>
      <c r="CL56" s="13" t="str">
        <f>"| "&amp;IF(AS56,GetTagPage(C56,VLOOKUP(C56,'Country Tags'!C:E,3,)),C56)&amp; " "</f>
        <v xml:space="preserve">| [Spain](/tags/es) </v>
      </c>
      <c r="CM56" s="13" t="str">
        <f t="shared" si="92"/>
        <v xml:space="preserve">| 40 </v>
      </c>
      <c r="CN56" s="13" t="str">
        <f t="shared" si="93"/>
        <v xml:space="preserve">| [Link](/places/places\es-zaragoza-cathedral-basilica-of-our-lady-of-the-pillar) </v>
      </c>
      <c r="CO56" s="12" t="e">
        <f t="shared" si="94"/>
        <v>#VALUE!</v>
      </c>
      <c r="CP56" s="29"/>
    </row>
    <row r="57" spans="1:94" ht="38.25" x14ac:dyDescent="0.25">
      <c r="A57" s="129" t="s">
        <v>786</v>
      </c>
      <c r="B57" s="130" t="s">
        <v>1653</v>
      </c>
      <c r="C57" s="71" t="s">
        <v>266</v>
      </c>
      <c r="D57" s="71" t="s">
        <v>1289</v>
      </c>
      <c r="E57" s="1">
        <v>40.655493983492804</v>
      </c>
      <c r="F57" s="30">
        <v>-4.7027560083925497</v>
      </c>
      <c r="G57" s="71" t="s">
        <v>1324</v>
      </c>
      <c r="H57" s="73" t="s">
        <v>1323</v>
      </c>
      <c r="I57" s="71" t="s">
        <v>1002</v>
      </c>
      <c r="J57" s="7" t="b">
        <v>1</v>
      </c>
      <c r="L57" s="7" t="b">
        <v>1</v>
      </c>
      <c r="M57" s="71" t="s">
        <v>1290</v>
      </c>
      <c r="O57" s="1" t="s">
        <v>1291</v>
      </c>
      <c r="P57" s="74" t="s">
        <v>53</v>
      </c>
      <c r="Z57" s="72" t="s">
        <v>1297</v>
      </c>
      <c r="AA57" s="1" t="s">
        <v>1293</v>
      </c>
      <c r="AB57" s="72" t="s">
        <v>880</v>
      </c>
      <c r="AS57" s="116" t="b">
        <f t="shared" si="66"/>
        <v>1</v>
      </c>
      <c r="AT57" s="117" t="str">
        <f t="shared" si="67"/>
        <v>title: "Church and birthplace of St. Teresa of Jesus (Casa Natal Santa Teresa de Jesus)"</v>
      </c>
      <c r="AU57" s="117" t="str">
        <f t="shared" si="68"/>
        <v>location: {lat: 40.6554939834928, lng: -4.70275600839255}</v>
      </c>
      <c r="AV57" s="117" t="str">
        <f t="shared" si="69"/>
        <v>interest: local</v>
      </c>
      <c r="AW57" s="117" t="str">
        <f>"- "&amp;VLOOKUP(C57,'Country Tags'!C:E,3,)</f>
        <v>- es</v>
      </c>
      <c r="AX57" s="117" t="str">
        <f t="shared" si="70"/>
        <v>- avila</v>
      </c>
      <c r="AY57" s="117" t="str">
        <f t="shared" si="71"/>
        <v>- churches</v>
      </c>
      <c r="AZ57" s="117" t="str">
        <f t="shared" si="72"/>
        <v/>
      </c>
      <c r="BA57" s="117" t="str">
        <f t="shared" si="73"/>
        <v>- holy-persons</v>
      </c>
      <c r="BB57" s="117" t="str">
        <f t="shared" si="74"/>
        <v>- teresa-avila</v>
      </c>
      <c r="BC57" s="117" t="str">
        <f t="shared" si="75"/>
        <v>- discalced-carmelites</v>
      </c>
      <c r="BD57" s="117" t="str">
        <f t="shared" si="76"/>
        <v>- communities</v>
      </c>
      <c r="BE57" s="117" t="str">
        <f t="shared" si="77"/>
        <v/>
      </c>
      <c r="BF57" s="117" t="str">
        <f t="shared" si="78"/>
        <v/>
      </c>
      <c r="BG57" s="117" t="str">
        <f t="shared" si="79"/>
        <v/>
      </c>
      <c r="BH57" s="117" t="str">
        <f t="shared" si="80"/>
        <v/>
      </c>
      <c r="BI57" s="117" t="str">
        <f t="shared" si="81"/>
        <v/>
      </c>
      <c r="BJ57" s="117" t="str">
        <f t="shared" si="82"/>
        <v/>
      </c>
      <c r="BK57" s="117" t="str">
        <f t="shared" si="83"/>
        <v/>
      </c>
      <c r="BL57" s="117" t="str">
        <f t="shared" si="84"/>
        <v xml:space="preserve">tags:
- es_x000D_
- avila_x000D_
- churches_x000D_
- holy-persons_x000D_
- teresa-avila_x000D_
- discalced-carmelites_x000D_
- communities_x000D_
</v>
      </c>
      <c r="BM57" s="120" t="str">
        <f t="shared" si="62"/>
        <v>[Official site](https://www.teresadejesus.com/)</v>
      </c>
      <c r="BN57" s="120" t="str">
        <f t="shared" si="63"/>
        <v/>
      </c>
      <c r="BO57" s="120" t="str">
        <f t="shared" si="64"/>
        <v/>
      </c>
      <c r="BP57" s="120" t="str">
        <f t="shared" si="65"/>
        <v/>
      </c>
      <c r="BQ57" s="117" t="str">
        <f t="shared" si="85"/>
        <v xml:space="preserve">* [Official site](https://www.teresadejesus.com/)
</v>
      </c>
      <c r="BR57" s="117" t="str">
        <f t="shared" si="86"/>
        <v/>
      </c>
      <c r="BS57" s="117" t="str">
        <f t="shared" si="87"/>
        <v/>
      </c>
      <c r="BT57" s="117" t="str">
        <f t="shared" si="88"/>
        <v/>
      </c>
      <c r="BU57" s="117" t="str">
        <f>IF(LEN(concat(BR57:BT57))&gt;0,concat("| ",BR57," | ",BS57," | ",BT57," |"),"")</f>
        <v/>
      </c>
      <c r="BV57" s="117" t="str">
        <f t="shared" si="89"/>
        <v/>
      </c>
      <c r="BW57" s="117" t="str">
        <f>IF(LEN(BQ57&amp;BV57)&gt;0,concatll("#### More Information",BQ57,BV57),"")</f>
        <v xml:space="preserve">#### More Information_x000D_
_x000D_
* [Official site](https://www.teresadejesus.com/)
_x000D_
_x000D_
</v>
      </c>
      <c r="BX57" s="117" t="str">
        <f>IF(LEN(N57)&gt;1,concatll("#### Author's Note",N57,"-"&amp;B57),"")</f>
        <v/>
      </c>
      <c r="BY57" s="117" t="s">
        <v>53</v>
      </c>
      <c r="BZ57" s="117" t="s">
        <v>53</v>
      </c>
      <c r="CA57" s="6" t="str">
        <f>IF(AS57,concatll(concatl("---",AT57:AV57,BL57,"---"),M57,BW57:BX57),"")</f>
        <v xml:space="preserve">---_x000D_
title: "Church and birthplace of St. Teresa of Jesus (Casa Natal Santa Teresa de Jesus)"_x000D_
location: {lat: 40.6554939834928, lng: -4.70275600839255}_x000D_
interest: local_x000D_
tags:
- es_x000D_
- avila_x000D_
- churches_x000D_
- holy-persons_x000D_
- teresa-avila_x000D_
- discalced-carmelites_x000D_
- communities_x000D_
_x000D_
---_x000D_
_x000D_
_x000D_
This 17th-century church, run by the Discalced Carmelites, marks the spot where St Teresa of Avila is believed to have been born. The church houses a museum dedicated to her life and works._x000D_
_x000D_
#### More Information_x000D_
_x000D_
* [Official site](https://www.teresadejesus.com/)
_x000D_
_x000D_
_x000D_
_x000D_
</v>
      </c>
      <c r="CB57" s="6" t="str">
        <f>IF(AS57,"places\"&amp;VLOOKUP(C57,'Country Tags'!C:D,2,)&amp;IF(LEN(D57)&gt;1,"-"&amp;LOWER(SUBSTITUTE(D57," ","-")),"")&amp;"-"&amp;LOWER(SUBSTITUTE(SUBSTITUTE(H57," ","-"),".",""))&amp;".md","")</f>
        <v>places\es-avila-casa-natal-santa-teresa-de-jesus.md</v>
      </c>
      <c r="CC57" s="6"/>
      <c r="CD57" s="12" t="e">
        <f>IF(LEN(Z57)&gt;1,VLOOKUP(Z57,#REF!,2,),"")</f>
        <v>#REF!</v>
      </c>
      <c r="CE57" s="12" t="e">
        <f>IF(LEN(AA57)&gt;1,VLOOKUP(AA57,#REF!,2,),"")</f>
        <v>#REF!</v>
      </c>
      <c r="CF57" s="12" t="e">
        <f>IF(LEN(AB57)&gt;1,VLOOKUP(AB57,#REF!,2,),"")</f>
        <v>#REF!</v>
      </c>
      <c r="CG57" s="12" t="e">
        <f>IF(LEN(Z57)&gt;1,GetTagPage(CD57,Z57),"")</f>
        <v>#VALUE!</v>
      </c>
      <c r="CH57" s="12" t="e">
        <f>IF(LEN(AA57)&gt;1,GetTagPage(CE57,AA57),"")</f>
        <v>#VALUE!</v>
      </c>
      <c r="CI57" s="12" t="e">
        <f>IF(LEN(AB57)&gt;1,GetTagPage(CF57,AB57),"")</f>
        <v>#VALUE!</v>
      </c>
      <c r="CJ57" s="12" t="e">
        <f t="shared" si="90"/>
        <v>#VALUE!</v>
      </c>
      <c r="CK57" s="12" t="str">
        <f t="shared" si="91"/>
        <v xml:space="preserve">| [](/places/places\es-avila-casa-natal-santa-teresa-de-jesus) </v>
      </c>
      <c r="CL57" s="13" t="str">
        <f>"| "&amp;IF(AS57,GetTagPage(C57,VLOOKUP(C57,'Country Tags'!C:E,3,)),C57)&amp; " "</f>
        <v xml:space="preserve">| [Spain](/tags/es) </v>
      </c>
      <c r="CM57" s="12" t="str">
        <f t="shared" si="92"/>
        <v xml:space="preserve">|  </v>
      </c>
      <c r="CN57" s="12" t="str">
        <f t="shared" si="93"/>
        <v xml:space="preserve">| [Link](/places/places\es-avila-casa-natal-santa-teresa-de-jesus) </v>
      </c>
      <c r="CO57" s="12" t="e">
        <f t="shared" si="94"/>
        <v>#VALUE!</v>
      </c>
    </row>
    <row r="58" spans="1:94" ht="102" x14ac:dyDescent="0.25">
      <c r="A58" s="129" t="s">
        <v>786</v>
      </c>
      <c r="B58" s="7" t="s">
        <v>1653</v>
      </c>
      <c r="C58" s="7" t="s">
        <v>266</v>
      </c>
      <c r="D58" s="7" t="s">
        <v>1289</v>
      </c>
      <c r="E58" s="1">
        <v>40.662828044541399</v>
      </c>
      <c r="F58" s="30">
        <v>-4.6997760138995996</v>
      </c>
      <c r="G58" s="71" t="s">
        <v>1304</v>
      </c>
      <c r="H58" s="73" t="s">
        <v>1303</v>
      </c>
      <c r="I58" s="7" t="s">
        <v>1002</v>
      </c>
      <c r="J58" s="7" t="b">
        <v>1</v>
      </c>
      <c r="L58" s="7" t="b">
        <v>1</v>
      </c>
      <c r="M58" s="71" t="s">
        <v>1426</v>
      </c>
      <c r="P58" s="1" t="s">
        <v>53</v>
      </c>
      <c r="Q58" s="75" t="s">
        <v>1300</v>
      </c>
      <c r="R58" s="1" t="s">
        <v>1301</v>
      </c>
      <c r="S58" s="76" t="s">
        <v>53</v>
      </c>
      <c r="Z58" s="1" t="s">
        <v>1297</v>
      </c>
      <c r="AA58" s="72" t="s">
        <v>1293</v>
      </c>
      <c r="AB58" s="72" t="s">
        <v>880</v>
      </c>
      <c r="AC58" s="72" t="s">
        <v>1296</v>
      </c>
      <c r="AS58" s="116" t="b">
        <f t="shared" si="66"/>
        <v>1</v>
      </c>
      <c r="AT58" s="117" t="str">
        <f t="shared" si="67"/>
        <v>title: "Monastery of the Incarnation (Monasterio de La Encarnacion)"</v>
      </c>
      <c r="AU58" s="117" t="str">
        <f t="shared" si="68"/>
        <v>location: {lat: 40.6628280445414, lng: -4.6997760138996}</v>
      </c>
      <c r="AV58" s="117" t="str">
        <f t="shared" si="69"/>
        <v>interest: local</v>
      </c>
      <c r="AW58" s="117" t="str">
        <f>"- "&amp;VLOOKUP(C58,'Country Tags'!C:E,3,)</f>
        <v>- es</v>
      </c>
      <c r="AX58" s="117" t="str">
        <f t="shared" si="70"/>
        <v>- avila</v>
      </c>
      <c r="AY58" s="117" t="str">
        <f t="shared" si="71"/>
        <v>- churches</v>
      </c>
      <c r="AZ58" s="117" t="str">
        <f t="shared" si="72"/>
        <v/>
      </c>
      <c r="BA58" s="117" t="str">
        <f t="shared" si="73"/>
        <v>- holy-persons</v>
      </c>
      <c r="BB58" s="117" t="str">
        <f t="shared" si="74"/>
        <v>- teresa-avila</v>
      </c>
      <c r="BC58" s="117" t="str">
        <f t="shared" si="75"/>
        <v>- discalced-carmelites</v>
      </c>
      <c r="BD58" s="117" t="str">
        <f t="shared" si="76"/>
        <v>- communities</v>
      </c>
      <c r="BE58" s="117" t="str">
        <f t="shared" si="77"/>
        <v>- john-cross</v>
      </c>
      <c r="BF58" s="117" t="str">
        <f t="shared" si="78"/>
        <v/>
      </c>
      <c r="BG58" s="117" t="str">
        <f t="shared" si="79"/>
        <v/>
      </c>
      <c r="BH58" s="117" t="str">
        <f t="shared" si="80"/>
        <v/>
      </c>
      <c r="BI58" s="117" t="str">
        <f t="shared" si="81"/>
        <v/>
      </c>
      <c r="BJ58" s="117" t="str">
        <f t="shared" si="82"/>
        <v/>
      </c>
      <c r="BK58" s="117" t="str">
        <f t="shared" si="83"/>
        <v/>
      </c>
      <c r="BL58" s="117" t="str">
        <f t="shared" si="84"/>
        <v xml:space="preserve">tags:
- es_x000D_
- avila_x000D_
- churches_x000D_
- holy-persons_x000D_
- teresa-avila_x000D_
- discalced-carmelites_x000D_
- communities_x000D_
- john-cross_x000D_
</v>
      </c>
      <c r="BM58" s="120" t="str">
        <f t="shared" si="62"/>
        <v/>
      </c>
      <c r="BN58" s="120" t="str">
        <f t="shared" si="63"/>
        <v>[Avila tourism site](https://www.avilaturismo.com/en/monatery-of-la-encarnacion)</v>
      </c>
      <c r="BO58" s="120" t="str">
        <f t="shared" si="64"/>
        <v/>
      </c>
      <c r="BP58" s="120" t="str">
        <f t="shared" si="65"/>
        <v/>
      </c>
      <c r="BQ58" s="117" t="str">
        <f t="shared" si="85"/>
        <v xml:space="preserve">* [Avila tourism site](https://www.avilaturismo.com/en/monatery-of-la-encarnacion)
</v>
      </c>
      <c r="BR58" s="117" t="str">
        <f t="shared" si="86"/>
        <v/>
      </c>
      <c r="BS58" s="117" t="str">
        <f t="shared" si="87"/>
        <v/>
      </c>
      <c r="BT58" s="117" t="str">
        <f t="shared" si="88"/>
        <v/>
      </c>
      <c r="BU58" s="117" t="str">
        <f>IF(LEN(concat(BR58:BT58))&gt;0,concat("| ",BR58," | ",BS58," | ",BT58," |"),"")</f>
        <v/>
      </c>
      <c r="BV58" s="117" t="str">
        <f t="shared" si="89"/>
        <v/>
      </c>
      <c r="BW58" s="117" t="str">
        <f>IF(LEN(BQ58&amp;BV58)&gt;0,concatll("#### More Information",BQ58,BV58),"")</f>
        <v xml:space="preserve">#### More Information_x000D_
_x000D_
* [Avila tourism site](https://www.avilaturismo.com/en/monatery-of-la-encarnacion)
_x000D_
_x000D_
</v>
      </c>
      <c r="BX58" s="117" t="str">
        <f>IF(LEN(N58)&gt;1,concatll("#### Author's Note",N58,"-"&amp;B58),"")</f>
        <v/>
      </c>
      <c r="BY58" s="117" t="s">
        <v>53</v>
      </c>
      <c r="BZ58" s="117" t="s">
        <v>53</v>
      </c>
      <c r="CA58" s="6" t="str">
        <f>IF(AS58,concatll(concatl("---",AT58:AV58,BL58,"---"),M58,BW58:BX58),"")</f>
        <v xml:space="preserve">---_x000D_
title: "Monastery of the Incarnation (Monasterio de La Encarnacion)"_x000D_
location: {lat: 40.6628280445414, lng: -4.6997760138996}_x000D_
interest: local_x000D_
tags:
- es_x000D_
- avila_x000D_
- churches_x000D_
- holy-persons_x000D_
- teresa-avila_x000D_
- discalced-carmelites_x000D_
- communities_x000D_
- john-cross_x000D_
_x000D_
---_x000D_
_x000D_
_x000D_
Founded in 1478, this Carmelite convent in Avila was where Saint Teresa entered as a young woman and lived for 27 years. She took her vows here and began her journey as a mystic and reformer. The monastery features her cell, the Chapel of Transverberation and a museum dedicated to her life.
St. John of the Cross spent notable amounts of time here as well, and during one session of prayer, received a vision of Christ on the Cross from "above."  The saint's drawing remains at the museum._x000D_
_x000D_
#### More Information_x000D_
_x000D_
* [Avila tourism site](https://www.avilaturismo.com/en/monatery-of-la-encarnacion)
_x000D_
_x000D_
_x000D_
_x000D_
</v>
      </c>
      <c r="CB58" s="6" t="str">
        <f>IF(AS58,"places\"&amp;VLOOKUP(C58,'Country Tags'!C:D,2,)&amp;IF(LEN(D58)&gt;1,"-"&amp;LOWER(SUBSTITUTE(D58," ","-")),"")&amp;"-"&amp;LOWER(SUBSTITUTE(SUBSTITUTE(H58," ","-"),".",""))&amp;".md","")</f>
        <v>places\es-avila-monasterio-de-la-encarnacion.md</v>
      </c>
      <c r="CC58" s="6"/>
      <c r="CD58" s="12" t="e">
        <f>IF(LEN(Z58)&gt;1,VLOOKUP(Z58,#REF!,2,),"")</f>
        <v>#REF!</v>
      </c>
      <c r="CE58" s="12" t="e">
        <f>IF(LEN(AA58)&gt;1,VLOOKUP(AA58,#REF!,2,),"")</f>
        <v>#REF!</v>
      </c>
      <c r="CF58" s="12" t="e">
        <f>IF(LEN(AB58)&gt;1,VLOOKUP(AB58,#REF!,2,),"")</f>
        <v>#REF!</v>
      </c>
      <c r="CG58" s="12" t="e">
        <f>IF(LEN(Z58)&gt;1,GetTagPage(CD58,Z58),"")</f>
        <v>#VALUE!</v>
      </c>
      <c r="CH58" s="12" t="e">
        <f>IF(LEN(AA58)&gt;1,GetTagPage(CE58,AA58),"")</f>
        <v>#VALUE!</v>
      </c>
      <c r="CI58" s="12" t="e">
        <f>IF(LEN(AB58)&gt;1,GetTagPage(CF58,AB58),"")</f>
        <v>#VALUE!</v>
      </c>
      <c r="CJ58" s="12" t="e">
        <f t="shared" si="90"/>
        <v>#VALUE!</v>
      </c>
      <c r="CK58" s="12" t="str">
        <f t="shared" si="91"/>
        <v xml:space="preserve">| [](/places/places\es-avila-monasterio-de-la-encarnacion) </v>
      </c>
      <c r="CL58" s="13" t="str">
        <f>"| "&amp;IF(AS58,GetTagPage(C58,VLOOKUP(C58,'Country Tags'!C:E,3,)),C58)&amp; " "</f>
        <v xml:space="preserve">| [Spain](/tags/es) </v>
      </c>
      <c r="CM58" s="12" t="str">
        <f t="shared" si="92"/>
        <v xml:space="preserve">|  </v>
      </c>
      <c r="CN58" s="12" t="str">
        <f t="shared" si="93"/>
        <v xml:space="preserve">| [Link](/places/places\es-avila-monasterio-de-la-encarnacion) </v>
      </c>
      <c r="CO58" s="12" t="e">
        <f t="shared" si="94"/>
        <v>#VALUE!</v>
      </c>
    </row>
    <row r="59" spans="1:94" ht="38.25" x14ac:dyDescent="0.25">
      <c r="A59" s="129" t="s">
        <v>786</v>
      </c>
      <c r="B59" s="7" t="s">
        <v>1653</v>
      </c>
      <c r="C59" s="7" t="s">
        <v>266</v>
      </c>
      <c r="D59" s="7" t="s">
        <v>1289</v>
      </c>
      <c r="E59" s="1">
        <v>40.655097925791601</v>
      </c>
      <c r="F59" s="30">
        <v>-4.6919360712877101</v>
      </c>
      <c r="G59" s="71" t="s">
        <v>1316</v>
      </c>
      <c r="H59" s="33" t="s">
        <v>1302</v>
      </c>
      <c r="I59" s="7" t="s">
        <v>1002</v>
      </c>
      <c r="J59" s="7" t="b">
        <v>1</v>
      </c>
      <c r="L59" s="7" t="b">
        <v>1</v>
      </c>
      <c r="M59" s="71" t="s">
        <v>1335</v>
      </c>
      <c r="O59" s="1" t="s">
        <v>1306</v>
      </c>
      <c r="P59" s="144" t="s">
        <v>1740</v>
      </c>
      <c r="Q59" s="40" t="s">
        <v>1300</v>
      </c>
      <c r="R59" s="1" t="s">
        <v>1305</v>
      </c>
      <c r="S59" s="44" t="s">
        <v>53</v>
      </c>
      <c r="Z59" s="1" t="s">
        <v>1297</v>
      </c>
      <c r="AA59" s="1" t="s">
        <v>1293</v>
      </c>
      <c r="AB59" s="72" t="s">
        <v>880</v>
      </c>
      <c r="AS59" s="116" t="b">
        <f t="shared" si="66"/>
        <v>1</v>
      </c>
      <c r="AT59" s="117" t="str">
        <f t="shared" si="67"/>
        <v>title: "Convento de San Jose, Avila"</v>
      </c>
      <c r="AU59" s="117" t="str">
        <f t="shared" si="68"/>
        <v>location: {lat: 40.6550979257916, lng: -4.69193607128771}</v>
      </c>
      <c r="AV59" s="117" t="str">
        <f t="shared" si="69"/>
        <v>interest: local</v>
      </c>
      <c r="AW59" s="117" t="str">
        <f>"- "&amp;VLOOKUP(C59,'Country Tags'!C:E,3,)</f>
        <v>- es</v>
      </c>
      <c r="AX59" s="117" t="str">
        <f t="shared" si="70"/>
        <v>- avila</v>
      </c>
      <c r="AY59" s="117" t="str">
        <f t="shared" si="71"/>
        <v>- churches</v>
      </c>
      <c r="AZ59" s="117" t="str">
        <f t="shared" si="72"/>
        <v/>
      </c>
      <c r="BA59" s="117" t="str">
        <f t="shared" si="73"/>
        <v>- holy-persons</v>
      </c>
      <c r="BB59" s="117" t="str">
        <f t="shared" si="74"/>
        <v>- teresa-avila</v>
      </c>
      <c r="BC59" s="117" t="str">
        <f t="shared" si="75"/>
        <v>- discalced-carmelites</v>
      </c>
      <c r="BD59" s="117" t="str">
        <f t="shared" si="76"/>
        <v>- communities</v>
      </c>
      <c r="BE59" s="117" t="str">
        <f t="shared" si="77"/>
        <v/>
      </c>
      <c r="BF59" s="117" t="str">
        <f t="shared" si="78"/>
        <v/>
      </c>
      <c r="BG59" s="117" t="str">
        <f t="shared" si="79"/>
        <v/>
      </c>
      <c r="BH59" s="117" t="str">
        <f t="shared" si="80"/>
        <v/>
      </c>
      <c r="BI59" s="117" t="str">
        <f t="shared" si="81"/>
        <v/>
      </c>
      <c r="BJ59" s="117" t="str">
        <f t="shared" si="82"/>
        <v/>
      </c>
      <c r="BK59" s="117" t="str">
        <f t="shared" si="83"/>
        <v/>
      </c>
      <c r="BL59" s="117" t="str">
        <f t="shared" si="84"/>
        <v xml:space="preserve">tags:
- es_x000D_
- avila_x000D_
- churches_x000D_
- holy-persons_x000D_
- teresa-avila_x000D_
- discalced-carmelites_x000D_
- communities_x000D_
</v>
      </c>
      <c r="BM59" s="120" t="str">
        <f t="shared" si="62"/>
        <v>[Official site](http://www.sanjosedeavila.es/) - Note: website not active at time of writing</v>
      </c>
      <c r="BN59" s="120" t="str">
        <f t="shared" si="63"/>
        <v>[Avila tourism site](https://www.avilaturismo.com/en/convent-and-church-of-san-jose)</v>
      </c>
      <c r="BO59" s="120" t="str">
        <f t="shared" si="64"/>
        <v/>
      </c>
      <c r="BP59" s="120" t="str">
        <f t="shared" si="65"/>
        <v/>
      </c>
      <c r="BQ59" s="117" t="str">
        <f t="shared" si="85"/>
        <v xml:space="preserve">* [Official site](http://www.sanjosedeavila.es/) - Note: website not active at time of writing
* [Avila tourism site](https://www.avilaturismo.com/en/convent-and-church-of-san-jose)
</v>
      </c>
      <c r="BR59" s="117" t="str">
        <f t="shared" si="86"/>
        <v/>
      </c>
      <c r="BS59" s="117" t="str">
        <f t="shared" si="87"/>
        <v/>
      </c>
      <c r="BT59" s="117" t="str">
        <f t="shared" si="88"/>
        <v/>
      </c>
      <c r="BU59" s="117" t="str">
        <f>IF(LEN(concat(BR59:BT59))&gt;0,concat("| ",BR59," | ",BS59," | ",BT59," |"),"")</f>
        <v/>
      </c>
      <c r="BV59" s="117" t="str">
        <f t="shared" si="89"/>
        <v/>
      </c>
      <c r="BW59" s="117" t="str">
        <f>IF(LEN(BQ59&amp;BV59)&gt;0,concatll("#### More Information",BQ59,BV59),"")</f>
        <v xml:space="preserve">#### More Information_x000D_
_x000D_
* [Official site](http://www.sanjosedeavila.es/) - Note: website not active at time of writing
* [Avila tourism site](https://www.avilaturismo.com/en/convent-and-church-of-san-jose)
_x000D_
_x000D_
</v>
      </c>
      <c r="BX59" s="117" t="str">
        <f>IF(LEN(N59)&gt;1,concatll("#### Author's Note",N59,"-"&amp;B59),"")</f>
        <v/>
      </c>
      <c r="BY59" s="117" t="s">
        <v>53</v>
      </c>
      <c r="BZ59" s="117" t="s">
        <v>53</v>
      </c>
      <c r="CA59" s="6" t="str">
        <f>IF(AS59,concatll(concatl("---",AT59:AV59,BL59,"---"),M59,BW59:BX59),"")</f>
        <v xml:space="preserve">---_x000D_
title: "Convento de San Jose, Avila"_x000D_
location: {lat: 40.6550979257916, lng: -4.69193607128771}_x000D_
interest: local_x000D_
tags:
- es_x000D_
- avila_x000D_
- churches_x000D_
- holy-persons_x000D_
- teresa-avila_x000D_
- discalced-carmelites_x000D_
- communities_x000D_
_x000D_
---_x000D_
_x000D_
_x000D_
The first of 17 communities founded by St. Teresa of Avila, in 1562. Visitors can explore the church, cloister, and St. Teresa's cell, now a chapel dedicated to prayer._x000D_
_x000D_
#### More Information_x000D_
_x000D_
* [Official site](http://www.sanjosedeavila.es/) - Note: website not active at time of writing
* [Avila tourism site](https://www.avilaturismo.com/en/convent-and-church-of-san-jose)
_x000D_
_x000D_
_x000D_
_x000D_
</v>
      </c>
      <c r="CB59" s="6" t="str">
        <f>IF(AS59,"places\"&amp;VLOOKUP(C59,'Country Tags'!C:D,2,)&amp;IF(LEN(D59)&gt;1,"-"&amp;LOWER(SUBSTITUTE(D59," ","-")),"")&amp;"-"&amp;LOWER(SUBSTITUTE(SUBSTITUTE(H59," ","-"),".",""))&amp;".md","")</f>
        <v>places\es-avila-convento-de-san-jose.md</v>
      </c>
      <c r="CC59" s="6"/>
      <c r="CD59" s="12" t="e">
        <f>IF(LEN(Z59)&gt;1,VLOOKUP(Z59,#REF!,2,),"")</f>
        <v>#REF!</v>
      </c>
      <c r="CE59" s="12" t="e">
        <f>IF(LEN(AA59)&gt;1,VLOOKUP(AA59,#REF!,2,),"")</f>
        <v>#REF!</v>
      </c>
      <c r="CF59" s="12" t="e">
        <f>IF(LEN(AB59)&gt;1,VLOOKUP(AB59,#REF!,2,),"")</f>
        <v>#REF!</v>
      </c>
      <c r="CG59" s="12" t="e">
        <f>IF(LEN(Z59)&gt;1,GetTagPage(CD59,Z59),"")</f>
        <v>#VALUE!</v>
      </c>
      <c r="CH59" s="12" t="e">
        <f>IF(LEN(AA59)&gt;1,GetTagPage(CE59,AA59),"")</f>
        <v>#VALUE!</v>
      </c>
      <c r="CI59" s="12" t="e">
        <f>IF(LEN(AB59)&gt;1,GetTagPage(CF59,AB59),"")</f>
        <v>#VALUE!</v>
      </c>
      <c r="CJ59" s="12" t="e">
        <f t="shared" si="90"/>
        <v>#VALUE!</v>
      </c>
      <c r="CK59" s="12" t="str">
        <f t="shared" si="91"/>
        <v xml:space="preserve">| [](/places/places\es-avila-convento-de-san-jose) </v>
      </c>
      <c r="CL59" s="13" t="str">
        <f>"| "&amp;IF(AS59,GetTagPage(C59,VLOOKUP(C59,'Country Tags'!C:E,3,)),C59)&amp; " "</f>
        <v xml:space="preserve">| [Spain](/tags/es) </v>
      </c>
      <c r="CM59" s="12" t="str">
        <f t="shared" si="92"/>
        <v xml:space="preserve">|  </v>
      </c>
      <c r="CN59" s="12" t="str">
        <f t="shared" si="93"/>
        <v xml:space="preserve">| [Link](/places/places\es-avila-convento-de-san-jose) </v>
      </c>
      <c r="CO59" s="12" t="e">
        <f t="shared" si="94"/>
        <v>#VALUE!</v>
      </c>
    </row>
    <row r="60" spans="1:94" ht="51" x14ac:dyDescent="0.25">
      <c r="A60" s="129" t="s">
        <v>786</v>
      </c>
      <c r="B60" s="7" t="s">
        <v>1653</v>
      </c>
      <c r="C60" s="7" t="s">
        <v>266</v>
      </c>
      <c r="D60" s="71" t="s">
        <v>1317</v>
      </c>
      <c r="E60" s="1">
        <v>41.311399847334698</v>
      </c>
      <c r="F60" s="30">
        <v>-4.9193248846553699</v>
      </c>
      <c r="G60" s="71" t="s">
        <v>1318</v>
      </c>
      <c r="H60" s="33" t="s">
        <v>1302</v>
      </c>
      <c r="I60" s="7" t="s">
        <v>1002</v>
      </c>
      <c r="J60" s="7" t="b">
        <v>1</v>
      </c>
      <c r="L60" s="7" t="b">
        <v>1</v>
      </c>
      <c r="M60" s="71" t="s">
        <v>1407</v>
      </c>
      <c r="Q60" s="75" t="s">
        <v>1403</v>
      </c>
      <c r="R60" s="1" t="s">
        <v>1404</v>
      </c>
      <c r="S60" s="76" t="s">
        <v>53</v>
      </c>
      <c r="T60" s="75" t="s">
        <v>1405</v>
      </c>
      <c r="U60" s="1" t="s">
        <v>1406</v>
      </c>
      <c r="V60" s="133" t="s">
        <v>1740</v>
      </c>
      <c r="W60" s="74" t="s">
        <v>53</v>
      </c>
      <c r="Z60" s="1" t="s">
        <v>1297</v>
      </c>
      <c r="AA60" s="1" t="s">
        <v>1293</v>
      </c>
      <c r="AB60" s="1" t="s">
        <v>880</v>
      </c>
      <c r="AC60" s="1" t="s">
        <v>1296</v>
      </c>
      <c r="AS60" s="116" t="b">
        <f t="shared" si="66"/>
        <v>1</v>
      </c>
      <c r="AT60" s="117" t="str">
        <f t="shared" si="67"/>
        <v>title: "Convento de San Jose, Medina del Campo"</v>
      </c>
      <c r="AU60" s="117" t="str">
        <f t="shared" si="68"/>
        <v>location: {lat: 41.3113998473347, lng: -4.91932488465537}</v>
      </c>
      <c r="AV60" s="117" t="str">
        <f t="shared" si="69"/>
        <v>interest: local</v>
      </c>
      <c r="AW60" s="117" t="str">
        <f>"- "&amp;VLOOKUP(C60,'Country Tags'!C:E,3,)</f>
        <v>- es</v>
      </c>
      <c r="AX60" s="117" t="str">
        <f t="shared" si="70"/>
        <v>- medina-del-campo</v>
      </c>
      <c r="AY60" s="117" t="str">
        <f t="shared" si="71"/>
        <v>- churches</v>
      </c>
      <c r="AZ60" s="117" t="str">
        <f t="shared" si="72"/>
        <v/>
      </c>
      <c r="BA60" s="117" t="str">
        <f t="shared" si="73"/>
        <v>- holy-persons</v>
      </c>
      <c r="BB60" s="117" t="str">
        <f t="shared" si="74"/>
        <v>- teresa-avila</v>
      </c>
      <c r="BC60" s="117" t="str">
        <f t="shared" si="75"/>
        <v>- discalced-carmelites</v>
      </c>
      <c r="BD60" s="117" t="str">
        <f t="shared" si="76"/>
        <v>- communities</v>
      </c>
      <c r="BE60" s="117" t="str">
        <f t="shared" si="77"/>
        <v>- john-cross</v>
      </c>
      <c r="BF60" s="117" t="str">
        <f t="shared" si="78"/>
        <v/>
      </c>
      <c r="BG60" s="117" t="str">
        <f t="shared" si="79"/>
        <v/>
      </c>
      <c r="BH60" s="117" t="str">
        <f t="shared" si="80"/>
        <v/>
      </c>
      <c r="BI60" s="117" t="str">
        <f t="shared" si="81"/>
        <v/>
      </c>
      <c r="BJ60" s="117" t="str">
        <f t="shared" si="82"/>
        <v/>
      </c>
      <c r="BK60" s="117" t="str">
        <f t="shared" si="83"/>
        <v/>
      </c>
      <c r="BL60" s="117" t="str">
        <f t="shared" si="84"/>
        <v xml:space="preserve">tags:
- es_x000D_
- medina-del-campo_x000D_
- churches_x000D_
- holy-persons_x000D_
- teresa-avila_x000D_
- discalced-carmelites_x000D_
- communities_x000D_
- john-cross_x000D_
</v>
      </c>
      <c r="BM60" s="120" t="str">
        <f t="shared" si="62"/>
        <v/>
      </c>
      <c r="BN60" s="120" t="str">
        <f t="shared" si="63"/>
        <v>[Castila y Leon tourism site](https://www.turismocastillayleon.com/en/art-culture-heritage/museums/teresian-museum-san-jose-medina-del-campo-m-m-carmelitas)</v>
      </c>
      <c r="BO60" s="120" t="str">
        <f t="shared" si="64"/>
        <v>[Medina del Campo tourism site](http://medinadelcampo.es/lo-indispensable/donde-la-historia-cobra-vida/23-lo-indispensable/donde-la-historia-cobra-vida/367-convento-san-juan-de-la-cruz-ruta-teresiana) - Note: website not active at time of writing</v>
      </c>
      <c r="BP60" s="120" t="str">
        <f t="shared" si="65"/>
        <v/>
      </c>
      <c r="BQ60" s="117" t="str">
        <f t="shared" si="85"/>
        <v xml:space="preserve">* [Castila y Leon tourism site](https://www.turismocastillayleon.com/en/art-culture-heritage/museums/teresian-museum-san-jose-medina-del-campo-m-m-carmelitas)
* [Medina del Campo tourism site](http://medinadelcampo.es/lo-indispensable/donde-la-historia-cobra-vida/23-lo-indispensable/donde-la-historia-cobra-vida/367-convento-san-juan-de-la-cruz-ruta-teresiana) - Note: website not active at time of writing
</v>
      </c>
      <c r="BR60" s="117" t="str">
        <f t="shared" si="86"/>
        <v/>
      </c>
      <c r="BS60" s="117" t="str">
        <f t="shared" si="87"/>
        <v/>
      </c>
      <c r="BT60" s="117" t="str">
        <f t="shared" si="88"/>
        <v/>
      </c>
      <c r="BU60" s="117" t="str">
        <f>IF(LEN(concat(BR60:BT60))&gt;0,concat("| ",BR60," | ",BS60," | ",BT60," |"),"")</f>
        <v/>
      </c>
      <c r="BV60" s="117" t="str">
        <f t="shared" si="89"/>
        <v/>
      </c>
      <c r="BW60" s="117" t="str">
        <f>IF(LEN(BQ60&amp;BV60)&gt;0,concatll("#### More Information",BQ60,BV60),"")</f>
        <v xml:space="preserve">#### More Information_x000D_
_x000D_
* [Castila y Leon tourism site](https://www.turismocastillayleon.com/en/art-culture-heritage/museums/teresian-museum-san-jose-medina-del-campo-m-m-carmelitas)
* [Medina del Campo tourism site](http://medinadelcampo.es/lo-indispensable/donde-la-historia-cobra-vida/23-lo-indispensable/donde-la-historia-cobra-vida/367-convento-san-juan-de-la-cruz-ruta-teresiana) - Note: website not active at time of writing
_x000D_
_x000D_
</v>
      </c>
      <c r="BX60" s="117" t="str">
        <f>IF(LEN(N60)&gt;1,concatll("#### Author's Note",N60,"-"&amp;B60),"")</f>
        <v/>
      </c>
      <c r="BY60" s="117" t="s">
        <v>53</v>
      </c>
      <c r="BZ60" s="117" t="s">
        <v>53</v>
      </c>
      <c r="CA60" s="6" t="str">
        <f>IF(AS60,concatll(concatl("---",AT60:AV60,BL60,"---"),M60,BW60:BX60),"")</f>
        <v xml:space="preserve">---_x000D_
title: "Convento de San Jose, Medina del Campo"_x000D_
location: {lat: 41.3113998473347, lng: -4.91932488465537}_x000D_
interest: local_x000D_
tags:
- es_x000D_
- medina-del-campo_x000D_
- churches_x000D_
- holy-persons_x000D_
- teresa-avila_x000D_
- discalced-carmelites_x000D_
- communities_x000D_
- john-cross_x000D_
_x000D_
---_x000D_
_x000D_
_x000D_
The second of 17 communities founded by St. Teresa of Avila, in 1567, and also where she met and influenced St. John of the Cross.
Now houses a museum._x000D_
_x000D_
#### More Information_x000D_
_x000D_
* [Castila y Leon tourism site](https://www.turismocastillayleon.com/en/art-culture-heritage/museums/teresian-museum-san-jose-medina-del-campo-m-m-carmelitas)
* [Medina del Campo tourism site](http://medinadelcampo.es/lo-indispensable/donde-la-historia-cobra-vida/23-lo-indispensable/donde-la-historia-cobra-vida/367-convento-san-juan-de-la-cruz-ruta-teresiana) - Note: website not active at time of writing
_x000D_
_x000D_
_x000D_
_x000D_
</v>
      </c>
      <c r="CB60" s="6" t="str">
        <f>IF(AS60,"places\"&amp;VLOOKUP(C60,'Country Tags'!C:D,2,)&amp;IF(LEN(D60)&gt;1,"-"&amp;LOWER(SUBSTITUTE(D60," ","-")),"")&amp;"-"&amp;LOWER(SUBSTITUTE(SUBSTITUTE(H60," ","-"),".",""))&amp;".md","")</f>
        <v>places\es-medina-del-campo-convento-de-san-jose.md</v>
      </c>
      <c r="CC60" s="6"/>
      <c r="CD60" s="12" t="e">
        <f>IF(LEN(Z60)&gt;1,VLOOKUP(Z60,#REF!,2,),"")</f>
        <v>#REF!</v>
      </c>
      <c r="CE60" s="12" t="e">
        <f>IF(LEN(AA60)&gt;1,VLOOKUP(AA60,#REF!,2,),"")</f>
        <v>#REF!</v>
      </c>
      <c r="CF60" s="12" t="e">
        <f>IF(LEN(AB60)&gt;1,VLOOKUP(AB60,#REF!,2,),"")</f>
        <v>#REF!</v>
      </c>
      <c r="CG60" s="12" t="e">
        <f>IF(LEN(Z60)&gt;1,GetTagPage(CD60,Z60),"")</f>
        <v>#VALUE!</v>
      </c>
      <c r="CH60" s="12" t="e">
        <f>IF(LEN(AA60)&gt;1,GetTagPage(CE60,AA60),"")</f>
        <v>#VALUE!</v>
      </c>
      <c r="CI60" s="12" t="e">
        <f>IF(LEN(AB60)&gt;1,GetTagPage(CF60,AB60),"")</f>
        <v>#VALUE!</v>
      </c>
      <c r="CJ60" s="12" t="e">
        <f t="shared" si="90"/>
        <v>#VALUE!</v>
      </c>
      <c r="CK60" s="12" t="str">
        <f t="shared" si="91"/>
        <v xml:space="preserve">| [](/places/places\es-medina-del-campo-convento-de-san-jose) </v>
      </c>
      <c r="CL60" s="13" t="str">
        <f>"| "&amp;IF(AS60,GetTagPage(C60,VLOOKUP(C60,'Country Tags'!C:E,3,)),C60)&amp; " "</f>
        <v xml:space="preserve">| [Spain](/tags/es) </v>
      </c>
      <c r="CM60" s="12" t="str">
        <f t="shared" si="92"/>
        <v xml:space="preserve">|  </v>
      </c>
      <c r="CN60" s="12" t="str">
        <f t="shared" si="93"/>
        <v xml:space="preserve">| [Link](/places/places\es-medina-del-campo-convento-de-san-jose) </v>
      </c>
      <c r="CO60" s="12" t="e">
        <f t="shared" si="94"/>
        <v>#VALUE!</v>
      </c>
    </row>
    <row r="61" spans="1:94" x14ac:dyDescent="0.25">
      <c r="A61" s="129" t="s">
        <v>786</v>
      </c>
      <c r="B61" s="7" t="s">
        <v>1653</v>
      </c>
      <c r="C61" s="7" t="s">
        <v>266</v>
      </c>
      <c r="D61" s="71" t="s">
        <v>1319</v>
      </c>
      <c r="E61" s="1">
        <v>39.172836506337802</v>
      </c>
      <c r="F61" s="30">
        <v>-3.8518511711638399</v>
      </c>
      <c r="G61" s="71" t="s">
        <v>1320</v>
      </c>
      <c r="H61" s="33" t="s">
        <v>1302</v>
      </c>
      <c r="I61" s="7" t="s">
        <v>1002</v>
      </c>
      <c r="J61" s="7" t="b">
        <v>1</v>
      </c>
      <c r="L61" s="7" t="b">
        <v>1</v>
      </c>
      <c r="M61" s="71" t="s">
        <v>1334</v>
      </c>
      <c r="Z61" s="1" t="s">
        <v>1297</v>
      </c>
      <c r="AA61" s="1" t="s">
        <v>1293</v>
      </c>
      <c r="AB61" s="1" t="s">
        <v>880</v>
      </c>
      <c r="AS61" s="116" t="b">
        <f t="shared" si="66"/>
        <v>1</v>
      </c>
      <c r="AT61" s="117" t="str">
        <f t="shared" si="67"/>
        <v>title: "Convento de San Jose, Malagon"</v>
      </c>
      <c r="AU61" s="117" t="str">
        <f t="shared" si="68"/>
        <v>location: {lat: 39.1728365063378, lng: -3.85185117116384}</v>
      </c>
      <c r="AV61" s="117" t="str">
        <f t="shared" si="69"/>
        <v>interest: local</v>
      </c>
      <c r="AW61" s="117" t="str">
        <f>"- "&amp;VLOOKUP(C61,'Country Tags'!C:E,3,)</f>
        <v>- es</v>
      </c>
      <c r="AX61" s="117" t="str">
        <f t="shared" si="70"/>
        <v>- malagon</v>
      </c>
      <c r="AY61" s="117" t="str">
        <f t="shared" si="71"/>
        <v>- churches</v>
      </c>
      <c r="AZ61" s="117" t="str">
        <f t="shared" si="72"/>
        <v/>
      </c>
      <c r="BA61" s="117" t="str">
        <f t="shared" si="73"/>
        <v>- holy-persons</v>
      </c>
      <c r="BB61" s="117" t="str">
        <f t="shared" si="74"/>
        <v>- teresa-avila</v>
      </c>
      <c r="BC61" s="117" t="str">
        <f t="shared" si="75"/>
        <v>- discalced-carmelites</v>
      </c>
      <c r="BD61" s="117" t="str">
        <f t="shared" si="76"/>
        <v>- communities</v>
      </c>
      <c r="BE61" s="117" t="str">
        <f t="shared" si="77"/>
        <v/>
      </c>
      <c r="BF61" s="117" t="str">
        <f t="shared" si="78"/>
        <v/>
      </c>
      <c r="BG61" s="117" t="str">
        <f t="shared" si="79"/>
        <v/>
      </c>
      <c r="BH61" s="117" t="str">
        <f t="shared" si="80"/>
        <v/>
      </c>
      <c r="BI61" s="117" t="str">
        <f t="shared" si="81"/>
        <v/>
      </c>
      <c r="BJ61" s="117" t="str">
        <f t="shared" si="82"/>
        <v/>
      </c>
      <c r="BK61" s="117" t="str">
        <f t="shared" si="83"/>
        <v/>
      </c>
      <c r="BL61" s="117" t="str">
        <f t="shared" si="84"/>
        <v xml:space="preserve">tags:
- es_x000D_
- malagon_x000D_
- churches_x000D_
- holy-persons_x000D_
- teresa-avila_x000D_
- discalced-carmelites_x000D_
- communities_x000D_
</v>
      </c>
      <c r="BM61" s="120" t="str">
        <f t="shared" si="62"/>
        <v/>
      </c>
      <c r="BN61" s="120" t="str">
        <f t="shared" si="63"/>
        <v/>
      </c>
      <c r="BO61" s="120" t="str">
        <f t="shared" si="64"/>
        <v/>
      </c>
      <c r="BP61" s="120" t="str">
        <f t="shared" si="65"/>
        <v/>
      </c>
      <c r="BQ61" s="117" t="str">
        <f t="shared" si="85"/>
        <v/>
      </c>
      <c r="BR61" s="117" t="str">
        <f t="shared" si="86"/>
        <v/>
      </c>
      <c r="BS61" s="117" t="str">
        <f t="shared" si="87"/>
        <v/>
      </c>
      <c r="BT61" s="117" t="str">
        <f t="shared" si="88"/>
        <v/>
      </c>
      <c r="BU61" s="117" t="str">
        <f>IF(LEN(concat(BR61:BT61))&gt;0,concat("| ",BR61," | ",BS61," | ",BT61," |"),"")</f>
        <v/>
      </c>
      <c r="BV61" s="117" t="str">
        <f t="shared" si="89"/>
        <v/>
      </c>
      <c r="BW61" s="117" t="str">
        <f>IF(LEN(BQ61&amp;BV61)&gt;0,concatll("#### More Information",BQ61,BV61),"")</f>
        <v/>
      </c>
      <c r="BX61" s="117" t="str">
        <f>IF(LEN(N61)&gt;1,concatll("#### Author's Note",N61,"-"&amp;B61),"")</f>
        <v/>
      </c>
      <c r="BY61" s="117" t="s">
        <v>53</v>
      </c>
      <c r="BZ61" s="117" t="s">
        <v>53</v>
      </c>
      <c r="CA61" s="6" t="str">
        <f>IF(AS61,concatll(concatl("---",AT61:AV61,BL61,"---"),M61,BW61:BX61),"")</f>
        <v xml:space="preserve">---_x000D_
title: "Convento de San Jose, Malagon"_x000D_
location: {lat: 39.1728365063378, lng: -3.85185117116384}_x000D_
interest: local_x000D_
tags:
- es_x000D_
- malagon_x000D_
- churches_x000D_
- holy-persons_x000D_
- teresa-avila_x000D_
- discalced-carmelites_x000D_
- communities_x000D_
_x000D_
---_x000D_
_x000D_
_x000D_
The third of 17 communities founded by St. Teresa of Avila, in 1568._x000D_
_x000D_
</v>
      </c>
      <c r="CB61" s="6" t="str">
        <f>IF(AS61,"places\"&amp;VLOOKUP(C61,'Country Tags'!C:D,2,)&amp;IF(LEN(D61)&gt;1,"-"&amp;LOWER(SUBSTITUTE(D61," ","-")),"")&amp;"-"&amp;LOWER(SUBSTITUTE(SUBSTITUTE(H61," ","-"),".",""))&amp;".md","")</f>
        <v>places\es-malagon-convento-de-san-jose.md</v>
      </c>
      <c r="CC61" s="6"/>
      <c r="CD61" s="12" t="e">
        <f>IF(LEN(Z61)&gt;1,VLOOKUP(Z61,#REF!,2,),"")</f>
        <v>#REF!</v>
      </c>
      <c r="CE61" s="12" t="e">
        <f>IF(LEN(AA61)&gt;1,VLOOKUP(AA61,#REF!,2,),"")</f>
        <v>#REF!</v>
      </c>
      <c r="CF61" s="12" t="e">
        <f>IF(LEN(AB61)&gt;1,VLOOKUP(AB61,#REF!,2,),"")</f>
        <v>#REF!</v>
      </c>
      <c r="CG61" s="12" t="e">
        <f>IF(LEN(Z61)&gt;1,GetTagPage(CD61,Z61),"")</f>
        <v>#VALUE!</v>
      </c>
      <c r="CH61" s="12" t="e">
        <f>IF(LEN(AA61)&gt;1,GetTagPage(CE61,AA61),"")</f>
        <v>#VALUE!</v>
      </c>
      <c r="CI61" s="12" t="e">
        <f>IF(LEN(AB61)&gt;1,GetTagPage(CF61,AB61),"")</f>
        <v>#VALUE!</v>
      </c>
      <c r="CJ61" s="12" t="e">
        <f t="shared" si="90"/>
        <v>#VALUE!</v>
      </c>
      <c r="CK61" s="12" t="str">
        <f t="shared" si="91"/>
        <v xml:space="preserve">| [](/places/places\es-malagon-convento-de-san-jose) </v>
      </c>
      <c r="CL61" s="13" t="str">
        <f>"| "&amp;IF(AS61,GetTagPage(C61,VLOOKUP(C61,'Country Tags'!C:E,3,)),C61)&amp; " "</f>
        <v xml:space="preserve">| [Spain](/tags/es) </v>
      </c>
      <c r="CM61" s="12" t="str">
        <f t="shared" si="92"/>
        <v xml:space="preserve">|  </v>
      </c>
      <c r="CN61" s="12" t="str">
        <f t="shared" si="93"/>
        <v xml:space="preserve">| [Link](/places/places\es-malagon-convento-de-san-jose) </v>
      </c>
      <c r="CO61" s="12" t="e">
        <f t="shared" si="94"/>
        <v>#VALUE!</v>
      </c>
    </row>
    <row r="62" spans="1:94" x14ac:dyDescent="0.25">
      <c r="A62" s="129" t="s">
        <v>786</v>
      </c>
      <c r="B62" s="7" t="s">
        <v>1653</v>
      </c>
      <c r="C62" s="7" t="s">
        <v>266</v>
      </c>
      <c r="D62" s="80" t="s">
        <v>1322</v>
      </c>
      <c r="E62" s="1">
        <v>41.659886377779202</v>
      </c>
      <c r="F62" s="30">
        <v>-4.72687771534462</v>
      </c>
      <c r="G62" s="80" t="s">
        <v>1435</v>
      </c>
      <c r="H62" s="33" t="s">
        <v>1321</v>
      </c>
      <c r="I62" s="7" t="s">
        <v>1002</v>
      </c>
      <c r="J62" s="7" t="b">
        <v>1</v>
      </c>
      <c r="L62" s="7" t="b">
        <v>1</v>
      </c>
      <c r="M62" s="71" t="s">
        <v>1336</v>
      </c>
      <c r="Z62" s="1" t="s">
        <v>1297</v>
      </c>
      <c r="AA62" s="1" t="s">
        <v>1293</v>
      </c>
      <c r="AB62" s="1" t="s">
        <v>880</v>
      </c>
      <c r="AS62" s="116" t="b">
        <f t="shared" si="66"/>
        <v>1</v>
      </c>
      <c r="AT62" s="117" t="str">
        <f t="shared" si="67"/>
        <v>title: "Convento de Santa Teresa, Valladolid"</v>
      </c>
      <c r="AU62" s="117" t="str">
        <f t="shared" si="68"/>
        <v>location: {lat: 41.6598863777792, lng: -4.72687771534462}</v>
      </c>
      <c r="AV62" s="117" t="str">
        <f t="shared" si="69"/>
        <v>interest: local</v>
      </c>
      <c r="AW62" s="117" t="str">
        <f>"- "&amp;VLOOKUP(C62,'Country Tags'!C:E,3,)</f>
        <v>- es</v>
      </c>
      <c r="AX62" s="117" t="str">
        <f t="shared" si="70"/>
        <v>- valladolid</v>
      </c>
      <c r="AY62" s="117" t="str">
        <f t="shared" si="71"/>
        <v>- churches</v>
      </c>
      <c r="AZ62" s="117" t="str">
        <f t="shared" si="72"/>
        <v/>
      </c>
      <c r="BA62" s="117" t="str">
        <f t="shared" si="73"/>
        <v>- holy-persons</v>
      </c>
      <c r="BB62" s="117" t="str">
        <f t="shared" si="74"/>
        <v>- teresa-avila</v>
      </c>
      <c r="BC62" s="117" t="str">
        <f t="shared" si="75"/>
        <v>- discalced-carmelites</v>
      </c>
      <c r="BD62" s="117" t="str">
        <f t="shared" si="76"/>
        <v>- communities</v>
      </c>
      <c r="BE62" s="117" t="str">
        <f t="shared" si="77"/>
        <v/>
      </c>
      <c r="BF62" s="117" t="str">
        <f t="shared" si="78"/>
        <v/>
      </c>
      <c r="BG62" s="117" t="str">
        <f t="shared" si="79"/>
        <v/>
      </c>
      <c r="BH62" s="117" t="str">
        <f t="shared" si="80"/>
        <v/>
      </c>
      <c r="BI62" s="117" t="str">
        <f t="shared" si="81"/>
        <v/>
      </c>
      <c r="BJ62" s="117" t="str">
        <f t="shared" si="82"/>
        <v/>
      </c>
      <c r="BK62" s="117" t="str">
        <f t="shared" si="83"/>
        <v/>
      </c>
      <c r="BL62" s="117" t="str">
        <f t="shared" si="84"/>
        <v xml:space="preserve">tags:
- es_x000D_
- valladolid_x000D_
- churches_x000D_
- holy-persons_x000D_
- teresa-avila_x000D_
- discalced-carmelites_x000D_
- communities_x000D_
</v>
      </c>
      <c r="BM62" s="120" t="str">
        <f t="shared" si="62"/>
        <v/>
      </c>
      <c r="BN62" s="120" t="str">
        <f t="shared" si="63"/>
        <v/>
      </c>
      <c r="BO62" s="120" t="str">
        <f t="shared" si="64"/>
        <v/>
      </c>
      <c r="BP62" s="120" t="str">
        <f t="shared" si="65"/>
        <v/>
      </c>
      <c r="BQ62" s="117" t="str">
        <f t="shared" si="85"/>
        <v/>
      </c>
      <c r="BR62" s="117" t="str">
        <f t="shared" si="86"/>
        <v/>
      </c>
      <c r="BS62" s="117" t="str">
        <f t="shared" si="87"/>
        <v/>
      </c>
      <c r="BT62" s="117" t="str">
        <f t="shared" si="88"/>
        <v/>
      </c>
      <c r="BU62" s="117" t="str">
        <f>IF(LEN(concat(BR62:BT62))&gt;0,concat("| ",BR62," | ",BS62," | ",BT62," |"),"")</f>
        <v/>
      </c>
      <c r="BV62" s="117" t="str">
        <f t="shared" si="89"/>
        <v/>
      </c>
      <c r="BW62" s="117" t="str">
        <f>IF(LEN(BQ62&amp;BV62)&gt;0,concatll("#### More Information",BQ62,BV62),"")</f>
        <v/>
      </c>
      <c r="BX62" s="117" t="str">
        <f>IF(LEN(N62)&gt;1,concatll("#### Author's Note",N62,"-"&amp;B62),"")</f>
        <v/>
      </c>
      <c r="BY62" s="117" t="s">
        <v>53</v>
      </c>
      <c r="BZ62" s="117" t="s">
        <v>53</v>
      </c>
      <c r="CA62" s="6" t="str">
        <f>IF(AS62,concatll(concatl("---",AT62:AV62,BL62,"---"),M62,BW62:BX62),"")</f>
        <v xml:space="preserve">---_x000D_
title: "Convento de Santa Teresa, Valladolid"_x000D_
location: {lat: 41.6598863777792, lng: -4.72687771534462}_x000D_
interest: local_x000D_
tags:
- es_x000D_
- valladolid_x000D_
- churches_x000D_
- holy-persons_x000D_
- teresa-avila_x000D_
- discalced-carmelites_x000D_
- communities_x000D_
_x000D_
---_x000D_
_x000D_
_x000D_
The fourth of 17 communities founded by St. Teresa of Avila, in 1568._x000D_
_x000D_
</v>
      </c>
      <c r="CB62" s="6" t="str">
        <f>IF(AS62,"places\"&amp;VLOOKUP(C62,'Country Tags'!C:D,2,)&amp;IF(LEN(D62)&gt;1,"-"&amp;LOWER(SUBSTITUTE(D62," ","-")),"")&amp;"-"&amp;LOWER(SUBSTITUTE(SUBSTITUTE(H62," ","-"),".",""))&amp;".md","")</f>
        <v>places\es-valladolid-convento-de-santa-teresa.md</v>
      </c>
      <c r="CC62" s="6"/>
      <c r="CD62" s="12" t="e">
        <f>IF(LEN(Z62)&gt;1,VLOOKUP(Z62,#REF!,2,),"")</f>
        <v>#REF!</v>
      </c>
      <c r="CE62" s="12" t="e">
        <f>IF(LEN(AA62)&gt;1,VLOOKUP(AA62,#REF!,2,),"")</f>
        <v>#REF!</v>
      </c>
      <c r="CF62" s="12" t="e">
        <f>IF(LEN(AB62)&gt;1,VLOOKUP(AB62,#REF!,2,),"")</f>
        <v>#REF!</v>
      </c>
      <c r="CG62" s="12" t="e">
        <f>IF(LEN(Z62)&gt;1,GetTagPage(CD62,Z62),"")</f>
        <v>#VALUE!</v>
      </c>
      <c r="CH62" s="12" t="e">
        <f>IF(LEN(AA62)&gt;1,GetTagPage(CE62,AA62),"")</f>
        <v>#VALUE!</v>
      </c>
      <c r="CI62" s="12" t="e">
        <f>IF(LEN(AB62)&gt;1,GetTagPage(CF62,AB62),"")</f>
        <v>#VALUE!</v>
      </c>
      <c r="CJ62" s="12" t="e">
        <f t="shared" si="90"/>
        <v>#VALUE!</v>
      </c>
      <c r="CK62" s="12" t="str">
        <f t="shared" si="91"/>
        <v xml:space="preserve">| [](/places/places\es-valladolid-convento-de-santa-teresa) </v>
      </c>
      <c r="CL62" s="13" t="str">
        <f>"| "&amp;IF(AS62,GetTagPage(C62,VLOOKUP(C62,'Country Tags'!C:E,3,)),C62)&amp; " "</f>
        <v xml:space="preserve">| [Spain](/tags/es) </v>
      </c>
      <c r="CM62" s="12" t="str">
        <f t="shared" si="92"/>
        <v xml:space="preserve">|  </v>
      </c>
      <c r="CN62" s="12" t="str">
        <f t="shared" si="93"/>
        <v xml:space="preserve">| [Link](/places/places\es-valladolid-convento-de-santa-teresa) </v>
      </c>
      <c r="CO62" s="12" t="e">
        <f t="shared" si="94"/>
        <v>#VALUE!</v>
      </c>
    </row>
    <row r="63" spans="1:94" x14ac:dyDescent="0.25">
      <c r="A63" s="129" t="s">
        <v>786</v>
      </c>
      <c r="B63" s="7" t="s">
        <v>1653</v>
      </c>
      <c r="C63" s="7" t="s">
        <v>266</v>
      </c>
      <c r="D63" s="71" t="s">
        <v>1325</v>
      </c>
      <c r="E63" s="1">
        <v>39.860357499451801</v>
      </c>
      <c r="F63" s="30">
        <v>-4.0247343354961798</v>
      </c>
      <c r="G63" s="71" t="s">
        <v>1326</v>
      </c>
      <c r="H63" s="33" t="s">
        <v>1302</v>
      </c>
      <c r="I63" s="7" t="s">
        <v>1002</v>
      </c>
      <c r="J63" s="7" t="b">
        <v>1</v>
      </c>
      <c r="L63" s="7" t="b">
        <v>1</v>
      </c>
      <c r="M63" s="71" t="s">
        <v>1337</v>
      </c>
      <c r="Z63" s="1" t="s">
        <v>1297</v>
      </c>
      <c r="AA63" s="1" t="s">
        <v>1293</v>
      </c>
      <c r="AB63" s="1" t="s">
        <v>880</v>
      </c>
      <c r="AS63" s="116" t="b">
        <f t="shared" si="66"/>
        <v>1</v>
      </c>
      <c r="AT63" s="117" t="str">
        <f t="shared" si="67"/>
        <v>title: "Convento de San Jose, Toledo"</v>
      </c>
      <c r="AU63" s="117" t="str">
        <f t="shared" si="68"/>
        <v>location: {lat: 39.8603574994518, lng: -4.02473433549618}</v>
      </c>
      <c r="AV63" s="117" t="str">
        <f t="shared" si="69"/>
        <v>interest: local</v>
      </c>
      <c r="AW63" s="117" t="str">
        <f>"- "&amp;VLOOKUP(C63,'Country Tags'!C:E,3,)</f>
        <v>- es</v>
      </c>
      <c r="AX63" s="117" t="str">
        <f t="shared" si="70"/>
        <v>- toledo</v>
      </c>
      <c r="AY63" s="117" t="str">
        <f t="shared" si="71"/>
        <v>- churches</v>
      </c>
      <c r="AZ63" s="117" t="str">
        <f t="shared" si="72"/>
        <v/>
      </c>
      <c r="BA63" s="117" t="str">
        <f t="shared" si="73"/>
        <v>- holy-persons</v>
      </c>
      <c r="BB63" s="117" t="str">
        <f t="shared" si="74"/>
        <v>- teresa-avila</v>
      </c>
      <c r="BC63" s="117" t="str">
        <f t="shared" si="75"/>
        <v>- discalced-carmelites</v>
      </c>
      <c r="BD63" s="117" t="str">
        <f t="shared" si="76"/>
        <v>- communities</v>
      </c>
      <c r="BE63" s="117" t="str">
        <f t="shared" si="77"/>
        <v/>
      </c>
      <c r="BF63" s="117" t="str">
        <f t="shared" si="78"/>
        <v/>
      </c>
      <c r="BG63" s="117" t="str">
        <f t="shared" si="79"/>
        <v/>
      </c>
      <c r="BH63" s="117" t="str">
        <f t="shared" si="80"/>
        <v/>
      </c>
      <c r="BI63" s="117" t="str">
        <f t="shared" si="81"/>
        <v/>
      </c>
      <c r="BJ63" s="117" t="str">
        <f t="shared" si="82"/>
        <v/>
      </c>
      <c r="BK63" s="117" t="str">
        <f t="shared" si="83"/>
        <v/>
      </c>
      <c r="BL63" s="117" t="str">
        <f t="shared" si="84"/>
        <v xml:space="preserve">tags:
- es_x000D_
- toledo_x000D_
- churches_x000D_
- holy-persons_x000D_
- teresa-avila_x000D_
- discalced-carmelites_x000D_
- communities_x000D_
</v>
      </c>
      <c r="BM63" s="120" t="str">
        <f t="shared" si="62"/>
        <v/>
      </c>
      <c r="BN63" s="120" t="str">
        <f t="shared" si="63"/>
        <v/>
      </c>
      <c r="BO63" s="120" t="str">
        <f t="shared" si="64"/>
        <v/>
      </c>
      <c r="BP63" s="120" t="str">
        <f t="shared" si="65"/>
        <v/>
      </c>
      <c r="BQ63" s="117" t="str">
        <f t="shared" si="85"/>
        <v/>
      </c>
      <c r="BR63" s="117" t="str">
        <f t="shared" si="86"/>
        <v/>
      </c>
      <c r="BS63" s="117" t="str">
        <f t="shared" si="87"/>
        <v/>
      </c>
      <c r="BT63" s="117" t="str">
        <f t="shared" si="88"/>
        <v/>
      </c>
      <c r="BU63" s="117" t="str">
        <f>IF(LEN(concat(BR63:BT63))&gt;0,concat("| ",BR63," | ",BS63," | ",BT63," |"),"")</f>
        <v/>
      </c>
      <c r="BV63" s="117" t="str">
        <f t="shared" si="89"/>
        <v/>
      </c>
      <c r="BW63" s="117" t="str">
        <f>IF(LEN(BQ63&amp;BV63)&gt;0,concatll("#### More Information",BQ63,BV63),"")</f>
        <v/>
      </c>
      <c r="BX63" s="117" t="str">
        <f>IF(LEN(N63)&gt;1,concatll("#### Author's Note",N63,"-"&amp;B63),"")</f>
        <v/>
      </c>
      <c r="BY63" s="117" t="s">
        <v>53</v>
      </c>
      <c r="BZ63" s="117" t="s">
        <v>53</v>
      </c>
      <c r="CA63" s="6" t="str">
        <f>IF(AS63,concatll(concatl("---",AT63:AV63,BL63,"---"),M63,BW63:BX63),"")</f>
        <v xml:space="preserve">---_x000D_
title: "Convento de San Jose, Toledo"_x000D_
location: {lat: 39.8603574994518, lng: -4.02473433549618}_x000D_
interest: local_x000D_
tags:
- es_x000D_
- toledo_x000D_
- churches_x000D_
- holy-persons_x000D_
- teresa-avila_x000D_
- discalced-carmelites_x000D_
- communities_x000D_
_x000D_
---_x000D_
_x000D_
_x000D_
The fifth of 17 communities founded by St. Teresa of Avila, in 1569._x000D_
_x000D_
</v>
      </c>
      <c r="CB63" s="6" t="str">
        <f>IF(AS63,"places\"&amp;VLOOKUP(C63,'Country Tags'!C:D,2,)&amp;IF(LEN(D63)&gt;1,"-"&amp;LOWER(SUBSTITUTE(D63," ","-")),"")&amp;"-"&amp;LOWER(SUBSTITUTE(SUBSTITUTE(H63," ","-"),".",""))&amp;".md","")</f>
        <v>places\es-toledo-convento-de-san-jose.md</v>
      </c>
      <c r="CC63" s="6"/>
      <c r="CD63" s="12" t="e">
        <f>IF(LEN(Z63)&gt;1,VLOOKUP(Z63,#REF!,2,),"")</f>
        <v>#REF!</v>
      </c>
      <c r="CE63" s="12" t="e">
        <f>IF(LEN(AA63)&gt;1,VLOOKUP(AA63,#REF!,2,),"")</f>
        <v>#REF!</v>
      </c>
      <c r="CF63" s="12" t="e">
        <f>IF(LEN(AB63)&gt;1,VLOOKUP(AB63,#REF!,2,),"")</f>
        <v>#REF!</v>
      </c>
      <c r="CG63" s="12" t="e">
        <f>IF(LEN(Z63)&gt;1,GetTagPage(CD63,Z63),"")</f>
        <v>#VALUE!</v>
      </c>
      <c r="CH63" s="12" t="e">
        <f>IF(LEN(AA63)&gt;1,GetTagPage(CE63,AA63),"")</f>
        <v>#VALUE!</v>
      </c>
      <c r="CI63" s="12" t="e">
        <f>IF(LEN(AB63)&gt;1,GetTagPage(CF63,AB63),"")</f>
        <v>#VALUE!</v>
      </c>
      <c r="CJ63" s="12" t="e">
        <f t="shared" si="90"/>
        <v>#VALUE!</v>
      </c>
      <c r="CK63" s="12" t="str">
        <f t="shared" si="91"/>
        <v xml:space="preserve">| [](/places/places\es-toledo-convento-de-san-jose) </v>
      </c>
      <c r="CL63" s="13" t="str">
        <f>"| "&amp;IF(AS63,GetTagPage(C63,VLOOKUP(C63,'Country Tags'!C:E,3,)),C63)&amp; " "</f>
        <v xml:space="preserve">| [Spain](/tags/es) </v>
      </c>
      <c r="CM63" s="12" t="str">
        <f t="shared" si="92"/>
        <v xml:space="preserve">|  </v>
      </c>
      <c r="CN63" s="12" t="str">
        <f t="shared" si="93"/>
        <v xml:space="preserve">| [Link](/places/places\es-toledo-convento-de-san-jose) </v>
      </c>
      <c r="CO63" s="12" t="e">
        <f t="shared" si="94"/>
        <v>#VALUE!</v>
      </c>
    </row>
    <row r="64" spans="1:94" ht="89.25" x14ac:dyDescent="0.25">
      <c r="A64" s="129" t="s">
        <v>786</v>
      </c>
      <c r="B64" s="7" t="s">
        <v>1653</v>
      </c>
      <c r="C64" s="7" t="s">
        <v>266</v>
      </c>
      <c r="D64" s="71" t="s">
        <v>1329</v>
      </c>
      <c r="E64" s="1">
        <v>40.405087686540597</v>
      </c>
      <c r="F64" s="30">
        <v>-2.9172532935268598</v>
      </c>
      <c r="G64" s="71" t="s">
        <v>1328</v>
      </c>
      <c r="H64" s="73" t="s">
        <v>1327</v>
      </c>
      <c r="I64" s="7" t="s">
        <v>1002</v>
      </c>
      <c r="J64" s="7" t="b">
        <v>1</v>
      </c>
      <c r="L64" s="7" t="b">
        <v>1</v>
      </c>
      <c r="M64" s="71" t="s">
        <v>1427</v>
      </c>
      <c r="Q64" s="75" t="s">
        <v>1332</v>
      </c>
      <c r="R64" s="1" t="s">
        <v>1333</v>
      </c>
      <c r="S64" s="76" t="s">
        <v>53</v>
      </c>
      <c r="Z64" s="1" t="s">
        <v>1297</v>
      </c>
      <c r="AA64" s="72" t="s">
        <v>1293</v>
      </c>
      <c r="AB64" s="1" t="s">
        <v>880</v>
      </c>
      <c r="AC64" s="1" t="s">
        <v>1330</v>
      </c>
      <c r="AD64" s="72" t="s">
        <v>1296</v>
      </c>
      <c r="AS64" s="116" t="b">
        <f t="shared" si="66"/>
        <v>1</v>
      </c>
      <c r="AT64" s="117" t="str">
        <f t="shared" si="67"/>
        <v>title: "Convento del Carmen, Pastrana"</v>
      </c>
      <c r="AU64" s="117" t="str">
        <f t="shared" si="68"/>
        <v>location: {lat: 40.4050876865406, lng: -2.91725329352686}</v>
      </c>
      <c r="AV64" s="117" t="str">
        <f t="shared" si="69"/>
        <v>interest: local</v>
      </c>
      <c r="AW64" s="117" t="str">
        <f>"- "&amp;VLOOKUP(C64,'Country Tags'!C:E,3,)</f>
        <v>- es</v>
      </c>
      <c r="AX64" s="117" t="str">
        <f t="shared" si="70"/>
        <v>- pastrana</v>
      </c>
      <c r="AY64" s="117" t="str">
        <f t="shared" si="71"/>
        <v>- churches</v>
      </c>
      <c r="AZ64" s="117" t="str">
        <f t="shared" si="72"/>
        <v/>
      </c>
      <c r="BA64" s="117" t="str">
        <f t="shared" si="73"/>
        <v>- holy-persons</v>
      </c>
      <c r="BB64" s="117" t="str">
        <f t="shared" si="74"/>
        <v>- teresa-avila</v>
      </c>
      <c r="BC64" s="117" t="str">
        <f t="shared" si="75"/>
        <v>- discalced-carmelites</v>
      </c>
      <c r="BD64" s="117" t="str">
        <f t="shared" si="76"/>
        <v>- communities</v>
      </c>
      <c r="BE64" s="117" t="str">
        <f t="shared" si="77"/>
        <v>- conceptionists</v>
      </c>
      <c r="BF64" s="117" t="str">
        <f t="shared" si="78"/>
        <v>- john-cross</v>
      </c>
      <c r="BG64" s="117" t="str">
        <f t="shared" si="79"/>
        <v/>
      </c>
      <c r="BH64" s="117" t="str">
        <f t="shared" si="80"/>
        <v/>
      </c>
      <c r="BI64" s="117" t="str">
        <f t="shared" si="81"/>
        <v/>
      </c>
      <c r="BJ64" s="117" t="str">
        <f t="shared" si="82"/>
        <v/>
      </c>
      <c r="BK64" s="117" t="str">
        <f t="shared" si="83"/>
        <v/>
      </c>
      <c r="BL64" s="117" t="str">
        <f t="shared" si="84"/>
        <v xml:space="preserve">tags:
- es_x000D_
- pastrana_x000D_
- churches_x000D_
- holy-persons_x000D_
- teresa-avila_x000D_
- discalced-carmelites_x000D_
- communities_x000D_
- conceptionists_x000D_
- john-cross_x000D_
</v>
      </c>
      <c r="BM64" s="120" t="str">
        <f t="shared" si="62"/>
        <v/>
      </c>
      <c r="BN64" s="120" t="str">
        <f t="shared" si="63"/>
        <v>[Pastrana tourism site](https://turismo.pastrana.org/destino-pastrana/monumentos-pastrana-visitas-culturales/convento-del-carmen/)</v>
      </c>
      <c r="BO64" s="120" t="str">
        <f t="shared" si="64"/>
        <v/>
      </c>
      <c r="BP64" s="120" t="str">
        <f t="shared" si="65"/>
        <v/>
      </c>
      <c r="BQ64" s="117" t="str">
        <f t="shared" si="85"/>
        <v xml:space="preserve">* [Pastrana tourism site](https://turismo.pastrana.org/destino-pastrana/monumentos-pastrana-visitas-culturales/convento-del-carmen/)
</v>
      </c>
      <c r="BR64" s="117" t="str">
        <f t="shared" si="86"/>
        <v/>
      </c>
      <c r="BS64" s="117" t="str">
        <f t="shared" si="87"/>
        <v/>
      </c>
      <c r="BT64" s="117" t="str">
        <f t="shared" si="88"/>
        <v/>
      </c>
      <c r="BU64" s="117" t="str">
        <f>IF(LEN(concat(BR64:BT64))&gt;0,concat("| ",BR64," | ",BS64," | ",BT64," |"),"")</f>
        <v/>
      </c>
      <c r="BV64" s="117" t="str">
        <f t="shared" si="89"/>
        <v/>
      </c>
      <c r="BW64" s="117" t="str">
        <f>IF(LEN(BQ64&amp;BV64)&gt;0,concatll("#### More Information",BQ64,BV64),"")</f>
        <v xml:space="preserve">#### More Information_x000D_
_x000D_
* [Pastrana tourism site](https://turismo.pastrana.org/destino-pastrana/monumentos-pastrana-visitas-culturales/convento-del-carmen/)
_x000D_
_x000D_
</v>
      </c>
      <c r="BX64" s="117" t="str">
        <f>IF(LEN(N64)&gt;1,concatll("#### Author's Note",N64,"-"&amp;B64),"")</f>
        <v/>
      </c>
      <c r="BY64" s="117" t="s">
        <v>53</v>
      </c>
      <c r="BZ64" s="117" t="s">
        <v>53</v>
      </c>
      <c r="CA64" s="6" t="str">
        <f>IF(AS64,concatll(concatl("---",AT64:AV64,BL64,"---"),M64,BW64:BX64),"")</f>
        <v xml:space="preserve">---_x000D_
title: "Convento del Carmen, Pastrana"_x000D_
location: {lat: 40.4050876865406, lng: -2.91725329352686}_x000D_
interest: local_x000D_
tags:
- es_x000D_
- pastrana_x000D_
- churches_x000D_
- holy-persons_x000D_
- teresa-avila_x000D_
- discalced-carmelites_x000D_
- communities_x000D_
- conceptionists_x000D_
- john-cross_x000D_
_x000D_
---_x000D_
_x000D_
_x000D_
The sixth of 17 communities founded by St. Teresa of Avila, in 1569.  St. John of the Cross may have written his *Dark Night of the Soul* and *Ascent of Mount Carmel* here.
In 1836 the convent was confiscated by the Spanish government, but in 1855 was reoccupied by Conceptionist Franciscan nuns.  Today it serves as a Conceptionist convent and Teresan museum._x000D_
_x000D_
#### More Information_x000D_
_x000D_
* [Pastrana tourism site](https://turismo.pastrana.org/destino-pastrana/monumentos-pastrana-visitas-culturales/convento-del-carmen/)
_x000D_
_x000D_
_x000D_
_x000D_
</v>
      </c>
      <c r="CB64" s="6" t="str">
        <f>IF(AS64,"places\"&amp;VLOOKUP(C64,'Country Tags'!C:D,2,)&amp;IF(LEN(D64)&gt;1,"-"&amp;LOWER(SUBSTITUTE(D64," ","-")),"")&amp;"-"&amp;LOWER(SUBSTITUTE(SUBSTITUTE(H64," ","-"),".",""))&amp;".md","")</f>
        <v>places\es-pastrana-convento-del-carmen.md</v>
      </c>
      <c r="CC64" s="6"/>
      <c r="CD64" s="12" t="e">
        <f>IF(LEN(Z64)&gt;1,VLOOKUP(Z64,#REF!,2,),"")</f>
        <v>#REF!</v>
      </c>
      <c r="CE64" s="12" t="e">
        <f>IF(LEN(AA64)&gt;1,VLOOKUP(AA64,#REF!,2,),"")</f>
        <v>#REF!</v>
      </c>
      <c r="CF64" s="12" t="e">
        <f>IF(LEN(AB64)&gt;1,VLOOKUP(AB64,#REF!,2,),"")</f>
        <v>#REF!</v>
      </c>
      <c r="CG64" s="12" t="e">
        <f>IF(LEN(Z64)&gt;1,GetTagPage(CD64,Z64),"")</f>
        <v>#VALUE!</v>
      </c>
      <c r="CH64" s="12" t="e">
        <f>IF(LEN(AA64)&gt;1,GetTagPage(CE64,AA64),"")</f>
        <v>#VALUE!</v>
      </c>
      <c r="CI64" s="12" t="e">
        <f>IF(LEN(AB64)&gt;1,GetTagPage(CF64,AB64),"")</f>
        <v>#VALUE!</v>
      </c>
      <c r="CJ64" s="12" t="e">
        <f t="shared" si="90"/>
        <v>#VALUE!</v>
      </c>
      <c r="CK64" s="12" t="str">
        <f t="shared" si="91"/>
        <v xml:space="preserve">| [](/places/places\es-pastrana-convento-del-carmen) </v>
      </c>
      <c r="CL64" s="13" t="str">
        <f>"| "&amp;IF(AS64,GetTagPage(C64,VLOOKUP(C64,'Country Tags'!C:E,3,)),C64)&amp; " "</f>
        <v xml:space="preserve">| [Spain](/tags/es) </v>
      </c>
      <c r="CM64" s="12" t="str">
        <f t="shared" si="92"/>
        <v xml:space="preserve">|  </v>
      </c>
      <c r="CN64" s="12" t="str">
        <f t="shared" si="93"/>
        <v xml:space="preserve">| [Link](/places/places\es-pastrana-convento-del-carmen) </v>
      </c>
      <c r="CO64" s="12" t="e">
        <f t="shared" si="94"/>
        <v>#VALUE!</v>
      </c>
    </row>
    <row r="65" spans="1:93" ht="89.25" x14ac:dyDescent="0.25">
      <c r="A65" s="129" t="s">
        <v>786</v>
      </c>
      <c r="B65" s="7" t="s">
        <v>1653</v>
      </c>
      <c r="C65" s="7" t="s">
        <v>266</v>
      </c>
      <c r="D65" s="71"/>
      <c r="E65" s="1">
        <v>40.461168474019402</v>
      </c>
      <c r="F65" s="30">
        <v>-6.1468564846553697</v>
      </c>
      <c r="G65" s="71" t="s">
        <v>1307</v>
      </c>
      <c r="H65" s="33" t="s">
        <v>1307</v>
      </c>
      <c r="I65" s="7" t="s">
        <v>1002</v>
      </c>
      <c r="J65" s="7" t="b">
        <v>1</v>
      </c>
      <c r="L65" s="7" t="b">
        <v>1</v>
      </c>
      <c r="M65" s="71" t="s">
        <v>1339</v>
      </c>
      <c r="O65" s="1" t="s">
        <v>1308</v>
      </c>
      <c r="P65" s="74" t="s">
        <v>53</v>
      </c>
      <c r="S65" s="44" t="s">
        <v>53</v>
      </c>
      <c r="Z65" s="1" t="s">
        <v>1297</v>
      </c>
      <c r="AA65" s="1" t="s">
        <v>1293</v>
      </c>
      <c r="AB65" s="1" t="s">
        <v>880</v>
      </c>
      <c r="AS65" s="116" t="b">
        <f t="shared" si="66"/>
        <v>1</v>
      </c>
      <c r="AT65" s="117" t="str">
        <f t="shared" si="67"/>
        <v>title: "Monasterio de las Batuecas"</v>
      </c>
      <c r="AU65" s="117" t="str">
        <f t="shared" si="68"/>
        <v>location: {lat: 40.4611684740194, lng: -6.14685648465537}</v>
      </c>
      <c r="AV65" s="117" t="str">
        <f t="shared" si="69"/>
        <v>interest: local</v>
      </c>
      <c r="AW65" s="117" t="str">
        <f>"- "&amp;VLOOKUP(C65,'Country Tags'!C:E,3,)</f>
        <v>- es</v>
      </c>
      <c r="AX65" s="117" t="str">
        <f t="shared" si="70"/>
        <v/>
      </c>
      <c r="AY65" s="117" t="str">
        <f t="shared" si="71"/>
        <v>- churches</v>
      </c>
      <c r="AZ65" s="117" t="str">
        <f t="shared" si="72"/>
        <v/>
      </c>
      <c r="BA65" s="117" t="str">
        <f t="shared" si="73"/>
        <v>- holy-persons</v>
      </c>
      <c r="BB65" s="117" t="str">
        <f t="shared" si="74"/>
        <v>- teresa-avila</v>
      </c>
      <c r="BC65" s="117" t="str">
        <f t="shared" si="75"/>
        <v>- discalced-carmelites</v>
      </c>
      <c r="BD65" s="117" t="str">
        <f t="shared" si="76"/>
        <v>- communities</v>
      </c>
      <c r="BE65" s="117" t="str">
        <f t="shared" si="77"/>
        <v/>
      </c>
      <c r="BF65" s="117" t="str">
        <f t="shared" si="78"/>
        <v/>
      </c>
      <c r="BG65" s="117" t="str">
        <f t="shared" si="79"/>
        <v/>
      </c>
      <c r="BH65" s="117" t="str">
        <f t="shared" si="80"/>
        <v/>
      </c>
      <c r="BI65" s="117" t="str">
        <f t="shared" si="81"/>
        <v/>
      </c>
      <c r="BJ65" s="117" t="str">
        <f t="shared" si="82"/>
        <v/>
      </c>
      <c r="BK65" s="117" t="str">
        <f t="shared" si="83"/>
        <v/>
      </c>
      <c r="BL65" s="117" t="str">
        <f t="shared" si="84"/>
        <v xml:space="preserve">tags:
- es_x000D_
- churches_x000D_
- holy-persons_x000D_
- teresa-avila_x000D_
- discalced-carmelites_x000D_
- communities_x000D_
</v>
      </c>
      <c r="BM65" s="120" t="str">
        <f t="shared" si="62"/>
        <v>[Official site](https://monasteriodelasbatuecas.wordpress.com/)</v>
      </c>
      <c r="BN65" s="120" t="str">
        <f t="shared" si="63"/>
        <v/>
      </c>
      <c r="BO65" s="120" t="str">
        <f t="shared" si="64"/>
        <v/>
      </c>
      <c r="BP65" s="120" t="str">
        <f t="shared" si="65"/>
        <v/>
      </c>
      <c r="BQ65" s="117" t="str">
        <f t="shared" si="85"/>
        <v xml:space="preserve">* [Official site](https://monasteriodelasbatuecas.wordpress.com/)
</v>
      </c>
      <c r="BR65" s="117" t="str">
        <f t="shared" si="86"/>
        <v/>
      </c>
      <c r="BS65" s="117" t="str">
        <f t="shared" si="87"/>
        <v/>
      </c>
      <c r="BT65" s="117" t="str">
        <f t="shared" si="88"/>
        <v/>
      </c>
      <c r="BU65" s="117" t="str">
        <f>IF(LEN(concat(BR65:BT65))&gt;0,concat("| ",BR65," | ",BS65," | ",BT65," |"),"")</f>
        <v/>
      </c>
      <c r="BV65" s="117" t="str">
        <f t="shared" si="89"/>
        <v/>
      </c>
      <c r="BW65" s="117" t="str">
        <f>IF(LEN(BQ65&amp;BV65)&gt;0,concatll("#### More Information",BQ65,BV65),"")</f>
        <v xml:space="preserve">#### More Information_x000D_
_x000D_
* [Official site](https://monasteriodelasbatuecas.wordpress.com/)
_x000D_
_x000D_
</v>
      </c>
      <c r="BX65" s="117" t="str">
        <f>IF(LEN(N65)&gt;1,concatll("#### Author's Note",N65,"-"&amp;B65),"")</f>
        <v/>
      </c>
      <c r="BY65" s="117" t="s">
        <v>53</v>
      </c>
      <c r="BZ65" s="117" t="s">
        <v>53</v>
      </c>
      <c r="CA65" s="6" t="str">
        <f>IF(AS65,concatll(concatl("---",AT65:AV65,BL65,"---"),M65,BW65:BX65),"")</f>
        <v xml:space="preserve">---_x000D_
title: "Monasterio de las Batuecas"_x000D_
location: {lat: 40.4611684740194, lng: -6.14685648465537}_x000D_
interest: local_x000D_
tags:
- es_x000D_
- churches_x000D_
- holy-persons_x000D_
- teresa-avila_x000D_
- discalced-carmelites_x000D_
- communities_x000D_
_x000D_
---_x000D_
_x000D_
_x000D_
The seventh of 17 communities founded by St. Teresa of Avila in 1578.  Its secluded setting reflects her desire for a life dedicated to prayer and contemplation.  As noted on the official site - the Carmelite Desert, more than a geographical place, is an interior experience of solitude and contemplation.
The monastery accepts pilgrims looking for a contemplative retreat.  Guests are invited to participate in community prayers._x000D_
_x000D_
#### More Information_x000D_
_x000D_
* [Official site](https://monasteriodelasbatuecas.wordpress.com/)
_x000D_
_x000D_
_x000D_
_x000D_
</v>
      </c>
      <c r="CB65" s="6" t="str">
        <f>IF(AS65,"places\"&amp;VLOOKUP(C65,'Country Tags'!C:D,2,)&amp;IF(LEN(D65)&gt;1,"-"&amp;LOWER(SUBSTITUTE(D65," ","-")),"")&amp;"-"&amp;LOWER(SUBSTITUTE(SUBSTITUTE(H65," ","-"),".",""))&amp;".md","")</f>
        <v>places\es-monasterio-de-las-batuecas.md</v>
      </c>
      <c r="CC65" s="6"/>
      <c r="CD65" s="12" t="e">
        <f>IF(LEN(Z65)&gt;1,VLOOKUP(Z65,#REF!,2,),"")</f>
        <v>#REF!</v>
      </c>
      <c r="CE65" s="12" t="e">
        <f>IF(LEN(AA65)&gt;1,VLOOKUP(AA65,#REF!,2,),"")</f>
        <v>#REF!</v>
      </c>
      <c r="CF65" s="12" t="e">
        <f>IF(LEN(AB65)&gt;1,VLOOKUP(AB65,#REF!,2,),"")</f>
        <v>#REF!</v>
      </c>
      <c r="CG65" s="12" t="e">
        <f>IF(LEN(Z65)&gt;1,GetTagPage(CD65,Z65),"")</f>
        <v>#VALUE!</v>
      </c>
      <c r="CH65" s="12" t="e">
        <f>IF(LEN(AA65)&gt;1,GetTagPage(CE65,AA65),"")</f>
        <v>#VALUE!</v>
      </c>
      <c r="CI65" s="12" t="e">
        <f>IF(LEN(AB65)&gt;1,GetTagPage(CF65,AB65),"")</f>
        <v>#VALUE!</v>
      </c>
      <c r="CJ65" s="12" t="e">
        <f t="shared" si="90"/>
        <v>#VALUE!</v>
      </c>
      <c r="CK65" s="12" t="str">
        <f t="shared" si="91"/>
        <v xml:space="preserve">| [](/places/places\es-monasterio-de-las-batuecas) </v>
      </c>
      <c r="CL65" s="13" t="str">
        <f>"| "&amp;IF(AS65,GetTagPage(C65,VLOOKUP(C65,'Country Tags'!C:E,3,)),C65)&amp; " "</f>
        <v xml:space="preserve">| [Spain](/tags/es) </v>
      </c>
      <c r="CM65" s="12" t="str">
        <f t="shared" si="92"/>
        <v xml:space="preserve">|  </v>
      </c>
      <c r="CN65" s="12" t="str">
        <f t="shared" si="93"/>
        <v xml:space="preserve">| [Link](/places/places\es-monasterio-de-las-batuecas) </v>
      </c>
      <c r="CO65" s="12" t="e">
        <f t="shared" si="94"/>
        <v>#VALUE!</v>
      </c>
    </row>
    <row r="66" spans="1:93" ht="38.25" x14ac:dyDescent="0.25">
      <c r="A66" s="129" t="s">
        <v>786</v>
      </c>
      <c r="B66" s="7" t="s">
        <v>1653</v>
      </c>
      <c r="C66" s="7" t="s">
        <v>266</v>
      </c>
      <c r="D66" s="71" t="s">
        <v>1340</v>
      </c>
      <c r="E66" s="1">
        <v>40.826532835917298</v>
      </c>
      <c r="F66" s="30">
        <v>-5.5144056355381297</v>
      </c>
      <c r="G66" s="80" t="s">
        <v>1436</v>
      </c>
      <c r="H66" s="73" t="s">
        <v>1312</v>
      </c>
      <c r="I66" s="71" t="s">
        <v>941</v>
      </c>
      <c r="J66" s="7" t="b">
        <v>1</v>
      </c>
      <c r="L66" s="7" t="b">
        <v>1</v>
      </c>
      <c r="M66" s="71" t="s">
        <v>1338</v>
      </c>
      <c r="O66" s="1" t="s">
        <v>1315</v>
      </c>
      <c r="P66" s="1" t="s">
        <v>53</v>
      </c>
      <c r="Q66" s="75" t="s">
        <v>1313</v>
      </c>
      <c r="R66" s="1" t="s">
        <v>1314</v>
      </c>
      <c r="S66" s="44" t="s">
        <v>53</v>
      </c>
      <c r="Z66" s="1" t="s">
        <v>1297</v>
      </c>
      <c r="AA66" s="1" t="s">
        <v>1293</v>
      </c>
      <c r="AB66" s="1" t="s">
        <v>880</v>
      </c>
      <c r="AS66" s="116" t="b">
        <f t="shared" si="66"/>
        <v>1</v>
      </c>
      <c r="AT66" s="117" t="str">
        <f t="shared" si="67"/>
        <v>title: "Convent of the Anunciation (Convento de La Anunciacion), Alba de Tormes"</v>
      </c>
      <c r="AU66" s="117" t="str">
        <f t="shared" si="68"/>
        <v>location: {lat: 40.8265328359173, lng: -5.51440563553813}</v>
      </c>
      <c r="AV66" s="117" t="str">
        <f t="shared" si="69"/>
        <v>interest: regional</v>
      </c>
      <c r="AW66" s="117" t="str">
        <f>"- "&amp;VLOOKUP(C66,'Country Tags'!C:E,3,)</f>
        <v>- es</v>
      </c>
      <c r="AX66" s="117" t="str">
        <f t="shared" si="70"/>
        <v>- alba-de-tormes</v>
      </c>
      <c r="AY66" s="117" t="str">
        <f t="shared" si="71"/>
        <v>- churches</v>
      </c>
      <c r="AZ66" s="117" t="str">
        <f t="shared" si="72"/>
        <v/>
      </c>
      <c r="BA66" s="117" t="str">
        <f t="shared" si="73"/>
        <v>- holy-persons</v>
      </c>
      <c r="BB66" s="117" t="str">
        <f t="shared" si="74"/>
        <v>- teresa-avila</v>
      </c>
      <c r="BC66" s="117" t="str">
        <f t="shared" si="75"/>
        <v>- discalced-carmelites</v>
      </c>
      <c r="BD66" s="117" t="str">
        <f t="shared" si="76"/>
        <v>- communities</v>
      </c>
      <c r="BE66" s="117" t="str">
        <f t="shared" si="77"/>
        <v/>
      </c>
      <c r="BF66" s="117" t="str">
        <f t="shared" si="78"/>
        <v/>
      </c>
      <c r="BG66" s="117" t="str">
        <f t="shared" si="79"/>
        <v/>
      </c>
      <c r="BH66" s="117" t="str">
        <f t="shared" si="80"/>
        <v/>
      </c>
      <c r="BI66" s="117" t="str">
        <f t="shared" si="81"/>
        <v/>
      </c>
      <c r="BJ66" s="117" t="str">
        <f t="shared" si="82"/>
        <v/>
      </c>
      <c r="BK66" s="117" t="str">
        <f t="shared" si="83"/>
        <v/>
      </c>
      <c r="BL66" s="117" t="str">
        <f t="shared" si="84"/>
        <v xml:space="preserve">tags:
- es_x000D_
- alba-de-tormes_x000D_
- churches_x000D_
- holy-persons_x000D_
- teresa-avila_x000D_
- discalced-carmelites_x000D_
- communities_x000D_
</v>
      </c>
      <c r="BM66" s="120" t="str">
        <f t="shared" si="62"/>
        <v>[Official site](https://carmelitasalba.org/)</v>
      </c>
      <c r="BN66" s="120" t="str">
        <f t="shared" si="63"/>
        <v>[Information in English](https://www.carmelitasalba.org/wp-content/themes/Florida_child_theme/images/carmus-ingles-web.pdf)</v>
      </c>
      <c r="BO66" s="120" t="str">
        <f t="shared" si="64"/>
        <v/>
      </c>
      <c r="BP66" s="120" t="str">
        <f t="shared" si="65"/>
        <v/>
      </c>
      <c r="BQ66" s="117" t="str">
        <f t="shared" si="85"/>
        <v xml:space="preserve">* [Official site](https://carmelitasalba.org/)
* [Information in English](https://www.carmelitasalba.org/wp-content/themes/Florida_child_theme/images/carmus-ingles-web.pdf)
</v>
      </c>
      <c r="BR66" s="117" t="str">
        <f t="shared" si="86"/>
        <v/>
      </c>
      <c r="BS66" s="117" t="str">
        <f t="shared" si="87"/>
        <v/>
      </c>
      <c r="BT66" s="117" t="str">
        <f t="shared" si="88"/>
        <v/>
      </c>
      <c r="BU66" s="117" t="str">
        <f>IF(LEN(concat(BR66:BT66))&gt;0,concat("| ",BR66," | ",BS66," | ",BT66," |"),"")</f>
        <v/>
      </c>
      <c r="BV66" s="117" t="str">
        <f t="shared" si="89"/>
        <v/>
      </c>
      <c r="BW66" s="117" t="str">
        <f>IF(LEN(BQ66&amp;BV66)&gt;0,concatll("#### More Information",BQ66,BV66),"")</f>
        <v xml:space="preserve">#### More Information_x000D_
_x000D_
* [Official site](https://carmelitasalba.org/)
* [Information in English](https://www.carmelitasalba.org/wp-content/themes/Florida_child_theme/images/carmus-ingles-web.pdf)
_x000D_
_x000D_
</v>
      </c>
      <c r="BX66" s="117" t="str">
        <f>IF(LEN(N66)&gt;1,concatll("#### Author's Note",N66,"-"&amp;B66),"")</f>
        <v/>
      </c>
      <c r="BY66" s="117" t="s">
        <v>53</v>
      </c>
      <c r="BZ66" s="117" t="s">
        <v>53</v>
      </c>
      <c r="CA66" s="6" t="str">
        <f>IF(AS66,concatll(concatl("---",AT66:AV66,BL66,"---"),M66,BW66:BX66),"")</f>
        <v xml:space="preserve">---_x000D_
title: "Convent of the Anunciation (Convento de La Anunciacion), Alba de Tormes"_x000D_
location: {lat: 40.8265328359173, lng: -5.51440563553813}_x000D_
interest: regional_x000D_
tags:
- es_x000D_
- alba-de-tormes_x000D_
- churches_x000D_
- holy-persons_x000D_
- teresa-avila_x000D_
- discalced-carmelites_x000D_
- communities_x000D_
_x000D_
---_x000D_
_x000D_
_x000D_
The eigth of 17 communities founded by St. Teresa of Avila, in 1571, and also the place of her death in 1582.  Today the main altarpiece houses St. Teresa's incorrupt heart and arm._x000D_
_x000D_
#### More Information_x000D_
_x000D_
* [Official site](https://carmelitasalba.org/)
* [Information in English](https://www.carmelitasalba.org/wp-content/themes/Florida_child_theme/images/carmus-ingles-web.pdf)
_x000D_
_x000D_
_x000D_
_x000D_
</v>
      </c>
      <c r="CB66" s="6" t="str">
        <f>IF(AS66,"places\"&amp;VLOOKUP(C66,'Country Tags'!C:D,2,)&amp;IF(LEN(D66)&gt;1,"-"&amp;LOWER(SUBSTITUTE(D66," ","-")),"")&amp;"-"&amp;LOWER(SUBSTITUTE(SUBSTITUTE(H66," ","-"),".",""))&amp;".md","")</f>
        <v>places\es-alba-de-tormes-convento-de-la-anunciacion.md</v>
      </c>
      <c r="CC66" s="6"/>
      <c r="CD66" s="12" t="e">
        <f>IF(LEN(Z66)&gt;1,VLOOKUP(Z66,#REF!,2,),"")</f>
        <v>#REF!</v>
      </c>
      <c r="CE66" s="12" t="e">
        <f>IF(LEN(AA66)&gt;1,VLOOKUP(AA66,#REF!,2,),"")</f>
        <v>#REF!</v>
      </c>
      <c r="CF66" s="12" t="e">
        <f>IF(LEN(AB66)&gt;1,VLOOKUP(AB66,#REF!,2,),"")</f>
        <v>#REF!</v>
      </c>
      <c r="CG66" s="12" t="e">
        <f>IF(LEN(Z66)&gt;1,GetTagPage(CD66,Z66),"")</f>
        <v>#VALUE!</v>
      </c>
      <c r="CH66" s="12" t="e">
        <f>IF(LEN(AA66)&gt;1,GetTagPage(CE66,AA66),"")</f>
        <v>#VALUE!</v>
      </c>
      <c r="CI66" s="12" t="e">
        <f>IF(LEN(AB66)&gt;1,GetTagPage(CF66,AB66),"")</f>
        <v>#VALUE!</v>
      </c>
      <c r="CJ66" s="12" t="e">
        <f t="shared" si="90"/>
        <v>#VALUE!</v>
      </c>
      <c r="CK66" s="12" t="str">
        <f t="shared" si="91"/>
        <v xml:space="preserve">| [](/places/places\es-alba-de-tormes-convento-de-la-anunciacion) </v>
      </c>
      <c r="CL66" s="13" t="str">
        <f>"| "&amp;IF(AS66,GetTagPage(C66,VLOOKUP(C66,'Country Tags'!C:E,3,)),C66)&amp; " "</f>
        <v xml:space="preserve">| [Spain](/tags/es) </v>
      </c>
      <c r="CM66" s="12" t="str">
        <f t="shared" si="92"/>
        <v xml:space="preserve">|  </v>
      </c>
      <c r="CN66" s="12" t="str">
        <f t="shared" si="93"/>
        <v xml:space="preserve">| [Link](/places/places\es-alba-de-tormes-convento-de-la-anunciacion) </v>
      </c>
      <c r="CO66" s="12" t="e">
        <f t="shared" si="94"/>
        <v>#VALUE!</v>
      </c>
    </row>
    <row r="67" spans="1:93" x14ac:dyDescent="0.25">
      <c r="A67" s="129" t="s">
        <v>786</v>
      </c>
      <c r="B67" s="7" t="s">
        <v>1653</v>
      </c>
      <c r="C67" s="7" t="s">
        <v>266</v>
      </c>
      <c r="D67" s="71" t="s">
        <v>1341</v>
      </c>
      <c r="E67" s="1">
        <v>40.951196907421703</v>
      </c>
      <c r="F67" s="30">
        <v>-4.1268227200102796</v>
      </c>
      <c r="G67" s="71" t="s">
        <v>1342</v>
      </c>
      <c r="H67" s="33" t="s">
        <v>1302</v>
      </c>
      <c r="I67" s="7" t="s">
        <v>1002</v>
      </c>
      <c r="J67" s="7" t="b">
        <v>1</v>
      </c>
      <c r="L67" s="7" t="b">
        <v>1</v>
      </c>
      <c r="M67" s="71" t="s">
        <v>1343</v>
      </c>
      <c r="Z67" s="1" t="s">
        <v>1297</v>
      </c>
      <c r="AA67" s="1" t="s">
        <v>1293</v>
      </c>
      <c r="AB67" s="1" t="s">
        <v>880</v>
      </c>
      <c r="AS67" s="116" t="b">
        <f t="shared" si="66"/>
        <v>1</v>
      </c>
      <c r="AT67" s="117" t="str">
        <f t="shared" si="67"/>
        <v>title: "Convento de San Jose, Segovia"</v>
      </c>
      <c r="AU67" s="117" t="str">
        <f t="shared" si="68"/>
        <v>location: {lat: 40.9511969074217, lng: -4.12682272001028}</v>
      </c>
      <c r="AV67" s="117" t="str">
        <f t="shared" si="69"/>
        <v>interest: local</v>
      </c>
      <c r="AW67" s="117" t="str">
        <f>"- "&amp;VLOOKUP(C67,'Country Tags'!C:E,3,)</f>
        <v>- es</v>
      </c>
      <c r="AX67" s="117" t="str">
        <f t="shared" si="70"/>
        <v>- segovia</v>
      </c>
      <c r="AY67" s="117" t="str">
        <f t="shared" si="71"/>
        <v>- churches</v>
      </c>
      <c r="AZ67" s="117" t="str">
        <f t="shared" si="72"/>
        <v/>
      </c>
      <c r="BA67" s="117" t="str">
        <f t="shared" si="73"/>
        <v>- holy-persons</v>
      </c>
      <c r="BB67" s="117" t="str">
        <f t="shared" si="74"/>
        <v>- teresa-avila</v>
      </c>
      <c r="BC67" s="117" t="str">
        <f t="shared" si="75"/>
        <v>- discalced-carmelites</v>
      </c>
      <c r="BD67" s="117" t="str">
        <f t="shared" si="76"/>
        <v>- communities</v>
      </c>
      <c r="BE67" s="117" t="str">
        <f t="shared" si="77"/>
        <v/>
      </c>
      <c r="BF67" s="117" t="str">
        <f t="shared" si="78"/>
        <v/>
      </c>
      <c r="BG67" s="117" t="str">
        <f t="shared" si="79"/>
        <v/>
      </c>
      <c r="BH67" s="117" t="str">
        <f t="shared" si="80"/>
        <v/>
      </c>
      <c r="BI67" s="117" t="str">
        <f t="shared" si="81"/>
        <v/>
      </c>
      <c r="BJ67" s="117" t="str">
        <f t="shared" si="82"/>
        <v/>
      </c>
      <c r="BK67" s="117" t="str">
        <f t="shared" si="83"/>
        <v/>
      </c>
      <c r="BL67" s="117" t="str">
        <f t="shared" si="84"/>
        <v xml:space="preserve">tags:
- es_x000D_
- segovia_x000D_
- churches_x000D_
- holy-persons_x000D_
- teresa-avila_x000D_
- discalced-carmelites_x000D_
- communities_x000D_
</v>
      </c>
      <c r="BM67" s="120" t="str">
        <f t="shared" si="62"/>
        <v/>
      </c>
      <c r="BN67" s="120" t="str">
        <f t="shared" si="63"/>
        <v/>
      </c>
      <c r="BO67" s="120" t="str">
        <f t="shared" si="64"/>
        <v/>
      </c>
      <c r="BP67" s="120" t="str">
        <f t="shared" si="65"/>
        <v/>
      </c>
      <c r="BQ67" s="117" t="str">
        <f t="shared" si="85"/>
        <v/>
      </c>
      <c r="BR67" s="117" t="str">
        <f t="shared" si="86"/>
        <v/>
      </c>
      <c r="BS67" s="117" t="str">
        <f t="shared" si="87"/>
        <v/>
      </c>
      <c r="BT67" s="117" t="str">
        <f t="shared" si="88"/>
        <v/>
      </c>
      <c r="BU67" s="117" t="str">
        <f>IF(LEN(concat(BR67:BT67))&gt;0,concat("| ",BR67," | ",BS67," | ",BT67," |"),"")</f>
        <v/>
      </c>
      <c r="BV67" s="117" t="str">
        <f t="shared" si="89"/>
        <v/>
      </c>
      <c r="BW67" s="117" t="str">
        <f>IF(LEN(BQ67&amp;BV67)&gt;0,concatll("#### More Information",BQ67,BV67),"")</f>
        <v/>
      </c>
      <c r="BX67" s="117" t="str">
        <f>IF(LEN(N67)&gt;1,concatll("#### Author's Note",N67,"-"&amp;B67),"")</f>
        <v/>
      </c>
      <c r="BY67" s="117" t="s">
        <v>53</v>
      </c>
      <c r="BZ67" s="117" t="s">
        <v>53</v>
      </c>
      <c r="CA67" s="6" t="str">
        <f>IF(AS67,concatll(concatl("---",AT67:AV67,BL67,"---"),M67,BW67:BX67),"")</f>
        <v xml:space="preserve">---_x000D_
title: "Convento de San Jose, Segovia"_x000D_
location: {lat: 40.9511969074217, lng: -4.12682272001028}_x000D_
interest: local_x000D_
tags:
- es_x000D_
- segovia_x000D_
- churches_x000D_
- holy-persons_x000D_
- teresa-avila_x000D_
- discalced-carmelites_x000D_
- communities_x000D_
_x000D_
---_x000D_
_x000D_
_x000D_
The ninth of 17 communities founded by St. Teresa of Avila, in 1574._x000D_
_x000D_
</v>
      </c>
      <c r="CB67" s="6" t="str">
        <f>IF(AS67,"places\"&amp;VLOOKUP(C67,'Country Tags'!C:D,2,)&amp;IF(LEN(D67)&gt;1,"-"&amp;LOWER(SUBSTITUTE(D67," ","-")),"")&amp;"-"&amp;LOWER(SUBSTITUTE(SUBSTITUTE(H67," ","-"),".",""))&amp;".md","")</f>
        <v>places\es-segovia-convento-de-san-jose.md</v>
      </c>
      <c r="CC67" s="6"/>
      <c r="CD67" s="12" t="e">
        <f>IF(LEN(Z67)&gt;1,VLOOKUP(Z67,#REF!,2,),"")</f>
        <v>#REF!</v>
      </c>
      <c r="CE67" s="12" t="e">
        <f>IF(LEN(AA67)&gt;1,VLOOKUP(AA67,#REF!,2,),"")</f>
        <v>#REF!</v>
      </c>
      <c r="CF67" s="12" t="e">
        <f>IF(LEN(AB67)&gt;1,VLOOKUP(AB67,#REF!,2,),"")</f>
        <v>#REF!</v>
      </c>
      <c r="CG67" s="12" t="e">
        <f>IF(LEN(Z67)&gt;1,GetTagPage(CD67,Z67),"")</f>
        <v>#VALUE!</v>
      </c>
      <c r="CH67" s="12" t="e">
        <f>IF(LEN(AA67)&gt;1,GetTagPage(CE67,AA67),"")</f>
        <v>#VALUE!</v>
      </c>
      <c r="CI67" s="12" t="e">
        <f>IF(LEN(AB67)&gt;1,GetTagPage(CF67,AB67),"")</f>
        <v>#VALUE!</v>
      </c>
      <c r="CJ67" s="12" t="e">
        <f t="shared" si="90"/>
        <v>#VALUE!</v>
      </c>
      <c r="CK67" s="12" t="str">
        <f t="shared" si="91"/>
        <v xml:space="preserve">| [](/places/places\es-segovia-convento-de-san-jose) </v>
      </c>
      <c r="CL67" s="13" t="str">
        <f>"| "&amp;IF(AS67,GetTagPage(C67,VLOOKUP(C67,'Country Tags'!C:E,3,)),C67)&amp; " "</f>
        <v xml:space="preserve">| [Spain](/tags/es) </v>
      </c>
      <c r="CM67" s="12" t="str">
        <f t="shared" si="92"/>
        <v xml:space="preserve">|  </v>
      </c>
      <c r="CN67" s="12" t="str">
        <f t="shared" si="93"/>
        <v xml:space="preserve">| [Link](/places/places\es-segovia-convento-de-san-jose) </v>
      </c>
      <c r="CO67" s="12" t="e">
        <f t="shared" si="94"/>
        <v>#VALUE!</v>
      </c>
    </row>
    <row r="68" spans="1:93" x14ac:dyDescent="0.25">
      <c r="A68" s="129" t="s">
        <v>786</v>
      </c>
      <c r="B68" s="7" t="s">
        <v>1653</v>
      </c>
      <c r="C68" s="7" t="s">
        <v>266</v>
      </c>
      <c r="D68" s="71" t="s">
        <v>1344</v>
      </c>
      <c r="E68" s="1">
        <v>38.251042949170802</v>
      </c>
      <c r="F68" s="30">
        <v>-2.88706618465537</v>
      </c>
      <c r="G68" s="80" t="s">
        <v>1437</v>
      </c>
      <c r="H68" s="33" t="s">
        <v>1345</v>
      </c>
      <c r="I68" s="7" t="s">
        <v>1002</v>
      </c>
      <c r="J68" s="7" t="b">
        <v>1</v>
      </c>
      <c r="L68" s="7" t="b">
        <v>1</v>
      </c>
      <c r="M68" s="71" t="s">
        <v>1351</v>
      </c>
      <c r="Q68" s="75" t="s">
        <v>1346</v>
      </c>
      <c r="R68" s="1" t="s">
        <v>1347</v>
      </c>
      <c r="S68" s="76" t="s">
        <v>53</v>
      </c>
      <c r="T68" s="75" t="s">
        <v>1348</v>
      </c>
      <c r="U68" s="1" t="s">
        <v>1349</v>
      </c>
      <c r="V68" s="77" t="s">
        <v>1350</v>
      </c>
      <c r="W68" s="74" t="s">
        <v>53</v>
      </c>
      <c r="Z68" s="1" t="s">
        <v>1297</v>
      </c>
      <c r="AA68" s="1" t="s">
        <v>1293</v>
      </c>
      <c r="AB68" s="1" t="s">
        <v>880</v>
      </c>
      <c r="AS68" s="116" t="b">
        <f t="shared" si="66"/>
        <v>1</v>
      </c>
      <c r="AT68" s="117" t="str">
        <f t="shared" si="67"/>
        <v>title: "Monasterio de San Jose del Salvador, Beas"</v>
      </c>
      <c r="AU68" s="117" t="str">
        <f t="shared" si="68"/>
        <v>location: {lat: 38.2510429491708, lng: -2.88706618465537}</v>
      </c>
      <c r="AV68" s="117" t="str">
        <f t="shared" si="69"/>
        <v>interest: local</v>
      </c>
      <c r="AW68" s="117" t="str">
        <f>"- "&amp;VLOOKUP(C68,'Country Tags'!C:E,3,)</f>
        <v>- es</v>
      </c>
      <c r="AX68" s="117" t="str">
        <f t="shared" si="70"/>
        <v>- beas-de-segura</v>
      </c>
      <c r="AY68" s="117" t="str">
        <f t="shared" si="71"/>
        <v>- churches</v>
      </c>
      <c r="AZ68" s="117" t="str">
        <f t="shared" si="72"/>
        <v/>
      </c>
      <c r="BA68" s="117" t="str">
        <f t="shared" si="73"/>
        <v>- holy-persons</v>
      </c>
      <c r="BB68" s="117" t="str">
        <f t="shared" si="74"/>
        <v>- teresa-avila</v>
      </c>
      <c r="BC68" s="117" t="str">
        <f t="shared" si="75"/>
        <v>- discalced-carmelites</v>
      </c>
      <c r="BD68" s="117" t="str">
        <f t="shared" si="76"/>
        <v>- communities</v>
      </c>
      <c r="BE68" s="117" t="str">
        <f t="shared" si="77"/>
        <v/>
      </c>
      <c r="BF68" s="117" t="str">
        <f t="shared" si="78"/>
        <v/>
      </c>
      <c r="BG68" s="117" t="str">
        <f t="shared" si="79"/>
        <v/>
      </c>
      <c r="BH68" s="117" t="str">
        <f t="shared" si="80"/>
        <v/>
      </c>
      <c r="BI68" s="117" t="str">
        <f t="shared" si="81"/>
        <v/>
      </c>
      <c r="BJ68" s="117" t="str">
        <f t="shared" si="82"/>
        <v/>
      </c>
      <c r="BK68" s="117" t="str">
        <f t="shared" si="83"/>
        <v/>
      </c>
      <c r="BL68" s="117" t="str">
        <f t="shared" si="84"/>
        <v xml:space="preserve">tags:
- es_x000D_
- beas-de-segura_x000D_
- churches_x000D_
- holy-persons_x000D_
- teresa-avila_x000D_
- discalced-carmelites_x000D_
- communities_x000D_
</v>
      </c>
      <c r="BM68" s="120" t="str">
        <f t="shared" si="62"/>
        <v/>
      </c>
      <c r="BN68" s="120" t="str">
        <f t="shared" si="63"/>
        <v>[Sierra de Segura tourism site](https://lasierradesegura.org/parajes-naturales/convento-de-las-carmelitas-descalzas-de-san-jose-del-salvador/)</v>
      </c>
      <c r="BO68" s="120" t="str">
        <f t="shared" si="64"/>
        <v>[Wikipedia](https://es.wikipedia.org/wiki/Convento_de_Carmelitas_Descalzas_(Beas_de_Segura)) - Significant amounts of information of the associated Wikipedia page</v>
      </c>
      <c r="BP68" s="120" t="str">
        <f t="shared" si="65"/>
        <v/>
      </c>
      <c r="BQ68" s="117" t="str">
        <f t="shared" si="85"/>
        <v xml:space="preserve">* [Sierra de Segura tourism site](https://lasierradesegura.org/parajes-naturales/convento-de-las-carmelitas-descalzas-de-san-jose-del-salvador/)
* [Wikipedia](https://es.wikipedia.org/wiki/Convento_de_Carmelitas_Descalzas_(Beas_de_Segura)) - Significant amounts of information of the associated Wikipedia page
</v>
      </c>
      <c r="BR68" s="117" t="str">
        <f t="shared" si="86"/>
        <v/>
      </c>
      <c r="BS68" s="117" t="str">
        <f t="shared" si="87"/>
        <v/>
      </c>
      <c r="BT68" s="117" t="str">
        <f t="shared" si="88"/>
        <v/>
      </c>
      <c r="BU68" s="117" t="str">
        <f>IF(LEN(concat(BR68:BT68))&gt;0,concat("| ",BR68," | ",BS68," | ",BT68," |"),"")</f>
        <v/>
      </c>
      <c r="BV68" s="117" t="str">
        <f t="shared" si="89"/>
        <v/>
      </c>
      <c r="BW68" s="117" t="str">
        <f>IF(LEN(BQ68&amp;BV68)&gt;0,concatll("#### More Information",BQ68,BV68),"")</f>
        <v xml:space="preserve">#### More Information_x000D_
_x000D_
* [Sierra de Segura tourism site](https://lasierradesegura.org/parajes-naturales/convento-de-las-carmelitas-descalzas-de-san-jose-del-salvador/)
* [Wikipedia](https://es.wikipedia.org/wiki/Convento_de_Carmelitas_Descalzas_(Beas_de_Segura)) - Significant amounts of information of the associated Wikipedia page
_x000D_
_x000D_
</v>
      </c>
      <c r="BX68" s="117" t="str">
        <f>IF(LEN(N68)&gt;1,concatll("#### Author's Note",N68,"-"&amp;B68),"")</f>
        <v/>
      </c>
      <c r="BY68" s="117" t="s">
        <v>53</v>
      </c>
      <c r="BZ68" s="117" t="s">
        <v>53</v>
      </c>
      <c r="CA68" s="6" t="str">
        <f>IF(AS68,concatll(concatl("---",AT68:AV68,BL68,"---"),M68,BW68:BX68),"")</f>
        <v xml:space="preserve">---_x000D_
title: "Monasterio de San Jose del Salvador, Beas"_x000D_
location: {lat: 38.2510429491708, lng: -2.88706618465537}_x000D_
interest: local_x000D_
tags:
- es_x000D_
- beas-de-segura_x000D_
- churches_x000D_
- holy-persons_x000D_
- teresa-avila_x000D_
- discalced-carmelites_x000D_
- communities_x000D_
_x000D_
---_x000D_
_x000D_
_x000D_
The tenth of 17 communities founded by St. Teresa of Avila, in 1575._x000D_
_x000D_
#### More Information_x000D_
_x000D_
* [Sierra de Segura tourism site](https://lasierradesegura.org/parajes-naturales/convento-de-las-carmelitas-descalzas-de-san-jose-del-salvador/)
* [Wikipedia](https://es.wikipedia.org/wiki/Convento_de_Carmelitas_Descalzas_(Beas_de_Segura)) - Significant amounts of information of the associated Wikipedia page
_x000D_
_x000D_
_x000D_
_x000D_
</v>
      </c>
      <c r="CB68" s="6" t="str">
        <f>IF(AS68,"places\"&amp;VLOOKUP(C68,'Country Tags'!C:D,2,)&amp;IF(LEN(D68)&gt;1,"-"&amp;LOWER(SUBSTITUTE(D68," ","-")),"")&amp;"-"&amp;LOWER(SUBSTITUTE(SUBSTITUTE(H68," ","-"),".",""))&amp;".md","")</f>
        <v>places\es-beas-de-segura-monasterio-de-san-jose-del-salvador.md</v>
      </c>
      <c r="CC68" s="6"/>
      <c r="CD68" s="12" t="e">
        <f>IF(LEN(Z68)&gt;1,VLOOKUP(Z68,#REF!,2,),"")</f>
        <v>#REF!</v>
      </c>
      <c r="CE68" s="12" t="e">
        <f>IF(LEN(AA68)&gt;1,VLOOKUP(AA68,#REF!,2,),"")</f>
        <v>#REF!</v>
      </c>
      <c r="CF68" s="12" t="e">
        <f>IF(LEN(AB68)&gt;1,VLOOKUP(AB68,#REF!,2,),"")</f>
        <v>#REF!</v>
      </c>
      <c r="CG68" s="12" t="e">
        <f>IF(LEN(Z68)&gt;1,GetTagPage(CD68,Z68),"")</f>
        <v>#VALUE!</v>
      </c>
      <c r="CH68" s="12" t="e">
        <f>IF(LEN(AA68)&gt;1,GetTagPage(CE68,AA68),"")</f>
        <v>#VALUE!</v>
      </c>
      <c r="CI68" s="12" t="e">
        <f>IF(LEN(AB68)&gt;1,GetTagPage(CF68,AB68),"")</f>
        <v>#VALUE!</v>
      </c>
      <c r="CJ68" s="12" t="e">
        <f t="shared" si="90"/>
        <v>#VALUE!</v>
      </c>
      <c r="CK68" s="12" t="str">
        <f t="shared" si="91"/>
        <v xml:space="preserve">| [](/places/places\es-beas-de-segura-monasterio-de-san-jose-del-salvador) </v>
      </c>
      <c r="CL68" s="13" t="str">
        <f>"| "&amp;IF(AS68,GetTagPage(C68,VLOOKUP(C68,'Country Tags'!C:E,3,)),C68)&amp; " "</f>
        <v xml:space="preserve">| [Spain](/tags/es) </v>
      </c>
      <c r="CM68" s="12" t="str">
        <f t="shared" si="92"/>
        <v xml:space="preserve">|  </v>
      </c>
      <c r="CN68" s="12" t="str">
        <f t="shared" si="93"/>
        <v xml:space="preserve">| [Link](/places/places\es-beas-de-segura-monasterio-de-san-jose-del-salvador) </v>
      </c>
      <c r="CO68" s="12" t="e">
        <f t="shared" si="94"/>
        <v>#VALUE!</v>
      </c>
    </row>
    <row r="69" spans="1:93" ht="25.5" x14ac:dyDescent="0.25">
      <c r="A69" s="129" t="s">
        <v>786</v>
      </c>
      <c r="B69" s="7" t="s">
        <v>1653</v>
      </c>
      <c r="C69" s="7" t="s">
        <v>266</v>
      </c>
      <c r="D69" s="71" t="s">
        <v>1352</v>
      </c>
      <c r="E69" s="1">
        <v>37.385800751465098</v>
      </c>
      <c r="F69" s="30">
        <v>-5.9889938846553701</v>
      </c>
      <c r="G69" s="80" t="s">
        <v>1438</v>
      </c>
      <c r="H69" s="33" t="s">
        <v>1353</v>
      </c>
      <c r="I69" s="7" t="s">
        <v>1002</v>
      </c>
      <c r="J69" s="7" t="b">
        <v>1</v>
      </c>
      <c r="L69" s="7" t="b">
        <v>1</v>
      </c>
      <c r="M69" s="71" t="s">
        <v>1354</v>
      </c>
      <c r="Q69" s="75" t="s">
        <v>1355</v>
      </c>
      <c r="R69" s="1" t="s">
        <v>1356</v>
      </c>
      <c r="S69" s="76" t="s">
        <v>53</v>
      </c>
      <c r="Z69" s="1" t="s">
        <v>1297</v>
      </c>
      <c r="AA69" s="1" t="s">
        <v>1293</v>
      </c>
      <c r="AB69" s="1" t="s">
        <v>880</v>
      </c>
      <c r="AS69" s="116" t="b">
        <f t="shared" si="66"/>
        <v>1</v>
      </c>
      <c r="AT69" s="117" t="str">
        <f t="shared" si="67"/>
        <v>title: "Convento de San Jose del Carmen (Las Teresas), Seville"</v>
      </c>
      <c r="AU69" s="117" t="str">
        <f t="shared" si="68"/>
        <v>location: {lat: 37.3858007514651, lng: -5.98899388465537}</v>
      </c>
      <c r="AV69" s="117" t="str">
        <f t="shared" si="69"/>
        <v>interest: local</v>
      </c>
      <c r="AW69" s="117" t="str">
        <f>"- "&amp;VLOOKUP(C69,'Country Tags'!C:E,3,)</f>
        <v>- es</v>
      </c>
      <c r="AX69" s="117" t="str">
        <f t="shared" si="70"/>
        <v>- seville</v>
      </c>
      <c r="AY69" s="117" t="str">
        <f t="shared" si="71"/>
        <v>- churches</v>
      </c>
      <c r="AZ69" s="117" t="str">
        <f t="shared" si="72"/>
        <v/>
      </c>
      <c r="BA69" s="117" t="str">
        <f t="shared" si="73"/>
        <v>- holy-persons</v>
      </c>
      <c r="BB69" s="117" t="str">
        <f t="shared" si="74"/>
        <v>- teresa-avila</v>
      </c>
      <c r="BC69" s="117" t="str">
        <f t="shared" si="75"/>
        <v>- discalced-carmelites</v>
      </c>
      <c r="BD69" s="117" t="str">
        <f t="shared" si="76"/>
        <v>- communities</v>
      </c>
      <c r="BE69" s="117" t="str">
        <f t="shared" si="77"/>
        <v/>
      </c>
      <c r="BF69" s="117" t="str">
        <f t="shared" si="78"/>
        <v/>
      </c>
      <c r="BG69" s="117" t="str">
        <f t="shared" si="79"/>
        <v/>
      </c>
      <c r="BH69" s="117" t="str">
        <f t="shared" si="80"/>
        <v/>
      </c>
      <c r="BI69" s="117" t="str">
        <f t="shared" si="81"/>
        <v/>
      </c>
      <c r="BJ69" s="117" t="str">
        <f t="shared" si="82"/>
        <v/>
      </c>
      <c r="BK69" s="117" t="str">
        <f t="shared" si="83"/>
        <v/>
      </c>
      <c r="BL69" s="117" t="str">
        <f t="shared" si="84"/>
        <v xml:space="preserve">tags:
- es_x000D_
- seville_x000D_
- churches_x000D_
- holy-persons_x000D_
- teresa-avila_x000D_
- discalced-carmelites_x000D_
- communities_x000D_
</v>
      </c>
      <c r="BM69" s="120" t="str">
        <f t="shared" si="62"/>
        <v/>
      </c>
      <c r="BN69" s="120" t="str">
        <f t="shared" si="63"/>
        <v>[Seville tourism site](https://www.turismosevilla.org/en/what-see-and-do/heritage/monuments/san-jose-conventual-church-las-teresas)</v>
      </c>
      <c r="BO69" s="120" t="str">
        <f t="shared" si="64"/>
        <v/>
      </c>
      <c r="BP69" s="120" t="str">
        <f t="shared" si="65"/>
        <v/>
      </c>
      <c r="BQ69" s="117" t="str">
        <f t="shared" si="85"/>
        <v xml:space="preserve">* [Seville tourism site](https://www.turismosevilla.org/en/what-see-and-do/heritage/monuments/san-jose-conventual-church-las-teresas)
</v>
      </c>
      <c r="BR69" s="117" t="str">
        <f t="shared" si="86"/>
        <v/>
      </c>
      <c r="BS69" s="117" t="str">
        <f t="shared" si="87"/>
        <v/>
      </c>
      <c r="BT69" s="117" t="str">
        <f t="shared" si="88"/>
        <v/>
      </c>
      <c r="BU69" s="117" t="str">
        <f>IF(LEN(concat(BR69:BT69))&gt;0,concat("| ",BR69," | ",BS69," | ",BT69," |"),"")</f>
        <v/>
      </c>
      <c r="BV69" s="117" t="str">
        <f t="shared" si="89"/>
        <v/>
      </c>
      <c r="BW69" s="117" t="str">
        <f>IF(LEN(BQ69&amp;BV69)&gt;0,concatll("#### More Information",BQ69,BV69),"")</f>
        <v xml:space="preserve">#### More Information_x000D_
_x000D_
* [Seville tourism site](https://www.turismosevilla.org/en/what-see-and-do/heritage/monuments/san-jose-conventual-church-las-teresas)
_x000D_
_x000D_
</v>
      </c>
      <c r="BX69" s="117" t="str">
        <f>IF(LEN(N69)&gt;1,concatll("#### Author's Note",N69,"-"&amp;B69),"")</f>
        <v/>
      </c>
      <c r="BY69" s="117" t="s">
        <v>53</v>
      </c>
      <c r="BZ69" s="117" t="s">
        <v>53</v>
      </c>
      <c r="CA69" s="6" t="str">
        <f>IF(AS69,concatll(concatl("---",AT69:AV69,BL69,"---"),M69,BW69:BX69),"")</f>
        <v xml:space="preserve">---_x000D_
title: "Convento de San Jose del Carmen (Las Teresas), Seville"_x000D_
location: {lat: 37.3858007514651, lng: -5.98899388465537}_x000D_
interest: local_x000D_
tags:
- es_x000D_
- seville_x000D_
- churches_x000D_
- holy-persons_x000D_
- teresa-avila_x000D_
- discalced-carmelites_x000D_
- communities_x000D_
_x000D_
---_x000D_
_x000D_
_x000D_
The eleventh of 17 communities founded by St. Teresa of Avila, in 1575.  This convent does not appear open to the public._x000D_
_x000D_
#### More Information_x000D_
_x000D_
* [Seville tourism site](https://www.turismosevilla.org/en/what-see-and-do/heritage/monuments/san-jose-conventual-church-las-teresas)
_x000D_
_x000D_
_x000D_
_x000D_
</v>
      </c>
      <c r="CB69" s="6" t="str">
        <f>IF(AS69,"places\"&amp;VLOOKUP(C69,'Country Tags'!C:D,2,)&amp;IF(LEN(D69)&gt;1,"-"&amp;LOWER(SUBSTITUTE(D69," ","-")),"")&amp;"-"&amp;LOWER(SUBSTITUTE(SUBSTITUTE(H69," ","-"),".",""))&amp;".md","")</f>
        <v>places\es-seville-convento-de-san-jose-del-carmen.md</v>
      </c>
      <c r="CC69" s="6"/>
      <c r="CD69" s="12" t="e">
        <f>IF(LEN(Z69)&gt;1,VLOOKUP(Z69,#REF!,2,),"")</f>
        <v>#REF!</v>
      </c>
      <c r="CE69" s="12" t="e">
        <f>IF(LEN(AA69)&gt;1,VLOOKUP(AA69,#REF!,2,),"")</f>
        <v>#REF!</v>
      </c>
      <c r="CF69" s="12" t="e">
        <f>IF(LEN(AB69)&gt;1,VLOOKUP(AB69,#REF!,2,),"")</f>
        <v>#REF!</v>
      </c>
      <c r="CG69" s="12" t="e">
        <f>IF(LEN(Z69)&gt;1,GetTagPage(CD69,Z69),"")</f>
        <v>#VALUE!</v>
      </c>
      <c r="CH69" s="12" t="e">
        <f>IF(LEN(AA69)&gt;1,GetTagPage(CE69,AA69),"")</f>
        <v>#VALUE!</v>
      </c>
      <c r="CI69" s="12" t="e">
        <f>IF(LEN(AB69)&gt;1,GetTagPage(CF69,AB69),"")</f>
        <v>#VALUE!</v>
      </c>
      <c r="CJ69" s="12" t="e">
        <f t="shared" si="90"/>
        <v>#VALUE!</v>
      </c>
      <c r="CK69" s="12" t="str">
        <f t="shared" si="91"/>
        <v xml:space="preserve">| [](/places/places\es-seville-convento-de-san-jose-del-carmen) </v>
      </c>
      <c r="CL69" s="13" t="str">
        <f>"| "&amp;IF(AS69,GetTagPage(C69,VLOOKUP(C69,'Country Tags'!C:E,3,)),C69)&amp; " "</f>
        <v xml:space="preserve">| [Spain](/tags/es) </v>
      </c>
      <c r="CM69" s="12" t="str">
        <f t="shared" si="92"/>
        <v xml:space="preserve">|  </v>
      </c>
      <c r="CN69" s="12" t="str">
        <f t="shared" si="93"/>
        <v xml:space="preserve">| [Link](/places/places\es-seville-convento-de-san-jose-del-carmen) </v>
      </c>
      <c r="CO69" s="12" t="e">
        <f t="shared" si="94"/>
        <v>#VALUE!</v>
      </c>
    </row>
    <row r="70" spans="1:93" ht="25.5" x14ac:dyDescent="0.25">
      <c r="A70" s="129" t="s">
        <v>786</v>
      </c>
      <c r="B70" s="7" t="s">
        <v>1653</v>
      </c>
      <c r="C70" s="7" t="s">
        <v>266</v>
      </c>
      <c r="D70" s="71" t="s">
        <v>1357</v>
      </c>
      <c r="E70" s="1">
        <v>38.106719284242402</v>
      </c>
      <c r="F70" s="30">
        <v>-1.8610296</v>
      </c>
      <c r="G70" s="71" t="s">
        <v>1358</v>
      </c>
      <c r="H70" s="33" t="s">
        <v>1302</v>
      </c>
      <c r="I70" s="7" t="s">
        <v>1002</v>
      </c>
      <c r="J70" s="7" t="b">
        <v>1</v>
      </c>
      <c r="L70" s="7" t="b">
        <v>1</v>
      </c>
      <c r="M70" s="71" t="s">
        <v>1363</v>
      </c>
      <c r="Q70" s="75" t="s">
        <v>1361</v>
      </c>
      <c r="R70" s="1" t="s">
        <v>1362</v>
      </c>
      <c r="S70" s="76" t="s">
        <v>53</v>
      </c>
      <c r="T70" s="75" t="s">
        <v>1359</v>
      </c>
      <c r="U70" s="1" t="s">
        <v>1360</v>
      </c>
      <c r="V70" s="76" t="s">
        <v>53</v>
      </c>
      <c r="Z70" s="1" t="s">
        <v>1297</v>
      </c>
      <c r="AA70" s="1" t="s">
        <v>1293</v>
      </c>
      <c r="AB70" s="1" t="s">
        <v>880</v>
      </c>
      <c r="AS70" s="116" t="b">
        <f t="shared" ref="AS70:AS101" si="95">IF(OR(A70="Done",A70="In Progress"),TRUE)</f>
        <v>1</v>
      </c>
      <c r="AT70" s="117" t="str">
        <f t="shared" ref="AT70:AT101" si="96">"title: """&amp;G70&amp;""""</f>
        <v>title: "Convento de San Jose, Caravaca de la Cruz"</v>
      </c>
      <c r="AU70" s="117" t="str">
        <f t="shared" ref="AU70:AU101" si="97">"location: {lat: "&amp;E70&amp;", lng: "&amp;F70&amp;"}"</f>
        <v>location: {lat: 38.1067192842424, lng: -1.8610296}</v>
      </c>
      <c r="AV70" s="117" t="str">
        <f t="shared" ref="AV70:AV101" si="98">"interest: "&amp;I70</f>
        <v>interest: local</v>
      </c>
      <c r="AW70" s="117" t="str">
        <f>"- "&amp;VLOOKUP(C70,'Country Tags'!C:E,3,)</f>
        <v>- es</v>
      </c>
      <c r="AX70" s="117" t="str">
        <f t="shared" ref="AX70:AX101" si="99">IF(LEN(D70)&gt;1,"- "&amp;LOWER(SUBSTITUTE(D70," ","-")),"")</f>
        <v>- caravaca</v>
      </c>
      <c r="AY70" s="117" t="str">
        <f t="shared" ref="AY70:AY101" si="100">IF(J70,"- churches","")</f>
        <v>- churches</v>
      </c>
      <c r="AZ70" s="117" t="str">
        <f t="shared" ref="AZ70:AZ101" si="101">IF(K70,"- marian-sites","")</f>
        <v/>
      </c>
      <c r="BA70" s="117" t="str">
        <f t="shared" ref="BA70:BA101" si="102">IF(L70,"- holy-persons","")</f>
        <v>- holy-persons</v>
      </c>
      <c r="BB70" s="117" t="str">
        <f t="shared" ref="BB70:BB101" si="103">IF(LEN(Z70)&gt;0,"- "&amp;Z70,"")</f>
        <v>- teresa-avila</v>
      </c>
      <c r="BC70" s="117" t="str">
        <f t="shared" ref="BC70:BC101" si="104">IF(LEN(AA70)&gt;0,"- "&amp;AA70,"")</f>
        <v>- discalced-carmelites</v>
      </c>
      <c r="BD70" s="117" t="str">
        <f t="shared" ref="BD70:BD101" si="105">IF(LEN(AB70)&gt;0,"- "&amp;AB70,"")</f>
        <v>- communities</v>
      </c>
      <c r="BE70" s="117" t="str">
        <f t="shared" ref="BE70:BE101" si="106">IF(LEN(AC70)&gt;0,"- "&amp;AC70,"")</f>
        <v/>
      </c>
      <c r="BF70" s="117" t="str">
        <f t="shared" ref="BF70:BF101" si="107">IF(LEN(AD70)&gt;0,"- "&amp;AD70,"")</f>
        <v/>
      </c>
      <c r="BG70" s="117" t="str">
        <f t="shared" ref="BG70:BG101" si="108">IF(LEN(AE70)&gt;0,"- "&amp;AE70,"")</f>
        <v/>
      </c>
      <c r="BH70" s="117" t="str">
        <f t="shared" ref="BH70:BH101" si="109">IF(LEN(AF70)&gt;0,"- "&amp;AF70,"")</f>
        <v/>
      </c>
      <c r="BI70" s="117" t="str">
        <f t="shared" ref="BI70:BI101" si="110">IF(LEN(AG70)&gt;0,"- "&amp;AG70,"")</f>
        <v/>
      </c>
      <c r="BJ70" s="117" t="str">
        <f t="shared" ref="BJ70:BJ101" si="111">IF(LEN(AH70)&gt;0,"- "&amp;AH70,"")</f>
        <v/>
      </c>
      <c r="BK70" s="117" t="str">
        <f t="shared" ref="BK70:BK101" si="112">IF(LEN(AI70)&gt;0,"- "&amp;AI70,"")</f>
        <v/>
      </c>
      <c r="BL70" s="117" t="str">
        <f t="shared" ref="BL70:BL101" si="113">"tags:"&amp;CHAR(10)&amp;concatl(AW70:BK70)</f>
        <v xml:space="preserve">tags:
- es_x000D_
- caravaca_x000D_
- churches_x000D_
- holy-persons_x000D_
- teresa-avila_x000D_
- discalced-carmelites_x000D_
- communities_x000D_
</v>
      </c>
      <c r="BM70" s="120" t="str">
        <f t="shared" si="62"/>
        <v/>
      </c>
      <c r="BN70" s="120" t="str">
        <f t="shared" si="63"/>
        <v>[Caravaca tourism site](https://www.turismocaravaca.com/blog/church-and-convent-san-jose-of-madres-carmelitas/)</v>
      </c>
      <c r="BO70" s="120" t="str">
        <f t="shared" si="64"/>
        <v>[Article from Murcia Today](https://murciatoday.com/the-convent_church-of-san-jose-in-caravaca-de-la-cruz_34175-a.html)</v>
      </c>
      <c r="BP70" s="120" t="str">
        <f t="shared" si="65"/>
        <v/>
      </c>
      <c r="BQ70" s="117" t="str">
        <f t="shared" ref="BQ70:BQ101" si="114">IF(LEN(BM70)&gt;0,"* "&amp;BM70&amp;CHAR(10),"")&amp;
IF(LEN(BN70)&gt;0,"* "&amp;BN70&amp;CHAR(10),"")&amp;
IF(LEN(BO70)&gt;0,"* "&amp;BO70&amp;CHAR(10),"")&amp;
IF(LEN(BP70)&gt;0,"* "&amp;BP70&amp;CHAR(10),"")</f>
        <v xml:space="preserve">* [Caravaca tourism site](https://www.turismocaravaca.com/blog/church-and-convent-san-jose-of-madres-carmelitas/)
* [Article from Murcia Today](https://murciatoday.com/the-convent_church-of-san-jose-in-caravaca-de-la-cruz_34175-a.html)
</v>
      </c>
      <c r="BR70" s="117" t="str">
        <f t="shared" ref="BR70:BR101" si="115">IF(LEN(AL70)&gt;0,TRIM(CONCATENATE("[Link](",AL70,") ",AM70)),"")</f>
        <v/>
      </c>
      <c r="BS70" s="117" t="str">
        <f t="shared" ref="BS70:BS101" si="116">IF(LEN(AN70)&gt;0,TRIM(CONCATENATE("[Link](",AN70,") ",AO70)),"")</f>
        <v/>
      </c>
      <c r="BT70" s="117" t="str">
        <f t="shared" ref="BT70:BT101" si="117">IF(LEN(AP70)&gt;0,TRIM(CONCATENATE("[Link](",AP70,") ",AQ70)),"")</f>
        <v/>
      </c>
      <c r="BU70" s="117" t="str">
        <f>IF(LEN(concat(BR70:BT70))&gt;0,concat("| ",BR70," | ",BS70," | ",BT70," |"),"")</f>
        <v/>
      </c>
      <c r="BV70" s="117" t="str">
        <f t="shared" ref="BV70:BV101" si="118">IF(K70,concatl("| The Real Presence | Miracle Hunter | MaryPages |","| --- | --- | --- |",BU70),"")</f>
        <v/>
      </c>
      <c r="BW70" s="117" t="str">
        <f>IF(LEN(BQ70&amp;BV70)&gt;0,concatll("#### More Information",BQ70,BV70),"")</f>
        <v xml:space="preserve">#### More Information_x000D_
_x000D_
* [Caravaca tourism site](https://www.turismocaravaca.com/blog/church-and-convent-san-jose-of-madres-carmelitas/)
* [Article from Murcia Today](https://murciatoday.com/the-convent_church-of-san-jose-in-caravaca-de-la-cruz_34175-a.html)
_x000D_
_x000D_
</v>
      </c>
      <c r="BX70" s="117" t="str">
        <f>IF(LEN(N70)&gt;1,concatll("#### Author's Note",N70,"-"&amp;B70),"")</f>
        <v/>
      </c>
      <c r="BY70" s="117" t="s">
        <v>53</v>
      </c>
      <c r="BZ70" s="117" t="s">
        <v>53</v>
      </c>
      <c r="CA70" s="6" t="str">
        <f>IF(AS70,concatll(concatl("---",AT70:AV70,BL70,"---"),M70,BW70:BX70),"")</f>
        <v xml:space="preserve">---_x000D_
title: "Convento de San Jose, Caravaca de la Cruz"_x000D_
location: {lat: 38.1067192842424, lng: -1.8610296}_x000D_
interest: local_x000D_
tags:
- es_x000D_
- caravaca_x000D_
- churches_x000D_
- holy-persons_x000D_
- teresa-avila_x000D_
- discalced-carmelites_x000D_
- communities_x000D_
_x000D_
---_x000D_
_x000D_
_x000D_
The twelvth of 17 communities founded by St. Teresa of Avila, in 1576._x000D_
_x000D_
#### More Information_x000D_
_x000D_
* [Caravaca tourism site](https://www.turismocaravaca.com/blog/church-and-convent-san-jose-of-madres-carmelitas/)
* [Article from Murcia Today](https://murciatoday.com/the-convent_church-of-san-jose-in-caravaca-de-la-cruz_34175-a.html)
_x000D_
_x000D_
_x000D_
_x000D_
</v>
      </c>
      <c r="CB70" s="6" t="str">
        <f>IF(AS70,"places\"&amp;VLOOKUP(C70,'Country Tags'!C:D,2,)&amp;IF(LEN(D70)&gt;1,"-"&amp;LOWER(SUBSTITUTE(D70," ","-")),"")&amp;"-"&amp;LOWER(SUBSTITUTE(SUBSTITUTE(H70," ","-"),".",""))&amp;".md","")</f>
        <v>places\es-caravaca-convento-de-san-jose.md</v>
      </c>
      <c r="CC70" s="6"/>
      <c r="CD70" s="12" t="e">
        <f>IF(LEN(Z70)&gt;1,VLOOKUP(Z70,#REF!,2,),"")</f>
        <v>#REF!</v>
      </c>
      <c r="CE70" s="12" t="e">
        <f>IF(LEN(AA70)&gt;1,VLOOKUP(AA70,#REF!,2,),"")</f>
        <v>#REF!</v>
      </c>
      <c r="CF70" s="12" t="e">
        <f>IF(LEN(AB70)&gt;1,VLOOKUP(AB70,#REF!,2,),"")</f>
        <v>#REF!</v>
      </c>
      <c r="CG70" s="12" t="e">
        <f>IF(LEN(Z70)&gt;1,GetTagPage(CD70,Z70),"")</f>
        <v>#VALUE!</v>
      </c>
      <c r="CH70" s="12" t="e">
        <f>IF(LEN(AA70)&gt;1,GetTagPage(CE70,AA70),"")</f>
        <v>#VALUE!</v>
      </c>
      <c r="CI70" s="12" t="e">
        <f>IF(LEN(AB70)&gt;1,GetTagPage(CF70,AB70),"")</f>
        <v>#VALUE!</v>
      </c>
      <c r="CJ70" s="12" t="e">
        <f t="shared" ref="CJ70:CJ101" si="119">"|"&amp;IF(LEN(CG70)&gt;1," "&amp;CG70,"")&amp;IF(LEN(CH70)&gt;1,", "&amp;CH70,"")&amp;IF(LEN(CI70)&gt;1,", "&amp;CI70,"")&amp;" "</f>
        <v>#VALUE!</v>
      </c>
      <c r="CK70" s="12" t="str">
        <f t="shared" ref="CK70:CK101" si="120">"| "&amp;IF(AS70,"["&amp;AJ70&amp;"](/places/"&amp;SUBSTITUTE(CB70,".md","")&amp;")",AJ70)&amp;" "</f>
        <v xml:space="preserve">| [](/places/places\es-caravaca-convento-de-san-jose) </v>
      </c>
      <c r="CL70" s="13" t="str">
        <f>"| "&amp;IF(AS70,GetTagPage(C70,VLOOKUP(C70,'Country Tags'!C:E,3,)),C70)&amp; " "</f>
        <v xml:space="preserve">| [Spain](/tags/es) </v>
      </c>
      <c r="CM70" s="12" t="str">
        <f t="shared" ref="CM70:CM101" si="121">"| "&amp;AK70&amp;" "</f>
        <v xml:space="preserve">|  </v>
      </c>
      <c r="CN70" s="12" t="str">
        <f t="shared" ref="CN70:CN101" si="122">"|"&amp;IF(AS70," [Link](/places/"&amp;SUBSTITUTE(CB70,".md","")&amp;")","")&amp;" "</f>
        <v xml:space="preserve">| [Link](/places/places\es-caravaca-convento-de-san-jose) </v>
      </c>
      <c r="CO70" s="12" t="e">
        <f t="shared" ref="CO70:CO101" si="123">"
"&amp;CK70&amp;CL70&amp;CM70&amp;CN70&amp;BM70&amp;BR70&amp;BS70&amp;BT70&amp;CJ70&amp;"|"</f>
        <v>#VALUE!</v>
      </c>
    </row>
    <row r="71" spans="1:93" ht="25.5" x14ac:dyDescent="0.25">
      <c r="A71" s="129" t="s">
        <v>786</v>
      </c>
      <c r="B71" s="7" t="s">
        <v>1653</v>
      </c>
      <c r="C71" s="7" t="s">
        <v>266</v>
      </c>
      <c r="D71" s="80" t="s">
        <v>1365</v>
      </c>
      <c r="E71" s="1">
        <v>39.439610215366898</v>
      </c>
      <c r="F71" s="30">
        <v>-1.95650919993269</v>
      </c>
      <c r="G71" s="80" t="s">
        <v>1439</v>
      </c>
      <c r="H71" s="33" t="s">
        <v>1364</v>
      </c>
      <c r="I71" s="7" t="s">
        <v>1002</v>
      </c>
      <c r="J71" s="7" t="b">
        <v>1</v>
      </c>
      <c r="L71" s="7" t="b">
        <v>1</v>
      </c>
      <c r="M71" s="71" t="s">
        <v>1366</v>
      </c>
      <c r="Q71" s="75" t="s">
        <v>1367</v>
      </c>
      <c r="R71" s="1" t="s">
        <v>1368</v>
      </c>
      <c r="S71" s="76" t="s">
        <v>53</v>
      </c>
      <c r="Z71" s="1" t="s">
        <v>1297</v>
      </c>
      <c r="AA71" s="1" t="s">
        <v>1293</v>
      </c>
      <c r="AB71" s="1" t="s">
        <v>880</v>
      </c>
      <c r="AS71" s="116" t="b">
        <f t="shared" si="95"/>
        <v>1</v>
      </c>
      <c r="AT71" s="117" t="str">
        <f t="shared" si="96"/>
        <v>title: "Convento de Santa Ana, Villanueva de la Jara"</v>
      </c>
      <c r="AU71" s="117" t="str">
        <f t="shared" si="97"/>
        <v>location: {lat: 39.4396102153669, lng: -1.95650919993269}</v>
      </c>
      <c r="AV71" s="117" t="str">
        <f t="shared" si="98"/>
        <v>interest: local</v>
      </c>
      <c r="AW71" s="117" t="str">
        <f>"- "&amp;VLOOKUP(C71,'Country Tags'!C:E,3,)</f>
        <v>- es</v>
      </c>
      <c r="AX71" s="117" t="str">
        <f t="shared" si="99"/>
        <v>- villanueva-de-la-jara</v>
      </c>
      <c r="AY71" s="117" t="str">
        <f t="shared" si="100"/>
        <v>- churches</v>
      </c>
      <c r="AZ71" s="117" t="str">
        <f t="shared" si="101"/>
        <v/>
      </c>
      <c r="BA71" s="117" t="str">
        <f t="shared" si="102"/>
        <v>- holy-persons</v>
      </c>
      <c r="BB71" s="117" t="str">
        <f t="shared" si="103"/>
        <v>- teresa-avila</v>
      </c>
      <c r="BC71" s="117" t="str">
        <f t="shared" si="104"/>
        <v>- discalced-carmelites</v>
      </c>
      <c r="BD71" s="117" t="str">
        <f t="shared" si="105"/>
        <v>- communities</v>
      </c>
      <c r="BE71" s="117" t="str">
        <f t="shared" si="106"/>
        <v/>
      </c>
      <c r="BF71" s="117" t="str">
        <f t="shared" si="107"/>
        <v/>
      </c>
      <c r="BG71" s="117" t="str">
        <f t="shared" si="108"/>
        <v/>
      </c>
      <c r="BH71" s="117" t="str">
        <f t="shared" si="109"/>
        <v/>
      </c>
      <c r="BI71" s="117" t="str">
        <f t="shared" si="110"/>
        <v/>
      </c>
      <c r="BJ71" s="117" t="str">
        <f t="shared" si="111"/>
        <v/>
      </c>
      <c r="BK71" s="117" t="str">
        <f t="shared" si="112"/>
        <v/>
      </c>
      <c r="BL71" s="117" t="str">
        <f t="shared" si="113"/>
        <v xml:space="preserve">tags:
- es_x000D_
- villanueva-de-la-jara_x000D_
- churches_x000D_
- holy-persons_x000D_
- teresa-avila_x000D_
- discalced-carmelites_x000D_
- communities_x000D_
</v>
      </c>
      <c r="BM71" s="120" t="str">
        <f t="shared" ref="BM71:BM134" si="124">IF(LEN(O71)&gt;0,TRIM(CONCATENATE("[Official site](",O71,") ",IF(LEN(P71)&gt;0,"- "&amp;P71,P71))),"")</f>
        <v/>
      </c>
      <c r="BN71" s="120" t="str">
        <f t="shared" ref="BN71:BN134" si="125">IF(LEN(R71)&gt;0,TRIM(CONCATENATE("["&amp;Q71&amp;"](",R71,") ",IF(LEN(S71)&gt;0,"- "&amp;S71,S71))),"")</f>
        <v>[Villanueva de la Jara offical site](https://www.villanuevadelajara.eu/english/the-footprints-of-st-teresa-of-jesus-in-villanueva-de-la-jara/)</v>
      </c>
      <c r="BO71" s="120" t="str">
        <f t="shared" ref="BO71:BO134" si="126">IF(LEN(U71)&gt;0,TRIM(CONCATENATE("["&amp;T71&amp;"](",U71,") ",IF(LEN(V71)&gt;0,"- "&amp;V71,V71))),"")</f>
        <v/>
      </c>
      <c r="BP71" s="120" t="str">
        <f t="shared" ref="BP71:BP134" si="127">IF(LEN(X71)&gt;0,TRIM(CONCATENATE("["&amp;W71&amp;"](",X71,") ",IF(LEN(Y71)&gt;0,"- "&amp;Y71,Y71))),"")</f>
        <v/>
      </c>
      <c r="BQ71" s="117" t="str">
        <f t="shared" si="114"/>
        <v xml:space="preserve">* [Villanueva de la Jara offical site](https://www.villanuevadelajara.eu/english/the-footprints-of-st-teresa-of-jesus-in-villanueva-de-la-jara/)
</v>
      </c>
      <c r="BR71" s="117" t="str">
        <f t="shared" si="115"/>
        <v/>
      </c>
      <c r="BS71" s="117" t="str">
        <f t="shared" si="116"/>
        <v/>
      </c>
      <c r="BT71" s="117" t="str">
        <f t="shared" si="117"/>
        <v/>
      </c>
      <c r="BU71" s="117" t="str">
        <f>IF(LEN(concat(BR71:BT71))&gt;0,concat("| ",BR71," | ",BS71," | ",BT71," |"),"")</f>
        <v/>
      </c>
      <c r="BV71" s="117" t="str">
        <f t="shared" si="118"/>
        <v/>
      </c>
      <c r="BW71" s="117" t="str">
        <f>IF(LEN(BQ71&amp;BV71)&gt;0,concatll("#### More Information",BQ71,BV71),"")</f>
        <v xml:space="preserve">#### More Information_x000D_
_x000D_
* [Villanueva de la Jara offical site](https://www.villanuevadelajara.eu/english/the-footprints-of-st-teresa-of-jesus-in-villanueva-de-la-jara/)
_x000D_
_x000D_
</v>
      </c>
      <c r="BX71" s="117" t="str">
        <f>IF(LEN(N71)&gt;1,concatll("#### Author's Note",N71,"-"&amp;B71),"")</f>
        <v/>
      </c>
      <c r="BY71" s="117" t="s">
        <v>53</v>
      </c>
      <c r="BZ71" s="117" t="s">
        <v>53</v>
      </c>
      <c r="CA71" s="6" t="str">
        <f>IF(AS71,concatll(concatl("---",AT71:AV71,BL71,"---"),M71,BW71:BX71),"")</f>
        <v xml:space="preserve">---_x000D_
title: "Convento de Santa Ana, Villanueva de la Jara"_x000D_
location: {lat: 39.4396102153669, lng: -1.95650919993269}_x000D_
interest: local_x000D_
tags:
- es_x000D_
- villanueva-de-la-jara_x000D_
- churches_x000D_
- holy-persons_x000D_
- teresa-avila_x000D_
- discalced-carmelites_x000D_
- communities_x000D_
_x000D_
---_x000D_
_x000D_
_x000D_
The thirteenth of 17 communities founded by St. Teresa of Avila, in 1580._x000D_
_x000D_
#### More Information_x000D_
_x000D_
* [Villanueva de la Jara offical site](https://www.villanuevadelajara.eu/english/the-footprints-of-st-teresa-of-jesus-in-villanueva-de-la-jara/)
_x000D_
_x000D_
_x000D_
_x000D_
</v>
      </c>
      <c r="CB71" s="6" t="str">
        <f>IF(AS71,"places\"&amp;VLOOKUP(C71,'Country Tags'!C:D,2,)&amp;IF(LEN(D71)&gt;1,"-"&amp;LOWER(SUBSTITUTE(D71," ","-")),"")&amp;"-"&amp;LOWER(SUBSTITUTE(SUBSTITUTE(H71," ","-"),".",""))&amp;".md","")</f>
        <v>places\es-villanueva-de-la-jara-convento-de-santa-ana.md</v>
      </c>
      <c r="CC71" s="6"/>
      <c r="CD71" s="12" t="e">
        <f>IF(LEN(Z71)&gt;1,VLOOKUP(Z71,#REF!,2,),"")</f>
        <v>#REF!</v>
      </c>
      <c r="CE71" s="12" t="e">
        <f>IF(LEN(AA71)&gt;1,VLOOKUP(AA71,#REF!,2,),"")</f>
        <v>#REF!</v>
      </c>
      <c r="CF71" s="12" t="e">
        <f>IF(LEN(AB71)&gt;1,VLOOKUP(AB71,#REF!,2,),"")</f>
        <v>#REF!</v>
      </c>
      <c r="CG71" s="12" t="e">
        <f>IF(LEN(Z71)&gt;1,GetTagPage(CD71,Z71),"")</f>
        <v>#VALUE!</v>
      </c>
      <c r="CH71" s="12" t="e">
        <f>IF(LEN(AA71)&gt;1,GetTagPage(CE71,AA71),"")</f>
        <v>#VALUE!</v>
      </c>
      <c r="CI71" s="12" t="e">
        <f>IF(LEN(AB71)&gt;1,GetTagPage(CF71,AB71),"")</f>
        <v>#VALUE!</v>
      </c>
      <c r="CJ71" s="12" t="e">
        <f t="shared" si="119"/>
        <v>#VALUE!</v>
      </c>
      <c r="CK71" s="12" t="str">
        <f t="shared" si="120"/>
        <v xml:space="preserve">| [](/places/places\es-villanueva-de-la-jara-convento-de-santa-ana) </v>
      </c>
      <c r="CL71" s="13" t="str">
        <f>"| "&amp;IF(AS71,GetTagPage(C71,VLOOKUP(C71,'Country Tags'!C:E,3,)),C71)&amp; " "</f>
        <v xml:space="preserve">| [Spain](/tags/es) </v>
      </c>
      <c r="CM71" s="12" t="str">
        <f t="shared" si="121"/>
        <v xml:space="preserve">|  </v>
      </c>
      <c r="CN71" s="12" t="str">
        <f t="shared" si="122"/>
        <v xml:space="preserve">| [Link](/places/places\es-villanueva-de-la-jara-convento-de-santa-ana) </v>
      </c>
      <c r="CO71" s="12" t="e">
        <f t="shared" si="123"/>
        <v>#VALUE!</v>
      </c>
    </row>
    <row r="72" spans="1:93" ht="25.5" x14ac:dyDescent="0.25">
      <c r="A72" s="129" t="s">
        <v>786</v>
      </c>
      <c r="B72" s="7" t="s">
        <v>1653</v>
      </c>
      <c r="C72" s="7" t="s">
        <v>266</v>
      </c>
      <c r="D72" s="71" t="s">
        <v>1369</v>
      </c>
      <c r="E72" s="1">
        <v>42.007672479991903</v>
      </c>
      <c r="F72" s="30">
        <v>-4.5314706466260501</v>
      </c>
      <c r="G72" s="80" t="s">
        <v>1440</v>
      </c>
      <c r="H72" s="73" t="s">
        <v>1374</v>
      </c>
      <c r="I72" s="7" t="s">
        <v>1002</v>
      </c>
      <c r="J72" s="7" t="b">
        <v>1</v>
      </c>
      <c r="L72" s="7" t="b">
        <v>1</v>
      </c>
      <c r="M72" s="71" t="s">
        <v>1370</v>
      </c>
      <c r="Q72" s="75" t="s">
        <v>1371</v>
      </c>
      <c r="R72" s="1" t="s">
        <v>1372</v>
      </c>
      <c r="S72" s="44" t="s">
        <v>53</v>
      </c>
      <c r="Z72" s="1" t="s">
        <v>1297</v>
      </c>
      <c r="AA72" s="1" t="s">
        <v>1293</v>
      </c>
      <c r="AS72" s="116" t="b">
        <f t="shared" si="95"/>
        <v>1</v>
      </c>
      <c r="AT72" s="117" t="str">
        <f t="shared" si="96"/>
        <v>title: "St. Bernard Church (Iglesia de San Bernardo), Palencia"</v>
      </c>
      <c r="AU72" s="117" t="str">
        <f t="shared" si="97"/>
        <v>location: {lat: 42.0076724799919, lng: -4.53147064662605}</v>
      </c>
      <c r="AV72" s="117" t="str">
        <f t="shared" si="98"/>
        <v>interest: local</v>
      </c>
      <c r="AW72" s="117" t="str">
        <f>"- "&amp;VLOOKUP(C72,'Country Tags'!C:E,3,)</f>
        <v>- es</v>
      </c>
      <c r="AX72" s="117" t="str">
        <f t="shared" si="99"/>
        <v>- palencia</v>
      </c>
      <c r="AY72" s="117" t="str">
        <f t="shared" si="100"/>
        <v>- churches</v>
      </c>
      <c r="AZ72" s="117" t="str">
        <f t="shared" si="101"/>
        <v/>
      </c>
      <c r="BA72" s="117" t="str">
        <f t="shared" si="102"/>
        <v>- holy-persons</v>
      </c>
      <c r="BB72" s="117" t="str">
        <f t="shared" si="103"/>
        <v>- teresa-avila</v>
      </c>
      <c r="BC72" s="117" t="str">
        <f t="shared" si="104"/>
        <v>- discalced-carmelites</v>
      </c>
      <c r="BD72" s="117" t="str">
        <f t="shared" si="105"/>
        <v/>
      </c>
      <c r="BE72" s="117" t="str">
        <f t="shared" si="106"/>
        <v/>
      </c>
      <c r="BF72" s="117" t="str">
        <f t="shared" si="107"/>
        <v/>
      </c>
      <c r="BG72" s="117" t="str">
        <f t="shared" si="108"/>
        <v/>
      </c>
      <c r="BH72" s="117" t="str">
        <f t="shared" si="109"/>
        <v/>
      </c>
      <c r="BI72" s="117" t="str">
        <f t="shared" si="110"/>
        <v/>
      </c>
      <c r="BJ72" s="117" t="str">
        <f t="shared" si="111"/>
        <v/>
      </c>
      <c r="BK72" s="117" t="str">
        <f t="shared" si="112"/>
        <v/>
      </c>
      <c r="BL72" s="117" t="str">
        <f t="shared" si="113"/>
        <v xml:space="preserve">tags:
- es_x000D_
- palencia_x000D_
- churches_x000D_
- holy-persons_x000D_
- teresa-avila_x000D_
- discalced-carmelites_x000D_
</v>
      </c>
      <c r="BM72" s="120" t="str">
        <f t="shared" si="124"/>
        <v/>
      </c>
      <c r="BN72" s="120" t="str">
        <f t="shared" si="125"/>
        <v>[Palencia tourism site](https://turismo.aytopalencia.es/en/poi/church-san-bernardo)</v>
      </c>
      <c r="BO72" s="120" t="str">
        <f t="shared" si="126"/>
        <v/>
      </c>
      <c r="BP72" s="120" t="str">
        <f t="shared" si="127"/>
        <v/>
      </c>
      <c r="BQ72" s="117" t="str">
        <f t="shared" si="114"/>
        <v xml:space="preserve">* [Palencia tourism site](https://turismo.aytopalencia.es/en/poi/church-san-bernardo)
</v>
      </c>
      <c r="BR72" s="117" t="str">
        <f t="shared" si="115"/>
        <v/>
      </c>
      <c r="BS72" s="117" t="str">
        <f t="shared" si="116"/>
        <v/>
      </c>
      <c r="BT72" s="117" t="str">
        <f t="shared" si="117"/>
        <v/>
      </c>
      <c r="BU72" s="117" t="str">
        <f>IF(LEN(concat(BR72:BT72))&gt;0,concat("| ",BR72," | ",BS72," | ",BT72," |"),"")</f>
        <v/>
      </c>
      <c r="BV72" s="117" t="str">
        <f t="shared" si="118"/>
        <v/>
      </c>
      <c r="BW72" s="117" t="str">
        <f>IF(LEN(BQ72&amp;BV72)&gt;0,concatll("#### More Information",BQ72,BV72),"")</f>
        <v xml:space="preserve">#### More Information_x000D_
_x000D_
* [Palencia tourism site](https://turismo.aytopalencia.es/en/poi/church-san-bernardo)
_x000D_
_x000D_
</v>
      </c>
      <c r="BX72" s="117" t="str">
        <f>IF(LEN(N72)&gt;1,concatll("#### Author's Note",N72,"-"&amp;B72),"")</f>
        <v/>
      </c>
      <c r="BY72" s="117" t="s">
        <v>53</v>
      </c>
      <c r="BZ72" s="117" t="s">
        <v>53</v>
      </c>
      <c r="CA72" s="6" t="str">
        <f>IF(AS72,concatll(concatl("---",AT72:AV72,BL72,"---"),M72,BW72:BX72),"")</f>
        <v xml:space="preserve">---_x000D_
title: "St. Bernard Church (Iglesia de San Bernardo), Palencia"_x000D_
location: {lat: 42.0076724799919, lng: -4.53147064662605}_x000D_
interest: local_x000D_
tags:
- es_x000D_
- palencia_x000D_
- churches_x000D_
- holy-persons_x000D_
- teresa-avila_x000D_
- discalced-carmelites_x000D_
_x000D_
---_x000D_
_x000D_
_x000D_
The fourteenth of 17 communities founded by St. Teresa of Avila, in 1580.  It is likely the original convent is no longer in existence, though a church remains._x000D_
_x000D_
#### More Information_x000D_
_x000D_
* [Palencia tourism site](https://turismo.aytopalencia.es/en/poi/church-san-bernardo)
_x000D_
_x000D_
_x000D_
_x000D_
</v>
      </c>
      <c r="CB72" s="6" t="str">
        <f>IF(AS72,"places\"&amp;VLOOKUP(C72,'Country Tags'!C:D,2,)&amp;IF(LEN(D72)&gt;1,"-"&amp;LOWER(SUBSTITUTE(D72," ","-")),"")&amp;"-"&amp;LOWER(SUBSTITUTE(SUBSTITUTE(H72," ","-"),".",""))&amp;".md","")</f>
        <v>places\es-palencia-iglesia-de-san-bernardo.md</v>
      </c>
      <c r="CC72" s="6"/>
      <c r="CD72" s="12" t="e">
        <f>IF(LEN(Z72)&gt;1,VLOOKUP(Z72,#REF!,2,),"")</f>
        <v>#REF!</v>
      </c>
      <c r="CE72" s="12" t="e">
        <f>IF(LEN(AA72)&gt;1,VLOOKUP(AA72,#REF!,2,),"")</f>
        <v>#REF!</v>
      </c>
      <c r="CF72" s="12" t="str">
        <f>IF(LEN(AB72)&gt;1,VLOOKUP(AB72,#REF!,2,),"")</f>
        <v/>
      </c>
      <c r="CG72" s="12" t="e">
        <f>IF(LEN(Z72)&gt;1,GetTagPage(CD72,Z72),"")</f>
        <v>#VALUE!</v>
      </c>
      <c r="CH72" s="12" t="e">
        <f>IF(LEN(AA72)&gt;1,GetTagPage(CE72,AA72),"")</f>
        <v>#VALUE!</v>
      </c>
      <c r="CI72" s="12" t="str">
        <f>IF(LEN(AB72)&gt;1,GetTagPage(CF72,AB72),"")</f>
        <v/>
      </c>
      <c r="CJ72" s="12" t="e">
        <f t="shared" si="119"/>
        <v>#VALUE!</v>
      </c>
      <c r="CK72" s="12" t="str">
        <f t="shared" si="120"/>
        <v xml:space="preserve">| [](/places/places\es-palencia-iglesia-de-san-bernardo) </v>
      </c>
      <c r="CL72" s="13" t="str">
        <f>"| "&amp;IF(AS72,GetTagPage(C72,VLOOKUP(C72,'Country Tags'!C:E,3,)),C72)&amp; " "</f>
        <v xml:space="preserve">| [Spain](/tags/es) </v>
      </c>
      <c r="CM72" s="12" t="str">
        <f t="shared" si="121"/>
        <v xml:space="preserve">|  </v>
      </c>
      <c r="CN72" s="12" t="str">
        <f t="shared" si="122"/>
        <v xml:space="preserve">| [Link](/places/places\es-palencia-iglesia-de-san-bernardo) </v>
      </c>
      <c r="CO72" s="12" t="e">
        <f t="shared" si="123"/>
        <v>#VALUE!</v>
      </c>
    </row>
    <row r="73" spans="1:93" ht="63.75" x14ac:dyDescent="0.25">
      <c r="A73" s="129" t="s">
        <v>786</v>
      </c>
      <c r="B73" s="7" t="s">
        <v>1653</v>
      </c>
      <c r="C73" s="7" t="s">
        <v>266</v>
      </c>
      <c r="D73" s="71" t="s">
        <v>1373</v>
      </c>
      <c r="E73" s="1">
        <v>41.764625448349499</v>
      </c>
      <c r="F73" s="30">
        <v>-2.46296793728833</v>
      </c>
      <c r="G73" s="80" t="s">
        <v>1441</v>
      </c>
      <c r="H73" s="33" t="s">
        <v>1375</v>
      </c>
      <c r="I73" s="7" t="s">
        <v>1002</v>
      </c>
      <c r="J73" s="7" t="b">
        <v>1</v>
      </c>
      <c r="L73" s="7" t="b">
        <v>1</v>
      </c>
      <c r="M73" s="71" t="s">
        <v>1378</v>
      </c>
      <c r="N73" s="139" t="s">
        <v>1684</v>
      </c>
      <c r="Q73" s="75" t="s">
        <v>1376</v>
      </c>
      <c r="R73" s="1" t="s">
        <v>1377</v>
      </c>
      <c r="S73" s="44" t="s">
        <v>53</v>
      </c>
      <c r="Z73" s="1" t="s">
        <v>1297</v>
      </c>
      <c r="AA73" s="1" t="s">
        <v>1293</v>
      </c>
      <c r="AB73" s="1" t="s">
        <v>880</v>
      </c>
      <c r="AS73" s="116" t="b">
        <f t="shared" si="95"/>
        <v>1</v>
      </c>
      <c r="AT73" s="117" t="str">
        <f t="shared" si="96"/>
        <v>title: "Convent of our Lady of Carmen (Convento de Nuestra Senora del Carmen), Soria"</v>
      </c>
      <c r="AU73" s="117" t="str">
        <f t="shared" si="97"/>
        <v>location: {lat: 41.7646254483495, lng: -2.46296793728833}</v>
      </c>
      <c r="AV73" s="117" t="str">
        <f t="shared" si="98"/>
        <v>interest: local</v>
      </c>
      <c r="AW73" s="117" t="str">
        <f>"- "&amp;VLOOKUP(C73,'Country Tags'!C:E,3,)</f>
        <v>- es</v>
      </c>
      <c r="AX73" s="117" t="str">
        <f t="shared" si="99"/>
        <v>- soria</v>
      </c>
      <c r="AY73" s="117" t="str">
        <f t="shared" si="100"/>
        <v>- churches</v>
      </c>
      <c r="AZ73" s="117" t="str">
        <f t="shared" si="101"/>
        <v/>
      </c>
      <c r="BA73" s="117" t="str">
        <f t="shared" si="102"/>
        <v>- holy-persons</v>
      </c>
      <c r="BB73" s="117" t="str">
        <f t="shared" si="103"/>
        <v>- teresa-avila</v>
      </c>
      <c r="BC73" s="117" t="str">
        <f t="shared" si="104"/>
        <v>- discalced-carmelites</v>
      </c>
      <c r="BD73" s="117" t="str">
        <f t="shared" si="105"/>
        <v>- communities</v>
      </c>
      <c r="BE73" s="117" t="str">
        <f t="shared" si="106"/>
        <v/>
      </c>
      <c r="BF73" s="117" t="str">
        <f t="shared" si="107"/>
        <v/>
      </c>
      <c r="BG73" s="117" t="str">
        <f t="shared" si="108"/>
        <v/>
      </c>
      <c r="BH73" s="117" t="str">
        <f t="shared" si="109"/>
        <v/>
      </c>
      <c r="BI73" s="117" t="str">
        <f t="shared" si="110"/>
        <v/>
      </c>
      <c r="BJ73" s="117" t="str">
        <f t="shared" si="111"/>
        <v/>
      </c>
      <c r="BK73" s="117" t="str">
        <f t="shared" si="112"/>
        <v/>
      </c>
      <c r="BL73" s="117" t="str">
        <f t="shared" si="113"/>
        <v xml:space="preserve">tags:
- es_x000D_
- soria_x000D_
- churches_x000D_
- holy-persons_x000D_
- teresa-avila_x000D_
- discalced-carmelites_x000D_
- communities_x000D_
</v>
      </c>
      <c r="BM73" s="120" t="str">
        <f t="shared" si="124"/>
        <v/>
      </c>
      <c r="BN73" s="120" t="str">
        <f t="shared" si="125"/>
        <v>[Soria tourism site](https://www.turismosoria.es/en/what-to-see/monuments/convent-of-el-carmen/)</v>
      </c>
      <c r="BO73" s="120" t="str">
        <f t="shared" si="126"/>
        <v/>
      </c>
      <c r="BP73" s="120" t="str">
        <f t="shared" si="127"/>
        <v/>
      </c>
      <c r="BQ73" s="117" t="str">
        <f t="shared" si="114"/>
        <v xml:space="preserve">* [Soria tourism site](https://www.turismosoria.es/en/what-to-see/monuments/convent-of-el-carmen/)
</v>
      </c>
      <c r="BR73" s="117" t="str">
        <f t="shared" si="115"/>
        <v/>
      </c>
      <c r="BS73" s="117" t="str">
        <f t="shared" si="116"/>
        <v/>
      </c>
      <c r="BT73" s="117" t="str">
        <f t="shared" si="117"/>
        <v/>
      </c>
      <c r="BU73" s="117" t="str">
        <f>IF(LEN(concat(BR73:BT73))&gt;0,concat("| ",BR73," | ",BS73," | ",BT73," |"),"")</f>
        <v/>
      </c>
      <c r="BV73" s="117" t="str">
        <f t="shared" si="118"/>
        <v/>
      </c>
      <c r="BW73" s="117" t="str">
        <f>IF(LEN(BQ73&amp;BV73)&gt;0,concatll("#### More Information",BQ73,BV73),"")</f>
        <v xml:space="preserve">#### More Information_x000D_
_x000D_
* [Soria tourism site](https://www.turismosoria.es/en/what-to-see/monuments/convent-of-el-carmen/)
_x000D_
_x000D_
</v>
      </c>
      <c r="BX73" s="117" t="str">
        <f>IF(LEN(N73)&gt;1,concatll("#### Author's Note",N73,"-"&amp;B73),"")</f>
        <v xml:space="preserve">#### Author's Note_x000D_
_x000D_
It's unclear which church is associated with the original convent - the one pinpointed on this article, or the nearby Iglesia de Santa Maria la Mayor (as noted, possibly incorrectly, on Soria's tourism site).  Regardless, the convent is still actively functioning._x000D_
_x000D_
-JMM_x000D_
_x000D_
</v>
      </c>
      <c r="BY73" s="117" t="s">
        <v>53</v>
      </c>
      <c r="BZ73" s="117" t="s">
        <v>53</v>
      </c>
      <c r="CA73" s="6" t="str">
        <f>IF(AS73,concatll(concatl("---",AT73:AV73,BL73,"---"),M73,BW73:BX73),"")</f>
        <v xml:space="preserve">---_x000D_
title: "Convent of our Lady of Carmen (Convento de Nuestra Senora del Carmen), Soria"_x000D_
location: {lat: 41.7646254483495, lng: -2.46296793728833}_x000D_
interest: local_x000D_
tags:
- es_x000D_
- soria_x000D_
- churches_x000D_
- holy-persons_x000D_
- teresa-avila_x000D_
- discalced-carmelites_x000D_
- communities_x000D_
_x000D_
---_x000D_
_x000D_
_x000D_
The fifteenth of 17 communities founded by St. Teresa of Avila, in 1581._x000D_
_x000D_
#### More Information_x000D_
_x000D_
* [Soria tourism site](https://www.turismosoria.es/en/what-to-see/monuments/convent-of-el-carmen/)
_x000D_
_x000D_
_x000D_
_x000D_
#### Author's Note_x000D_
_x000D_
It's unclear which church is associated with the original convent - the one pinpointed on this article, or the nearby Iglesia de Santa Maria la Mayor (as noted, possibly incorrectly, on Soria's tourism site).  Regardless, the convent is still actively functioning._x000D_
_x000D_
-JMM_x000D_
_x000D_
_x000D_
_x000D_
</v>
      </c>
      <c r="CB73" s="6" t="str">
        <f>IF(AS73,"places\"&amp;VLOOKUP(C73,'Country Tags'!C:D,2,)&amp;IF(LEN(D73)&gt;1,"-"&amp;LOWER(SUBSTITUTE(D73," ","-")),"")&amp;"-"&amp;LOWER(SUBSTITUTE(SUBSTITUTE(H73," ","-"),".",""))&amp;".md","")</f>
        <v>places\es-soria-convento-de-nuestra-senora-del-carmen.md</v>
      </c>
      <c r="CC73" s="6"/>
      <c r="CD73" s="12" t="e">
        <f>IF(LEN(Z73)&gt;1,VLOOKUP(Z73,#REF!,2,),"")</f>
        <v>#REF!</v>
      </c>
      <c r="CE73" s="12" t="e">
        <f>IF(LEN(AA73)&gt;1,VLOOKUP(AA73,#REF!,2,),"")</f>
        <v>#REF!</v>
      </c>
      <c r="CF73" s="12" t="e">
        <f>IF(LEN(AB73)&gt;1,VLOOKUP(AB73,#REF!,2,),"")</f>
        <v>#REF!</v>
      </c>
      <c r="CG73" s="12" t="e">
        <f>IF(LEN(Z73)&gt;1,GetTagPage(CD73,Z73),"")</f>
        <v>#VALUE!</v>
      </c>
      <c r="CH73" s="12" t="e">
        <f>IF(LEN(AA73)&gt;1,GetTagPage(CE73,AA73),"")</f>
        <v>#VALUE!</v>
      </c>
      <c r="CI73" s="12" t="e">
        <f>IF(LEN(AB73)&gt;1,GetTagPage(CF73,AB73),"")</f>
        <v>#VALUE!</v>
      </c>
      <c r="CJ73" s="12" t="e">
        <f t="shared" si="119"/>
        <v>#VALUE!</v>
      </c>
      <c r="CK73" s="12" t="str">
        <f t="shared" si="120"/>
        <v xml:space="preserve">| [](/places/places\es-soria-convento-de-nuestra-senora-del-carmen) </v>
      </c>
      <c r="CL73" s="13" t="str">
        <f>"| "&amp;IF(AS73,GetTagPage(C73,VLOOKUP(C73,'Country Tags'!C:E,3,)),C73)&amp; " "</f>
        <v xml:space="preserve">| [Spain](/tags/es) </v>
      </c>
      <c r="CM73" s="12" t="str">
        <f t="shared" si="121"/>
        <v xml:space="preserve">|  </v>
      </c>
      <c r="CN73" s="12" t="str">
        <f t="shared" si="122"/>
        <v xml:space="preserve">| [Link](/places/places\es-soria-convento-de-nuestra-senora-del-carmen) </v>
      </c>
      <c r="CO73" s="12" t="e">
        <f t="shared" si="123"/>
        <v>#VALUE!</v>
      </c>
    </row>
    <row r="74" spans="1:93" ht="25.5" x14ac:dyDescent="0.25">
      <c r="A74" s="129" t="s">
        <v>786</v>
      </c>
      <c r="B74" s="7" t="s">
        <v>1653</v>
      </c>
      <c r="C74" s="7" t="s">
        <v>266</v>
      </c>
      <c r="D74" s="71" t="s">
        <v>1379</v>
      </c>
      <c r="E74" s="1">
        <v>37.175062581351298</v>
      </c>
      <c r="F74" s="30">
        <v>-3.5968724999999999</v>
      </c>
      <c r="G74" s="71" t="s">
        <v>1380</v>
      </c>
      <c r="H74" s="33" t="s">
        <v>1302</v>
      </c>
      <c r="I74" s="7" t="s">
        <v>1002</v>
      </c>
      <c r="J74" s="7" t="b">
        <v>1</v>
      </c>
      <c r="L74" s="7" t="b">
        <v>1</v>
      </c>
      <c r="M74" s="71" t="s">
        <v>1384</v>
      </c>
      <c r="O74" s="1" t="s">
        <v>1381</v>
      </c>
      <c r="P74" s="144" t="s">
        <v>1740</v>
      </c>
      <c r="Q74" s="75" t="s">
        <v>1383</v>
      </c>
      <c r="R74" s="1" t="s">
        <v>1382</v>
      </c>
      <c r="S74" s="44" t="s">
        <v>53</v>
      </c>
      <c r="Z74" s="1" t="s">
        <v>1297</v>
      </c>
      <c r="AA74" s="72" t="s">
        <v>1293</v>
      </c>
      <c r="AB74" s="1" t="s">
        <v>880</v>
      </c>
      <c r="AC74" s="1" t="s">
        <v>1296</v>
      </c>
      <c r="AS74" s="116" t="b">
        <f t="shared" si="95"/>
        <v>1</v>
      </c>
      <c r="AT74" s="117" t="str">
        <f t="shared" si="96"/>
        <v>title: "Convento de San Jose, Granada"</v>
      </c>
      <c r="AU74" s="117" t="str">
        <f t="shared" si="97"/>
        <v>location: {lat: 37.1750625813513, lng: -3.5968725}</v>
      </c>
      <c r="AV74" s="117" t="str">
        <f t="shared" si="98"/>
        <v>interest: local</v>
      </c>
      <c r="AW74" s="117" t="str">
        <f>"- "&amp;VLOOKUP(C74,'Country Tags'!C:E,3,)</f>
        <v>- es</v>
      </c>
      <c r="AX74" s="117" t="str">
        <f t="shared" si="99"/>
        <v>- granada</v>
      </c>
      <c r="AY74" s="117" t="str">
        <f t="shared" si="100"/>
        <v>- churches</v>
      </c>
      <c r="AZ74" s="117" t="str">
        <f t="shared" si="101"/>
        <v/>
      </c>
      <c r="BA74" s="117" t="str">
        <f t="shared" si="102"/>
        <v>- holy-persons</v>
      </c>
      <c r="BB74" s="117" t="str">
        <f t="shared" si="103"/>
        <v>- teresa-avila</v>
      </c>
      <c r="BC74" s="117" t="str">
        <f t="shared" si="104"/>
        <v>- discalced-carmelites</v>
      </c>
      <c r="BD74" s="117" t="str">
        <f t="shared" si="105"/>
        <v>- communities</v>
      </c>
      <c r="BE74" s="117" t="str">
        <f t="shared" si="106"/>
        <v>- john-cross</v>
      </c>
      <c r="BF74" s="117" t="str">
        <f t="shared" si="107"/>
        <v/>
      </c>
      <c r="BG74" s="117" t="str">
        <f t="shared" si="108"/>
        <v/>
      </c>
      <c r="BH74" s="117" t="str">
        <f t="shared" si="109"/>
        <v/>
      </c>
      <c r="BI74" s="117" t="str">
        <f t="shared" si="110"/>
        <v/>
      </c>
      <c r="BJ74" s="117" t="str">
        <f t="shared" si="111"/>
        <v/>
      </c>
      <c r="BK74" s="117" t="str">
        <f t="shared" si="112"/>
        <v/>
      </c>
      <c r="BL74" s="117" t="str">
        <f t="shared" si="113"/>
        <v xml:space="preserve">tags:
- es_x000D_
- granada_x000D_
- churches_x000D_
- holy-persons_x000D_
- teresa-avila_x000D_
- discalced-carmelites_x000D_
- communities_x000D_
- john-cross_x000D_
</v>
      </c>
      <c r="BM74" s="120" t="str">
        <f t="shared" si="124"/>
        <v>[Official site](http://www.carmelitasdescalzasgranada.es/) - Note: website not active at time of writing</v>
      </c>
      <c r="BN74" s="120" t="str">
        <f t="shared" si="125"/>
        <v>[Information from the Federacion Virgen del Carmen](https://federacionvirgendelcarmen.wordpress.com/conventos/convento-de-san-jose-granada/)</v>
      </c>
      <c r="BO74" s="120" t="str">
        <f t="shared" si="126"/>
        <v/>
      </c>
      <c r="BP74" s="120" t="str">
        <f t="shared" si="127"/>
        <v/>
      </c>
      <c r="BQ74" s="117" t="str">
        <f t="shared" si="114"/>
        <v xml:space="preserve">* [Official site](http://www.carmelitasdescalzasgranada.es/) - Note: website not active at time of writing
* [Information from the Federacion Virgen del Carmen](https://federacionvirgendelcarmen.wordpress.com/conventos/convento-de-san-jose-granada/)
</v>
      </c>
      <c r="BR74" s="117" t="str">
        <f t="shared" si="115"/>
        <v/>
      </c>
      <c r="BS74" s="117" t="str">
        <f t="shared" si="116"/>
        <v/>
      </c>
      <c r="BT74" s="117" t="str">
        <f t="shared" si="117"/>
        <v/>
      </c>
      <c r="BU74" s="117" t="str">
        <f>IF(LEN(concat(BR74:BT74))&gt;0,concat("| ",BR74," | ",BS74," | ",BT74," |"),"")</f>
        <v/>
      </c>
      <c r="BV74" s="117" t="str">
        <f t="shared" si="118"/>
        <v/>
      </c>
      <c r="BW74" s="117" t="str">
        <f>IF(LEN(BQ74&amp;BV74)&gt;0,concatll("#### More Information",BQ74,BV74),"")</f>
        <v xml:space="preserve">#### More Information_x000D_
_x000D_
* [Official site](http://www.carmelitasdescalzasgranada.es/) - Note: website not active at time of writing
* [Information from the Federacion Virgen del Carmen](https://federacionvirgendelcarmen.wordpress.com/conventos/convento-de-san-jose-granada/)
_x000D_
_x000D_
</v>
      </c>
      <c r="BX74" s="117" t="str">
        <f>IF(LEN(N74)&gt;1,concatll("#### Author's Note",N74,"-"&amp;B74),"")</f>
        <v/>
      </c>
      <c r="BY74" s="117" t="s">
        <v>53</v>
      </c>
      <c r="BZ74" s="117" t="s">
        <v>53</v>
      </c>
      <c r="CA74" s="6" t="str">
        <f>IF(AS74,concatll(concatl("---",AT74:AV74,BL74,"---"),M74,BW74:BX74),"")</f>
        <v xml:space="preserve">---_x000D_
title: "Convento de San Jose, Granada"_x000D_
location: {lat: 37.1750625813513, lng: -3.5968725}_x000D_
interest: local_x000D_
tags:
- es_x000D_
- granada_x000D_
- churches_x000D_
- holy-persons_x000D_
- teresa-avila_x000D_
- discalced-carmelites_x000D_
- communities_x000D_
- john-cross_x000D_
_x000D_
---_x000D_
_x000D_
_x000D_
The sixteenth of 17 communities founded by St. Teresa of Avila, in 1582.  Co-founded with St. John of the Cross._x000D_
_x000D_
#### More Information_x000D_
_x000D_
* [Official site](http://www.carmelitasdescalzasgranada.es/) - Note: website not active at time of writing
* [Information from the Federacion Virgen del Carmen](https://federacionvirgendelcarmen.wordpress.com/conventos/convento-de-san-jose-granada/)
_x000D_
_x000D_
_x000D_
_x000D_
</v>
      </c>
      <c r="CB74" s="6" t="str">
        <f>IF(AS74,"places\"&amp;VLOOKUP(C74,'Country Tags'!C:D,2,)&amp;IF(LEN(D74)&gt;1,"-"&amp;LOWER(SUBSTITUTE(D74," ","-")),"")&amp;"-"&amp;LOWER(SUBSTITUTE(SUBSTITUTE(H74," ","-"),".",""))&amp;".md","")</f>
        <v>places\es-granada-convento-de-san-jose.md</v>
      </c>
      <c r="CC74" s="6"/>
      <c r="CD74" s="12" t="e">
        <f>IF(LEN(Z74)&gt;1,VLOOKUP(Z74,#REF!,2,),"")</f>
        <v>#REF!</v>
      </c>
      <c r="CE74" s="12" t="e">
        <f>IF(LEN(AA74)&gt;1,VLOOKUP(AA74,#REF!,2,),"")</f>
        <v>#REF!</v>
      </c>
      <c r="CF74" s="12" t="e">
        <f>IF(LEN(AB74)&gt;1,VLOOKUP(AB74,#REF!,2,),"")</f>
        <v>#REF!</v>
      </c>
      <c r="CG74" s="12" t="e">
        <f>IF(LEN(Z74)&gt;1,GetTagPage(CD74,Z74),"")</f>
        <v>#VALUE!</v>
      </c>
      <c r="CH74" s="12" t="e">
        <f>IF(LEN(AA74)&gt;1,GetTagPage(CE74,AA74),"")</f>
        <v>#VALUE!</v>
      </c>
      <c r="CI74" s="12" t="e">
        <f>IF(LEN(AB74)&gt;1,GetTagPage(CF74,AB74),"")</f>
        <v>#VALUE!</v>
      </c>
      <c r="CJ74" s="12" t="e">
        <f t="shared" si="119"/>
        <v>#VALUE!</v>
      </c>
      <c r="CK74" s="12" t="str">
        <f t="shared" si="120"/>
        <v xml:space="preserve">| [](/places/places\es-granada-convento-de-san-jose) </v>
      </c>
      <c r="CL74" s="13" t="str">
        <f>"| "&amp;IF(AS74,GetTagPage(C74,VLOOKUP(C74,'Country Tags'!C:E,3,)),C74)&amp; " "</f>
        <v xml:space="preserve">| [Spain](/tags/es) </v>
      </c>
      <c r="CM74" s="12" t="str">
        <f t="shared" si="121"/>
        <v xml:space="preserve">|  </v>
      </c>
      <c r="CN74" s="12" t="str">
        <f t="shared" si="122"/>
        <v xml:space="preserve">| [Link](/places/places\es-granada-convento-de-san-jose) </v>
      </c>
      <c r="CO74" s="12" t="e">
        <f t="shared" si="123"/>
        <v>#VALUE!</v>
      </c>
    </row>
    <row r="75" spans="1:93" ht="25.5" x14ac:dyDescent="0.25">
      <c r="A75" s="129" t="s">
        <v>786</v>
      </c>
      <c r="B75" s="7" t="s">
        <v>1653</v>
      </c>
      <c r="C75" s="7" t="s">
        <v>266</v>
      </c>
      <c r="D75" s="71" t="s">
        <v>1385</v>
      </c>
      <c r="E75" s="1">
        <v>42.340120675583002</v>
      </c>
      <c r="F75" s="30">
        <v>-3.6942737000000001</v>
      </c>
      <c r="G75" s="80" t="s">
        <v>1442</v>
      </c>
      <c r="H75" s="33" t="s">
        <v>1386</v>
      </c>
      <c r="I75" s="7" t="s">
        <v>1002</v>
      </c>
      <c r="J75" s="7" t="b">
        <v>1</v>
      </c>
      <c r="L75" s="7" t="b">
        <v>1</v>
      </c>
      <c r="M75" s="71" t="s">
        <v>1387</v>
      </c>
      <c r="N75" s="139" t="s">
        <v>1685</v>
      </c>
      <c r="Q75" s="75" t="s">
        <v>1389</v>
      </c>
      <c r="R75" s="1" t="s">
        <v>1388</v>
      </c>
      <c r="S75" s="133" t="s">
        <v>1740</v>
      </c>
      <c r="T75" s="78" t="s">
        <v>53</v>
      </c>
      <c r="Z75" s="1" t="s">
        <v>1297</v>
      </c>
      <c r="AA75" s="1" t="s">
        <v>1293</v>
      </c>
      <c r="AB75" s="1" t="s">
        <v>880</v>
      </c>
      <c r="AS75" s="116" t="b">
        <f t="shared" si="95"/>
        <v>1</v>
      </c>
      <c r="AT75" s="117" t="str">
        <f t="shared" si="96"/>
        <v>title: "Convento de San Jose y Santa Ana, Burgos"</v>
      </c>
      <c r="AU75" s="117" t="str">
        <f t="shared" si="97"/>
        <v>location: {lat: 42.340120675583, lng: -3.6942737}</v>
      </c>
      <c r="AV75" s="117" t="str">
        <f t="shared" si="98"/>
        <v>interest: local</v>
      </c>
      <c r="AW75" s="117" t="str">
        <f>"- "&amp;VLOOKUP(C75,'Country Tags'!C:E,3,)</f>
        <v>- es</v>
      </c>
      <c r="AX75" s="117" t="str">
        <f t="shared" si="99"/>
        <v>- burgos</v>
      </c>
      <c r="AY75" s="117" t="str">
        <f t="shared" si="100"/>
        <v>- churches</v>
      </c>
      <c r="AZ75" s="117" t="str">
        <f t="shared" si="101"/>
        <v/>
      </c>
      <c r="BA75" s="117" t="str">
        <f t="shared" si="102"/>
        <v>- holy-persons</v>
      </c>
      <c r="BB75" s="117" t="str">
        <f t="shared" si="103"/>
        <v>- teresa-avila</v>
      </c>
      <c r="BC75" s="117" t="str">
        <f t="shared" si="104"/>
        <v>- discalced-carmelites</v>
      </c>
      <c r="BD75" s="117" t="str">
        <f t="shared" si="105"/>
        <v>- communities</v>
      </c>
      <c r="BE75" s="117" t="str">
        <f t="shared" si="106"/>
        <v/>
      </c>
      <c r="BF75" s="117" t="str">
        <f t="shared" si="107"/>
        <v/>
      </c>
      <c r="BG75" s="117" t="str">
        <f t="shared" si="108"/>
        <v/>
      </c>
      <c r="BH75" s="117" t="str">
        <f t="shared" si="109"/>
        <v/>
      </c>
      <c r="BI75" s="117" t="str">
        <f t="shared" si="110"/>
        <v/>
      </c>
      <c r="BJ75" s="117" t="str">
        <f t="shared" si="111"/>
        <v/>
      </c>
      <c r="BK75" s="117" t="str">
        <f t="shared" si="112"/>
        <v/>
      </c>
      <c r="BL75" s="117" t="str">
        <f t="shared" si="113"/>
        <v xml:space="preserve">tags:
- es_x000D_
- burgos_x000D_
- churches_x000D_
- holy-persons_x000D_
- teresa-avila_x000D_
- discalced-carmelites_x000D_
- communities_x000D_
</v>
      </c>
      <c r="BM75" s="120" t="str">
        <f t="shared" si="124"/>
        <v/>
      </c>
      <c r="BN75" s="120" t="str">
        <f t="shared" si="125"/>
        <v>[Burgos tourism site](https://turismo.aytoburgos.es/cultura-y-patrimonio1/-/asset_publisher/PMC541iCzJ73/content/convento-de-san-jos%25C3%25A9-y-santa-ana) - Note: website not active at time of writing</v>
      </c>
      <c r="BO75" s="120" t="str">
        <f t="shared" si="126"/>
        <v/>
      </c>
      <c r="BP75" s="120" t="str">
        <f t="shared" si="127"/>
        <v/>
      </c>
      <c r="BQ75" s="117" t="str">
        <f t="shared" si="114"/>
        <v xml:space="preserve">* [Burgos tourism site](https://turismo.aytoburgos.es/cultura-y-patrimonio1/-/asset_publisher/PMC541iCzJ73/content/convento-de-san-jos%25C3%25A9-y-santa-ana) - Note: website not active at time of writing
</v>
      </c>
      <c r="BR75" s="117" t="str">
        <f t="shared" si="115"/>
        <v/>
      </c>
      <c r="BS75" s="117" t="str">
        <f t="shared" si="116"/>
        <v/>
      </c>
      <c r="BT75" s="117" t="str">
        <f t="shared" si="117"/>
        <v/>
      </c>
      <c r="BU75" s="117" t="str">
        <f>IF(LEN(concat(BR75:BT75))&gt;0,concat("| ",BR75," | ",BS75," | ",BT75," |"),"")</f>
        <v/>
      </c>
      <c r="BV75" s="117" t="str">
        <f t="shared" si="118"/>
        <v/>
      </c>
      <c r="BW75" s="117" t="str">
        <f>IF(LEN(BQ75&amp;BV75)&gt;0,concatll("#### More Information",BQ75,BV75),"")</f>
        <v xml:space="preserve">#### More Information_x000D_
_x000D_
* [Burgos tourism site](https://turismo.aytoburgos.es/cultura-y-patrimonio1/-/asset_publisher/PMC541iCzJ73/content/convento-de-san-jos%25C3%25A9-y-santa-ana) - Note: website not active at time of writing
_x000D_
_x000D_
</v>
      </c>
      <c r="BX75" s="117" t="str">
        <f>IF(LEN(N75)&gt;1,concatll("#### Author's Note",N75,"-"&amp;B75),"")</f>
        <v xml:space="preserve">#### Author's Note_x000D_
_x000D_
Many of the websites associated with this site were not working at time of writing._x000D_
_x000D_
-JMM_x000D_
_x000D_
</v>
      </c>
      <c r="BY75" s="117" t="s">
        <v>53</v>
      </c>
      <c r="BZ75" s="117" t="s">
        <v>53</v>
      </c>
      <c r="CA75" s="6" t="str">
        <f>IF(AS75,concatll(concatl("---",AT75:AV75,BL75,"---"),M75,BW75:BX75),"")</f>
        <v xml:space="preserve">---_x000D_
title: "Convento de San Jose y Santa Ana, Burgos"_x000D_
location: {lat: 42.340120675583, lng: -3.6942737}_x000D_
interest: local_x000D_
tags:
- es_x000D_
- burgos_x000D_
- churches_x000D_
- holy-persons_x000D_
- teresa-avila_x000D_
- discalced-carmelites_x000D_
- communities_x000D_
_x000D_
---_x000D_
_x000D_
_x000D_
The last of 17 communities founded by St. Teresa of Avila, in 1582._x000D_
_x000D_
#### More Information_x000D_
_x000D_
* [Burgos tourism site](https://turismo.aytoburgos.es/cultura-y-patrimonio1/-/asset_publisher/PMC541iCzJ73/content/convento-de-san-jos%25C3%25A9-y-santa-ana) - Note: website not active at time of writing
_x000D_
_x000D_
_x000D_
_x000D_
#### Author's Note_x000D_
_x000D_
Many of the websites associated with this site were not working at time of writing._x000D_
_x000D_
-JMM_x000D_
_x000D_
_x000D_
_x000D_
</v>
      </c>
      <c r="CB75" s="6" t="str">
        <f>IF(AS75,"places\"&amp;VLOOKUP(C75,'Country Tags'!C:D,2,)&amp;IF(LEN(D75)&gt;1,"-"&amp;LOWER(SUBSTITUTE(D75," ","-")),"")&amp;"-"&amp;LOWER(SUBSTITUTE(SUBSTITUTE(H75," ","-"),".",""))&amp;".md","")</f>
        <v>places\es-burgos-convento-de-san-jose-y-santa-ana.md</v>
      </c>
      <c r="CC75" s="6"/>
      <c r="CD75" s="12" t="e">
        <f>IF(LEN(Z75)&gt;1,VLOOKUP(Z75,#REF!,2,),"")</f>
        <v>#REF!</v>
      </c>
      <c r="CE75" s="12" t="e">
        <f>IF(LEN(AA75)&gt;1,VLOOKUP(AA75,#REF!,2,),"")</f>
        <v>#REF!</v>
      </c>
      <c r="CF75" s="12" t="e">
        <f>IF(LEN(AB75)&gt;1,VLOOKUP(AB75,#REF!,2,),"")</f>
        <v>#REF!</v>
      </c>
      <c r="CG75" s="12" t="e">
        <f>IF(LEN(Z75)&gt;1,GetTagPage(CD75,Z75),"")</f>
        <v>#VALUE!</v>
      </c>
      <c r="CH75" s="12" t="e">
        <f>IF(LEN(AA75)&gt;1,GetTagPage(CE75,AA75),"")</f>
        <v>#VALUE!</v>
      </c>
      <c r="CI75" s="12" t="e">
        <f>IF(LEN(AB75)&gt;1,GetTagPage(CF75,AB75),"")</f>
        <v>#VALUE!</v>
      </c>
      <c r="CJ75" s="12" t="e">
        <f t="shared" si="119"/>
        <v>#VALUE!</v>
      </c>
      <c r="CK75" s="12" t="str">
        <f t="shared" si="120"/>
        <v xml:space="preserve">| [](/places/places\es-burgos-convento-de-san-jose-y-santa-ana) </v>
      </c>
      <c r="CL75" s="13" t="str">
        <f>"| "&amp;IF(AS75,GetTagPage(C75,VLOOKUP(C75,'Country Tags'!C:E,3,)),C75)&amp; " "</f>
        <v xml:space="preserve">| [Spain](/tags/es) </v>
      </c>
      <c r="CM75" s="12" t="str">
        <f t="shared" si="121"/>
        <v xml:space="preserve">|  </v>
      </c>
      <c r="CN75" s="12" t="str">
        <f t="shared" si="122"/>
        <v xml:space="preserve">| [Link](/places/places\es-burgos-convento-de-san-jose-y-santa-ana) </v>
      </c>
      <c r="CO75" s="12" t="e">
        <f t="shared" si="123"/>
        <v>#VALUE!</v>
      </c>
    </row>
    <row r="76" spans="1:93" ht="38.25" x14ac:dyDescent="0.25">
      <c r="A76" s="129" t="s">
        <v>786</v>
      </c>
      <c r="B76" s="7" t="s">
        <v>1653</v>
      </c>
      <c r="C76" s="7" t="s">
        <v>266</v>
      </c>
      <c r="D76" s="71" t="s">
        <v>1289</v>
      </c>
      <c r="E76" s="1">
        <v>40.655737633857697</v>
      </c>
      <c r="F76" s="30">
        <v>-4.69703687109845</v>
      </c>
      <c r="G76" s="71" t="s">
        <v>1392</v>
      </c>
      <c r="H76" s="73" t="s">
        <v>1004</v>
      </c>
      <c r="I76" s="7" t="s">
        <v>941</v>
      </c>
      <c r="J76" s="7" t="b">
        <v>1</v>
      </c>
      <c r="M76" s="71" t="s">
        <v>1391</v>
      </c>
      <c r="O76" s="1" t="s">
        <v>1390</v>
      </c>
      <c r="P76" s="74" t="s">
        <v>53</v>
      </c>
      <c r="S76" s="44" t="s">
        <v>53</v>
      </c>
      <c r="AS76" s="116" t="b">
        <f t="shared" si="95"/>
        <v>1</v>
      </c>
      <c r="AT76" s="117" t="str">
        <f t="shared" si="96"/>
        <v>title: "Avila Cathedral (Catedral del Salvador)"</v>
      </c>
      <c r="AU76" s="117" t="str">
        <f t="shared" si="97"/>
        <v>location: {lat: 40.6557376338577, lng: -4.69703687109845}</v>
      </c>
      <c r="AV76" s="117" t="str">
        <f t="shared" si="98"/>
        <v>interest: regional</v>
      </c>
      <c r="AW76" s="117" t="str">
        <f>"- "&amp;VLOOKUP(C76,'Country Tags'!C:E,3,)</f>
        <v>- es</v>
      </c>
      <c r="AX76" s="117" t="str">
        <f t="shared" si="99"/>
        <v>- avila</v>
      </c>
      <c r="AY76" s="117" t="str">
        <f t="shared" si="100"/>
        <v>- churches</v>
      </c>
      <c r="AZ76" s="117" t="str">
        <f t="shared" si="101"/>
        <v/>
      </c>
      <c r="BA76" s="117" t="str">
        <f t="shared" si="102"/>
        <v/>
      </c>
      <c r="BB76" s="117" t="str">
        <f t="shared" si="103"/>
        <v/>
      </c>
      <c r="BC76" s="117" t="str">
        <f t="shared" si="104"/>
        <v/>
      </c>
      <c r="BD76" s="117" t="str">
        <f t="shared" si="105"/>
        <v/>
      </c>
      <c r="BE76" s="117" t="str">
        <f t="shared" si="106"/>
        <v/>
      </c>
      <c r="BF76" s="117" t="str">
        <f t="shared" si="107"/>
        <v/>
      </c>
      <c r="BG76" s="117" t="str">
        <f t="shared" si="108"/>
        <v/>
      </c>
      <c r="BH76" s="117" t="str">
        <f t="shared" si="109"/>
        <v/>
      </c>
      <c r="BI76" s="117" t="str">
        <f t="shared" si="110"/>
        <v/>
      </c>
      <c r="BJ76" s="117" t="str">
        <f t="shared" si="111"/>
        <v/>
      </c>
      <c r="BK76" s="117" t="str">
        <f t="shared" si="112"/>
        <v/>
      </c>
      <c r="BL76" s="117" t="str">
        <f t="shared" si="113"/>
        <v xml:space="preserve">tags:
- es_x000D_
- avila_x000D_
- churches_x000D_
</v>
      </c>
      <c r="BM76" s="120" t="str">
        <f t="shared" si="124"/>
        <v>[Official site](https://catedralavila.es/)</v>
      </c>
      <c r="BN76" s="120" t="str">
        <f t="shared" si="125"/>
        <v/>
      </c>
      <c r="BO76" s="120" t="str">
        <f t="shared" si="126"/>
        <v/>
      </c>
      <c r="BP76" s="120" t="str">
        <f t="shared" si="127"/>
        <v/>
      </c>
      <c r="BQ76" s="117" t="str">
        <f t="shared" si="114"/>
        <v xml:space="preserve">* [Official site](https://catedralavila.es/)
</v>
      </c>
      <c r="BR76" s="117" t="str">
        <f t="shared" si="115"/>
        <v/>
      </c>
      <c r="BS76" s="117" t="str">
        <f t="shared" si="116"/>
        <v/>
      </c>
      <c r="BT76" s="117" t="str">
        <f t="shared" si="117"/>
        <v/>
      </c>
      <c r="BU76" s="117" t="str">
        <f>IF(LEN(concat(BR76:BT76))&gt;0,concat("| ",BR76," | ",BS76," | ",BT76," |"),"")</f>
        <v/>
      </c>
      <c r="BV76" s="117" t="str">
        <f t="shared" si="118"/>
        <v/>
      </c>
      <c r="BW76" s="117" t="str">
        <f>IF(LEN(BQ76&amp;BV76)&gt;0,concatll("#### More Information",BQ76,BV76),"")</f>
        <v xml:space="preserve">#### More Information_x000D_
_x000D_
* [Official site](https://catedralavila.es/)
_x000D_
_x000D_
</v>
      </c>
      <c r="BX76" s="117" t="str">
        <f>IF(LEN(N76)&gt;1,concatll("#### Author's Note",N76,"-"&amp;B76),"")</f>
        <v/>
      </c>
      <c r="BY76" s="117" t="s">
        <v>53</v>
      </c>
      <c r="BZ76" s="117" t="s">
        <v>53</v>
      </c>
      <c r="CA76" s="6" t="str">
        <f>IF(AS76,concatll(concatl("---",AT76:AV76,BL76,"---"),M76,BW76:BX76),"")</f>
        <v xml:space="preserve">---_x000D_
title: "Avila Cathedral (Catedral del Salvador)"_x000D_
location: {lat: 40.6557376338577, lng: -4.69703687109845}_x000D_
interest: regional_x000D_
tags:
- es_x000D_
- avila_x000D_
- churches_x000D_
_x000D_
---_x000D_
_x000D_
_x000D_
Construction on the cathedral first began in the 12th century and continued up until the 17th century.  As part of the Old Town of Avila, it was inscribed as a UNESCO World Heritage site in 1985._x000D_
_x000D_
#### More Information_x000D_
_x000D_
* [Official site](https://catedralavila.es/)
_x000D_
_x000D_
_x000D_
_x000D_
</v>
      </c>
      <c r="CB76" s="6" t="str">
        <f>IF(AS76,"places\"&amp;VLOOKUP(C76,'Country Tags'!C:D,2,)&amp;IF(LEN(D76)&gt;1,"-"&amp;LOWER(SUBSTITUTE(D76," ","-")),"")&amp;"-"&amp;LOWER(SUBSTITUTE(SUBSTITUTE(H76," ","-"),".",""))&amp;".md","")</f>
        <v>places\es-avila-cathedral.md</v>
      </c>
      <c r="CC76" s="6"/>
      <c r="CD76" s="12" t="str">
        <f>IF(LEN(Z76)&gt;1,VLOOKUP(Z76,#REF!,2,),"")</f>
        <v/>
      </c>
      <c r="CE76" s="12" t="str">
        <f>IF(LEN(AA76)&gt;1,VLOOKUP(AA76,#REF!,2,),"")</f>
        <v/>
      </c>
      <c r="CF76" s="12" t="str">
        <f>IF(LEN(AB76)&gt;1,VLOOKUP(AB76,#REF!,2,),"")</f>
        <v/>
      </c>
      <c r="CG76" s="12" t="str">
        <f>IF(LEN(Z76)&gt;1,GetTagPage(CD76,Z76),"")</f>
        <v/>
      </c>
      <c r="CH76" s="12" t="str">
        <f>IF(LEN(AA76)&gt;1,GetTagPage(CE76,AA76),"")</f>
        <v/>
      </c>
      <c r="CI76" s="12" t="str">
        <f>IF(LEN(AB76)&gt;1,GetTagPage(CF76,AB76),"")</f>
        <v/>
      </c>
      <c r="CJ76" s="12" t="str">
        <f t="shared" si="119"/>
        <v xml:space="preserve">| </v>
      </c>
      <c r="CK76" s="12" t="str">
        <f t="shared" si="120"/>
        <v xml:space="preserve">| [](/places/places\es-avila-cathedral) </v>
      </c>
      <c r="CL76" s="13" t="str">
        <f>"| "&amp;IF(AS76,GetTagPage(C76,VLOOKUP(C76,'Country Tags'!C:E,3,)),C76)&amp; " "</f>
        <v xml:space="preserve">| [Spain](/tags/es) </v>
      </c>
      <c r="CM76" s="12" t="str">
        <f t="shared" si="121"/>
        <v xml:space="preserve">|  </v>
      </c>
      <c r="CN76" s="12" t="str">
        <f t="shared" si="122"/>
        <v xml:space="preserve">| [Link](/places/places\es-avila-cathedral) </v>
      </c>
      <c r="CO76" s="12" t="str">
        <f t="shared" si="123"/>
        <v xml:space="preserve">
| [](/places/places\es-avila-cathedral) | [Spain](/tags/es) |  | [Link](/places/places\es-avila-cathedral) [Official site](https://catedralavila.es/)| |</v>
      </c>
    </row>
    <row r="77" spans="1:93" ht="38.25" x14ac:dyDescent="0.25">
      <c r="A77" s="129" t="s">
        <v>786</v>
      </c>
      <c r="B77" s="7" t="s">
        <v>1653</v>
      </c>
      <c r="C77" s="7" t="s">
        <v>266</v>
      </c>
      <c r="D77" s="7" t="s">
        <v>1289</v>
      </c>
      <c r="E77" s="1">
        <v>40.657935208986103</v>
      </c>
      <c r="F77" s="30">
        <v>-4.6960390893359802</v>
      </c>
      <c r="G77" s="71" t="s">
        <v>1393</v>
      </c>
      <c r="H77" s="73" t="s">
        <v>1394</v>
      </c>
      <c r="I77" s="71" t="s">
        <v>941</v>
      </c>
      <c r="J77" s="7" t="b">
        <v>1</v>
      </c>
      <c r="L77" s="7" t="b">
        <v>1</v>
      </c>
      <c r="M77" s="71" t="s">
        <v>1395</v>
      </c>
      <c r="O77" s="1" t="s">
        <v>1396</v>
      </c>
      <c r="P77" s="1" t="s">
        <v>53</v>
      </c>
      <c r="S77" s="44" t="s">
        <v>53</v>
      </c>
      <c r="Z77" s="72" t="s">
        <v>1397</v>
      </c>
      <c r="AA77" s="72" t="s">
        <v>1399</v>
      </c>
      <c r="AB77" s="72" t="s">
        <v>1401</v>
      </c>
      <c r="AS77" s="116" t="b">
        <f t="shared" si="95"/>
        <v>1</v>
      </c>
      <c r="AT77" s="117" t="str">
        <f t="shared" si="96"/>
        <v>title: "Basilica of Sts. Vincent, Sabina and Cristeta (San Vicente de Avila)"</v>
      </c>
      <c r="AU77" s="117" t="str">
        <f t="shared" si="97"/>
        <v>location: {lat: 40.6579352089861, lng: -4.69603908933598}</v>
      </c>
      <c r="AV77" s="117" t="str">
        <f t="shared" si="98"/>
        <v>interest: regional</v>
      </c>
      <c r="AW77" s="117" t="str">
        <f>"- "&amp;VLOOKUP(C77,'Country Tags'!C:E,3,)</f>
        <v>- es</v>
      </c>
      <c r="AX77" s="117" t="str">
        <f t="shared" si="99"/>
        <v>- avila</v>
      </c>
      <c r="AY77" s="117" t="str">
        <f t="shared" si="100"/>
        <v>- churches</v>
      </c>
      <c r="AZ77" s="117" t="str">
        <f t="shared" si="101"/>
        <v/>
      </c>
      <c r="BA77" s="117" t="str">
        <f t="shared" si="102"/>
        <v>- holy-persons</v>
      </c>
      <c r="BB77" s="117" t="str">
        <f t="shared" si="103"/>
        <v>- vincent</v>
      </c>
      <c r="BC77" s="117" t="str">
        <f t="shared" si="104"/>
        <v>- sabina</v>
      </c>
      <c r="BD77" s="117" t="str">
        <f t="shared" si="105"/>
        <v>- cristeta</v>
      </c>
      <c r="BE77" s="117" t="str">
        <f t="shared" si="106"/>
        <v/>
      </c>
      <c r="BF77" s="117" t="str">
        <f t="shared" si="107"/>
        <v/>
      </c>
      <c r="BG77" s="117" t="str">
        <f t="shared" si="108"/>
        <v/>
      </c>
      <c r="BH77" s="117" t="str">
        <f t="shared" si="109"/>
        <v/>
      </c>
      <c r="BI77" s="117" t="str">
        <f t="shared" si="110"/>
        <v/>
      </c>
      <c r="BJ77" s="117" t="str">
        <f t="shared" si="111"/>
        <v/>
      </c>
      <c r="BK77" s="117" t="str">
        <f t="shared" si="112"/>
        <v/>
      </c>
      <c r="BL77" s="117" t="str">
        <f t="shared" si="113"/>
        <v xml:space="preserve">tags:
- es_x000D_
- avila_x000D_
- churches_x000D_
- holy-persons_x000D_
- vincent_x000D_
- sabina_x000D_
- cristeta_x000D_
</v>
      </c>
      <c r="BM77" s="120" t="str">
        <f t="shared" si="124"/>
        <v>[Official site](https://basilicasanvicente.es/)</v>
      </c>
      <c r="BN77" s="120" t="str">
        <f t="shared" si="125"/>
        <v/>
      </c>
      <c r="BO77" s="120" t="str">
        <f t="shared" si="126"/>
        <v/>
      </c>
      <c r="BP77" s="120" t="str">
        <f t="shared" si="127"/>
        <v/>
      </c>
      <c r="BQ77" s="117" t="str">
        <f t="shared" si="114"/>
        <v xml:space="preserve">* [Official site](https://basilicasanvicente.es/)
</v>
      </c>
      <c r="BR77" s="117" t="str">
        <f t="shared" si="115"/>
        <v/>
      </c>
      <c r="BS77" s="117" t="str">
        <f t="shared" si="116"/>
        <v/>
      </c>
      <c r="BT77" s="117" t="str">
        <f t="shared" si="117"/>
        <v/>
      </c>
      <c r="BU77" s="117" t="str">
        <f>IF(LEN(concat(BR77:BT77))&gt;0,concat("| ",BR77," | ",BS77," | ",BT77," |"),"")</f>
        <v/>
      </c>
      <c r="BV77" s="117" t="str">
        <f t="shared" si="118"/>
        <v/>
      </c>
      <c r="BW77" s="117" t="str">
        <f>IF(LEN(BQ77&amp;BV77)&gt;0,concatll("#### More Information",BQ77,BV77),"")</f>
        <v xml:space="preserve">#### More Information_x000D_
_x000D_
* [Official site](https://basilicasanvicente.es/)
_x000D_
_x000D_
</v>
      </c>
      <c r="BX77" s="117" t="str">
        <f>IF(LEN(N77)&gt;1,concatll("#### Author's Note",N77,"-"&amp;B77),"")</f>
        <v/>
      </c>
      <c r="BY77" s="117" t="s">
        <v>53</v>
      </c>
      <c r="BZ77" s="117" t="s">
        <v>53</v>
      </c>
      <c r="CA77" s="6" t="str">
        <f>IF(AS77,concatll(concatl("---",AT77:AV77,BL77,"---"),M77,BW77:BX77),"")</f>
        <v xml:space="preserve">---_x000D_
title: "Basilica of Sts. Vincent, Sabina and Cristeta (San Vicente de Avila)"_x000D_
location: {lat: 40.6579352089861, lng: -4.69603908933598}_x000D_
interest: regional_x000D_
tags:
- es_x000D_
- avila_x000D_
- churches_x000D_
- holy-persons_x000D_
- vincent_x000D_
- sabina_x000D_
- cristeta_x000D_
_x000D_
---_x000D_
_x000D_
_x000D_
This basilica is built on traditional burial site of Saint Vincent, a young deacon martyred for his faith in the 4th century under the reign of Diocletian.  The church houses his relics and those of fellow martyrs Sts. Sabina and Cristeta._x000D_
_x000D_
#### More Information_x000D_
_x000D_
* [Official site](https://basilicasanvicente.es/)
_x000D_
_x000D_
_x000D_
_x000D_
</v>
      </c>
      <c r="CB77" s="6" t="str">
        <f>IF(AS77,"places\"&amp;VLOOKUP(C77,'Country Tags'!C:D,2,)&amp;IF(LEN(D77)&gt;1,"-"&amp;LOWER(SUBSTITUTE(D77," ","-")),"")&amp;"-"&amp;LOWER(SUBSTITUTE(SUBSTITUTE(H77," ","-"),".",""))&amp;".md","")</f>
        <v>places\es-avila-san-vincente.md</v>
      </c>
      <c r="CC77" s="6"/>
      <c r="CD77" s="12" t="e">
        <f>IF(LEN(Z77)&gt;1,VLOOKUP(Z77,#REF!,2,),"")</f>
        <v>#REF!</v>
      </c>
      <c r="CE77" s="12" t="e">
        <f>IF(LEN(AA77)&gt;1,VLOOKUP(AA77,#REF!,2,),"")</f>
        <v>#REF!</v>
      </c>
      <c r="CF77" s="12" t="e">
        <f>IF(LEN(AB77)&gt;1,VLOOKUP(AB77,#REF!,2,),"")</f>
        <v>#REF!</v>
      </c>
      <c r="CG77" s="12" t="e">
        <f>IF(LEN(Z77)&gt;1,GetTagPage(CD77,Z77),"")</f>
        <v>#VALUE!</v>
      </c>
      <c r="CH77" s="12" t="e">
        <f>IF(LEN(AA77)&gt;1,GetTagPage(CE77,AA77),"")</f>
        <v>#VALUE!</v>
      </c>
      <c r="CI77" s="12" t="e">
        <f>IF(LEN(AB77)&gt;1,GetTagPage(CF77,AB77),"")</f>
        <v>#VALUE!</v>
      </c>
      <c r="CJ77" s="12" t="e">
        <f t="shared" si="119"/>
        <v>#VALUE!</v>
      </c>
      <c r="CK77" s="12" t="str">
        <f t="shared" si="120"/>
        <v xml:space="preserve">| [](/places/places\es-avila-san-vincente) </v>
      </c>
      <c r="CL77" s="13" t="str">
        <f>"| "&amp;IF(AS77,GetTagPage(C77,VLOOKUP(C77,'Country Tags'!C:E,3,)),C77)&amp; " "</f>
        <v xml:space="preserve">| [Spain](/tags/es) </v>
      </c>
      <c r="CM77" s="12" t="str">
        <f t="shared" si="121"/>
        <v xml:space="preserve">|  </v>
      </c>
      <c r="CN77" s="12" t="str">
        <f t="shared" si="122"/>
        <v xml:space="preserve">| [Link](/places/places\es-avila-san-vincente) </v>
      </c>
      <c r="CO77" s="12" t="e">
        <f t="shared" si="123"/>
        <v>#VALUE!</v>
      </c>
    </row>
    <row r="78" spans="1:93" ht="102" x14ac:dyDescent="0.25">
      <c r="A78" s="129" t="s">
        <v>786</v>
      </c>
      <c r="B78" s="7" t="s">
        <v>1653</v>
      </c>
      <c r="C78" s="7" t="s">
        <v>266</v>
      </c>
      <c r="D78" s="7" t="s">
        <v>1408</v>
      </c>
      <c r="E78" s="1">
        <v>40.834106372070302</v>
      </c>
      <c r="F78" s="30">
        <v>-5.1301381279179701</v>
      </c>
      <c r="G78" s="7" t="s">
        <v>1409</v>
      </c>
      <c r="H78" s="33" t="s">
        <v>1410</v>
      </c>
      <c r="I78" s="7" t="s">
        <v>1002</v>
      </c>
      <c r="J78" s="7" t="b">
        <v>1</v>
      </c>
      <c r="L78" s="7" t="b">
        <v>1</v>
      </c>
      <c r="M78" s="71" t="s">
        <v>1411</v>
      </c>
      <c r="N78" s="139" t="s">
        <v>1686</v>
      </c>
      <c r="P78" s="1" t="s">
        <v>53</v>
      </c>
      <c r="S78" s="44" t="s">
        <v>53</v>
      </c>
      <c r="Z78" s="1" t="s">
        <v>1297</v>
      </c>
      <c r="AA78" s="1" t="s">
        <v>1293</v>
      </c>
      <c r="AB78" s="1" t="s">
        <v>1296</v>
      </c>
      <c r="AS78" s="116" t="b">
        <f t="shared" si="95"/>
        <v>1</v>
      </c>
      <c r="AT78" s="117" t="str">
        <f t="shared" si="96"/>
        <v>title: "Monastery of Duruelo"</v>
      </c>
      <c r="AU78" s="117" t="str">
        <f t="shared" si="97"/>
        <v>location: {lat: 40.8341063720703, lng: -5.13013812791797}</v>
      </c>
      <c r="AV78" s="117" t="str">
        <f t="shared" si="98"/>
        <v>interest: local</v>
      </c>
      <c r="AW78" s="117" t="str">
        <f>"- "&amp;VLOOKUP(C78,'Country Tags'!C:E,3,)</f>
        <v>- es</v>
      </c>
      <c r="AX78" s="117" t="str">
        <f t="shared" si="99"/>
        <v>- duruelo</v>
      </c>
      <c r="AY78" s="117" t="str">
        <f t="shared" si="100"/>
        <v>- churches</v>
      </c>
      <c r="AZ78" s="117" t="str">
        <f t="shared" si="101"/>
        <v/>
      </c>
      <c r="BA78" s="117" t="str">
        <f t="shared" si="102"/>
        <v>- holy-persons</v>
      </c>
      <c r="BB78" s="117" t="str">
        <f t="shared" si="103"/>
        <v>- teresa-avila</v>
      </c>
      <c r="BC78" s="117" t="str">
        <f t="shared" si="104"/>
        <v>- discalced-carmelites</v>
      </c>
      <c r="BD78" s="117" t="str">
        <f t="shared" si="105"/>
        <v>- john-cross</v>
      </c>
      <c r="BE78" s="117" t="str">
        <f t="shared" si="106"/>
        <v/>
      </c>
      <c r="BF78" s="117" t="str">
        <f t="shared" si="107"/>
        <v/>
      </c>
      <c r="BG78" s="117" t="str">
        <f t="shared" si="108"/>
        <v/>
      </c>
      <c r="BH78" s="117" t="str">
        <f t="shared" si="109"/>
        <v/>
      </c>
      <c r="BI78" s="117" t="str">
        <f t="shared" si="110"/>
        <v/>
      </c>
      <c r="BJ78" s="117" t="str">
        <f t="shared" si="111"/>
        <v/>
      </c>
      <c r="BK78" s="117" t="str">
        <f t="shared" si="112"/>
        <v/>
      </c>
      <c r="BL78" s="117" t="str">
        <f t="shared" si="113"/>
        <v xml:space="preserve">tags:
- es_x000D_
- duruelo_x000D_
- churches_x000D_
- holy-persons_x000D_
- teresa-avila_x000D_
- discalced-carmelites_x000D_
- john-cross_x000D_
</v>
      </c>
      <c r="BM78" s="120" t="str">
        <f t="shared" si="124"/>
        <v/>
      </c>
      <c r="BN78" s="120" t="str">
        <f t="shared" si="125"/>
        <v/>
      </c>
      <c r="BO78" s="120" t="str">
        <f t="shared" si="126"/>
        <v/>
      </c>
      <c r="BP78" s="120" t="str">
        <f t="shared" si="127"/>
        <v/>
      </c>
      <c r="BQ78" s="117" t="str">
        <f t="shared" si="114"/>
        <v/>
      </c>
      <c r="BR78" s="117" t="str">
        <f t="shared" si="115"/>
        <v/>
      </c>
      <c r="BS78" s="117" t="str">
        <f t="shared" si="116"/>
        <v/>
      </c>
      <c r="BT78" s="117" t="str">
        <f t="shared" si="117"/>
        <v/>
      </c>
      <c r="BU78" s="117" t="str">
        <f>IF(LEN(concat(BR78:BT78))&gt;0,concat("| ",BR78," | ",BS78," | ",BT78," |"),"")</f>
        <v/>
      </c>
      <c r="BV78" s="117" t="str">
        <f t="shared" si="118"/>
        <v/>
      </c>
      <c r="BW78" s="117" t="str">
        <f>IF(LEN(BQ78&amp;BV78)&gt;0,concatll("#### More Information",BQ78,BV78),"")</f>
        <v/>
      </c>
      <c r="BX78" s="117" t="str">
        <f>IF(LEN(N78)&gt;1,concatll("#### Author's Note",N78,"-"&amp;B78),"")</f>
        <v xml:space="preserve">#### Author's Note_x000D_
_x000D_
Additional history of the current monastery in Mancera de Abaio can be found [here](https://salamancartvaldia.es/noticia/2023-03-02-la-vida-en-el-monasterio-de-mancera-de-abajo-es-ilusionante-porque-cada-hora-es-la-de-amar-a-dios-316830), though it should be noted there is not a contiguous lineage back to the community founded by St. John of the Cross._x000D_
_x000D_
-JMM_x000D_
_x000D_
</v>
      </c>
      <c r="BY78" s="117" t="s">
        <v>53</v>
      </c>
      <c r="BZ78" s="117" t="s">
        <v>53</v>
      </c>
      <c r="CA78" s="6" t="str">
        <f>IF(AS78,concatll(concatl("---",AT78:AV78,BL78,"---"),M78,BW78:BX78),"")</f>
        <v xml:space="preserve">---_x000D_
title: "Monastery of Duruelo"_x000D_
location: {lat: 40.8341063720703, lng: -5.13013812791797}_x000D_
interest: local_x000D_
tags:
- es_x000D_
- duruelo_x000D_
- churches_x000D_
- holy-persons_x000D_
- teresa-avila_x000D_
- discalced-carmelites_x000D_
- john-cross_x000D_
_x000D_
---_x000D_
_x000D_
_x000D_
The first monastery established by St. John of the Cross and Fr. Antonio of Jesus in 1568, using a small farmhouse which had been donated to St. Teresa of Avila.  Soon the community outgrew the building, and moved to Mancera de Abajo in 1570, then Avila in 1600._x000D_
_x000D_
#### Author's Note_x000D_
_x000D_
Additional history of the current monastery in Mancera de Abaio can be found [here](https://salamancartvaldia.es/noticia/2023-03-02-la-vida-en-el-monasterio-de-mancera-de-abajo-es-ilusionante-porque-cada-hora-es-la-de-amar-a-dios-316830), though it should be noted there is not a contiguous lineage back to the community founded by St. John of the Cross._x000D_
_x000D_
-JMM_x000D_
_x000D_
_x000D_
_x000D_
</v>
      </c>
      <c r="CB78" s="6" t="str">
        <f>IF(AS78,"places\"&amp;VLOOKUP(C78,'Country Tags'!C:D,2,)&amp;IF(LEN(D78)&gt;1,"-"&amp;LOWER(SUBSTITUTE(D78," ","-")),"")&amp;"-"&amp;LOWER(SUBSTITUTE(SUBSTITUTE(H78," ","-"),".",""))&amp;".md","")</f>
        <v>places\es-duruelo-monastery.md</v>
      </c>
      <c r="CC78" s="6"/>
      <c r="CD78" s="12" t="e">
        <f>IF(LEN(Z78)&gt;1,VLOOKUP(Z78,#REF!,2,),"")</f>
        <v>#REF!</v>
      </c>
      <c r="CE78" s="12" t="e">
        <f>IF(LEN(AA78)&gt;1,VLOOKUP(AA78,#REF!,2,),"")</f>
        <v>#REF!</v>
      </c>
      <c r="CF78" s="12" t="e">
        <f>IF(LEN(AB78)&gt;1,VLOOKUP(AB78,#REF!,2,),"")</f>
        <v>#REF!</v>
      </c>
      <c r="CG78" s="12" t="e">
        <f>IF(LEN(Z78)&gt;1,GetTagPage(CD78,Z78),"")</f>
        <v>#VALUE!</v>
      </c>
      <c r="CH78" s="12" t="e">
        <f>IF(LEN(AA78)&gt;1,GetTagPage(CE78,AA78),"")</f>
        <v>#VALUE!</v>
      </c>
      <c r="CI78" s="12" t="e">
        <f>IF(LEN(AB78)&gt;1,GetTagPage(CF78,AB78),"")</f>
        <v>#VALUE!</v>
      </c>
      <c r="CJ78" s="12" t="e">
        <f t="shared" si="119"/>
        <v>#VALUE!</v>
      </c>
      <c r="CK78" s="12" t="str">
        <f t="shared" si="120"/>
        <v xml:space="preserve">| [](/places/places\es-duruelo-monastery) </v>
      </c>
      <c r="CL78" s="13" t="str">
        <f>"| "&amp;IF(AS78,GetTagPage(C78,VLOOKUP(C78,'Country Tags'!C:E,3,)),C78)&amp; " "</f>
        <v xml:space="preserve">| [Spain](/tags/es) </v>
      </c>
      <c r="CM78" s="12" t="str">
        <f t="shared" si="121"/>
        <v xml:space="preserve">|  </v>
      </c>
      <c r="CN78" s="12" t="str">
        <f t="shared" si="122"/>
        <v xml:space="preserve">| [Link](/places/places\es-duruelo-monastery) </v>
      </c>
      <c r="CO78" s="12" t="e">
        <f t="shared" si="123"/>
        <v>#VALUE!</v>
      </c>
    </row>
    <row r="79" spans="1:93" ht="63.75" x14ac:dyDescent="0.25">
      <c r="A79" s="129" t="s">
        <v>786</v>
      </c>
      <c r="B79" s="7" t="s">
        <v>1653</v>
      </c>
      <c r="C79" s="7" t="s">
        <v>266</v>
      </c>
      <c r="D79" s="71" t="s">
        <v>1341</v>
      </c>
      <c r="E79" s="1">
        <v>40.955391357159002</v>
      </c>
      <c r="F79" s="30">
        <v>-4.1334718632315699</v>
      </c>
      <c r="G79" s="71" t="s">
        <v>1412</v>
      </c>
      <c r="H79" s="73" t="s">
        <v>1413</v>
      </c>
      <c r="I79" s="71" t="s">
        <v>941</v>
      </c>
      <c r="J79" s="7" t="b">
        <v>1</v>
      </c>
      <c r="L79" s="7" t="b">
        <v>1</v>
      </c>
      <c r="M79" s="71" t="s">
        <v>1414</v>
      </c>
      <c r="O79" s="1" t="s">
        <v>1415</v>
      </c>
      <c r="P79" s="1" t="s">
        <v>53</v>
      </c>
      <c r="S79" s="44" t="s">
        <v>53</v>
      </c>
      <c r="Z79" s="1" t="s">
        <v>1297</v>
      </c>
      <c r="AA79" s="1" t="s">
        <v>1293</v>
      </c>
      <c r="AB79" s="1" t="s">
        <v>1296</v>
      </c>
      <c r="AS79" s="116" t="b">
        <f t="shared" si="95"/>
        <v>1</v>
      </c>
      <c r="AT79" s="117" t="str">
        <f t="shared" si="96"/>
        <v>title: "Convent of St. John of the Cross (Convento de San Juan de la Cruz)"</v>
      </c>
      <c r="AU79" s="117" t="str">
        <f t="shared" si="97"/>
        <v>location: {lat: 40.955391357159, lng: -4.13347186323157}</v>
      </c>
      <c r="AV79" s="117" t="str">
        <f t="shared" si="98"/>
        <v>interest: regional</v>
      </c>
      <c r="AW79" s="117" t="str">
        <f>"- "&amp;VLOOKUP(C79,'Country Tags'!C:E,3,)</f>
        <v>- es</v>
      </c>
      <c r="AX79" s="117" t="str">
        <f t="shared" si="99"/>
        <v>- segovia</v>
      </c>
      <c r="AY79" s="117" t="str">
        <f t="shared" si="100"/>
        <v>- churches</v>
      </c>
      <c r="AZ79" s="117" t="str">
        <f t="shared" si="101"/>
        <v/>
      </c>
      <c r="BA79" s="117" t="str">
        <f t="shared" si="102"/>
        <v>- holy-persons</v>
      </c>
      <c r="BB79" s="117" t="str">
        <f t="shared" si="103"/>
        <v>- teresa-avila</v>
      </c>
      <c r="BC79" s="117" t="str">
        <f t="shared" si="104"/>
        <v>- discalced-carmelites</v>
      </c>
      <c r="BD79" s="117" t="str">
        <f t="shared" si="105"/>
        <v>- john-cross</v>
      </c>
      <c r="BE79" s="117" t="str">
        <f t="shared" si="106"/>
        <v/>
      </c>
      <c r="BF79" s="117" t="str">
        <f t="shared" si="107"/>
        <v/>
      </c>
      <c r="BG79" s="117" t="str">
        <f t="shared" si="108"/>
        <v/>
      </c>
      <c r="BH79" s="117" t="str">
        <f t="shared" si="109"/>
        <v/>
      </c>
      <c r="BI79" s="117" t="str">
        <f t="shared" si="110"/>
        <v/>
      </c>
      <c r="BJ79" s="117" t="str">
        <f t="shared" si="111"/>
        <v/>
      </c>
      <c r="BK79" s="117" t="str">
        <f t="shared" si="112"/>
        <v/>
      </c>
      <c r="BL79" s="117" t="str">
        <f t="shared" si="113"/>
        <v xml:space="preserve">tags:
- es_x000D_
- segovia_x000D_
- churches_x000D_
- holy-persons_x000D_
- teresa-avila_x000D_
- discalced-carmelites_x000D_
- john-cross_x000D_
</v>
      </c>
      <c r="BM79" s="120" t="str">
        <f t="shared" si="124"/>
        <v>[Official site](https://sanjuandelacruzsegovia.com/)</v>
      </c>
      <c r="BN79" s="120" t="str">
        <f t="shared" si="125"/>
        <v/>
      </c>
      <c r="BO79" s="120" t="str">
        <f t="shared" si="126"/>
        <v/>
      </c>
      <c r="BP79" s="120" t="str">
        <f t="shared" si="127"/>
        <v/>
      </c>
      <c r="BQ79" s="117" t="str">
        <f t="shared" si="114"/>
        <v xml:space="preserve">* [Official site](https://sanjuandelacruzsegovia.com/)
</v>
      </c>
      <c r="BR79" s="117" t="str">
        <f t="shared" si="115"/>
        <v/>
      </c>
      <c r="BS79" s="117" t="str">
        <f t="shared" si="116"/>
        <v/>
      </c>
      <c r="BT79" s="117" t="str">
        <f t="shared" si="117"/>
        <v/>
      </c>
      <c r="BU79" s="117" t="str">
        <f>IF(LEN(concat(BR79:BT79))&gt;0,concat("| ",BR79," | ",BS79," | ",BT79," |"),"")</f>
        <v/>
      </c>
      <c r="BV79" s="117" t="str">
        <f t="shared" si="118"/>
        <v/>
      </c>
      <c r="BW79" s="117" t="str">
        <f>IF(LEN(BQ79&amp;BV79)&gt;0,concatll("#### More Information",BQ79,BV79),"")</f>
        <v xml:space="preserve">#### More Information_x000D_
_x000D_
* [Official site](https://sanjuandelacruzsegovia.com/)
_x000D_
_x000D_
</v>
      </c>
      <c r="BX79" s="117" t="str">
        <f>IF(LEN(N79)&gt;1,concatll("#### Author's Note",N79,"-"&amp;B79),"")</f>
        <v/>
      </c>
      <c r="BY79" s="117" t="s">
        <v>53</v>
      </c>
      <c r="BZ79" s="117" t="s">
        <v>53</v>
      </c>
      <c r="CA79" s="6" t="str">
        <f>IF(AS79,concatll(concatl("---",AT79:AV79,BL79,"---"),M79,BW79:BX79),"")</f>
        <v xml:space="preserve">---_x000D_
title: "Convent of St. John of the Cross (Convento de San Juan de la Cruz)"_x000D_
location: {lat: 40.955391357159, lng: -4.13347186323157}_x000D_
interest: regional_x000D_
tags:
- es_x000D_
- segovia_x000D_
- churches_x000D_
- holy-persons_x000D_
- teresa-avila_x000D_
- discalced-carmelites_x000D_
- john-cross_x000D_
_x000D_
---_x000D_
_x000D_
_x000D_
St. John of the Cross founded the convent in 1588 and led the community as prior until 1591.  His head and body are located in a side chapel.
Although no longer an active monastery, the site serves as a sanctuary for spiritual exercises.  Pope St. John Paul II visited the site in 1982._x000D_
_x000D_
#### More Information_x000D_
_x000D_
* [Official site](https://sanjuandelacruzsegovia.com/)
_x000D_
_x000D_
_x000D_
_x000D_
</v>
      </c>
      <c r="CB79" s="6" t="str">
        <f>IF(AS79,"places\"&amp;VLOOKUP(C79,'Country Tags'!C:D,2,)&amp;IF(LEN(D79)&gt;1,"-"&amp;LOWER(SUBSTITUTE(D79," ","-")),"")&amp;"-"&amp;LOWER(SUBSTITUTE(SUBSTITUTE(H79," ","-"),".",""))&amp;".md","")</f>
        <v>places\es-segovia-convento-de-san-juan-de-la-cruz.md</v>
      </c>
      <c r="CC79" s="6"/>
      <c r="CD79" s="12" t="e">
        <f>IF(LEN(Z79)&gt;1,VLOOKUP(Z79,#REF!,2,),"")</f>
        <v>#REF!</v>
      </c>
      <c r="CE79" s="12" t="e">
        <f>IF(LEN(AA79)&gt;1,VLOOKUP(AA79,#REF!,2,),"")</f>
        <v>#REF!</v>
      </c>
      <c r="CF79" s="12" t="e">
        <f>IF(LEN(AB79)&gt;1,VLOOKUP(AB79,#REF!,2,),"")</f>
        <v>#REF!</v>
      </c>
      <c r="CG79" s="12" t="e">
        <f>IF(LEN(Z79)&gt;1,GetTagPage(CD79,Z79),"")</f>
        <v>#VALUE!</v>
      </c>
      <c r="CH79" s="12" t="e">
        <f>IF(LEN(AA79)&gt;1,GetTagPage(CE79,AA79),"")</f>
        <v>#VALUE!</v>
      </c>
      <c r="CI79" s="12" t="e">
        <f>IF(LEN(AB79)&gt;1,GetTagPage(CF79,AB79),"")</f>
        <v>#VALUE!</v>
      </c>
      <c r="CJ79" s="12" t="e">
        <f t="shared" si="119"/>
        <v>#VALUE!</v>
      </c>
      <c r="CK79" s="12" t="str">
        <f t="shared" si="120"/>
        <v xml:space="preserve">| [](/places/places\es-segovia-convento-de-san-juan-de-la-cruz) </v>
      </c>
      <c r="CL79" s="13" t="str">
        <f>"| "&amp;IF(AS79,GetTagPage(C79,VLOOKUP(C79,'Country Tags'!C:E,3,)),C79)&amp; " "</f>
        <v xml:space="preserve">| [Spain](/tags/es) </v>
      </c>
      <c r="CM79" s="12" t="str">
        <f t="shared" si="121"/>
        <v xml:space="preserve">|  </v>
      </c>
      <c r="CN79" s="12" t="str">
        <f t="shared" si="122"/>
        <v xml:space="preserve">| [Link](/places/places\es-segovia-convento-de-san-juan-de-la-cruz) </v>
      </c>
      <c r="CO79" s="12" t="e">
        <f t="shared" si="123"/>
        <v>#VALUE!</v>
      </c>
    </row>
    <row r="80" spans="1:93" ht="38.25" x14ac:dyDescent="0.25">
      <c r="A80" s="129" t="s">
        <v>786</v>
      </c>
      <c r="B80" s="7" t="s">
        <v>1653</v>
      </c>
      <c r="C80" s="7" t="s">
        <v>266</v>
      </c>
      <c r="D80" s="71" t="s">
        <v>1416</v>
      </c>
      <c r="E80" s="1">
        <v>38.009716453448398</v>
      </c>
      <c r="F80" s="30">
        <v>-3.36573704226182</v>
      </c>
      <c r="G80" s="71" t="s">
        <v>1417</v>
      </c>
      <c r="H80" s="73" t="s">
        <v>1418</v>
      </c>
      <c r="I80" s="7" t="s">
        <v>941</v>
      </c>
      <c r="J80" s="7" t="b">
        <v>1</v>
      </c>
      <c r="L80" s="7" t="b">
        <v>1</v>
      </c>
      <c r="M80" s="71" t="s">
        <v>1419</v>
      </c>
      <c r="O80" s="1" t="s">
        <v>1420</v>
      </c>
      <c r="P80" s="1" t="s">
        <v>53</v>
      </c>
      <c r="S80" s="44" t="s">
        <v>53</v>
      </c>
      <c r="Z80" s="1" t="s">
        <v>1296</v>
      </c>
      <c r="AA80" s="1" t="s">
        <v>1293</v>
      </c>
      <c r="AS80" s="116" t="b">
        <f t="shared" si="95"/>
        <v>1</v>
      </c>
      <c r="AT80" s="117" t="str">
        <f t="shared" si="96"/>
        <v>title: "Oratory of St. John of the Cross (Oratorio de San Juan de la Cruz)"</v>
      </c>
      <c r="AU80" s="117" t="str">
        <f t="shared" si="97"/>
        <v>location: {lat: 38.0097164534484, lng: -3.36573704226182}</v>
      </c>
      <c r="AV80" s="117" t="str">
        <f t="shared" si="98"/>
        <v>interest: regional</v>
      </c>
      <c r="AW80" s="117" t="str">
        <f>"- "&amp;VLOOKUP(C80,'Country Tags'!C:E,3,)</f>
        <v>- es</v>
      </c>
      <c r="AX80" s="117" t="str">
        <f t="shared" si="99"/>
        <v>- ubeda</v>
      </c>
      <c r="AY80" s="117" t="str">
        <f t="shared" si="100"/>
        <v>- churches</v>
      </c>
      <c r="AZ80" s="117" t="str">
        <f t="shared" si="101"/>
        <v/>
      </c>
      <c r="BA80" s="117" t="str">
        <f t="shared" si="102"/>
        <v>- holy-persons</v>
      </c>
      <c r="BB80" s="117" t="str">
        <f t="shared" si="103"/>
        <v>- john-cross</v>
      </c>
      <c r="BC80" s="117" t="str">
        <f t="shared" si="104"/>
        <v>- discalced-carmelites</v>
      </c>
      <c r="BD80" s="117" t="str">
        <f t="shared" si="105"/>
        <v/>
      </c>
      <c r="BE80" s="117" t="str">
        <f t="shared" si="106"/>
        <v/>
      </c>
      <c r="BF80" s="117" t="str">
        <f t="shared" si="107"/>
        <v/>
      </c>
      <c r="BG80" s="117" t="str">
        <f t="shared" si="108"/>
        <v/>
      </c>
      <c r="BH80" s="117" t="str">
        <f t="shared" si="109"/>
        <v/>
      </c>
      <c r="BI80" s="117" t="str">
        <f t="shared" si="110"/>
        <v/>
      </c>
      <c r="BJ80" s="117" t="str">
        <f t="shared" si="111"/>
        <v/>
      </c>
      <c r="BK80" s="117" t="str">
        <f t="shared" si="112"/>
        <v/>
      </c>
      <c r="BL80" s="117" t="str">
        <f t="shared" si="113"/>
        <v xml:space="preserve">tags:
- es_x000D_
- ubeda_x000D_
- churches_x000D_
- holy-persons_x000D_
- john-cross_x000D_
- discalced-carmelites_x000D_
</v>
      </c>
      <c r="BM80" s="120" t="str">
        <f t="shared" si="124"/>
        <v>[Official site](https://www.sanjuandelacruzubeda.com/)</v>
      </c>
      <c r="BN80" s="120" t="str">
        <f t="shared" si="125"/>
        <v/>
      </c>
      <c r="BO80" s="120" t="str">
        <f t="shared" si="126"/>
        <v/>
      </c>
      <c r="BP80" s="120" t="str">
        <f t="shared" si="127"/>
        <v/>
      </c>
      <c r="BQ80" s="117" t="str">
        <f t="shared" si="114"/>
        <v xml:space="preserve">* [Official site](https://www.sanjuandelacruzubeda.com/)
</v>
      </c>
      <c r="BR80" s="117" t="str">
        <f t="shared" si="115"/>
        <v/>
      </c>
      <c r="BS80" s="117" t="str">
        <f t="shared" si="116"/>
        <v/>
      </c>
      <c r="BT80" s="117" t="str">
        <f t="shared" si="117"/>
        <v/>
      </c>
      <c r="BU80" s="117" t="str">
        <f>IF(LEN(concat(BR80:BT80))&gt;0,concat("| ",BR80," | ",BS80," | ",BT80," |"),"")</f>
        <v/>
      </c>
      <c r="BV80" s="117" t="str">
        <f t="shared" si="118"/>
        <v/>
      </c>
      <c r="BW80" s="117" t="str">
        <f>IF(LEN(BQ80&amp;BV80)&gt;0,concatll("#### More Information",BQ80,BV80),"")</f>
        <v xml:space="preserve">#### More Information_x000D_
_x000D_
* [Official site](https://www.sanjuandelacruzubeda.com/)
_x000D_
_x000D_
</v>
      </c>
      <c r="BX80" s="117" t="str">
        <f>IF(LEN(N80)&gt;1,concatll("#### Author's Note",N80,"-"&amp;B80),"")</f>
        <v/>
      </c>
      <c r="BY80" s="117" t="s">
        <v>53</v>
      </c>
      <c r="BZ80" s="117" t="s">
        <v>53</v>
      </c>
      <c r="CA80" s="6" t="str">
        <f>IF(AS80,concatll(concatl("---",AT80:AV80,BL80,"---"),M80,BW80:BX80),"")</f>
        <v xml:space="preserve">---_x000D_
title: "Oratory of St. John of the Cross (Oratorio de San Juan de la Cruz)"_x000D_
location: {lat: 38.0097164534484, lng: -3.36573704226182}_x000D_
interest: regional_x000D_
tags:
- es_x000D_
- ubeda_x000D_
- churches_x000D_
- holy-persons_x000D_
- john-cross_x000D_
- discalced-carmelites_x000D_
_x000D_
---_x000D_
_x000D_
_x000D_
In 1591, St. John of the Cross died here, the site of a former monastery.  Today, there is a chapel housing his relics (a hand and leg) and a museum related to his life._x000D_
_x000D_
#### More Information_x000D_
_x000D_
* [Official site](https://www.sanjuandelacruzubeda.com/)
_x000D_
_x000D_
_x000D_
_x000D_
</v>
      </c>
      <c r="CB80" s="6" t="str">
        <f>IF(AS80,"places\"&amp;VLOOKUP(C80,'Country Tags'!C:D,2,)&amp;IF(LEN(D80)&gt;1,"-"&amp;LOWER(SUBSTITUTE(D80," ","-")),"")&amp;"-"&amp;LOWER(SUBSTITUTE(SUBSTITUTE(H80," ","-"),".",""))&amp;".md","")</f>
        <v>places\es-ubeda-oratorio-de-san-juan-de-la-cruz.md</v>
      </c>
      <c r="CC80" s="6"/>
      <c r="CD80" s="12" t="e">
        <f>IF(LEN(Z80)&gt;1,VLOOKUP(Z80,#REF!,2,),"")</f>
        <v>#REF!</v>
      </c>
      <c r="CE80" s="12" t="e">
        <f>IF(LEN(AA80)&gt;1,VLOOKUP(AA80,#REF!,2,),"")</f>
        <v>#REF!</v>
      </c>
      <c r="CF80" s="12" t="str">
        <f>IF(LEN(AB80)&gt;1,VLOOKUP(AB80,#REF!,2,),"")</f>
        <v/>
      </c>
      <c r="CG80" s="12" t="e">
        <f>IF(LEN(Z80)&gt;1,GetTagPage(CD80,Z80),"")</f>
        <v>#VALUE!</v>
      </c>
      <c r="CH80" s="12" t="e">
        <f>IF(LEN(AA80)&gt;1,GetTagPage(CE80,AA80),"")</f>
        <v>#VALUE!</v>
      </c>
      <c r="CI80" s="12" t="str">
        <f>IF(LEN(AB80)&gt;1,GetTagPage(CF80,AB80),"")</f>
        <v/>
      </c>
      <c r="CJ80" s="12" t="e">
        <f t="shared" si="119"/>
        <v>#VALUE!</v>
      </c>
      <c r="CK80" s="12" t="str">
        <f t="shared" si="120"/>
        <v xml:space="preserve">| [](/places/places\es-ubeda-oratorio-de-san-juan-de-la-cruz) </v>
      </c>
      <c r="CL80" s="13" t="str">
        <f>"| "&amp;IF(AS80,GetTagPage(C80,VLOOKUP(C80,'Country Tags'!C:E,3,)),C80)&amp; " "</f>
        <v xml:space="preserve">| [Spain](/tags/es) </v>
      </c>
      <c r="CM80" s="12" t="str">
        <f t="shared" si="121"/>
        <v xml:space="preserve">|  </v>
      </c>
      <c r="CN80" s="12" t="str">
        <f t="shared" si="122"/>
        <v xml:space="preserve">| [Link](/places/places\es-ubeda-oratorio-de-san-juan-de-la-cruz) </v>
      </c>
      <c r="CO80" s="12" t="e">
        <f t="shared" si="123"/>
        <v>#VALUE!</v>
      </c>
    </row>
    <row r="81" spans="1:93" ht="38.25" x14ac:dyDescent="0.25">
      <c r="A81" s="129" t="s">
        <v>786</v>
      </c>
      <c r="B81" s="7" t="s">
        <v>1653</v>
      </c>
      <c r="C81" s="7" t="s">
        <v>266</v>
      </c>
      <c r="D81" s="71" t="s">
        <v>1421</v>
      </c>
      <c r="E81" s="1">
        <v>40.931787066841601</v>
      </c>
      <c r="F81" s="30">
        <v>-4.9646371</v>
      </c>
      <c r="G81" s="71" t="s">
        <v>1422</v>
      </c>
      <c r="H81" s="73" t="s">
        <v>1423</v>
      </c>
      <c r="I81" s="71" t="s">
        <v>1002</v>
      </c>
      <c r="J81" s="7" t="b">
        <v>1</v>
      </c>
      <c r="L81" s="7" t="b">
        <v>1</v>
      </c>
      <c r="M81" s="71" t="s">
        <v>1424</v>
      </c>
      <c r="P81" s="1" t="s">
        <v>53</v>
      </c>
      <c r="Q81" s="75" t="s">
        <v>1403</v>
      </c>
      <c r="R81" s="1" t="s">
        <v>1425</v>
      </c>
      <c r="S81" s="44" t="s">
        <v>53</v>
      </c>
      <c r="Z81" s="1" t="s">
        <v>1296</v>
      </c>
      <c r="AA81" s="1" t="s">
        <v>1293</v>
      </c>
      <c r="AS81" s="116" t="b">
        <f t="shared" si="95"/>
        <v>1</v>
      </c>
      <c r="AT81" s="117" t="str">
        <f t="shared" si="96"/>
        <v>title: "Church of the Birthplace of St. John of the Cross (Iglesia Casa Natal de San Juan de la Cruz)"</v>
      </c>
      <c r="AU81" s="117" t="str">
        <f t="shared" si="97"/>
        <v>location: {lat: 40.9317870668416, lng: -4.9646371}</v>
      </c>
      <c r="AV81" s="117" t="str">
        <f t="shared" si="98"/>
        <v>interest: local</v>
      </c>
      <c r="AW81" s="117" t="str">
        <f>"- "&amp;VLOOKUP(C81,'Country Tags'!C:E,3,)</f>
        <v>- es</v>
      </c>
      <c r="AX81" s="117" t="str">
        <f t="shared" si="99"/>
        <v>- fontiveros</v>
      </c>
      <c r="AY81" s="117" t="str">
        <f t="shared" si="100"/>
        <v>- churches</v>
      </c>
      <c r="AZ81" s="117" t="str">
        <f t="shared" si="101"/>
        <v/>
      </c>
      <c r="BA81" s="117" t="str">
        <f t="shared" si="102"/>
        <v>- holy-persons</v>
      </c>
      <c r="BB81" s="117" t="str">
        <f t="shared" si="103"/>
        <v>- john-cross</v>
      </c>
      <c r="BC81" s="117" t="str">
        <f t="shared" si="104"/>
        <v>- discalced-carmelites</v>
      </c>
      <c r="BD81" s="117" t="str">
        <f t="shared" si="105"/>
        <v/>
      </c>
      <c r="BE81" s="117" t="str">
        <f t="shared" si="106"/>
        <v/>
      </c>
      <c r="BF81" s="117" t="str">
        <f t="shared" si="107"/>
        <v/>
      </c>
      <c r="BG81" s="117" t="str">
        <f t="shared" si="108"/>
        <v/>
      </c>
      <c r="BH81" s="117" t="str">
        <f t="shared" si="109"/>
        <v/>
      </c>
      <c r="BI81" s="117" t="str">
        <f t="shared" si="110"/>
        <v/>
      </c>
      <c r="BJ81" s="117" t="str">
        <f t="shared" si="111"/>
        <v/>
      </c>
      <c r="BK81" s="117" t="str">
        <f t="shared" si="112"/>
        <v/>
      </c>
      <c r="BL81" s="117" t="str">
        <f t="shared" si="113"/>
        <v xml:space="preserve">tags:
- es_x000D_
- fontiveros_x000D_
- churches_x000D_
- holy-persons_x000D_
- john-cross_x000D_
- discalced-carmelites_x000D_
</v>
      </c>
      <c r="BM81" s="120" t="str">
        <f t="shared" si="124"/>
        <v/>
      </c>
      <c r="BN81" s="120" t="str">
        <f t="shared" si="125"/>
        <v>[Castila y Leon tourism site](https://www.turismocastillayleon.com/en/art-culture-heritage/monuments/churches-chapels/church-san-juan-de-la-cruz-house-natal)</v>
      </c>
      <c r="BO81" s="120" t="str">
        <f t="shared" si="126"/>
        <v/>
      </c>
      <c r="BP81" s="120" t="str">
        <f t="shared" si="127"/>
        <v/>
      </c>
      <c r="BQ81" s="117" t="str">
        <f t="shared" si="114"/>
        <v xml:space="preserve">* [Castila y Leon tourism site](https://www.turismocastillayleon.com/en/art-culture-heritage/monuments/churches-chapels/church-san-juan-de-la-cruz-house-natal)
</v>
      </c>
      <c r="BR81" s="117" t="str">
        <f t="shared" si="115"/>
        <v/>
      </c>
      <c r="BS81" s="117" t="str">
        <f t="shared" si="116"/>
        <v/>
      </c>
      <c r="BT81" s="117" t="str">
        <f t="shared" si="117"/>
        <v/>
      </c>
      <c r="BU81" s="117" t="str">
        <f>IF(LEN(concat(BR81:BT81))&gt;0,concat("| ",BR81," | ",BS81," | ",BT81," |"),"")</f>
        <v/>
      </c>
      <c r="BV81" s="117" t="str">
        <f t="shared" si="118"/>
        <v/>
      </c>
      <c r="BW81" s="117" t="str">
        <f>IF(LEN(BQ81&amp;BV81)&gt;0,concatll("#### More Information",BQ81,BV81),"")</f>
        <v xml:space="preserve">#### More Information_x000D_
_x000D_
* [Castila y Leon tourism site](https://www.turismocastillayleon.com/en/art-culture-heritage/monuments/churches-chapels/church-san-juan-de-la-cruz-house-natal)
_x000D_
_x000D_
</v>
      </c>
      <c r="BX81" s="117" t="str">
        <f>IF(LEN(N81)&gt;1,concatll("#### Author's Note",N81,"-"&amp;B81),"")</f>
        <v/>
      </c>
      <c r="BY81" s="117" t="s">
        <v>53</v>
      </c>
      <c r="BZ81" s="117" t="s">
        <v>53</v>
      </c>
      <c r="CA81" s="6" t="str">
        <f>IF(AS81,concatll(concatl("---",AT81:AV81,BL81,"---"),M81,BW81:BX81),"")</f>
        <v xml:space="preserve">---_x000D_
title: "Church of the Birthplace of St. John of the Cross (Iglesia Casa Natal de San Juan de la Cruz)"_x000D_
location: {lat: 40.9317870668416, lng: -4.9646371}_x000D_
interest: local_x000D_
tags:
- es_x000D_
- fontiveros_x000D_
- churches_x000D_
- holy-persons_x000D_
- john-cross_x000D_
- discalced-carmelites_x000D_
_x000D_
---_x000D_
_x000D_
_x000D_
Church in the town of St. John of the Cross's birth_x000D_
_x000D_
#### More Information_x000D_
_x000D_
* [Castila y Leon tourism site](https://www.turismocastillayleon.com/en/art-culture-heritage/monuments/churches-chapels/church-san-juan-de-la-cruz-house-natal)
_x000D_
_x000D_
_x000D_
_x000D_
</v>
      </c>
      <c r="CB81" s="6" t="str">
        <f>IF(AS81,"places\"&amp;VLOOKUP(C81,'Country Tags'!C:D,2,)&amp;IF(LEN(D81)&gt;1,"-"&amp;LOWER(SUBSTITUTE(D81," ","-")),"")&amp;"-"&amp;LOWER(SUBSTITUTE(SUBSTITUTE(H81," ","-"),".",""))&amp;".md","")</f>
        <v>places\es-fontiveros-iglesia-casa-natal-de-san-juan-de-la-cruz.md</v>
      </c>
      <c r="CC81" s="6"/>
      <c r="CD81" s="12" t="e">
        <f>IF(LEN(Z81)&gt;1,VLOOKUP(Z81,#REF!,2,),"")</f>
        <v>#REF!</v>
      </c>
      <c r="CE81" s="12" t="e">
        <f>IF(LEN(AA81)&gt;1,VLOOKUP(AA81,#REF!,2,),"")</f>
        <v>#REF!</v>
      </c>
      <c r="CF81" s="12" t="str">
        <f>IF(LEN(AB81)&gt;1,VLOOKUP(AB81,#REF!,2,),"")</f>
        <v/>
      </c>
      <c r="CG81" s="12" t="e">
        <f>IF(LEN(Z81)&gt;1,GetTagPage(CD81,Z81),"")</f>
        <v>#VALUE!</v>
      </c>
      <c r="CH81" s="12" t="e">
        <f>IF(LEN(AA81)&gt;1,GetTagPage(CE81,AA81),"")</f>
        <v>#VALUE!</v>
      </c>
      <c r="CI81" s="12" t="str">
        <f>IF(LEN(AB81)&gt;1,GetTagPage(CF81,AB81),"")</f>
        <v/>
      </c>
      <c r="CJ81" s="12" t="e">
        <f t="shared" si="119"/>
        <v>#VALUE!</v>
      </c>
      <c r="CK81" s="12" t="str">
        <f t="shared" si="120"/>
        <v xml:space="preserve">| [](/places/places\es-fontiveros-iglesia-casa-natal-de-san-juan-de-la-cruz) </v>
      </c>
      <c r="CL81" s="13" t="str">
        <f>"| "&amp;IF(AS81,GetTagPage(C81,VLOOKUP(C81,'Country Tags'!C:E,3,)),C81)&amp; " "</f>
        <v xml:space="preserve">| [Spain](/tags/es) </v>
      </c>
      <c r="CM81" s="12" t="str">
        <f t="shared" si="121"/>
        <v xml:space="preserve">|  </v>
      </c>
      <c r="CN81" s="12" t="str">
        <f t="shared" si="122"/>
        <v xml:space="preserve">| [Link](/places/places\es-fontiveros-iglesia-casa-natal-de-san-juan-de-la-cruz) </v>
      </c>
      <c r="CO81" s="12" t="e">
        <f t="shared" si="123"/>
        <v>#VALUE!</v>
      </c>
    </row>
    <row r="82" spans="1:93" ht="102" x14ac:dyDescent="0.25">
      <c r="A82" s="129" t="s">
        <v>786</v>
      </c>
      <c r="B82" s="7" t="s">
        <v>1653</v>
      </c>
      <c r="C82" s="7" t="s">
        <v>266</v>
      </c>
      <c r="D82" s="80" t="s">
        <v>1429</v>
      </c>
      <c r="E82" s="1">
        <v>42.8806093820127</v>
      </c>
      <c r="F82" s="30">
        <v>-8.5443954000000009</v>
      </c>
      <c r="G82" s="80" t="s">
        <v>1431</v>
      </c>
      <c r="H82" s="81" t="s">
        <v>1432</v>
      </c>
      <c r="I82" s="80" t="s">
        <v>919</v>
      </c>
      <c r="J82" s="7" t="b">
        <v>1</v>
      </c>
      <c r="L82" s="7" t="b">
        <v>1</v>
      </c>
      <c r="M82" s="115" t="s">
        <v>1633</v>
      </c>
      <c r="O82" s="1" t="s">
        <v>1430</v>
      </c>
      <c r="P82" s="1" t="s">
        <v>53</v>
      </c>
      <c r="S82" s="44" t="s">
        <v>53</v>
      </c>
      <c r="Z82" s="132" t="s">
        <v>1701</v>
      </c>
      <c r="AA82" s="79" t="s">
        <v>1282</v>
      </c>
      <c r="AB82" s="79" t="s">
        <v>1433</v>
      </c>
      <c r="AC82" s="91" t="s">
        <v>1594</v>
      </c>
      <c r="AS82" s="116" t="b">
        <f t="shared" si="95"/>
        <v>1</v>
      </c>
      <c r="AT82" s="117" t="str">
        <f t="shared" si="96"/>
        <v>title: "Metropolitan Archcathedral Basilica of Santiago de Compostela (Catedral de Santiago)"</v>
      </c>
      <c r="AU82" s="117" t="str">
        <f t="shared" si="97"/>
        <v>location: {lat: 42.8806093820127, lng: -8.5443954}</v>
      </c>
      <c r="AV82" s="117" t="str">
        <f t="shared" si="98"/>
        <v>interest: global</v>
      </c>
      <c r="AW82" s="117" t="str">
        <f>"- "&amp;VLOOKUP(C82,'Country Tags'!C:E,3,)</f>
        <v>- es</v>
      </c>
      <c r="AX82" s="117" t="str">
        <f t="shared" si="99"/>
        <v>- santiago-de-compostela</v>
      </c>
      <c r="AY82" s="117" t="str">
        <f t="shared" si="100"/>
        <v>- churches</v>
      </c>
      <c r="AZ82" s="117" t="str">
        <f t="shared" si="101"/>
        <v/>
      </c>
      <c r="BA82" s="117" t="str">
        <f t="shared" si="102"/>
        <v>- holy-persons</v>
      </c>
      <c r="BB82" s="117" t="str">
        <f t="shared" si="103"/>
        <v>- james-great</v>
      </c>
      <c r="BC82" s="117" t="str">
        <f t="shared" si="104"/>
        <v>- camino</v>
      </c>
      <c r="BD82" s="117" t="str">
        <f t="shared" si="105"/>
        <v>- pelagius</v>
      </c>
      <c r="BE82" s="117" t="str">
        <f t="shared" si="106"/>
        <v>- apostles</v>
      </c>
      <c r="BF82" s="117" t="str">
        <f t="shared" si="107"/>
        <v/>
      </c>
      <c r="BG82" s="117" t="str">
        <f t="shared" si="108"/>
        <v/>
      </c>
      <c r="BH82" s="117" t="str">
        <f t="shared" si="109"/>
        <v/>
      </c>
      <c r="BI82" s="117" t="str">
        <f t="shared" si="110"/>
        <v/>
      </c>
      <c r="BJ82" s="117" t="str">
        <f t="shared" si="111"/>
        <v/>
      </c>
      <c r="BK82" s="117" t="str">
        <f t="shared" si="112"/>
        <v/>
      </c>
      <c r="BL82" s="117" t="str">
        <f t="shared" si="113"/>
        <v xml:space="preserve">tags:
- es_x000D_
- santiago-de-compostela_x000D_
- churches_x000D_
- holy-persons_x000D_
- james-great_x000D_
- camino_x000D_
- pelagius_x000D_
- apostles_x000D_
</v>
      </c>
      <c r="BM82" s="120" t="str">
        <f t="shared" si="124"/>
        <v>[Official site](http://catedraldesantiago.es/)</v>
      </c>
      <c r="BN82" s="120" t="str">
        <f t="shared" si="125"/>
        <v/>
      </c>
      <c r="BO82" s="120" t="str">
        <f t="shared" si="126"/>
        <v/>
      </c>
      <c r="BP82" s="120" t="str">
        <f t="shared" si="127"/>
        <v/>
      </c>
      <c r="BQ82" s="117" t="str">
        <f t="shared" si="114"/>
        <v xml:space="preserve">* [Official site](http://catedraldesantiago.es/)
</v>
      </c>
      <c r="BR82" s="117" t="str">
        <f t="shared" si="115"/>
        <v/>
      </c>
      <c r="BS82" s="117" t="str">
        <f t="shared" si="116"/>
        <v/>
      </c>
      <c r="BT82" s="117" t="str">
        <f t="shared" si="117"/>
        <v/>
      </c>
      <c r="BU82" s="117" t="str">
        <f>IF(LEN(concat(BR82:BT82))&gt;0,concat("| ",BR82," | ",BS82," | ",BT82," |"),"")</f>
        <v/>
      </c>
      <c r="BV82" s="117" t="str">
        <f t="shared" si="118"/>
        <v/>
      </c>
      <c r="BW82" s="117" t="str">
        <f>IF(LEN(BQ82&amp;BV82)&gt;0,concatll("#### More Information",BQ82,BV82),"")</f>
        <v xml:space="preserve">#### More Information_x000D_
_x000D_
* [Official site](http://catedraldesantiago.es/)
_x000D_
_x000D_
</v>
      </c>
      <c r="BX82" s="117" t="str">
        <f>IF(LEN(N82)&gt;1,concatll("#### Author's Note",N82,"-"&amp;B82),"")</f>
        <v/>
      </c>
      <c r="BY82" s="117" t="s">
        <v>53</v>
      </c>
      <c r="BZ82" s="117" t="s">
        <v>53</v>
      </c>
      <c r="CA82" s="6" t="str">
        <f>IF(AS82,concatll(concatl("---",AT82:AV82,BL82,"---"),M82,BW82:BX82),"")</f>
        <v xml:space="preserve">---_x000D_
title: "Metropolitan Archcathedral Basilica of Santiago de Compostela (Catedral de Santiago)"_x000D_
location: {lat: 42.8806093820127, lng: -8.5443954}_x000D_
interest: global_x000D_
tags:
- es_x000D_
- santiago-de-compostela_x000D_
- churches_x000D_
- holy-persons_x000D_
- james-great_x000D_
- camino_x000D_
- pelagius_x000D_
- apostles_x000D_
_x000D_
---_x000D_
_x000D_
_x000D_
This cathedral is the reputed burial place of Saint James the Great, one of the twelve apostles.  According to tradition, his tomb was rediscovered in 814 AD by St. Pelagius the Hermit.
One of the most famous pilgrimage destinations in the world, it lies at the end of the Camino de Santiago, or Way of St. James.  Today the church is the centerpiece of the larger Santiago de Compostela UNESCO World Heritage Site._x000D_
_x000D_
#### More Information_x000D_
_x000D_
* [Official site](http://catedraldesantiago.es/)
_x000D_
_x000D_
_x000D_
_x000D_
</v>
      </c>
      <c r="CB82" s="6" t="str">
        <f>IF(AS82,"places\"&amp;VLOOKUP(C82,'Country Tags'!C:D,2,)&amp;IF(LEN(D82)&gt;1,"-"&amp;LOWER(SUBSTITUTE(D82," ","-")),"")&amp;"-"&amp;LOWER(SUBSTITUTE(SUBSTITUTE(H82," ","-"),".",""))&amp;".md","")</f>
        <v>places\es-santiago-de-compostela-catedral-de-santiago.md</v>
      </c>
      <c r="CC82" s="6"/>
      <c r="CD82" s="12" t="e">
        <f>IF(LEN(Z82)&gt;1,VLOOKUP(Z82,#REF!,2,),"")</f>
        <v>#REF!</v>
      </c>
      <c r="CE82" s="12" t="e">
        <f>IF(LEN(AA82)&gt;1,VLOOKUP(AA82,#REF!,2,),"")</f>
        <v>#REF!</v>
      </c>
      <c r="CF82" s="12" t="e">
        <f>IF(LEN(AB82)&gt;1,VLOOKUP(AB82,#REF!,2,),"")</f>
        <v>#REF!</v>
      </c>
      <c r="CG82" s="12" t="e">
        <f>IF(LEN(Z82)&gt;1,GetTagPage(CD82,Z82),"")</f>
        <v>#VALUE!</v>
      </c>
      <c r="CH82" s="12" t="e">
        <f>IF(LEN(AA82)&gt;1,GetTagPage(CE82,AA82),"")</f>
        <v>#VALUE!</v>
      </c>
      <c r="CI82" s="12" t="e">
        <f>IF(LEN(AB82)&gt;1,GetTagPage(CF82,AB82),"")</f>
        <v>#VALUE!</v>
      </c>
      <c r="CJ82" s="12" t="e">
        <f t="shared" si="119"/>
        <v>#VALUE!</v>
      </c>
      <c r="CK82" s="12" t="str">
        <f t="shared" si="120"/>
        <v xml:space="preserve">| [](/places/places\es-santiago-de-compostela-catedral-de-santiago) </v>
      </c>
      <c r="CL82" s="13" t="str">
        <f>"| "&amp;IF(AS82,GetTagPage(C82,VLOOKUP(C82,'Country Tags'!C:E,3,)),C82)&amp; " "</f>
        <v xml:space="preserve">| [Spain](/tags/es) </v>
      </c>
      <c r="CM82" s="12" t="str">
        <f t="shared" si="121"/>
        <v xml:space="preserve">|  </v>
      </c>
      <c r="CN82" s="12" t="str">
        <f t="shared" si="122"/>
        <v xml:space="preserve">| [Link](/places/places\es-santiago-de-compostela-catedral-de-santiago) </v>
      </c>
      <c r="CO82" s="12" t="e">
        <f t="shared" si="123"/>
        <v>#VALUE!</v>
      </c>
    </row>
    <row r="83" spans="1:93" ht="102" x14ac:dyDescent="0.25">
      <c r="A83" s="129" t="s">
        <v>786</v>
      </c>
      <c r="B83" s="7" t="s">
        <v>1653</v>
      </c>
      <c r="C83" s="7" t="s">
        <v>1591</v>
      </c>
      <c r="D83" s="7" t="s">
        <v>1592</v>
      </c>
      <c r="E83" s="1">
        <v>37.911596002771098</v>
      </c>
      <c r="F83" s="30">
        <v>27.334141839748199</v>
      </c>
      <c r="G83" s="90" t="s">
        <v>1598</v>
      </c>
      <c r="H83" s="33" t="s">
        <v>1598</v>
      </c>
      <c r="I83" s="7" t="s">
        <v>919</v>
      </c>
      <c r="K83" s="7" t="b">
        <v>1</v>
      </c>
      <c r="M83" s="90" t="s">
        <v>1601</v>
      </c>
      <c r="N83" s="139" t="s">
        <v>1687</v>
      </c>
      <c r="Z83" s="1" t="s">
        <v>1599</v>
      </c>
      <c r="AS83" s="116" t="b">
        <f t="shared" si="95"/>
        <v>1</v>
      </c>
      <c r="AT83" s="117" t="str">
        <f t="shared" si="96"/>
        <v>title: "House of the Virgin Mary"</v>
      </c>
      <c r="AU83" s="117" t="str">
        <f t="shared" si="97"/>
        <v>location: {lat: 37.9115960027711, lng: 27.3341418397482}</v>
      </c>
      <c r="AV83" s="117" t="str">
        <f t="shared" si="98"/>
        <v>interest: global</v>
      </c>
      <c r="AW83" s="117" t="str">
        <f>"- "&amp;VLOOKUP(C83,'Country Tags'!C:E,3,)</f>
        <v>- tr</v>
      </c>
      <c r="AX83" s="117" t="str">
        <f t="shared" si="99"/>
        <v>- ephesus</v>
      </c>
      <c r="AY83" s="117" t="str">
        <f t="shared" si="100"/>
        <v/>
      </c>
      <c r="AZ83" s="117" t="str">
        <f t="shared" si="101"/>
        <v>- marian-sites</v>
      </c>
      <c r="BA83" s="117" t="str">
        <f t="shared" si="102"/>
        <v/>
      </c>
      <c r="BB83" s="117" t="str">
        <f t="shared" si="103"/>
        <v>- anne-catherine-emmerich</v>
      </c>
      <c r="BC83" s="117" t="str">
        <f t="shared" si="104"/>
        <v/>
      </c>
      <c r="BD83" s="117" t="str">
        <f t="shared" si="105"/>
        <v/>
      </c>
      <c r="BE83" s="117" t="str">
        <f t="shared" si="106"/>
        <v/>
      </c>
      <c r="BF83" s="117" t="str">
        <f t="shared" si="107"/>
        <v/>
      </c>
      <c r="BG83" s="117" t="str">
        <f t="shared" si="108"/>
        <v/>
      </c>
      <c r="BH83" s="117" t="str">
        <f t="shared" si="109"/>
        <v/>
      </c>
      <c r="BI83" s="117" t="str">
        <f t="shared" si="110"/>
        <v/>
      </c>
      <c r="BJ83" s="117" t="str">
        <f t="shared" si="111"/>
        <v/>
      </c>
      <c r="BK83" s="117" t="str">
        <f t="shared" si="112"/>
        <v/>
      </c>
      <c r="BL83" s="117" t="str">
        <f t="shared" si="113"/>
        <v xml:space="preserve">tags:
- tr_x000D_
- ephesus_x000D_
- marian-sites_x000D_
- anne-catherine-emmerich_x000D_
</v>
      </c>
      <c r="BM83" s="120" t="str">
        <f t="shared" si="124"/>
        <v/>
      </c>
      <c r="BN83" s="120" t="str">
        <f t="shared" si="125"/>
        <v/>
      </c>
      <c r="BO83" s="120" t="str">
        <f t="shared" si="126"/>
        <v/>
      </c>
      <c r="BP83" s="120" t="str">
        <f t="shared" si="127"/>
        <v/>
      </c>
      <c r="BQ83" s="117" t="str">
        <f t="shared" si="114"/>
        <v/>
      </c>
      <c r="BR83" s="117" t="str">
        <f t="shared" si="115"/>
        <v/>
      </c>
      <c r="BS83" s="117" t="str">
        <f t="shared" si="116"/>
        <v/>
      </c>
      <c r="BT83" s="117" t="str">
        <f t="shared" si="117"/>
        <v/>
      </c>
      <c r="BU83" s="117" t="str">
        <f>IF(LEN(concat(BR83:BT83))&gt;0,concat("| ",BR83," | ",BS83," | ",BT83," |"),"")</f>
        <v/>
      </c>
      <c r="BV83" s="117" t="str">
        <f t="shared" si="118"/>
        <v xml:space="preserve">| The Real Presence | Miracle Hunter | MaryPages |_x000D_
| --- | --- | --- |_x000D_
</v>
      </c>
      <c r="BW83" s="117" t="str">
        <f>IF(LEN(BQ83&amp;BV83)&gt;0,concatll("#### More Information",BQ83,BV83),"")</f>
        <v xml:space="preserve">#### More Information_x000D_
_x000D_
| The Real Presence | Miracle Hunter | MaryPages |_x000D_
| --- | --- | --- |_x000D_
_x000D_
_x000D_
</v>
      </c>
      <c r="BX83" s="117" t="str">
        <f>IF(LEN(N83)&gt;1,concatll("#### Author's Note",N83,"-"&amp;B83),"")</f>
        <v xml:space="preserve">#### Author's Note_x000D_
_x000D_
There is a wall for pilgrims to leave prayers on small slips of paper or tissues.  As is the case at many Marian sites, there is a spring of holy water.
The gift shop at the site is quite expensive and does not appear to be run by Christians; likewise the parking fee is collected by local secular authorities._x000D_
_x000D_
-JMM_x000D_
_x000D_
</v>
      </c>
      <c r="BY83" s="117" t="s">
        <v>53</v>
      </c>
      <c r="BZ83" s="117" t="s">
        <v>53</v>
      </c>
      <c r="CA83" s="6" t="str">
        <f>IF(AS83,concatll(concatl("---",AT83:AV83,BL83,"---"),M83,BW83:BX83),"")</f>
        <v xml:space="preserve">---_x000D_
title: "House of the Virgin Mary"_x000D_
location: {lat: 37.9115960027711, lng: 27.3341418397482}_x000D_
interest: global_x000D_
tags:
- tr_x000D_
- ephesus_x000D_
- marian-sites_x000D_
- anne-catherine-emmerich_x000D_
_x000D_
---_x000D_
_x000D_
_x000D_
This house was discovered in 1881 based on the descriptions of Bl. Anne Catherine Emmerich, a bedridden German nun who had never left her own country.  Among other visions of the lives of Jesus and the Virgin Mary, Bl. Emmerich described the land around the house where the Virgin Mary may have spent her final years before her Assumption into heaven.
The Catholic Church has not issued an opinion on the veracity of the house, but several popes have conveyed blessings and visited the site._x000D_
_x000D_
#### More Information_x000D_
_x000D_
| The Real Presence | Miracle Hunter | MaryPages |_x000D_
| --- | --- | --- |_x000D_
_x000D_
_x000D_
_x000D_
_x000D_
#### Author's Note_x000D_
_x000D_
There is a wall for pilgrims to leave prayers on small slips of paper or tissues.  As is the case at many Marian sites, there is a spring of holy water.
The gift shop at the site is quite expensive and does not appear to be run by Christians; likewise the parking fee is collected by local secular authorities._x000D_
_x000D_
-JMM_x000D_
_x000D_
_x000D_
_x000D_
</v>
      </c>
      <c r="CB83" s="6" t="str">
        <f>IF(AS83,"places\"&amp;VLOOKUP(C83,'Country Tags'!C:D,2,)&amp;IF(LEN(D83)&gt;1,"-"&amp;LOWER(SUBSTITUTE(D83," ","-")),"")&amp;"-"&amp;LOWER(SUBSTITUTE(SUBSTITUTE(H83," ","-"),".",""))&amp;".md","")</f>
        <v>places\tr-ephesus-house-of-the-virgin-mary.md</v>
      </c>
      <c r="CC83" s="6"/>
      <c r="CD83" s="12" t="e">
        <f>IF(LEN(Z83)&gt;1,VLOOKUP(Z83,#REF!,2,),"")</f>
        <v>#REF!</v>
      </c>
      <c r="CE83" s="12" t="str">
        <f>IF(LEN(AA83)&gt;1,VLOOKUP(AA83,#REF!,2,),"")</f>
        <v/>
      </c>
      <c r="CF83" s="12" t="str">
        <f>IF(LEN(AB83)&gt;1,VLOOKUP(AB83,#REF!,2,),"")</f>
        <v/>
      </c>
      <c r="CG83" s="12" t="e">
        <f>IF(LEN(Z83)&gt;1,GetTagPage(CD83,Z83),"")</f>
        <v>#VALUE!</v>
      </c>
      <c r="CH83" s="12" t="str">
        <f>IF(LEN(AA83)&gt;1,GetTagPage(CE83,AA83),"")</f>
        <v/>
      </c>
      <c r="CI83" s="12" t="str">
        <f>IF(LEN(AB83)&gt;1,GetTagPage(CF83,AB83),"")</f>
        <v/>
      </c>
      <c r="CJ83" s="12" t="e">
        <f t="shared" si="119"/>
        <v>#VALUE!</v>
      </c>
      <c r="CK83" s="12" t="str">
        <f t="shared" si="120"/>
        <v xml:space="preserve">| [](/places/places\tr-ephesus-house-of-the-virgin-mary) </v>
      </c>
      <c r="CL83" s="13" t="str">
        <f>"| "&amp;IF(AS83,GetTagPage(C83,VLOOKUP(C83,'Country Tags'!C:E,3,)),C83)&amp; " "</f>
        <v xml:space="preserve">| [Turkey](/tags/tr) </v>
      </c>
      <c r="CM83" s="12" t="str">
        <f t="shared" si="121"/>
        <v xml:space="preserve">|  </v>
      </c>
      <c r="CN83" s="12" t="str">
        <f t="shared" si="122"/>
        <v xml:space="preserve">| [Link](/places/places\tr-ephesus-house-of-the-virgin-mary) </v>
      </c>
      <c r="CO83" s="12" t="e">
        <f t="shared" si="123"/>
        <v>#VALUE!</v>
      </c>
    </row>
    <row r="84" spans="1:93" ht="38.25" x14ac:dyDescent="0.25">
      <c r="A84" s="129" t="s">
        <v>786</v>
      </c>
      <c r="B84" s="7" t="s">
        <v>1653</v>
      </c>
      <c r="C84" s="7" t="s">
        <v>1591</v>
      </c>
      <c r="D84" s="7" t="s">
        <v>1592</v>
      </c>
      <c r="E84" s="1">
        <v>37.944605964085902</v>
      </c>
      <c r="F84" s="30">
        <v>27.339194715340302</v>
      </c>
      <c r="G84" s="90" t="s">
        <v>1602</v>
      </c>
      <c r="H84" s="33" t="s">
        <v>1602</v>
      </c>
      <c r="I84" s="90" t="s">
        <v>1002</v>
      </c>
      <c r="M84" s="90" t="s">
        <v>1603</v>
      </c>
      <c r="Z84" s="99" t="s">
        <v>1279</v>
      </c>
      <c r="AB84" s="99"/>
      <c r="AS84" s="116" t="b">
        <f t="shared" si="95"/>
        <v>1</v>
      </c>
      <c r="AT84" s="117" t="str">
        <f t="shared" si="96"/>
        <v>title: "Church of Mary"</v>
      </c>
      <c r="AU84" s="117" t="str">
        <f t="shared" si="97"/>
        <v>location: {lat: 37.9446059640859, lng: 27.3391947153403}</v>
      </c>
      <c r="AV84" s="117" t="str">
        <f t="shared" si="98"/>
        <v>interest: local</v>
      </c>
      <c r="AW84" s="117" t="str">
        <f>"- "&amp;VLOOKUP(C84,'Country Tags'!C:E,3,)</f>
        <v>- tr</v>
      </c>
      <c r="AX84" s="117" t="str">
        <f t="shared" si="99"/>
        <v>- ephesus</v>
      </c>
      <c r="AY84" s="117" t="str">
        <f t="shared" si="100"/>
        <v/>
      </c>
      <c r="AZ84" s="117" t="str">
        <f t="shared" si="101"/>
        <v/>
      </c>
      <c r="BA84" s="117" t="str">
        <f t="shared" si="102"/>
        <v/>
      </c>
      <c r="BB84" s="117" t="str">
        <f t="shared" si="103"/>
        <v>- closed</v>
      </c>
      <c r="BC84" s="117" t="str">
        <f t="shared" si="104"/>
        <v/>
      </c>
      <c r="BD84" s="117" t="str">
        <f t="shared" si="105"/>
        <v/>
      </c>
      <c r="BE84" s="117" t="str">
        <f t="shared" si="106"/>
        <v/>
      </c>
      <c r="BF84" s="117" t="str">
        <f t="shared" si="107"/>
        <v/>
      </c>
      <c r="BG84" s="117" t="str">
        <f t="shared" si="108"/>
        <v/>
      </c>
      <c r="BH84" s="117" t="str">
        <f t="shared" si="109"/>
        <v/>
      </c>
      <c r="BI84" s="117" t="str">
        <f t="shared" si="110"/>
        <v/>
      </c>
      <c r="BJ84" s="117" t="str">
        <f t="shared" si="111"/>
        <v/>
      </c>
      <c r="BK84" s="117" t="str">
        <f t="shared" si="112"/>
        <v/>
      </c>
      <c r="BL84" s="117" t="str">
        <f t="shared" si="113"/>
        <v xml:space="preserve">tags:
- tr_x000D_
- ephesus_x000D_
- closed_x000D_
</v>
      </c>
      <c r="BM84" s="120" t="str">
        <f t="shared" si="124"/>
        <v/>
      </c>
      <c r="BN84" s="120" t="str">
        <f t="shared" si="125"/>
        <v/>
      </c>
      <c r="BO84" s="120" t="str">
        <f t="shared" si="126"/>
        <v/>
      </c>
      <c r="BP84" s="120" t="str">
        <f t="shared" si="127"/>
        <v/>
      </c>
      <c r="BQ84" s="117" t="str">
        <f t="shared" si="114"/>
        <v/>
      </c>
      <c r="BR84" s="117" t="str">
        <f t="shared" si="115"/>
        <v/>
      </c>
      <c r="BS84" s="117" t="str">
        <f t="shared" si="116"/>
        <v/>
      </c>
      <c r="BT84" s="117" t="str">
        <f t="shared" si="117"/>
        <v/>
      </c>
      <c r="BU84" s="117" t="str">
        <f>IF(LEN(concat(BR84:BT84))&gt;0,concat("| ",BR84," | ",BS84," | ",BT84," |"),"")</f>
        <v/>
      </c>
      <c r="BV84" s="117" t="str">
        <f t="shared" si="118"/>
        <v/>
      </c>
      <c r="BW84" s="117" t="str">
        <f>IF(LEN(BQ84&amp;BV84)&gt;0,concatll("#### More Information",BQ84,BV84),"")</f>
        <v/>
      </c>
      <c r="BX84" s="117" t="str">
        <f>IF(LEN(N84)&gt;1,concatll("#### Author's Note",N84,"-"&amp;B84),"")</f>
        <v/>
      </c>
      <c r="BY84" s="117" t="s">
        <v>53</v>
      </c>
      <c r="BZ84" s="117" t="s">
        <v>53</v>
      </c>
      <c r="CA84" s="6" t="str">
        <f>IF(AS84,concatll(concatl("---",AT84:AV84,BL84,"---"),M84,BW84:BX84),"")</f>
        <v xml:space="preserve">---_x000D_
title: "Church of Mary"_x000D_
location: {lat: 37.9446059640859, lng: 27.3391947153403}_x000D_
interest: local_x000D_
tags:
- tr_x000D_
- ephesus_x000D_
- closed_x000D_
_x000D_
---_x000D_
_x000D_
_x000D_
Built in the 5th centry, possibly for the First Council of Ephesus (the third ecumenical council of the early church).  The Second Council of Ephesus may also have been held here._x000D_
_x000D_
</v>
      </c>
      <c r="CB84" s="6" t="str">
        <f>IF(AS84,"places\"&amp;VLOOKUP(C84,'Country Tags'!C:D,2,)&amp;IF(LEN(D84)&gt;1,"-"&amp;LOWER(SUBSTITUTE(D84," ","-")),"")&amp;"-"&amp;LOWER(SUBSTITUTE(SUBSTITUTE(H84," ","-"),".",""))&amp;".md","")</f>
        <v>places\tr-ephesus-church-of-mary.md</v>
      </c>
      <c r="CC84" s="6"/>
      <c r="CD84" s="12" t="e">
        <f>IF(LEN(Z84)&gt;1,VLOOKUP(Z84,#REF!,2,),"")</f>
        <v>#REF!</v>
      </c>
      <c r="CE84" s="12" t="str">
        <f>IF(LEN(AA84)&gt;1,VLOOKUP(AA84,#REF!,2,),"")</f>
        <v/>
      </c>
      <c r="CF84" s="12" t="str">
        <f>IF(LEN(AB84)&gt;1,VLOOKUP(AB84,#REF!,2,),"")</f>
        <v/>
      </c>
      <c r="CG84" s="12" t="e">
        <f>IF(LEN(Z84)&gt;1,GetTagPage(CD84,Z84),"")</f>
        <v>#VALUE!</v>
      </c>
      <c r="CH84" s="12" t="str">
        <f>IF(LEN(AA84)&gt;1,GetTagPage(CE84,AA84),"")</f>
        <v/>
      </c>
      <c r="CI84" s="12" t="str">
        <f>IF(LEN(AB84)&gt;1,GetTagPage(CF84,AB84),"")</f>
        <v/>
      </c>
      <c r="CJ84" s="12" t="e">
        <f t="shared" si="119"/>
        <v>#VALUE!</v>
      </c>
      <c r="CK84" s="12" t="str">
        <f t="shared" si="120"/>
        <v xml:space="preserve">| [](/places/places\tr-ephesus-church-of-mary) </v>
      </c>
      <c r="CL84" s="13" t="str">
        <f>"| "&amp;IF(AS84,GetTagPage(C84,VLOOKUP(C84,'Country Tags'!C:E,3,)),C84)&amp; " "</f>
        <v xml:space="preserve">| [Turkey](/tags/tr) </v>
      </c>
      <c r="CM84" s="12" t="str">
        <f t="shared" si="121"/>
        <v xml:space="preserve">|  </v>
      </c>
      <c r="CN84" s="12" t="str">
        <f t="shared" si="122"/>
        <v xml:space="preserve">| [Link](/places/places\tr-ephesus-church-of-mary) </v>
      </c>
      <c r="CO84" s="12" t="e">
        <f t="shared" si="123"/>
        <v>#VALUE!</v>
      </c>
    </row>
    <row r="85" spans="1:93" ht="89.25" x14ac:dyDescent="0.25">
      <c r="A85" s="129" t="s">
        <v>786</v>
      </c>
      <c r="B85" s="90" t="s">
        <v>1653</v>
      </c>
      <c r="C85" s="90" t="s">
        <v>1591</v>
      </c>
      <c r="D85" s="90" t="s">
        <v>1592</v>
      </c>
      <c r="E85" s="1">
        <v>37.9524398007025</v>
      </c>
      <c r="F85" s="30">
        <v>27.367911346038099</v>
      </c>
      <c r="G85" s="90" t="s">
        <v>1593</v>
      </c>
      <c r="H85" s="92" t="s">
        <v>1593</v>
      </c>
      <c r="I85" s="90" t="s">
        <v>919</v>
      </c>
      <c r="L85" s="7" t="b">
        <v>1</v>
      </c>
      <c r="M85" s="115" t="s">
        <v>1634</v>
      </c>
      <c r="Z85" s="91" t="s">
        <v>1596</v>
      </c>
      <c r="AA85" s="91" t="s">
        <v>1594</v>
      </c>
      <c r="AB85" s="99" t="s">
        <v>1279</v>
      </c>
      <c r="AS85" s="116" t="b">
        <f t="shared" si="95"/>
        <v>1</v>
      </c>
      <c r="AT85" s="117" t="str">
        <f t="shared" si="96"/>
        <v>title: "Basilica of St. John"</v>
      </c>
      <c r="AU85" s="117" t="str">
        <f t="shared" si="97"/>
        <v>location: {lat: 37.9524398007025, lng: 27.3679113460381}</v>
      </c>
      <c r="AV85" s="117" t="str">
        <f t="shared" si="98"/>
        <v>interest: global</v>
      </c>
      <c r="AW85" s="117" t="str">
        <f>"- "&amp;VLOOKUP(C85,'Country Tags'!C:E,3,)</f>
        <v>- tr</v>
      </c>
      <c r="AX85" s="117" t="str">
        <f t="shared" si="99"/>
        <v>- ephesus</v>
      </c>
      <c r="AY85" s="117" t="str">
        <f t="shared" si="100"/>
        <v/>
      </c>
      <c r="AZ85" s="117" t="str">
        <f t="shared" si="101"/>
        <v/>
      </c>
      <c r="BA85" s="117" t="str">
        <f t="shared" si="102"/>
        <v>- holy-persons</v>
      </c>
      <c r="BB85" s="117" t="str">
        <f t="shared" si="103"/>
        <v>- john-apostle</v>
      </c>
      <c r="BC85" s="117" t="str">
        <f t="shared" si="104"/>
        <v>- apostles</v>
      </c>
      <c r="BD85" s="117" t="str">
        <f t="shared" si="105"/>
        <v>- closed</v>
      </c>
      <c r="BE85" s="117" t="str">
        <f t="shared" si="106"/>
        <v/>
      </c>
      <c r="BF85" s="117" t="str">
        <f t="shared" si="107"/>
        <v/>
      </c>
      <c r="BG85" s="117" t="str">
        <f t="shared" si="108"/>
        <v/>
      </c>
      <c r="BH85" s="117" t="str">
        <f t="shared" si="109"/>
        <v/>
      </c>
      <c r="BI85" s="117" t="str">
        <f t="shared" si="110"/>
        <v/>
      </c>
      <c r="BJ85" s="117" t="str">
        <f t="shared" si="111"/>
        <v/>
      </c>
      <c r="BK85" s="117" t="str">
        <f t="shared" si="112"/>
        <v/>
      </c>
      <c r="BL85" s="117" t="str">
        <f t="shared" si="113"/>
        <v xml:space="preserve">tags:
- tr_x000D_
- ephesus_x000D_
- holy-persons_x000D_
- john-apostle_x000D_
- apostles_x000D_
- closed_x000D_
</v>
      </c>
      <c r="BM85" s="120" t="str">
        <f t="shared" si="124"/>
        <v/>
      </c>
      <c r="BN85" s="120" t="str">
        <f t="shared" si="125"/>
        <v/>
      </c>
      <c r="BO85" s="120" t="str">
        <f t="shared" si="126"/>
        <v/>
      </c>
      <c r="BP85" s="120" t="str">
        <f t="shared" si="127"/>
        <v/>
      </c>
      <c r="BQ85" s="117" t="str">
        <f t="shared" si="114"/>
        <v/>
      </c>
      <c r="BR85" s="117" t="str">
        <f t="shared" si="115"/>
        <v/>
      </c>
      <c r="BS85" s="117" t="str">
        <f t="shared" si="116"/>
        <v/>
      </c>
      <c r="BT85" s="117" t="str">
        <f t="shared" si="117"/>
        <v/>
      </c>
      <c r="BU85" s="117" t="str">
        <f>IF(LEN(concat(BR85:BT85))&gt;0,concat("| ",BR85," | ",BS85," | ",BT85," |"),"")</f>
        <v/>
      </c>
      <c r="BV85" s="117" t="str">
        <f t="shared" si="118"/>
        <v/>
      </c>
      <c r="BW85" s="117" t="str">
        <f>IF(LEN(BQ85&amp;BV85)&gt;0,concatll("#### More Information",BQ85,BV85),"")</f>
        <v/>
      </c>
      <c r="BX85" s="117" t="str">
        <f>IF(LEN(N85)&gt;1,concatll("#### Author's Note",N85,"-"&amp;B85),"")</f>
        <v/>
      </c>
      <c r="BY85" s="117" t="s">
        <v>53</v>
      </c>
      <c r="BZ85" s="117" t="s">
        <v>53</v>
      </c>
      <c r="CA85" s="6" t="str">
        <f>IF(AS85,concatll(concatl("---",AT85:AV85,BL85,"---"),M85,BW85:BX85),"")</f>
        <v xml:space="preserve">---_x000D_
title: "Basilica of St. John"_x000D_
location: {lat: 37.9524398007025, lng: 27.3679113460381}_x000D_
interest: global_x000D_
tags:
- tr_x000D_
- ephesus_x000D_
- holy-persons_x000D_
- john-apostle_x000D_
- apostles_x000D_
- closed_x000D_
_x000D_
---_x000D_
_x000D_
_x000D_
Completed in 565 AD, the basilica was built over the believed burial site of St. John the Apostle.  According to legend, St. John (as the Beloved Disciple) took the Virgin Mary to Ephesus in her final years, and [her possible house](/places/tr-ephesus-house-of-the-virgin-mary) overlooks the ancient city of Ephesus.
Today the ruins are part of the UNESCO World Heritage Site of Ephesus._x000D_
_x000D_
</v>
      </c>
      <c r="CB85" s="6" t="str">
        <f>IF(AS85,"places\"&amp;VLOOKUP(C85,'Country Tags'!C:D,2,)&amp;IF(LEN(D85)&gt;1,"-"&amp;LOWER(SUBSTITUTE(D85," ","-")),"")&amp;"-"&amp;LOWER(SUBSTITUTE(SUBSTITUTE(H85," ","-"),".",""))&amp;".md","")</f>
        <v>places\tr-ephesus-basilica-of-st-john.md</v>
      </c>
      <c r="CC85" s="6"/>
      <c r="CD85" s="12" t="e">
        <f>IF(LEN(Z85)&gt;1,VLOOKUP(Z85,#REF!,2,),"")</f>
        <v>#REF!</v>
      </c>
      <c r="CE85" s="12" t="e">
        <f>IF(LEN(AA85)&gt;1,VLOOKUP(AA85,#REF!,2,),"")</f>
        <v>#REF!</v>
      </c>
      <c r="CF85" s="12" t="e">
        <f>IF(LEN(AB85)&gt;1,VLOOKUP(AB85,#REF!,2,),"")</f>
        <v>#REF!</v>
      </c>
      <c r="CG85" s="12" t="e">
        <f>IF(LEN(Z85)&gt;1,GetTagPage(CD85,Z85),"")</f>
        <v>#VALUE!</v>
      </c>
      <c r="CH85" s="12" t="e">
        <f>IF(LEN(AA85)&gt;1,GetTagPage(CE85,AA85),"")</f>
        <v>#VALUE!</v>
      </c>
      <c r="CI85" s="12" t="e">
        <f>IF(LEN(AB85)&gt;1,GetTagPage(CF85,AB85),"")</f>
        <v>#VALUE!</v>
      </c>
      <c r="CJ85" s="12" t="e">
        <f t="shared" si="119"/>
        <v>#VALUE!</v>
      </c>
      <c r="CK85" s="12" t="str">
        <f t="shared" si="120"/>
        <v xml:space="preserve">| [](/places/places\tr-ephesus-basilica-of-st-john) </v>
      </c>
      <c r="CL85" s="13" t="str">
        <f>"| "&amp;IF(AS85,GetTagPage(C85,VLOOKUP(C85,'Country Tags'!C:E,3,)),C85)&amp; " "</f>
        <v xml:space="preserve">| [Turkey](/tags/tr) </v>
      </c>
      <c r="CM85" s="12" t="str">
        <f t="shared" si="121"/>
        <v xml:space="preserve">|  </v>
      </c>
      <c r="CN85" s="12" t="str">
        <f t="shared" si="122"/>
        <v xml:space="preserve">| [Link](/places/places\tr-ephesus-basilica-of-st-john) </v>
      </c>
      <c r="CO85" s="12" t="e">
        <f t="shared" si="123"/>
        <v>#VALUE!</v>
      </c>
    </row>
    <row r="86" spans="1:93" ht="178.5" x14ac:dyDescent="0.25">
      <c r="A86" s="129" t="s">
        <v>786</v>
      </c>
      <c r="B86" s="130" t="s">
        <v>1654</v>
      </c>
      <c r="C86" s="84" t="s">
        <v>445</v>
      </c>
      <c r="D86" s="153" t="s">
        <v>1836</v>
      </c>
      <c r="E86" s="1">
        <v>51.5133260560522</v>
      </c>
      <c r="F86" s="30">
        <v>-0.16038145235162099</v>
      </c>
      <c r="G86" s="84" t="s">
        <v>1443</v>
      </c>
      <c r="H86" s="33" t="s">
        <v>1443</v>
      </c>
      <c r="I86" s="84" t="s">
        <v>941</v>
      </c>
      <c r="L86" s="7" t="b">
        <v>1</v>
      </c>
      <c r="M86" s="84" t="s">
        <v>1446</v>
      </c>
      <c r="P86" s="1" t="s">
        <v>53</v>
      </c>
      <c r="S86" s="44" t="s">
        <v>53</v>
      </c>
      <c r="Z86" s="85" t="s">
        <v>1444</v>
      </c>
      <c r="AS86" s="116" t="b">
        <f t="shared" si="95"/>
        <v>1</v>
      </c>
      <c r="AT86" s="117" t="str">
        <f t="shared" si="96"/>
        <v>title: "Site of Tyburn Tree"</v>
      </c>
      <c r="AU86" s="117" t="str">
        <f t="shared" si="97"/>
        <v>location: {lat: 51.5133260560522, lng: -0.160381452351621}</v>
      </c>
      <c r="AV86" s="117" t="str">
        <f t="shared" si="98"/>
        <v>interest: regional</v>
      </c>
      <c r="AW86" s="117" t="str">
        <f>"- "&amp;VLOOKUP(C86,'Country Tags'!C:E,3,)</f>
        <v>- gb</v>
      </c>
      <c r="AX86" s="117" t="str">
        <f t="shared" si="99"/>
        <v>- london</v>
      </c>
      <c r="AY86" s="117" t="str">
        <f t="shared" si="100"/>
        <v/>
      </c>
      <c r="AZ86" s="117" t="str">
        <f t="shared" si="101"/>
        <v/>
      </c>
      <c r="BA86" s="117" t="str">
        <f t="shared" si="102"/>
        <v>- holy-persons</v>
      </c>
      <c r="BB86" s="117" t="str">
        <f t="shared" si="103"/>
        <v>- english-martyrs</v>
      </c>
      <c r="BC86" s="117" t="str">
        <f t="shared" si="104"/>
        <v/>
      </c>
      <c r="BD86" s="117" t="str">
        <f t="shared" si="105"/>
        <v/>
      </c>
      <c r="BE86" s="117" t="str">
        <f t="shared" si="106"/>
        <v/>
      </c>
      <c r="BF86" s="117" t="str">
        <f t="shared" si="107"/>
        <v/>
      </c>
      <c r="BG86" s="117" t="str">
        <f t="shared" si="108"/>
        <v/>
      </c>
      <c r="BH86" s="117" t="str">
        <f t="shared" si="109"/>
        <v/>
      </c>
      <c r="BI86" s="117" t="str">
        <f t="shared" si="110"/>
        <v/>
      </c>
      <c r="BJ86" s="117" t="str">
        <f t="shared" si="111"/>
        <v/>
      </c>
      <c r="BK86" s="117" t="str">
        <f t="shared" si="112"/>
        <v/>
      </c>
      <c r="BL86" s="117" t="str">
        <f t="shared" si="113"/>
        <v xml:space="preserve">tags:
- gb_x000D_
- london_x000D_
- holy-persons_x000D_
- english-martyrs_x000D_
</v>
      </c>
      <c r="BM86" s="120" t="str">
        <f t="shared" si="124"/>
        <v/>
      </c>
      <c r="BN86" s="120" t="str">
        <f t="shared" si="125"/>
        <v/>
      </c>
      <c r="BO86" s="120" t="str">
        <f t="shared" si="126"/>
        <v/>
      </c>
      <c r="BP86" s="120" t="str">
        <f t="shared" si="127"/>
        <v/>
      </c>
      <c r="BQ86" s="117" t="str">
        <f t="shared" si="114"/>
        <v/>
      </c>
      <c r="BR86" s="117" t="str">
        <f t="shared" si="115"/>
        <v/>
      </c>
      <c r="BS86" s="117" t="str">
        <f t="shared" si="116"/>
        <v/>
      </c>
      <c r="BT86" s="117" t="str">
        <f t="shared" si="117"/>
        <v/>
      </c>
      <c r="BU86" s="117" t="str">
        <f>IF(LEN(concat(BR86:BT86))&gt;0,concat("| ",BR86," | ",BS86," | ",BT86," |"),"")</f>
        <v/>
      </c>
      <c r="BV86" s="117" t="str">
        <f t="shared" si="118"/>
        <v/>
      </c>
      <c r="BW86" s="117" t="str">
        <f>IF(LEN(BQ86&amp;BV86)&gt;0,concatll("#### More Information",BQ86,BV86),"")</f>
        <v/>
      </c>
      <c r="BX86" s="117" t="str">
        <f>IF(LEN(N86)&gt;1,concatll("#### Author's Note",N86,"-"&amp;B86),"")</f>
        <v/>
      </c>
      <c r="BY86" s="117" t="s">
        <v>53</v>
      </c>
      <c r="BZ86" s="117" t="s">
        <v>53</v>
      </c>
      <c r="CA86" s="6" t="str">
        <f>IF(AS86,concatll(concatl("---",AT86:AV86,BL86,"---"),M86,BW86:BX86),"")</f>
        <v xml:space="preserve">---_x000D_
title: "Site of Tyburn Tree"_x000D_
location: {lat: 51.5133260560522, lng: -0.160381452351621}_x000D_
interest: regional_x000D_
tags:
- gb_x000D_
- london_x000D_
- holy-persons_x000D_
- english-martyrs_x000D_
_x000D_
---_x000D_
_x000D_
_x000D_
Tyburn Tree was the name of the gallows where many Catholic martyrs were hung, drawn, and quartered or hung until dead.
The saints, blesseds, and venerables who died on this site include John Houghton, Robert Lawrence, Augustine Webster, Richard Reynolds, Ralph Sherwin, Alexander Briant, Luke Kirby, Margaret Ward, Eustace White, Polydore Plasden, Thomas Garnet, John Roberts, John Almond, Bartholomew Roe, Henry Morse, John Southworth, Oliver Plunkett, John Haile (or Hale), William Exmew, Humphrey Middlemore, Sebastian Newdigate, Robert Johnson, William Filby, Lawrence Richardson, Thomas Cottam, John Storey, Thomas Woodhouse, John Nelson, Thomas Sherwood, Everard Hanse, William Horne, John Larke and German Gardiner.
Down the street to the west is Tyburn Convent._x000D_
_x000D_
</v>
      </c>
      <c r="CB86" s="6" t="str">
        <f>IF(AS86,"places\"&amp;VLOOKUP(C86,'Country Tags'!C:D,2,)&amp;IF(LEN(D86)&gt;1,"-"&amp;LOWER(SUBSTITUTE(D86," ","-")),"")&amp;"-"&amp;LOWER(SUBSTITUTE(SUBSTITUTE(H86," ","-"),".",""))&amp;".md","")</f>
        <v>places\gb-london-site-of-tyburn-tree.md</v>
      </c>
      <c r="CC86" s="6"/>
      <c r="CD86" s="12" t="e">
        <f>IF(LEN(Z86)&gt;1,VLOOKUP(Z86,#REF!,2,),"")</f>
        <v>#REF!</v>
      </c>
      <c r="CE86" s="12" t="str">
        <f>IF(LEN(AA86)&gt;1,VLOOKUP(AA86,#REF!,2,),"")</f>
        <v/>
      </c>
      <c r="CF86" s="12" t="str">
        <f>IF(LEN(AB86)&gt;1,VLOOKUP(AB86,#REF!,2,),"")</f>
        <v/>
      </c>
      <c r="CG86" s="12" t="e">
        <f>IF(LEN(Z86)&gt;1,GetTagPage(CD86,Z86),"")</f>
        <v>#VALUE!</v>
      </c>
      <c r="CH86" s="12" t="str">
        <f>IF(LEN(AA86)&gt;1,GetTagPage(CE86,AA86),"")</f>
        <v/>
      </c>
      <c r="CI86" s="12" t="str">
        <f>IF(LEN(AB86)&gt;1,GetTagPage(CF86,AB86),"")</f>
        <v/>
      </c>
      <c r="CJ86" s="12" t="e">
        <f t="shared" si="119"/>
        <v>#VALUE!</v>
      </c>
      <c r="CK86" s="12" t="str">
        <f t="shared" si="120"/>
        <v xml:space="preserve">| [](/places/places\gb-london-site-of-tyburn-tree) </v>
      </c>
      <c r="CL86" s="13" t="str">
        <f>"| "&amp;IF(AS86,GetTagPage(C86,VLOOKUP(C86,'Country Tags'!C:E,3,)),C86)&amp; " "</f>
        <v xml:space="preserve">| [United Kingdom](/tags/gb) </v>
      </c>
      <c r="CM86" s="12" t="str">
        <f t="shared" si="121"/>
        <v xml:space="preserve">|  </v>
      </c>
      <c r="CN86" s="12" t="str">
        <f t="shared" si="122"/>
        <v xml:space="preserve">| [Link](/places/places\gb-london-site-of-tyburn-tree) </v>
      </c>
      <c r="CO86" s="12" t="e">
        <f t="shared" si="123"/>
        <v>#VALUE!</v>
      </c>
    </row>
    <row r="87" spans="1:93" ht="51" x14ac:dyDescent="0.25">
      <c r="A87" s="129" t="s">
        <v>786</v>
      </c>
      <c r="B87" s="55" t="s">
        <v>1654</v>
      </c>
      <c r="C87" s="55" t="s">
        <v>1070</v>
      </c>
      <c r="D87" s="55" t="s">
        <v>1172</v>
      </c>
      <c r="E87" s="1">
        <v>34.324656099999999</v>
      </c>
      <c r="F87" s="30">
        <v>-91.942694700000004</v>
      </c>
      <c r="G87" s="7" t="s">
        <v>1069</v>
      </c>
      <c r="H87" s="61" t="s">
        <v>1626</v>
      </c>
      <c r="I87" s="55" t="s">
        <v>941</v>
      </c>
      <c r="J87" s="7" t="b">
        <v>1</v>
      </c>
      <c r="L87" s="7" t="b">
        <v>1</v>
      </c>
      <c r="M87" s="55" t="s">
        <v>1173</v>
      </c>
      <c r="O87" s="1" t="s">
        <v>1174</v>
      </c>
      <c r="P87" s="144" t="s">
        <v>1745</v>
      </c>
      <c r="Q87" s="75" t="s">
        <v>1311</v>
      </c>
      <c r="R87" s="1" t="s">
        <v>1175</v>
      </c>
      <c r="S87" s="63" t="s">
        <v>53</v>
      </c>
      <c r="Z87" s="62" t="s">
        <v>1176</v>
      </c>
      <c r="AS87" s="116" t="b">
        <f t="shared" si="95"/>
        <v>1</v>
      </c>
      <c r="AT87" s="117" t="str">
        <f t="shared" si="96"/>
        <v>title: "St. Mary Catholic Church, Pine Bluff, AR"</v>
      </c>
      <c r="AU87" s="117" t="str">
        <f t="shared" si="97"/>
        <v>location: {lat: 34.3246561, lng: -91.9426947}</v>
      </c>
      <c r="AV87" s="117" t="str">
        <f t="shared" si="98"/>
        <v>interest: regional</v>
      </c>
      <c r="AW87" s="117" t="str">
        <f>"- "&amp;VLOOKUP(C87,'Country Tags'!C:E,3,)</f>
        <v>- us
- us-ar</v>
      </c>
      <c r="AX87" s="117" t="str">
        <f t="shared" si="99"/>
        <v>- pine-bluff</v>
      </c>
      <c r="AY87" s="117" t="str">
        <f t="shared" si="100"/>
        <v>- churches</v>
      </c>
      <c r="AZ87" s="117" t="str">
        <f t="shared" si="101"/>
        <v/>
      </c>
      <c r="BA87" s="117" t="str">
        <f t="shared" si="102"/>
        <v>- holy-persons</v>
      </c>
      <c r="BB87" s="117" t="str">
        <f t="shared" si="103"/>
        <v>- agnes-hart</v>
      </c>
      <c r="BC87" s="117" t="str">
        <f t="shared" si="104"/>
        <v/>
      </c>
      <c r="BD87" s="117" t="str">
        <f t="shared" si="105"/>
        <v/>
      </c>
      <c r="BE87" s="117" t="str">
        <f t="shared" si="106"/>
        <v/>
      </c>
      <c r="BF87" s="117" t="str">
        <f t="shared" si="107"/>
        <v/>
      </c>
      <c r="BG87" s="117" t="str">
        <f t="shared" si="108"/>
        <v/>
      </c>
      <c r="BH87" s="117" t="str">
        <f t="shared" si="109"/>
        <v/>
      </c>
      <c r="BI87" s="117" t="str">
        <f t="shared" si="110"/>
        <v/>
      </c>
      <c r="BJ87" s="117" t="str">
        <f t="shared" si="111"/>
        <v/>
      </c>
      <c r="BK87" s="117" t="str">
        <f t="shared" si="112"/>
        <v/>
      </c>
      <c r="BL87" s="117" t="str">
        <f t="shared" si="113"/>
        <v xml:space="preserve">tags:
- us
- us-ar_x000D_
- pine-bluff_x000D_
- churches_x000D_
- holy-persons_x000D_
- agnes-hart_x000D_
</v>
      </c>
      <c r="BM87" s="120" t="str">
        <f t="shared" si="124"/>
        <v>[Official site](https://www.stjosephpinebluff.org/st-mary-catholic-church.html) - Now under the care of nearby St. Joseph Parish</v>
      </c>
      <c r="BN87" s="120" t="str">
        <f t="shared" si="125"/>
        <v>[*American Catholic History* podcast episode on St. Mary](https://americancatholichistory.org/old-st-mary-pine-bluff-arkansas/)</v>
      </c>
      <c r="BO87" s="120" t="str">
        <f t="shared" si="126"/>
        <v/>
      </c>
      <c r="BP87" s="120" t="str">
        <f t="shared" si="127"/>
        <v/>
      </c>
      <c r="BQ87" s="117" t="str">
        <f t="shared" si="114"/>
        <v xml:space="preserve">* [Official site](https://www.stjosephpinebluff.org/st-mary-catholic-church.html) - Now under the care of nearby St. Joseph Parish
* [*American Catholic History* podcast episode on St. Mary](https://americancatholichistory.org/old-st-mary-pine-bluff-arkansas/)
</v>
      </c>
      <c r="BR87" s="117" t="str">
        <f t="shared" si="115"/>
        <v/>
      </c>
      <c r="BS87" s="117" t="str">
        <f t="shared" si="116"/>
        <v/>
      </c>
      <c r="BT87" s="117" t="str">
        <f t="shared" si="117"/>
        <v/>
      </c>
      <c r="BU87" s="117" t="str">
        <f>IF(LEN(concat(BR87:BT87))&gt;0,concat("| ",BR87," | ",BS87," | ",BT87," |"),"")</f>
        <v/>
      </c>
      <c r="BV87" s="117" t="str">
        <f t="shared" si="118"/>
        <v/>
      </c>
      <c r="BW87" s="117" t="str">
        <f>IF(LEN(BQ87&amp;BV87)&gt;0,concatll("#### More Information",BQ87,BV87),"")</f>
        <v xml:space="preserve">#### More Information_x000D_
_x000D_
* [Official site](https://www.stjosephpinebluff.org/st-mary-catholic-church.html) - Now under the care of nearby St. Joseph Parish
* [*American Catholic History* podcast episode on St. Mary](https://americancatholichistory.org/old-st-mary-pine-bluff-arkansas/)
_x000D_
_x000D_
</v>
      </c>
      <c r="BX87" s="117" t="str">
        <f>IF(LEN(N87)&gt;1,concatll("#### Author's Note",N87,"-"&amp;B87),"")</f>
        <v/>
      </c>
      <c r="BY87" s="117" t="s">
        <v>53</v>
      </c>
      <c r="BZ87" s="117" t="s">
        <v>53</v>
      </c>
      <c r="CA87" s="6" t="str">
        <f>IF(AS87,concatll(concatl("---",AT87:AV87,BL87,"---"),M87,BW87:BX87),"")</f>
        <v xml:space="preserve">---_x000D_
title: "St. Mary Catholic Church, Pine Bluff, AR"_x000D_
location: {lat: 34.3246561, lng: -91.9426947}_x000D_
interest: regional_x000D_
tags:
- us
- us-ar_x000D_
- pine-bluff_x000D_
- churches_x000D_
- holy-persons_x000D_
- agnes-hart_x000D_
_x000D_
---_x000D_
_x000D_
_x000D_
Oldest Catholic church in Arkansas, originally built on a barge in the Arkansas River in 1782 to combat the threat of flooding by the river.  The cemetery behind the church is the final resting place for Mother Agnes Hart, a nun whose body was later found to be incorrupt._x000D_
_x000D_
#### More Information_x000D_
_x000D_
* [Official site](https://www.stjosephpinebluff.org/st-mary-catholic-church.html) - Now under the care of nearby St. Joseph Parish
* [*American Catholic History* podcast episode on St. Mary](https://americancatholichistory.org/old-st-mary-pine-bluff-arkansas/)
_x000D_
_x000D_
_x000D_
_x000D_
</v>
      </c>
      <c r="CB87" s="6" t="str">
        <f>IF(AS87,"places\"&amp;VLOOKUP(C87,'Country Tags'!C:D,2,)&amp;IF(LEN(D87)&gt;1,"-"&amp;LOWER(SUBSTITUTE(D87," ","-")),"")&amp;"-"&amp;LOWER(SUBSTITUTE(SUBSTITUTE(H87," ","-"),".",""))&amp;".md","")</f>
        <v>places\us_ar-pine-bluff-st-mary.md</v>
      </c>
      <c r="CC87" s="6"/>
      <c r="CD87" s="12" t="e">
        <f>IF(LEN(Z87)&gt;1,VLOOKUP(Z87,#REF!,2,),"")</f>
        <v>#REF!</v>
      </c>
      <c r="CE87" s="12" t="str">
        <f>IF(LEN(AA87)&gt;1,VLOOKUP(AA87,#REF!,2,),"")</f>
        <v/>
      </c>
      <c r="CF87" s="12" t="str">
        <f>IF(LEN(AB87)&gt;1,VLOOKUP(AB87,#REF!,2,),"")</f>
        <v/>
      </c>
      <c r="CG87" s="12" t="e">
        <f>IF(LEN(Z87)&gt;1,GetTagPage(CD87,Z87),"")</f>
        <v>#VALUE!</v>
      </c>
      <c r="CH87" s="12" t="str">
        <f>IF(LEN(AA87)&gt;1,GetTagPage(CE87,AA87),"")</f>
        <v/>
      </c>
      <c r="CI87" s="12" t="str">
        <f>IF(LEN(AB87)&gt;1,GetTagPage(CF87,AB87),"")</f>
        <v/>
      </c>
      <c r="CJ87" s="12" t="e">
        <f t="shared" si="119"/>
        <v>#VALUE!</v>
      </c>
      <c r="CK87" s="12" t="str">
        <f t="shared" si="120"/>
        <v xml:space="preserve">| [](/places/places\us_ar-pine-bluff-st-mary) </v>
      </c>
      <c r="CL87" s="13" t="str">
        <f>"| "&amp;IF(AS87,GetTagPage(C87,VLOOKUP(C87,'Country Tags'!C:E,3,)),C87)&amp; " "</f>
        <v xml:space="preserve">| [US Arkansas](/tags/us
- us-ar) </v>
      </c>
      <c r="CM87" s="12" t="str">
        <f t="shared" si="121"/>
        <v xml:space="preserve">|  </v>
      </c>
      <c r="CN87" s="12" t="str">
        <f t="shared" si="122"/>
        <v xml:space="preserve">| [Link](/places/places\us_ar-pine-bluff-st-mary) </v>
      </c>
      <c r="CO87" s="12" t="e">
        <f t="shared" si="123"/>
        <v>#VALUE!</v>
      </c>
    </row>
    <row r="88" spans="1:93" ht="25.5" x14ac:dyDescent="0.25">
      <c r="A88" s="129" t="s">
        <v>786</v>
      </c>
      <c r="B88" s="130" t="s">
        <v>1653</v>
      </c>
      <c r="C88" s="84" t="s">
        <v>1074</v>
      </c>
      <c r="D88" s="7" t="s">
        <v>1467</v>
      </c>
      <c r="E88" s="1">
        <v>32.784454414036396</v>
      </c>
      <c r="F88" s="30">
        <v>-117.106379960395</v>
      </c>
      <c r="G88" s="7" t="s">
        <v>1447</v>
      </c>
      <c r="H88" s="86" t="s">
        <v>1470</v>
      </c>
      <c r="I88" s="84" t="s">
        <v>1002</v>
      </c>
      <c r="J88" s="7" t="b">
        <v>1</v>
      </c>
      <c r="L88" s="7" t="b">
        <v>1</v>
      </c>
      <c r="M88" s="7" t="s">
        <v>1484</v>
      </c>
      <c r="O88" s="1" t="s">
        <v>1500</v>
      </c>
      <c r="P88" s="1" t="s">
        <v>53</v>
      </c>
      <c r="Q88" s="87" t="s">
        <v>1520</v>
      </c>
      <c r="R88" s="1" t="s">
        <v>1521</v>
      </c>
      <c r="S88" s="44" t="s">
        <v>53</v>
      </c>
      <c r="T88" s="87" t="s">
        <v>1542</v>
      </c>
      <c r="U88" s="1" t="s">
        <v>1543</v>
      </c>
      <c r="V88" s="88" t="s">
        <v>53</v>
      </c>
      <c r="Z88" s="85" t="s">
        <v>1573</v>
      </c>
      <c r="AA88" s="85" t="s">
        <v>1567</v>
      </c>
      <c r="AB88" s="1" t="s">
        <v>1566</v>
      </c>
      <c r="AS88" s="116" t="b">
        <f t="shared" si="95"/>
        <v>1</v>
      </c>
      <c r="AT88" s="117" t="str">
        <f t="shared" si="96"/>
        <v>title: "Mission San Diego de Alcala"</v>
      </c>
      <c r="AU88" s="117" t="str">
        <f t="shared" si="97"/>
        <v>location: {lat: 32.7844544140364, lng: -117.106379960395}</v>
      </c>
      <c r="AV88" s="117" t="str">
        <f t="shared" si="98"/>
        <v>interest: local</v>
      </c>
      <c r="AW88" s="117" t="str">
        <f>"- "&amp;VLOOKUP(C88,'Country Tags'!C:E,3,)</f>
        <v>- us
- us-ca</v>
      </c>
      <c r="AX88" s="117" t="str">
        <f t="shared" si="99"/>
        <v>- san-diego</v>
      </c>
      <c r="AY88" s="117" t="str">
        <f t="shared" si="100"/>
        <v>- churches</v>
      </c>
      <c r="AZ88" s="117" t="str">
        <f t="shared" si="101"/>
        <v/>
      </c>
      <c r="BA88" s="117" t="str">
        <f t="shared" si="102"/>
        <v>- holy-persons</v>
      </c>
      <c r="BB88" s="117" t="str">
        <f t="shared" si="103"/>
        <v>- california-missions</v>
      </c>
      <c r="BC88" s="117" t="str">
        <f t="shared" si="104"/>
        <v>- franciscans</v>
      </c>
      <c r="BD88" s="117" t="str">
        <f t="shared" si="105"/>
        <v>- junipero-serra</v>
      </c>
      <c r="BE88" s="117" t="str">
        <f t="shared" si="106"/>
        <v/>
      </c>
      <c r="BF88" s="117" t="str">
        <f t="shared" si="107"/>
        <v/>
      </c>
      <c r="BG88" s="117" t="str">
        <f t="shared" si="108"/>
        <v/>
      </c>
      <c r="BH88" s="117" t="str">
        <f t="shared" si="109"/>
        <v/>
      </c>
      <c r="BI88" s="117" t="str">
        <f t="shared" si="110"/>
        <v/>
      </c>
      <c r="BJ88" s="117" t="str">
        <f t="shared" si="111"/>
        <v/>
      </c>
      <c r="BK88" s="117" t="str">
        <f t="shared" si="112"/>
        <v/>
      </c>
      <c r="BL88" s="117" t="str">
        <f t="shared" si="113"/>
        <v xml:space="preserve">tags:
- us
- us-ca_x000D_
- san-diego_x000D_
- churches_x000D_
- holy-persons_x000D_
- california-missions_x000D_
- franciscans_x000D_
- junipero-serra_x000D_
</v>
      </c>
      <c r="BM88" s="120" t="str">
        <f t="shared" si="124"/>
        <v>[Official site](https://www.missionsandiego.org/)</v>
      </c>
      <c r="BN88" s="120" t="str">
        <f t="shared" si="125"/>
        <v>[California Missions Foundation page](https://californiamissionsfoundation.org/mission-san-diego-de-alcala/)</v>
      </c>
      <c r="BO88" s="120" t="str">
        <f t="shared" si="126"/>
        <v>[Missions California page](https://www.missionscalifornia.com/missions/san-diego-de-alcala/)</v>
      </c>
      <c r="BP88" s="120" t="str">
        <f t="shared" si="127"/>
        <v/>
      </c>
      <c r="BQ88" s="117" t="str">
        <f t="shared" si="114"/>
        <v xml:space="preserve">* [Official site](https://www.missionsandiego.org/)
* [California Missions Foundation page](https://californiamissionsfoundation.org/mission-san-diego-de-alcala/)
* [Missions California page](https://www.missionscalifornia.com/missions/san-diego-de-alcala/)
</v>
      </c>
      <c r="BR88" s="117" t="str">
        <f t="shared" si="115"/>
        <v/>
      </c>
      <c r="BS88" s="117" t="str">
        <f t="shared" si="116"/>
        <v/>
      </c>
      <c r="BT88" s="117" t="str">
        <f t="shared" si="117"/>
        <v/>
      </c>
      <c r="BU88" s="117" t="str">
        <f>IF(LEN(concat(BR88:BT88))&gt;0,concat("| ",BR88," | ",BS88," | ",BT88," |"),"")</f>
        <v/>
      </c>
      <c r="BV88" s="117" t="str">
        <f t="shared" si="118"/>
        <v/>
      </c>
      <c r="BW88" s="117" t="str">
        <f>IF(LEN(BQ88&amp;BV88)&gt;0,concatll("#### More Information",BQ88,BV88),"")</f>
        <v xml:space="preserve">#### More Information_x000D_
_x000D_
* [Official site](https://www.missionsandiego.org/)
* [California Missions Foundation page](https://californiamissionsfoundation.org/mission-san-diego-de-alcala/)
* [Missions California page](https://www.missionscalifornia.com/missions/san-diego-de-alcala/)
_x000D_
_x000D_
</v>
      </c>
      <c r="BX88" s="117" t="str">
        <f>IF(LEN(N88)&gt;1,concatll("#### Author's Note",N88,"-"&amp;B88),"")</f>
        <v/>
      </c>
      <c r="BY88" s="117" t="s">
        <v>53</v>
      </c>
      <c r="BZ88" s="117" t="s">
        <v>53</v>
      </c>
      <c r="CA88" s="6" t="str">
        <f>IF(AS88,concatll(concatl("---",AT88:AV88,BL88,"---"),M88,BW88:BX88),"")</f>
        <v xml:space="preserve">---_x000D_
title: "Mission San Diego de Alcala"_x000D_
location: {lat: 32.7844544140364, lng: -117.106379960395}_x000D_
interest: local_x000D_
tags:
- us
- us-ca_x000D_
- san-diego_x000D_
- churches_x000D_
- holy-persons_x000D_
- california-missions_x000D_
- franciscans_x000D_
- junipero-serra_x000D_
_x000D_
---_x000D_
_x000D_
_x000D_
The 1st of the 21 California missions, founded in 1769._x000D_
_x000D_
#### More Information_x000D_
_x000D_
* [Official site](https://www.missionsandiego.org/)
* [California Missions Foundation page](https://californiamissionsfoundation.org/mission-san-diego-de-alcala/)
* [Missions California page](https://www.missionscalifornia.com/missions/san-diego-de-alcala/)
_x000D_
_x000D_
_x000D_
_x000D_
</v>
      </c>
      <c r="CB88" s="6" t="str">
        <f>IF(AS88,"places\"&amp;VLOOKUP(C88,'Country Tags'!C:D,2,)&amp;IF(LEN(D88)&gt;1,"-"&amp;LOWER(SUBSTITUTE(D88," ","-")),"")&amp;"-"&amp;LOWER(SUBSTITUTE(SUBSTITUTE(H88," ","-"),".",""))&amp;".md","")</f>
        <v>places\us_ca-san-diego-mission-san-diego.md</v>
      </c>
      <c r="CC88" s="6"/>
      <c r="CD88" s="12" t="e">
        <f>IF(LEN(Z88)&gt;1,VLOOKUP(Z88,#REF!,2,),"")</f>
        <v>#REF!</v>
      </c>
      <c r="CE88" s="12" t="e">
        <f>IF(LEN(AA88)&gt;1,VLOOKUP(AA88,#REF!,2,),"")</f>
        <v>#REF!</v>
      </c>
      <c r="CF88" s="12" t="e">
        <f>IF(LEN(AB88)&gt;1,VLOOKUP(AB88,#REF!,2,),"")</f>
        <v>#REF!</v>
      </c>
      <c r="CG88" s="12" t="e">
        <f>IF(LEN(Z88)&gt;1,GetTagPage(CD88,Z88),"")</f>
        <v>#VALUE!</v>
      </c>
      <c r="CH88" s="12" t="e">
        <f>IF(LEN(AA88)&gt;1,GetTagPage(CE88,AA88),"")</f>
        <v>#VALUE!</v>
      </c>
      <c r="CI88" s="12" t="e">
        <f>IF(LEN(AB88)&gt;1,GetTagPage(CF88,AB88),"")</f>
        <v>#VALUE!</v>
      </c>
      <c r="CJ88" s="12" t="e">
        <f t="shared" si="119"/>
        <v>#VALUE!</v>
      </c>
      <c r="CK88" s="12" t="str">
        <f t="shared" si="120"/>
        <v xml:space="preserve">| [](/places/places\us_ca-san-diego-mission-san-diego) </v>
      </c>
      <c r="CL88" s="13" t="str">
        <f>"| "&amp;IF(AS88,GetTagPage(C88,VLOOKUP(C88,'Country Tags'!C:E,3,)),C88)&amp; " "</f>
        <v xml:space="preserve">| [US California](/tags/us
- us-ca) </v>
      </c>
      <c r="CM88" s="12" t="str">
        <f t="shared" si="121"/>
        <v xml:space="preserve">|  </v>
      </c>
      <c r="CN88" s="12" t="str">
        <f t="shared" si="122"/>
        <v xml:space="preserve">| [Link](/places/places\us_ca-san-diego-mission-san-diego) </v>
      </c>
      <c r="CO88" s="12" t="e">
        <f t="shared" si="123"/>
        <v>#VALUE!</v>
      </c>
    </row>
    <row r="89" spans="1:93" ht="25.5" x14ac:dyDescent="0.25">
      <c r="A89" s="129" t="s">
        <v>786</v>
      </c>
      <c r="B89" s="7" t="s">
        <v>1653</v>
      </c>
      <c r="C89" s="7" t="s">
        <v>1074</v>
      </c>
      <c r="D89" s="148" t="s">
        <v>1746</v>
      </c>
      <c r="E89" s="1">
        <v>36.542542305904099</v>
      </c>
      <c r="F89" s="30">
        <v>-121.91985692948499</v>
      </c>
      <c r="G89" s="7" t="s">
        <v>1448</v>
      </c>
      <c r="H89" s="86" t="s">
        <v>1472</v>
      </c>
      <c r="I89" s="84" t="s">
        <v>941</v>
      </c>
      <c r="J89" s="7" t="b">
        <v>1</v>
      </c>
      <c r="L89" s="7" t="b">
        <v>1</v>
      </c>
      <c r="M89" s="84" t="s">
        <v>1569</v>
      </c>
      <c r="O89" s="1" t="s">
        <v>1501</v>
      </c>
      <c r="P89" s="1" t="s">
        <v>53</v>
      </c>
      <c r="Q89" s="40" t="s">
        <v>1520</v>
      </c>
      <c r="R89" s="1" t="s">
        <v>1522</v>
      </c>
      <c r="S89" s="44" t="s">
        <v>53</v>
      </c>
      <c r="T89" s="40" t="s">
        <v>1542</v>
      </c>
      <c r="U89" s="1" t="s">
        <v>1544</v>
      </c>
      <c r="V89" s="44" t="s">
        <v>53</v>
      </c>
      <c r="Z89" s="1" t="s">
        <v>1573</v>
      </c>
      <c r="AA89" s="1" t="s">
        <v>1567</v>
      </c>
      <c r="AB89" s="1" t="s">
        <v>1566</v>
      </c>
      <c r="AS89" s="116" t="b">
        <f t="shared" si="95"/>
        <v>1</v>
      </c>
      <c r="AT89" s="117" t="str">
        <f t="shared" si="96"/>
        <v>title: "Mission San Carlos Borromeo de Carmelo"</v>
      </c>
      <c r="AU89" s="117" t="str">
        <f t="shared" si="97"/>
        <v>location: {lat: 36.5425423059041, lng: -121.919856929485}</v>
      </c>
      <c r="AV89" s="117" t="str">
        <f t="shared" si="98"/>
        <v>interest: regional</v>
      </c>
      <c r="AW89" s="117" t="str">
        <f>"- "&amp;VLOOKUP(C89,'Country Tags'!C:E,3,)</f>
        <v>- us
- us-ca</v>
      </c>
      <c r="AX89" s="117" t="str">
        <f t="shared" si="99"/>
        <v>- monterey</v>
      </c>
      <c r="AY89" s="117" t="str">
        <f t="shared" si="100"/>
        <v>- churches</v>
      </c>
      <c r="AZ89" s="117" t="str">
        <f t="shared" si="101"/>
        <v/>
      </c>
      <c r="BA89" s="117" t="str">
        <f t="shared" si="102"/>
        <v>- holy-persons</v>
      </c>
      <c r="BB89" s="117" t="str">
        <f t="shared" si="103"/>
        <v>- california-missions</v>
      </c>
      <c r="BC89" s="117" t="str">
        <f t="shared" si="104"/>
        <v>- franciscans</v>
      </c>
      <c r="BD89" s="117" t="str">
        <f t="shared" si="105"/>
        <v>- junipero-serra</v>
      </c>
      <c r="BE89" s="117" t="str">
        <f t="shared" si="106"/>
        <v/>
      </c>
      <c r="BF89" s="117" t="str">
        <f t="shared" si="107"/>
        <v/>
      </c>
      <c r="BG89" s="117" t="str">
        <f t="shared" si="108"/>
        <v/>
      </c>
      <c r="BH89" s="117" t="str">
        <f t="shared" si="109"/>
        <v/>
      </c>
      <c r="BI89" s="117" t="str">
        <f t="shared" si="110"/>
        <v/>
      </c>
      <c r="BJ89" s="117" t="str">
        <f t="shared" si="111"/>
        <v/>
      </c>
      <c r="BK89" s="117" t="str">
        <f t="shared" si="112"/>
        <v/>
      </c>
      <c r="BL89" s="117" t="str">
        <f t="shared" si="113"/>
        <v xml:space="preserve">tags:
- us
- us-ca_x000D_
- monterey_x000D_
- churches_x000D_
- holy-persons_x000D_
- california-missions_x000D_
- franciscans_x000D_
- junipero-serra_x000D_
</v>
      </c>
      <c r="BM89" s="120" t="str">
        <f t="shared" si="124"/>
        <v>[Official site](http://www.carmelmission.org/)</v>
      </c>
      <c r="BN89" s="120" t="str">
        <f t="shared" si="125"/>
        <v>[California Missions Foundation page](https://californiamissionsfoundation.org/mission-san-carlos-borromeo/)</v>
      </c>
      <c r="BO89" s="120" t="str">
        <f t="shared" si="126"/>
        <v>[Missions California page](https://www.missionscalifornia.com/missions/san-carlos-borromeo-de-carmelo/)</v>
      </c>
      <c r="BP89" s="120" t="str">
        <f t="shared" si="127"/>
        <v/>
      </c>
      <c r="BQ89" s="117" t="str">
        <f t="shared" si="114"/>
        <v xml:space="preserve">* [Official site](http://www.carmelmission.org/)
* [California Missions Foundation page](https://californiamissionsfoundation.org/mission-san-carlos-borromeo/)
* [Missions California page](https://www.missionscalifornia.com/missions/san-carlos-borromeo-de-carmelo/)
</v>
      </c>
      <c r="BR89" s="117" t="str">
        <f t="shared" si="115"/>
        <v/>
      </c>
      <c r="BS89" s="117" t="str">
        <f t="shared" si="116"/>
        <v/>
      </c>
      <c r="BT89" s="117" t="str">
        <f t="shared" si="117"/>
        <v/>
      </c>
      <c r="BU89" s="117" t="str">
        <f>IF(LEN(concat(BR89:BT89))&gt;0,concat("| ",BR89," | ",BS89," | ",BT89," |"),"")</f>
        <v/>
      </c>
      <c r="BV89" s="117" t="str">
        <f t="shared" si="118"/>
        <v/>
      </c>
      <c r="BW89" s="117" t="str">
        <f>IF(LEN(BQ89&amp;BV89)&gt;0,concatll("#### More Information",BQ89,BV89),"")</f>
        <v xml:space="preserve">#### More Information_x000D_
_x000D_
* [Official site](http://www.carmelmission.org/)
* [California Missions Foundation page](https://californiamissionsfoundation.org/mission-san-carlos-borromeo/)
* [Missions California page](https://www.missionscalifornia.com/missions/san-carlos-borromeo-de-carmelo/)
_x000D_
_x000D_
</v>
      </c>
      <c r="BX89" s="117" t="str">
        <f>IF(LEN(N89)&gt;1,concatll("#### Author's Note",N89,"-"&amp;B89),"")</f>
        <v/>
      </c>
      <c r="BY89" s="117" t="s">
        <v>53</v>
      </c>
      <c r="BZ89" s="117" t="s">
        <v>53</v>
      </c>
      <c r="CA89" s="6" t="str">
        <f>IF(AS89,concatll(concatl("---",AT89:AV89,BL89,"---"),M89,BW89:BX89),"")</f>
        <v xml:space="preserve">---_x000D_
title: "Mission San Carlos Borromeo de Carmelo"_x000D_
location: {lat: 36.5425423059041, lng: -121.919856929485}_x000D_
interest: regional_x000D_
tags:
- us
- us-ca_x000D_
- monterey_x000D_
- churches_x000D_
- holy-persons_x000D_
- california-missions_x000D_
- franciscans_x000D_
- junipero-serra_x000D_
_x000D_
---_x000D_
_x000D_
_x000D_
The 2nd of the 21 California missions, founded in 1770, and the site of St. Junipero Serra's death.  His remains are located southeast of the altar._x000D_
_x000D_
#### More Information_x000D_
_x000D_
* [Official site](http://www.carmelmission.org/)
* [California Missions Foundation page](https://californiamissionsfoundation.org/mission-san-carlos-borromeo/)
* [Missions California page](https://www.missionscalifornia.com/missions/san-carlos-borromeo-de-carmelo/)
_x000D_
_x000D_
_x000D_
_x000D_
</v>
      </c>
      <c r="CB89" s="6" t="str">
        <f>IF(AS89,"places\"&amp;VLOOKUP(C89,'Country Tags'!C:D,2,)&amp;IF(LEN(D89)&gt;1,"-"&amp;LOWER(SUBSTITUTE(D89," ","-")),"")&amp;"-"&amp;LOWER(SUBSTITUTE(SUBSTITUTE(H89," ","-"),".",""))&amp;".md","")</f>
        <v>places\us_ca-monterey-mission-san-carlos.md</v>
      </c>
      <c r="CC89" s="6"/>
      <c r="CD89" s="12" t="e">
        <f>IF(LEN(Z89)&gt;1,VLOOKUP(Z89,#REF!,2,),"")</f>
        <v>#REF!</v>
      </c>
      <c r="CE89" s="12" t="e">
        <f>IF(LEN(AA89)&gt;1,VLOOKUP(AA89,#REF!,2,),"")</f>
        <v>#REF!</v>
      </c>
      <c r="CF89" s="12" t="e">
        <f>IF(LEN(AB89)&gt;1,VLOOKUP(AB89,#REF!,2,),"")</f>
        <v>#REF!</v>
      </c>
      <c r="CG89" s="12" t="e">
        <f>IF(LEN(Z89)&gt;1,GetTagPage(CD89,Z89),"")</f>
        <v>#VALUE!</v>
      </c>
      <c r="CH89" s="12" t="e">
        <f>IF(LEN(AA89)&gt;1,GetTagPage(CE89,AA89),"")</f>
        <v>#VALUE!</v>
      </c>
      <c r="CI89" s="12" t="e">
        <f>IF(LEN(AB89)&gt;1,GetTagPage(CF89,AB89),"")</f>
        <v>#VALUE!</v>
      </c>
      <c r="CJ89" s="12" t="e">
        <f t="shared" si="119"/>
        <v>#VALUE!</v>
      </c>
      <c r="CK89" s="12" t="str">
        <f t="shared" si="120"/>
        <v xml:space="preserve">| [](/places/places\us_ca-monterey-mission-san-carlos) </v>
      </c>
      <c r="CL89" s="13" t="str">
        <f>"| "&amp;IF(AS89,GetTagPage(C89,VLOOKUP(C89,'Country Tags'!C:E,3,)),C89)&amp; " "</f>
        <v xml:space="preserve">| [US California](/tags/us
- us-ca) </v>
      </c>
      <c r="CM89" s="12" t="str">
        <f t="shared" si="121"/>
        <v xml:space="preserve">|  </v>
      </c>
      <c r="CN89" s="12" t="str">
        <f t="shared" si="122"/>
        <v xml:space="preserve">| [Link](/places/places\us_ca-monterey-mission-san-carlos) </v>
      </c>
      <c r="CO89" s="12" t="e">
        <f t="shared" si="123"/>
        <v>#VALUE!</v>
      </c>
    </row>
    <row r="90" spans="1:93" ht="25.5" x14ac:dyDescent="0.25">
      <c r="A90" s="129" t="s">
        <v>786</v>
      </c>
      <c r="B90" s="7" t="s">
        <v>1653</v>
      </c>
      <c r="C90" s="7" t="s">
        <v>1074</v>
      </c>
      <c r="D90" s="148" t="s">
        <v>1746</v>
      </c>
      <c r="E90" s="1">
        <v>36.015380016252898</v>
      </c>
      <c r="F90" s="30">
        <v>-121.250314673798</v>
      </c>
      <c r="G90" s="7" t="s">
        <v>1449</v>
      </c>
      <c r="H90" s="86" t="s">
        <v>1473</v>
      </c>
      <c r="I90" s="7" t="s">
        <v>1002</v>
      </c>
      <c r="J90" s="7" t="b">
        <v>1</v>
      </c>
      <c r="L90" s="7" t="b">
        <v>1</v>
      </c>
      <c r="M90" s="7" t="s">
        <v>1485</v>
      </c>
      <c r="O90" s="1" t="s">
        <v>1502</v>
      </c>
      <c r="P90" s="1" t="s">
        <v>53</v>
      </c>
      <c r="Q90" s="40" t="s">
        <v>1520</v>
      </c>
      <c r="R90" s="1" t="s">
        <v>1523</v>
      </c>
      <c r="S90" s="44" t="s">
        <v>53</v>
      </c>
      <c r="T90" s="40" t="s">
        <v>1542</v>
      </c>
      <c r="U90" s="1" t="s">
        <v>1545</v>
      </c>
      <c r="V90" s="44" t="s">
        <v>53</v>
      </c>
      <c r="Z90" s="1" t="s">
        <v>1573</v>
      </c>
      <c r="AA90" s="1" t="s">
        <v>1567</v>
      </c>
      <c r="AB90" s="1" t="s">
        <v>1566</v>
      </c>
      <c r="AS90" s="116" t="b">
        <f t="shared" si="95"/>
        <v>1</v>
      </c>
      <c r="AT90" s="117" t="str">
        <f t="shared" si="96"/>
        <v>title: "Mission San Antonio de Padua"</v>
      </c>
      <c r="AU90" s="117" t="str">
        <f t="shared" si="97"/>
        <v>location: {lat: 36.0153800162529, lng: -121.250314673798}</v>
      </c>
      <c r="AV90" s="117" t="str">
        <f t="shared" si="98"/>
        <v>interest: local</v>
      </c>
      <c r="AW90" s="117" t="str">
        <f>"- "&amp;VLOOKUP(C90,'Country Tags'!C:E,3,)</f>
        <v>- us
- us-ca</v>
      </c>
      <c r="AX90" s="117" t="str">
        <f t="shared" si="99"/>
        <v>- monterey</v>
      </c>
      <c r="AY90" s="117" t="str">
        <f t="shared" si="100"/>
        <v>- churches</v>
      </c>
      <c r="AZ90" s="117" t="str">
        <f t="shared" si="101"/>
        <v/>
      </c>
      <c r="BA90" s="117" t="str">
        <f t="shared" si="102"/>
        <v>- holy-persons</v>
      </c>
      <c r="BB90" s="117" t="str">
        <f t="shared" si="103"/>
        <v>- california-missions</v>
      </c>
      <c r="BC90" s="117" t="str">
        <f t="shared" si="104"/>
        <v>- franciscans</v>
      </c>
      <c r="BD90" s="117" t="str">
        <f t="shared" si="105"/>
        <v>- junipero-serra</v>
      </c>
      <c r="BE90" s="117" t="str">
        <f t="shared" si="106"/>
        <v/>
      </c>
      <c r="BF90" s="117" t="str">
        <f t="shared" si="107"/>
        <v/>
      </c>
      <c r="BG90" s="117" t="str">
        <f t="shared" si="108"/>
        <v/>
      </c>
      <c r="BH90" s="117" t="str">
        <f t="shared" si="109"/>
        <v/>
      </c>
      <c r="BI90" s="117" t="str">
        <f t="shared" si="110"/>
        <v/>
      </c>
      <c r="BJ90" s="117" t="str">
        <f t="shared" si="111"/>
        <v/>
      </c>
      <c r="BK90" s="117" t="str">
        <f t="shared" si="112"/>
        <v/>
      </c>
      <c r="BL90" s="117" t="str">
        <f t="shared" si="113"/>
        <v xml:space="preserve">tags:
- us
- us-ca_x000D_
- monterey_x000D_
- churches_x000D_
- holy-persons_x000D_
- california-missions_x000D_
- franciscans_x000D_
- junipero-serra_x000D_
</v>
      </c>
      <c r="BM90" s="120" t="str">
        <f t="shared" si="124"/>
        <v>[Official site](http://www.missionsanantonio.net/)</v>
      </c>
      <c r="BN90" s="120" t="str">
        <f t="shared" si="125"/>
        <v>[California Missions Foundation page](https://californiamissionsfoundation.org/mission-san-antonio/)</v>
      </c>
      <c r="BO90" s="120" t="str">
        <f t="shared" si="126"/>
        <v>[Missions California page](https://www.missionscalifornia.com/missions/san-antonio-de-padua/)</v>
      </c>
      <c r="BP90" s="120" t="str">
        <f t="shared" si="127"/>
        <v/>
      </c>
      <c r="BQ90" s="117" t="str">
        <f t="shared" si="114"/>
        <v xml:space="preserve">* [Official site](http://www.missionsanantonio.net/)
* [California Missions Foundation page](https://californiamissionsfoundation.org/mission-san-antonio/)
* [Missions California page](https://www.missionscalifornia.com/missions/san-antonio-de-padua/)
</v>
      </c>
      <c r="BR90" s="117" t="str">
        <f t="shared" si="115"/>
        <v/>
      </c>
      <c r="BS90" s="117" t="str">
        <f t="shared" si="116"/>
        <v/>
      </c>
      <c r="BT90" s="117" t="str">
        <f t="shared" si="117"/>
        <v/>
      </c>
      <c r="BU90" s="117" t="str">
        <f>IF(LEN(concat(BR90:BT90))&gt;0,concat("| ",BR90," | ",BS90," | ",BT90," |"),"")</f>
        <v/>
      </c>
      <c r="BV90" s="117" t="str">
        <f t="shared" si="118"/>
        <v/>
      </c>
      <c r="BW90" s="117" t="str">
        <f>IF(LEN(BQ90&amp;BV90)&gt;0,concatll("#### More Information",BQ90,BV90),"")</f>
        <v xml:space="preserve">#### More Information_x000D_
_x000D_
* [Official site](http://www.missionsanantonio.net/)
* [California Missions Foundation page](https://californiamissionsfoundation.org/mission-san-antonio/)
* [Missions California page](https://www.missionscalifornia.com/missions/san-antonio-de-padua/)
_x000D_
_x000D_
</v>
      </c>
      <c r="BX90" s="117" t="str">
        <f>IF(LEN(N90)&gt;1,concatll("#### Author's Note",N90,"-"&amp;B90),"")</f>
        <v/>
      </c>
      <c r="BY90" s="117" t="s">
        <v>53</v>
      </c>
      <c r="BZ90" s="117" t="s">
        <v>53</v>
      </c>
      <c r="CA90" s="6" t="str">
        <f>IF(AS90,concatll(concatl("---",AT90:AV90,BL90,"---"),M90,BW90:BX90),"")</f>
        <v xml:space="preserve">---_x000D_
title: "Mission San Antonio de Padua"_x000D_
location: {lat: 36.0153800162529, lng: -121.250314673798}_x000D_
interest: local_x000D_
tags:
- us
- us-ca_x000D_
- monterey_x000D_
- churches_x000D_
- holy-persons_x000D_
- california-missions_x000D_
- franciscans_x000D_
- junipero-serra_x000D_
_x000D_
---_x000D_
_x000D_
_x000D_
The 3rd of the 21 California missions, founded in 1771._x000D_
_x000D_
#### More Information_x000D_
_x000D_
* [Official site](http://www.missionsanantonio.net/)
* [California Missions Foundation page](https://californiamissionsfoundation.org/mission-san-antonio/)
* [Missions California page](https://www.missionscalifornia.com/missions/san-antonio-de-padua/)
_x000D_
_x000D_
_x000D_
_x000D_
</v>
      </c>
      <c r="CB90" s="6" t="str">
        <f>IF(AS90,"places\"&amp;VLOOKUP(C90,'Country Tags'!C:D,2,)&amp;IF(LEN(D90)&gt;1,"-"&amp;LOWER(SUBSTITUTE(D90," ","-")),"")&amp;"-"&amp;LOWER(SUBSTITUTE(SUBSTITUTE(H90," ","-"),".",""))&amp;".md","")</f>
        <v>places\us_ca-monterey-mission-san-antonio.md</v>
      </c>
      <c r="CC90" s="6"/>
      <c r="CD90" s="12" t="e">
        <f>IF(LEN(Z90)&gt;1,VLOOKUP(Z90,#REF!,2,),"")</f>
        <v>#REF!</v>
      </c>
      <c r="CE90" s="12" t="e">
        <f>IF(LEN(AA90)&gt;1,VLOOKUP(AA90,#REF!,2,),"")</f>
        <v>#REF!</v>
      </c>
      <c r="CF90" s="12" t="e">
        <f>IF(LEN(AB90)&gt;1,VLOOKUP(AB90,#REF!,2,),"")</f>
        <v>#REF!</v>
      </c>
      <c r="CG90" s="12" t="e">
        <f>IF(LEN(Z90)&gt;1,GetTagPage(CD90,Z90),"")</f>
        <v>#VALUE!</v>
      </c>
      <c r="CH90" s="12" t="e">
        <f>IF(LEN(AA90)&gt;1,GetTagPage(CE90,AA90),"")</f>
        <v>#VALUE!</v>
      </c>
      <c r="CI90" s="12" t="e">
        <f>IF(LEN(AB90)&gt;1,GetTagPage(CF90,AB90),"")</f>
        <v>#VALUE!</v>
      </c>
      <c r="CJ90" s="12" t="e">
        <f t="shared" si="119"/>
        <v>#VALUE!</v>
      </c>
      <c r="CK90" s="12" t="str">
        <f t="shared" si="120"/>
        <v xml:space="preserve">| [](/places/places\us_ca-monterey-mission-san-antonio) </v>
      </c>
      <c r="CL90" s="13" t="str">
        <f>"| "&amp;IF(AS90,GetTagPage(C90,VLOOKUP(C90,'Country Tags'!C:E,3,)),C90)&amp; " "</f>
        <v xml:space="preserve">| [US California](/tags/us
- us-ca) </v>
      </c>
      <c r="CM90" s="12" t="str">
        <f t="shared" si="121"/>
        <v xml:space="preserve">|  </v>
      </c>
      <c r="CN90" s="12" t="str">
        <f t="shared" si="122"/>
        <v xml:space="preserve">| [Link](/places/places\us_ca-monterey-mission-san-antonio) </v>
      </c>
      <c r="CO90" s="12" t="e">
        <f t="shared" si="123"/>
        <v>#VALUE!</v>
      </c>
    </row>
    <row r="91" spans="1:93" ht="25.5" x14ac:dyDescent="0.25">
      <c r="A91" s="129" t="s">
        <v>786</v>
      </c>
      <c r="B91" s="7" t="s">
        <v>1653</v>
      </c>
      <c r="C91" s="7" t="s">
        <v>1074</v>
      </c>
      <c r="D91" s="148" t="s">
        <v>1747</v>
      </c>
      <c r="E91" s="1">
        <v>34.096659673144899</v>
      </c>
      <c r="F91" s="30">
        <v>-118.10684110268799</v>
      </c>
      <c r="G91" s="7" t="s">
        <v>1450</v>
      </c>
      <c r="H91" s="86" t="s">
        <v>1474</v>
      </c>
      <c r="I91" s="7" t="s">
        <v>1002</v>
      </c>
      <c r="J91" s="7" t="b">
        <v>1</v>
      </c>
      <c r="L91" s="7" t="b">
        <v>1</v>
      </c>
      <c r="M91" s="7" t="s">
        <v>1486</v>
      </c>
      <c r="O91" s="1" t="s">
        <v>1503</v>
      </c>
      <c r="P91" s="1" t="s">
        <v>53</v>
      </c>
      <c r="Q91" s="40" t="s">
        <v>1520</v>
      </c>
      <c r="R91" s="1" t="s">
        <v>1524</v>
      </c>
      <c r="S91" s="44" t="s">
        <v>53</v>
      </c>
      <c r="T91" s="40" t="s">
        <v>1542</v>
      </c>
      <c r="U91" s="1" t="s">
        <v>1546</v>
      </c>
      <c r="V91" s="44" t="s">
        <v>53</v>
      </c>
      <c r="Z91" s="1" t="s">
        <v>1573</v>
      </c>
      <c r="AA91" s="1" t="s">
        <v>1567</v>
      </c>
      <c r="AB91" s="1" t="s">
        <v>1566</v>
      </c>
      <c r="AS91" s="116" t="b">
        <f t="shared" si="95"/>
        <v>1</v>
      </c>
      <c r="AT91" s="117" t="str">
        <f t="shared" si="96"/>
        <v>title: "Mission San Gabriel Arcangel"</v>
      </c>
      <c r="AU91" s="117" t="str">
        <f t="shared" si="97"/>
        <v>location: {lat: 34.0966596731449, lng: -118.106841102688}</v>
      </c>
      <c r="AV91" s="117" t="str">
        <f t="shared" si="98"/>
        <v>interest: local</v>
      </c>
      <c r="AW91" s="117" t="str">
        <f>"- "&amp;VLOOKUP(C91,'Country Tags'!C:E,3,)</f>
        <v>- us
- us-ca</v>
      </c>
      <c r="AX91" s="117" t="str">
        <f t="shared" si="99"/>
        <v>- los-angeles</v>
      </c>
      <c r="AY91" s="117" t="str">
        <f t="shared" si="100"/>
        <v>- churches</v>
      </c>
      <c r="AZ91" s="117" t="str">
        <f t="shared" si="101"/>
        <v/>
      </c>
      <c r="BA91" s="117" t="str">
        <f t="shared" si="102"/>
        <v>- holy-persons</v>
      </c>
      <c r="BB91" s="117" t="str">
        <f t="shared" si="103"/>
        <v>- california-missions</v>
      </c>
      <c r="BC91" s="117" t="str">
        <f t="shared" si="104"/>
        <v>- franciscans</v>
      </c>
      <c r="BD91" s="117" t="str">
        <f t="shared" si="105"/>
        <v>- junipero-serra</v>
      </c>
      <c r="BE91" s="117" t="str">
        <f t="shared" si="106"/>
        <v/>
      </c>
      <c r="BF91" s="117" t="str">
        <f t="shared" si="107"/>
        <v/>
      </c>
      <c r="BG91" s="117" t="str">
        <f t="shared" si="108"/>
        <v/>
      </c>
      <c r="BH91" s="117" t="str">
        <f t="shared" si="109"/>
        <v/>
      </c>
      <c r="BI91" s="117" t="str">
        <f t="shared" si="110"/>
        <v/>
      </c>
      <c r="BJ91" s="117" t="str">
        <f t="shared" si="111"/>
        <v/>
      </c>
      <c r="BK91" s="117" t="str">
        <f t="shared" si="112"/>
        <v/>
      </c>
      <c r="BL91" s="117" t="str">
        <f t="shared" si="113"/>
        <v xml:space="preserve">tags:
- us
- us-ca_x000D_
- los-angeles_x000D_
- churches_x000D_
- holy-persons_x000D_
- california-missions_x000D_
- franciscans_x000D_
- junipero-serra_x000D_
</v>
      </c>
      <c r="BM91" s="120" t="str">
        <f t="shared" si="124"/>
        <v>[Official site](http://www.missionsangabriel.org/)</v>
      </c>
      <c r="BN91" s="120" t="str">
        <f t="shared" si="125"/>
        <v>[California Missions Foundation page](https://californiamissionsfoundation.org/mission-san-gabriel/)</v>
      </c>
      <c r="BO91" s="120" t="str">
        <f t="shared" si="126"/>
        <v>[Missions California page](https://www.missionscalifornia.com/missions/san-gabriel-arcangel/)</v>
      </c>
      <c r="BP91" s="120" t="str">
        <f t="shared" si="127"/>
        <v/>
      </c>
      <c r="BQ91" s="117" t="str">
        <f t="shared" si="114"/>
        <v xml:space="preserve">* [Official site](http://www.missionsangabriel.org/)
* [California Missions Foundation page](https://californiamissionsfoundation.org/mission-san-gabriel/)
* [Missions California page](https://www.missionscalifornia.com/missions/san-gabriel-arcangel/)
</v>
      </c>
      <c r="BR91" s="117" t="str">
        <f t="shared" si="115"/>
        <v/>
      </c>
      <c r="BS91" s="117" t="str">
        <f t="shared" si="116"/>
        <v/>
      </c>
      <c r="BT91" s="117" t="str">
        <f t="shared" si="117"/>
        <v/>
      </c>
      <c r="BU91" s="117" t="str">
        <f>IF(LEN(concat(BR91:BT91))&gt;0,concat("| ",BR91," | ",BS91," | ",BT91," |"),"")</f>
        <v/>
      </c>
      <c r="BV91" s="117" t="str">
        <f t="shared" si="118"/>
        <v/>
      </c>
      <c r="BW91" s="117" t="str">
        <f>IF(LEN(BQ91&amp;BV91)&gt;0,concatll("#### More Information",BQ91,BV91),"")</f>
        <v xml:space="preserve">#### More Information_x000D_
_x000D_
* [Official site](http://www.missionsangabriel.org/)
* [California Missions Foundation page](https://californiamissionsfoundation.org/mission-san-gabriel/)
* [Missions California page](https://www.missionscalifornia.com/missions/san-gabriel-arcangel/)
_x000D_
_x000D_
</v>
      </c>
      <c r="BX91" s="117" t="str">
        <f>IF(LEN(N91)&gt;1,concatll("#### Author's Note",N91,"-"&amp;B91),"")</f>
        <v/>
      </c>
      <c r="BY91" s="117" t="s">
        <v>53</v>
      </c>
      <c r="BZ91" s="117" t="s">
        <v>53</v>
      </c>
      <c r="CA91" s="6" t="str">
        <f>IF(AS91,concatll(concatl("---",AT91:AV91,BL91,"---"),M91,BW91:BX91),"")</f>
        <v xml:space="preserve">---_x000D_
title: "Mission San Gabriel Arcangel"_x000D_
location: {lat: 34.0966596731449, lng: -118.106841102688}_x000D_
interest: local_x000D_
tags:
- us
- us-ca_x000D_
- los-angeles_x000D_
- churches_x000D_
- holy-persons_x000D_
- california-missions_x000D_
- franciscans_x000D_
- junipero-serra_x000D_
_x000D_
---_x000D_
_x000D_
_x000D_
The 4th of the 21 California missions, founded in 1771._x000D_
_x000D_
#### More Information_x000D_
_x000D_
* [Official site](http://www.missionsangabriel.org/)
* [California Missions Foundation page](https://californiamissionsfoundation.org/mission-san-gabriel/)
* [Missions California page](https://www.missionscalifornia.com/missions/san-gabriel-arcangel/)
_x000D_
_x000D_
_x000D_
_x000D_
</v>
      </c>
      <c r="CB91" s="6" t="str">
        <f>IF(AS91,"places\"&amp;VLOOKUP(C91,'Country Tags'!C:D,2,)&amp;IF(LEN(D91)&gt;1,"-"&amp;LOWER(SUBSTITUTE(D91," ","-")),"")&amp;"-"&amp;LOWER(SUBSTITUTE(SUBSTITUTE(H91," ","-"),".",""))&amp;".md","")</f>
        <v>places\us_ca-los-angeles-mission-san-gabriel.md</v>
      </c>
      <c r="CC91" s="6"/>
      <c r="CD91" s="12" t="e">
        <f>IF(LEN(Z91)&gt;1,VLOOKUP(Z91,#REF!,2,),"")</f>
        <v>#REF!</v>
      </c>
      <c r="CE91" s="12" t="e">
        <f>IF(LEN(AA91)&gt;1,VLOOKUP(AA91,#REF!,2,),"")</f>
        <v>#REF!</v>
      </c>
      <c r="CF91" s="12" t="e">
        <f>IF(LEN(AB91)&gt;1,VLOOKUP(AB91,#REF!,2,),"")</f>
        <v>#REF!</v>
      </c>
      <c r="CG91" s="12" t="e">
        <f>IF(LEN(Z91)&gt;1,GetTagPage(CD91,Z91),"")</f>
        <v>#VALUE!</v>
      </c>
      <c r="CH91" s="12" t="e">
        <f>IF(LEN(AA91)&gt;1,GetTagPage(CE91,AA91),"")</f>
        <v>#VALUE!</v>
      </c>
      <c r="CI91" s="12" t="e">
        <f>IF(LEN(AB91)&gt;1,GetTagPage(CF91,AB91),"")</f>
        <v>#VALUE!</v>
      </c>
      <c r="CJ91" s="12" t="e">
        <f t="shared" si="119"/>
        <v>#VALUE!</v>
      </c>
      <c r="CK91" s="12" t="str">
        <f t="shared" si="120"/>
        <v xml:space="preserve">| [](/places/places\us_ca-los-angeles-mission-san-gabriel) </v>
      </c>
      <c r="CL91" s="13" t="str">
        <f>"| "&amp;IF(AS91,GetTagPage(C91,VLOOKUP(C91,'Country Tags'!C:E,3,)),C91)&amp; " "</f>
        <v xml:space="preserve">| [US California](/tags/us
- us-ca) </v>
      </c>
      <c r="CM91" s="12" t="str">
        <f t="shared" si="121"/>
        <v xml:space="preserve">|  </v>
      </c>
      <c r="CN91" s="12" t="str">
        <f t="shared" si="122"/>
        <v xml:space="preserve">| [Link](/places/places\us_ca-los-angeles-mission-san-gabriel) </v>
      </c>
      <c r="CO91" s="12" t="e">
        <f t="shared" si="123"/>
        <v>#VALUE!</v>
      </c>
    </row>
    <row r="92" spans="1:93" ht="25.5" x14ac:dyDescent="0.25">
      <c r="A92" s="129" t="s">
        <v>786</v>
      </c>
      <c r="B92" s="7" t="s">
        <v>1653</v>
      </c>
      <c r="C92" s="7" t="s">
        <v>1074</v>
      </c>
      <c r="D92" s="148" t="s">
        <v>1746</v>
      </c>
      <c r="E92" s="1">
        <v>35.2809991057781</v>
      </c>
      <c r="F92" s="30">
        <v>-120.664704058475</v>
      </c>
      <c r="G92" s="7" t="s">
        <v>1451</v>
      </c>
      <c r="H92" s="86" t="s">
        <v>1471</v>
      </c>
      <c r="I92" s="7" t="s">
        <v>1002</v>
      </c>
      <c r="J92" s="7" t="b">
        <v>1</v>
      </c>
      <c r="L92" s="7" t="b">
        <v>1</v>
      </c>
      <c r="M92" s="7" t="s">
        <v>1487</v>
      </c>
      <c r="O92" s="1" t="s">
        <v>1504</v>
      </c>
      <c r="P92" s="1" t="s">
        <v>53</v>
      </c>
      <c r="Q92" s="40" t="s">
        <v>1520</v>
      </c>
      <c r="R92" s="1" t="s">
        <v>1525</v>
      </c>
      <c r="S92" s="44" t="s">
        <v>53</v>
      </c>
      <c r="T92" s="40" t="s">
        <v>1542</v>
      </c>
      <c r="U92" s="1" t="s">
        <v>1547</v>
      </c>
      <c r="V92" s="44" t="s">
        <v>53</v>
      </c>
      <c r="Z92" s="1" t="s">
        <v>1573</v>
      </c>
      <c r="AA92" s="1" t="s">
        <v>1567</v>
      </c>
      <c r="AB92" s="1" t="s">
        <v>1566</v>
      </c>
      <c r="AS92" s="116" t="b">
        <f t="shared" si="95"/>
        <v>1</v>
      </c>
      <c r="AT92" s="117" t="str">
        <f t="shared" si="96"/>
        <v>title: "Mission San Luis Obispo de Tolosa"</v>
      </c>
      <c r="AU92" s="117" t="str">
        <f t="shared" si="97"/>
        <v>location: {lat: 35.2809991057781, lng: -120.664704058475}</v>
      </c>
      <c r="AV92" s="117" t="str">
        <f t="shared" si="98"/>
        <v>interest: local</v>
      </c>
      <c r="AW92" s="117" t="str">
        <f>"- "&amp;VLOOKUP(C92,'Country Tags'!C:E,3,)</f>
        <v>- us
- us-ca</v>
      </c>
      <c r="AX92" s="117" t="str">
        <f t="shared" si="99"/>
        <v>- monterey</v>
      </c>
      <c r="AY92" s="117" t="str">
        <f t="shared" si="100"/>
        <v>- churches</v>
      </c>
      <c r="AZ92" s="117" t="str">
        <f t="shared" si="101"/>
        <v/>
      </c>
      <c r="BA92" s="117" t="str">
        <f t="shared" si="102"/>
        <v>- holy-persons</v>
      </c>
      <c r="BB92" s="117" t="str">
        <f t="shared" si="103"/>
        <v>- california-missions</v>
      </c>
      <c r="BC92" s="117" t="str">
        <f t="shared" si="104"/>
        <v>- franciscans</v>
      </c>
      <c r="BD92" s="117" t="str">
        <f t="shared" si="105"/>
        <v>- junipero-serra</v>
      </c>
      <c r="BE92" s="117" t="str">
        <f t="shared" si="106"/>
        <v/>
      </c>
      <c r="BF92" s="117" t="str">
        <f t="shared" si="107"/>
        <v/>
      </c>
      <c r="BG92" s="117" t="str">
        <f t="shared" si="108"/>
        <v/>
      </c>
      <c r="BH92" s="117" t="str">
        <f t="shared" si="109"/>
        <v/>
      </c>
      <c r="BI92" s="117" t="str">
        <f t="shared" si="110"/>
        <v/>
      </c>
      <c r="BJ92" s="117" t="str">
        <f t="shared" si="111"/>
        <v/>
      </c>
      <c r="BK92" s="117" t="str">
        <f t="shared" si="112"/>
        <v/>
      </c>
      <c r="BL92" s="117" t="str">
        <f t="shared" si="113"/>
        <v xml:space="preserve">tags:
- us
- us-ca_x000D_
- monterey_x000D_
- churches_x000D_
- holy-persons_x000D_
- california-missions_x000D_
- franciscans_x000D_
- junipero-serra_x000D_
</v>
      </c>
      <c r="BM92" s="120" t="str">
        <f t="shared" si="124"/>
        <v>[Official site](https://www.missionsanluisobispo.org/)</v>
      </c>
      <c r="BN92" s="120" t="str">
        <f t="shared" si="125"/>
        <v>[California Missions Foundation page](https://californiamissionsfoundation.org/mission-san-luis-obispo/)</v>
      </c>
      <c r="BO92" s="120" t="str">
        <f t="shared" si="126"/>
        <v>[Missions California page](https://www.missionscalifornia.com/missions/san-luis-obispo-de-tolosa/)</v>
      </c>
      <c r="BP92" s="120" t="str">
        <f t="shared" si="127"/>
        <v/>
      </c>
      <c r="BQ92" s="117" t="str">
        <f t="shared" si="114"/>
        <v xml:space="preserve">* [Official site](https://www.missionsanluisobispo.org/)
* [California Missions Foundation page](https://californiamissionsfoundation.org/mission-san-luis-obispo/)
* [Missions California page](https://www.missionscalifornia.com/missions/san-luis-obispo-de-tolosa/)
</v>
      </c>
      <c r="BR92" s="117" t="str">
        <f t="shared" si="115"/>
        <v/>
      </c>
      <c r="BS92" s="117" t="str">
        <f t="shared" si="116"/>
        <v/>
      </c>
      <c r="BT92" s="117" t="str">
        <f t="shared" si="117"/>
        <v/>
      </c>
      <c r="BU92" s="117" t="str">
        <f>IF(LEN(concat(BR92:BT92))&gt;0,concat("| ",BR92," | ",BS92," | ",BT92," |"),"")</f>
        <v/>
      </c>
      <c r="BV92" s="117" t="str">
        <f t="shared" si="118"/>
        <v/>
      </c>
      <c r="BW92" s="117" t="str">
        <f>IF(LEN(BQ92&amp;BV92)&gt;0,concatll("#### More Information",BQ92,BV92),"")</f>
        <v xml:space="preserve">#### More Information_x000D_
_x000D_
* [Official site](https://www.missionsanluisobispo.org/)
* [California Missions Foundation page](https://californiamissionsfoundation.org/mission-san-luis-obispo/)
* [Missions California page](https://www.missionscalifornia.com/missions/san-luis-obispo-de-tolosa/)
_x000D_
_x000D_
</v>
      </c>
      <c r="BX92" s="117" t="str">
        <f>IF(LEN(N92)&gt;1,concatll("#### Author's Note",N92,"-"&amp;B92),"")</f>
        <v/>
      </c>
      <c r="BY92" s="117" t="s">
        <v>53</v>
      </c>
      <c r="BZ92" s="117" t="s">
        <v>53</v>
      </c>
      <c r="CA92" s="6" t="str">
        <f>IF(AS92,concatll(concatl("---",AT92:AV92,BL92,"---"),M92,BW92:BX92),"")</f>
        <v xml:space="preserve">---_x000D_
title: "Mission San Luis Obispo de Tolosa"_x000D_
location: {lat: 35.2809991057781, lng: -120.664704058475}_x000D_
interest: local_x000D_
tags:
- us
- us-ca_x000D_
- monterey_x000D_
- churches_x000D_
- holy-persons_x000D_
- california-missions_x000D_
- franciscans_x000D_
- junipero-serra_x000D_
_x000D_
---_x000D_
_x000D_
_x000D_
The 5th of the 21 California missions, founded in 1772._x000D_
_x000D_
#### More Information_x000D_
_x000D_
* [Official site](https://www.missionsanluisobispo.org/)
* [California Missions Foundation page](https://californiamissionsfoundation.org/mission-san-luis-obispo/)
* [Missions California page](https://www.missionscalifornia.com/missions/san-luis-obispo-de-tolosa/)
_x000D_
_x000D_
_x000D_
_x000D_
</v>
      </c>
      <c r="CB92" s="6" t="str">
        <f>IF(AS92,"places\"&amp;VLOOKUP(C92,'Country Tags'!C:D,2,)&amp;IF(LEN(D92)&gt;1,"-"&amp;LOWER(SUBSTITUTE(D92," ","-")),"")&amp;"-"&amp;LOWER(SUBSTITUTE(SUBSTITUTE(H92," ","-"),".",""))&amp;".md","")</f>
        <v>places\us_ca-monterey-mission-san-luis-obispo.md</v>
      </c>
      <c r="CC92" s="6"/>
      <c r="CD92" s="12" t="e">
        <f>IF(LEN(Z92)&gt;1,VLOOKUP(Z92,#REF!,2,),"")</f>
        <v>#REF!</v>
      </c>
      <c r="CE92" s="12" t="e">
        <f>IF(LEN(AA92)&gt;1,VLOOKUP(AA92,#REF!,2,),"")</f>
        <v>#REF!</v>
      </c>
      <c r="CF92" s="12" t="e">
        <f>IF(LEN(AB92)&gt;1,VLOOKUP(AB92,#REF!,2,),"")</f>
        <v>#REF!</v>
      </c>
      <c r="CG92" s="12" t="e">
        <f>IF(LEN(Z92)&gt;1,GetTagPage(CD92,Z92),"")</f>
        <v>#VALUE!</v>
      </c>
      <c r="CH92" s="12" t="e">
        <f>IF(LEN(AA92)&gt;1,GetTagPage(CE92,AA92),"")</f>
        <v>#VALUE!</v>
      </c>
      <c r="CI92" s="12" t="e">
        <f>IF(LEN(AB92)&gt;1,GetTagPage(CF92,AB92),"")</f>
        <v>#VALUE!</v>
      </c>
      <c r="CJ92" s="12" t="e">
        <f t="shared" si="119"/>
        <v>#VALUE!</v>
      </c>
      <c r="CK92" s="12" t="str">
        <f t="shared" si="120"/>
        <v xml:space="preserve">| [](/places/places\us_ca-monterey-mission-san-luis-obispo) </v>
      </c>
      <c r="CL92" s="13" t="str">
        <f>"| "&amp;IF(AS92,GetTagPage(C92,VLOOKUP(C92,'Country Tags'!C:E,3,)),C92)&amp; " "</f>
        <v xml:space="preserve">| [US California](/tags/us
- us-ca) </v>
      </c>
      <c r="CM92" s="12" t="str">
        <f t="shared" si="121"/>
        <v xml:space="preserve">|  </v>
      </c>
      <c r="CN92" s="12" t="str">
        <f t="shared" si="122"/>
        <v xml:space="preserve">| [Link](/places/places\us_ca-monterey-mission-san-luis-obispo) </v>
      </c>
      <c r="CO92" s="12" t="e">
        <f t="shared" si="123"/>
        <v>#VALUE!</v>
      </c>
    </row>
    <row r="93" spans="1:93" ht="25.5" x14ac:dyDescent="0.25">
      <c r="A93" s="129" t="s">
        <v>786</v>
      </c>
      <c r="B93" s="7" t="s">
        <v>1653</v>
      </c>
      <c r="C93" s="7" t="s">
        <v>1074</v>
      </c>
      <c r="D93" s="7" t="s">
        <v>1468</v>
      </c>
      <c r="E93" s="1">
        <v>37.7643787904628</v>
      </c>
      <c r="F93" s="30">
        <v>-122.426918360256</v>
      </c>
      <c r="G93" s="7" t="s">
        <v>1452</v>
      </c>
      <c r="H93" s="86" t="s">
        <v>1481</v>
      </c>
      <c r="I93" s="7" t="s">
        <v>1002</v>
      </c>
      <c r="J93" s="7" t="b">
        <v>1</v>
      </c>
      <c r="L93" s="7" t="b">
        <v>1</v>
      </c>
      <c r="M93" s="7" t="s">
        <v>1488</v>
      </c>
      <c r="O93" s="1" t="s">
        <v>1505</v>
      </c>
      <c r="P93" s="1" t="s">
        <v>53</v>
      </c>
      <c r="Q93" s="40" t="s">
        <v>1520</v>
      </c>
      <c r="R93" s="1" t="s">
        <v>1526</v>
      </c>
      <c r="S93" s="44" t="s">
        <v>53</v>
      </c>
      <c r="T93" s="40" t="s">
        <v>1542</v>
      </c>
      <c r="U93" s="1" t="s">
        <v>1548</v>
      </c>
      <c r="V93" s="44" t="s">
        <v>53</v>
      </c>
      <c r="Z93" s="1" t="s">
        <v>1573</v>
      </c>
      <c r="AA93" s="1" t="s">
        <v>1567</v>
      </c>
      <c r="AB93" s="1" t="s">
        <v>1566</v>
      </c>
      <c r="AS93" s="116" t="b">
        <f t="shared" si="95"/>
        <v>1</v>
      </c>
      <c r="AT93" s="117" t="str">
        <f t="shared" si="96"/>
        <v>title: "Mission San Francisco de Asis (Mission Dolores)"</v>
      </c>
      <c r="AU93" s="117" t="str">
        <f t="shared" si="97"/>
        <v>location: {lat: 37.7643787904628, lng: -122.426918360256}</v>
      </c>
      <c r="AV93" s="117" t="str">
        <f t="shared" si="98"/>
        <v>interest: local</v>
      </c>
      <c r="AW93" s="117" t="str">
        <f>"- "&amp;VLOOKUP(C93,'Country Tags'!C:E,3,)</f>
        <v>- us
- us-ca</v>
      </c>
      <c r="AX93" s="117" t="str">
        <f t="shared" si="99"/>
        <v>- san-francisco</v>
      </c>
      <c r="AY93" s="117" t="str">
        <f t="shared" si="100"/>
        <v>- churches</v>
      </c>
      <c r="AZ93" s="117" t="str">
        <f t="shared" si="101"/>
        <v/>
      </c>
      <c r="BA93" s="117" t="str">
        <f t="shared" si="102"/>
        <v>- holy-persons</v>
      </c>
      <c r="BB93" s="117" t="str">
        <f t="shared" si="103"/>
        <v>- california-missions</v>
      </c>
      <c r="BC93" s="117" t="str">
        <f t="shared" si="104"/>
        <v>- franciscans</v>
      </c>
      <c r="BD93" s="117" t="str">
        <f t="shared" si="105"/>
        <v>- junipero-serra</v>
      </c>
      <c r="BE93" s="117" t="str">
        <f t="shared" si="106"/>
        <v/>
      </c>
      <c r="BF93" s="117" t="str">
        <f t="shared" si="107"/>
        <v/>
      </c>
      <c r="BG93" s="117" t="str">
        <f t="shared" si="108"/>
        <v/>
      </c>
      <c r="BH93" s="117" t="str">
        <f t="shared" si="109"/>
        <v/>
      </c>
      <c r="BI93" s="117" t="str">
        <f t="shared" si="110"/>
        <v/>
      </c>
      <c r="BJ93" s="117" t="str">
        <f t="shared" si="111"/>
        <v/>
      </c>
      <c r="BK93" s="117" t="str">
        <f t="shared" si="112"/>
        <v/>
      </c>
      <c r="BL93" s="117" t="str">
        <f t="shared" si="113"/>
        <v xml:space="preserve">tags:
- us
- us-ca_x000D_
- san-francisco_x000D_
- churches_x000D_
- holy-persons_x000D_
- california-missions_x000D_
- franciscans_x000D_
- junipero-serra_x000D_
</v>
      </c>
      <c r="BM93" s="120" t="str">
        <f t="shared" si="124"/>
        <v>[Official site](https://www.missiondolores.org/old-mission)</v>
      </c>
      <c r="BN93" s="120" t="str">
        <f t="shared" si="125"/>
        <v>[California Missions Foundation page](https://californiamissionsfoundation.org/mission-san-francisco-de-asis/)</v>
      </c>
      <c r="BO93" s="120" t="str">
        <f t="shared" si="126"/>
        <v>[Missions California page](https://www.missionscalifornia.com/missions/san-francisco-de-asis/)</v>
      </c>
      <c r="BP93" s="120" t="str">
        <f t="shared" si="127"/>
        <v/>
      </c>
      <c r="BQ93" s="117" t="str">
        <f t="shared" si="114"/>
        <v xml:space="preserve">* [Official site](https://www.missiondolores.org/old-mission)
* [California Missions Foundation page](https://californiamissionsfoundation.org/mission-san-francisco-de-asis/)
* [Missions California page](https://www.missionscalifornia.com/missions/san-francisco-de-asis/)
</v>
      </c>
      <c r="BR93" s="117" t="str">
        <f t="shared" si="115"/>
        <v/>
      </c>
      <c r="BS93" s="117" t="str">
        <f t="shared" si="116"/>
        <v/>
      </c>
      <c r="BT93" s="117" t="str">
        <f t="shared" si="117"/>
        <v/>
      </c>
      <c r="BU93" s="117" t="str">
        <f>IF(LEN(concat(BR93:BT93))&gt;0,concat("| ",BR93," | ",BS93," | ",BT93," |"),"")</f>
        <v/>
      </c>
      <c r="BV93" s="117" t="str">
        <f t="shared" si="118"/>
        <v/>
      </c>
      <c r="BW93" s="117" t="str">
        <f>IF(LEN(BQ93&amp;BV93)&gt;0,concatll("#### More Information",BQ93,BV93),"")</f>
        <v xml:space="preserve">#### More Information_x000D_
_x000D_
* [Official site](https://www.missiondolores.org/old-mission)
* [California Missions Foundation page](https://californiamissionsfoundation.org/mission-san-francisco-de-asis/)
* [Missions California page](https://www.missionscalifornia.com/missions/san-francisco-de-asis/)
_x000D_
_x000D_
</v>
      </c>
      <c r="BX93" s="117" t="str">
        <f>IF(LEN(N93)&gt;1,concatll("#### Author's Note",N93,"-"&amp;B93),"")</f>
        <v/>
      </c>
      <c r="BY93" s="117" t="s">
        <v>53</v>
      </c>
      <c r="BZ93" s="117" t="s">
        <v>53</v>
      </c>
      <c r="CA93" s="6" t="str">
        <f>IF(AS93,concatll(concatl("---",AT93:AV93,BL93,"---"),M93,BW93:BX93),"")</f>
        <v xml:space="preserve">---_x000D_
title: "Mission San Francisco de Asis (Mission Dolores)"_x000D_
location: {lat: 37.7643787904628, lng: -122.426918360256}_x000D_
interest: local_x000D_
tags:
- us
- us-ca_x000D_
- san-francisco_x000D_
- churches_x000D_
- holy-persons_x000D_
- california-missions_x000D_
- franciscans_x000D_
- junipero-serra_x000D_
_x000D_
---_x000D_
_x000D_
_x000D_
The 6th of the 21 California missions, founded in 1776._x000D_
_x000D_
#### More Information_x000D_
_x000D_
* [Official site](https://www.missiondolores.org/old-mission)
* [California Missions Foundation page](https://californiamissionsfoundation.org/mission-san-francisco-de-asis/)
* [Missions California page](https://www.missionscalifornia.com/missions/san-francisco-de-asis/)
_x000D_
_x000D_
_x000D_
_x000D_
</v>
      </c>
      <c r="CB93" s="6" t="str">
        <f>IF(AS93,"places\"&amp;VLOOKUP(C93,'Country Tags'!C:D,2,)&amp;IF(LEN(D93)&gt;1,"-"&amp;LOWER(SUBSTITUTE(D93," ","-")),"")&amp;"-"&amp;LOWER(SUBSTITUTE(SUBSTITUTE(H93," ","-"),".",""))&amp;".md","")</f>
        <v>places\us_ca-san-francisco-mission-dolores.md</v>
      </c>
      <c r="CC93" s="6"/>
      <c r="CD93" s="12" t="e">
        <f>IF(LEN(Z93)&gt;1,VLOOKUP(Z93,#REF!,2,),"")</f>
        <v>#REF!</v>
      </c>
      <c r="CE93" s="12" t="e">
        <f>IF(LEN(AA93)&gt;1,VLOOKUP(AA93,#REF!,2,),"")</f>
        <v>#REF!</v>
      </c>
      <c r="CF93" s="12" t="e">
        <f>IF(LEN(AB93)&gt;1,VLOOKUP(AB93,#REF!,2,),"")</f>
        <v>#REF!</v>
      </c>
      <c r="CG93" s="12" t="e">
        <f>IF(LEN(Z93)&gt;1,GetTagPage(CD93,Z93),"")</f>
        <v>#VALUE!</v>
      </c>
      <c r="CH93" s="12" t="e">
        <f>IF(LEN(AA93)&gt;1,GetTagPage(CE93,AA93),"")</f>
        <v>#VALUE!</v>
      </c>
      <c r="CI93" s="12" t="e">
        <f>IF(LEN(AB93)&gt;1,GetTagPage(CF93,AB93),"")</f>
        <v>#VALUE!</v>
      </c>
      <c r="CJ93" s="12" t="e">
        <f t="shared" si="119"/>
        <v>#VALUE!</v>
      </c>
      <c r="CK93" s="12" t="str">
        <f t="shared" si="120"/>
        <v xml:space="preserve">| [](/places/places\us_ca-san-francisco-mission-dolores) </v>
      </c>
      <c r="CL93" s="13" t="str">
        <f>"| "&amp;IF(AS93,GetTagPage(C93,VLOOKUP(C93,'Country Tags'!C:E,3,)),C93)&amp; " "</f>
        <v xml:space="preserve">| [US California](/tags/us
- us-ca) </v>
      </c>
      <c r="CM93" s="12" t="str">
        <f t="shared" si="121"/>
        <v xml:space="preserve">|  </v>
      </c>
      <c r="CN93" s="12" t="str">
        <f t="shared" si="122"/>
        <v xml:space="preserve">| [Link](/places/places\us_ca-san-francisco-mission-dolores) </v>
      </c>
      <c r="CO93" s="12" t="e">
        <f t="shared" si="123"/>
        <v>#VALUE!</v>
      </c>
    </row>
    <row r="94" spans="1:93" ht="25.5" x14ac:dyDescent="0.25">
      <c r="A94" s="129" t="s">
        <v>786</v>
      </c>
      <c r="B94" s="7" t="s">
        <v>1653</v>
      </c>
      <c r="C94" s="7" t="s">
        <v>1074</v>
      </c>
      <c r="D94" s="148" t="s">
        <v>1748</v>
      </c>
      <c r="E94" s="1">
        <v>33.502028266204697</v>
      </c>
      <c r="F94" s="30">
        <v>-117.662690902704</v>
      </c>
      <c r="G94" s="7" t="s">
        <v>1453</v>
      </c>
      <c r="H94" s="33" t="s">
        <v>1453</v>
      </c>
      <c r="I94" s="7" t="s">
        <v>1002</v>
      </c>
      <c r="J94" s="7" t="b">
        <v>1</v>
      </c>
      <c r="L94" s="7" t="b">
        <v>1</v>
      </c>
      <c r="M94" s="7" t="s">
        <v>1489</v>
      </c>
      <c r="O94" s="1" t="s">
        <v>1506</v>
      </c>
      <c r="P94" s="1" t="s">
        <v>53</v>
      </c>
      <c r="Q94" s="40" t="s">
        <v>1520</v>
      </c>
      <c r="R94" s="1" t="s">
        <v>1527</v>
      </c>
      <c r="S94" s="44" t="s">
        <v>53</v>
      </c>
      <c r="T94" s="40" t="s">
        <v>1542</v>
      </c>
      <c r="U94" s="1" t="s">
        <v>1549</v>
      </c>
      <c r="V94" s="44" t="s">
        <v>53</v>
      </c>
      <c r="Z94" s="1" t="s">
        <v>1573</v>
      </c>
      <c r="AA94" s="1" t="s">
        <v>1567</v>
      </c>
      <c r="AB94" s="1" t="s">
        <v>1566</v>
      </c>
      <c r="AS94" s="116" t="b">
        <f t="shared" si="95"/>
        <v>1</v>
      </c>
      <c r="AT94" s="117" t="str">
        <f t="shared" si="96"/>
        <v>title: "Mission San Juan Capistrano"</v>
      </c>
      <c r="AU94" s="117" t="str">
        <f t="shared" si="97"/>
        <v>location: {lat: 33.5020282662047, lng: -117.662690902704}</v>
      </c>
      <c r="AV94" s="117" t="str">
        <f t="shared" si="98"/>
        <v>interest: local</v>
      </c>
      <c r="AW94" s="117" t="str">
        <f>"- "&amp;VLOOKUP(C94,'Country Tags'!C:E,3,)</f>
        <v>- us
- us-ca</v>
      </c>
      <c r="AX94" s="117" t="str">
        <f t="shared" si="99"/>
        <v>- orange</v>
      </c>
      <c r="AY94" s="117" t="str">
        <f t="shared" si="100"/>
        <v>- churches</v>
      </c>
      <c r="AZ94" s="117" t="str">
        <f t="shared" si="101"/>
        <v/>
      </c>
      <c r="BA94" s="117" t="str">
        <f t="shared" si="102"/>
        <v>- holy-persons</v>
      </c>
      <c r="BB94" s="117" t="str">
        <f t="shared" si="103"/>
        <v>- california-missions</v>
      </c>
      <c r="BC94" s="117" t="str">
        <f t="shared" si="104"/>
        <v>- franciscans</v>
      </c>
      <c r="BD94" s="117" t="str">
        <f t="shared" si="105"/>
        <v>- junipero-serra</v>
      </c>
      <c r="BE94" s="117" t="str">
        <f t="shared" si="106"/>
        <v/>
      </c>
      <c r="BF94" s="117" t="str">
        <f t="shared" si="107"/>
        <v/>
      </c>
      <c r="BG94" s="117" t="str">
        <f t="shared" si="108"/>
        <v/>
      </c>
      <c r="BH94" s="117" t="str">
        <f t="shared" si="109"/>
        <v/>
      </c>
      <c r="BI94" s="117" t="str">
        <f t="shared" si="110"/>
        <v/>
      </c>
      <c r="BJ94" s="117" t="str">
        <f t="shared" si="111"/>
        <v/>
      </c>
      <c r="BK94" s="117" t="str">
        <f t="shared" si="112"/>
        <v/>
      </c>
      <c r="BL94" s="117" t="str">
        <f t="shared" si="113"/>
        <v xml:space="preserve">tags:
- us
- us-ca_x000D_
- orange_x000D_
- churches_x000D_
- holy-persons_x000D_
- california-missions_x000D_
- franciscans_x000D_
- junipero-serra_x000D_
</v>
      </c>
      <c r="BM94" s="120" t="str">
        <f t="shared" si="124"/>
        <v>[Official site](http://www.missionsjc.com/)</v>
      </c>
      <c r="BN94" s="120" t="str">
        <f t="shared" si="125"/>
        <v>[California Missions Foundation page](https://californiamissionsfoundation.org/mission-san-juan-capistrano/)</v>
      </c>
      <c r="BO94" s="120" t="str">
        <f t="shared" si="126"/>
        <v>[Missions California page](https://www.missionscalifornia.com/missions/san-juan-capistrano/)</v>
      </c>
      <c r="BP94" s="120" t="str">
        <f t="shared" si="127"/>
        <v/>
      </c>
      <c r="BQ94" s="117" t="str">
        <f t="shared" si="114"/>
        <v xml:space="preserve">* [Official site](http://www.missionsjc.com/)
* [California Missions Foundation page](https://californiamissionsfoundation.org/mission-san-juan-capistrano/)
* [Missions California page](https://www.missionscalifornia.com/missions/san-juan-capistrano/)
</v>
      </c>
      <c r="BR94" s="117" t="str">
        <f t="shared" si="115"/>
        <v/>
      </c>
      <c r="BS94" s="117" t="str">
        <f t="shared" si="116"/>
        <v/>
      </c>
      <c r="BT94" s="117" t="str">
        <f t="shared" si="117"/>
        <v/>
      </c>
      <c r="BU94" s="117" t="str">
        <f>IF(LEN(concat(BR94:BT94))&gt;0,concat("| ",BR94," | ",BS94," | ",BT94," |"),"")</f>
        <v/>
      </c>
      <c r="BV94" s="117" t="str">
        <f t="shared" si="118"/>
        <v/>
      </c>
      <c r="BW94" s="117" t="str">
        <f>IF(LEN(BQ94&amp;BV94)&gt;0,concatll("#### More Information",BQ94,BV94),"")</f>
        <v xml:space="preserve">#### More Information_x000D_
_x000D_
* [Official site](http://www.missionsjc.com/)
* [California Missions Foundation page](https://californiamissionsfoundation.org/mission-san-juan-capistrano/)
* [Missions California page](https://www.missionscalifornia.com/missions/san-juan-capistrano/)
_x000D_
_x000D_
</v>
      </c>
      <c r="BX94" s="117" t="str">
        <f>IF(LEN(N94)&gt;1,concatll("#### Author's Note",N94,"-"&amp;B94),"")</f>
        <v/>
      </c>
      <c r="BY94" s="117" t="s">
        <v>53</v>
      </c>
      <c r="BZ94" s="117" t="s">
        <v>53</v>
      </c>
      <c r="CA94" s="6" t="str">
        <f>IF(AS94,concatll(concatl("---",AT94:AV94,BL94,"---"),M94,BW94:BX94),"")</f>
        <v xml:space="preserve">---_x000D_
title: "Mission San Juan Capistrano"_x000D_
location: {lat: 33.5020282662047, lng: -117.662690902704}_x000D_
interest: local_x000D_
tags:
- us
- us-ca_x000D_
- orange_x000D_
- churches_x000D_
- holy-persons_x000D_
- california-missions_x000D_
- franciscans_x000D_
- junipero-serra_x000D_
_x000D_
---_x000D_
_x000D_
_x000D_
The 7th of the 21 California missions, founded in 1776._x000D_
_x000D_
#### More Information_x000D_
_x000D_
* [Official site](http://www.missionsjc.com/)
* [California Missions Foundation page](https://californiamissionsfoundation.org/mission-san-juan-capistrano/)
* [Missions California page](https://www.missionscalifornia.com/missions/san-juan-capistrano/)
_x000D_
_x000D_
_x000D_
_x000D_
</v>
      </c>
      <c r="CB94" s="6" t="str">
        <f>IF(AS94,"places\"&amp;VLOOKUP(C94,'Country Tags'!C:D,2,)&amp;IF(LEN(D94)&gt;1,"-"&amp;LOWER(SUBSTITUTE(D94," ","-")),"")&amp;"-"&amp;LOWER(SUBSTITUTE(SUBSTITUTE(H94," ","-"),".",""))&amp;".md","")</f>
        <v>places\us_ca-orange-mission-san-juan-capistrano.md</v>
      </c>
      <c r="CC94" s="6"/>
      <c r="CD94" s="12" t="e">
        <f>IF(LEN(Z94)&gt;1,VLOOKUP(Z94,#REF!,2,),"")</f>
        <v>#REF!</v>
      </c>
      <c r="CE94" s="12" t="e">
        <f>IF(LEN(AA94)&gt;1,VLOOKUP(AA94,#REF!,2,),"")</f>
        <v>#REF!</v>
      </c>
      <c r="CF94" s="12" t="e">
        <f>IF(LEN(AB94)&gt;1,VLOOKUP(AB94,#REF!,2,),"")</f>
        <v>#REF!</v>
      </c>
      <c r="CG94" s="12" t="e">
        <f>IF(LEN(Z94)&gt;1,GetTagPage(CD94,Z94),"")</f>
        <v>#VALUE!</v>
      </c>
      <c r="CH94" s="12" t="e">
        <f>IF(LEN(AA94)&gt;1,GetTagPage(CE94,AA94),"")</f>
        <v>#VALUE!</v>
      </c>
      <c r="CI94" s="12" t="e">
        <f>IF(LEN(AB94)&gt;1,GetTagPage(CF94,AB94),"")</f>
        <v>#VALUE!</v>
      </c>
      <c r="CJ94" s="12" t="e">
        <f t="shared" si="119"/>
        <v>#VALUE!</v>
      </c>
      <c r="CK94" s="12" t="str">
        <f t="shared" si="120"/>
        <v xml:space="preserve">| [](/places/places\us_ca-orange-mission-san-juan-capistrano) </v>
      </c>
      <c r="CL94" s="13" t="str">
        <f>"| "&amp;IF(AS94,GetTagPage(C94,VLOOKUP(C94,'Country Tags'!C:E,3,)),C94)&amp; " "</f>
        <v xml:space="preserve">| [US California](/tags/us
- us-ca) </v>
      </c>
      <c r="CM94" s="12" t="str">
        <f t="shared" si="121"/>
        <v xml:space="preserve">|  </v>
      </c>
      <c r="CN94" s="12" t="str">
        <f t="shared" si="122"/>
        <v xml:space="preserve">| [Link](/places/places\us_ca-orange-mission-san-juan-capistrano) </v>
      </c>
      <c r="CO94" s="12" t="e">
        <f t="shared" si="123"/>
        <v>#VALUE!</v>
      </c>
    </row>
    <row r="95" spans="1:93" ht="25.5" x14ac:dyDescent="0.25">
      <c r="A95" s="129" t="s">
        <v>786</v>
      </c>
      <c r="B95" s="7" t="s">
        <v>1653</v>
      </c>
      <c r="C95" s="7" t="s">
        <v>1074</v>
      </c>
      <c r="D95" s="148" t="s">
        <v>1749</v>
      </c>
      <c r="E95" s="1">
        <v>37.349189285345602</v>
      </c>
      <c r="F95" s="30">
        <v>-121.941511544924</v>
      </c>
      <c r="G95" s="7" t="s">
        <v>1454</v>
      </c>
      <c r="H95" s="86" t="s">
        <v>1476</v>
      </c>
      <c r="I95" s="7" t="s">
        <v>1002</v>
      </c>
      <c r="J95" s="7" t="b">
        <v>1</v>
      </c>
      <c r="L95" s="7" t="b">
        <v>1</v>
      </c>
      <c r="M95" s="7" t="s">
        <v>1490</v>
      </c>
      <c r="O95" s="1" t="s">
        <v>1507</v>
      </c>
      <c r="P95" s="1" t="s">
        <v>53</v>
      </c>
      <c r="Q95" s="40" t="s">
        <v>1520</v>
      </c>
      <c r="R95" s="1" t="s">
        <v>1528</v>
      </c>
      <c r="S95" s="44" t="s">
        <v>53</v>
      </c>
      <c r="T95" s="40" t="s">
        <v>1542</v>
      </c>
      <c r="U95" s="1" t="s">
        <v>1550</v>
      </c>
      <c r="V95" s="44" t="s">
        <v>53</v>
      </c>
      <c r="Z95" s="1" t="s">
        <v>1573</v>
      </c>
      <c r="AA95" s="1" t="s">
        <v>1567</v>
      </c>
      <c r="AB95" s="85" t="s">
        <v>1566</v>
      </c>
      <c r="AC95" s="1" t="s">
        <v>1564</v>
      </c>
      <c r="AS95" s="116" t="b">
        <f t="shared" si="95"/>
        <v>1</v>
      </c>
      <c r="AT95" s="117" t="str">
        <f t="shared" si="96"/>
        <v>title: "Mission Santa Clara de Asis"</v>
      </c>
      <c r="AU95" s="117" t="str">
        <f t="shared" si="97"/>
        <v>location: {lat: 37.3491892853456, lng: -121.941511544924}</v>
      </c>
      <c r="AV95" s="117" t="str">
        <f t="shared" si="98"/>
        <v>interest: local</v>
      </c>
      <c r="AW95" s="117" t="str">
        <f>"- "&amp;VLOOKUP(C95,'Country Tags'!C:E,3,)</f>
        <v>- us
- us-ca</v>
      </c>
      <c r="AX95" s="117" t="str">
        <f t="shared" si="99"/>
        <v>- san-jose</v>
      </c>
      <c r="AY95" s="117" t="str">
        <f t="shared" si="100"/>
        <v>- churches</v>
      </c>
      <c r="AZ95" s="117" t="str">
        <f t="shared" si="101"/>
        <v/>
      </c>
      <c r="BA95" s="117" t="str">
        <f t="shared" si="102"/>
        <v>- holy-persons</v>
      </c>
      <c r="BB95" s="117" t="str">
        <f t="shared" si="103"/>
        <v>- california-missions</v>
      </c>
      <c r="BC95" s="117" t="str">
        <f t="shared" si="104"/>
        <v>- franciscans</v>
      </c>
      <c r="BD95" s="117" t="str">
        <f t="shared" si="105"/>
        <v>- junipero-serra</v>
      </c>
      <c r="BE95" s="117" t="str">
        <f t="shared" si="106"/>
        <v>- schools</v>
      </c>
      <c r="BF95" s="117" t="str">
        <f t="shared" si="107"/>
        <v/>
      </c>
      <c r="BG95" s="117" t="str">
        <f t="shared" si="108"/>
        <v/>
      </c>
      <c r="BH95" s="117" t="str">
        <f t="shared" si="109"/>
        <v/>
      </c>
      <c r="BI95" s="117" t="str">
        <f t="shared" si="110"/>
        <v/>
      </c>
      <c r="BJ95" s="117" t="str">
        <f t="shared" si="111"/>
        <v/>
      </c>
      <c r="BK95" s="117" t="str">
        <f t="shared" si="112"/>
        <v/>
      </c>
      <c r="BL95" s="117" t="str">
        <f t="shared" si="113"/>
        <v xml:space="preserve">tags:
- us
- us-ca_x000D_
- san-jose_x000D_
- churches_x000D_
- holy-persons_x000D_
- california-missions_x000D_
- franciscans_x000D_
- junipero-serra_x000D_
- schools_x000D_
</v>
      </c>
      <c r="BM95" s="120" t="str">
        <f t="shared" si="124"/>
        <v>[Official site](https://www.scu.edu/missionchurch/)</v>
      </c>
      <c r="BN95" s="120" t="str">
        <f t="shared" si="125"/>
        <v>[California Missions Foundation page](https://californiamissionsfoundation.org/mission-santa-clara/)</v>
      </c>
      <c r="BO95" s="120" t="str">
        <f t="shared" si="126"/>
        <v>[Missions California page](https://www.missionscalifornia.com/missions/santa-clara-de-asis/)</v>
      </c>
      <c r="BP95" s="120" t="str">
        <f t="shared" si="127"/>
        <v/>
      </c>
      <c r="BQ95" s="117" t="str">
        <f t="shared" si="114"/>
        <v xml:space="preserve">* [Official site](https://www.scu.edu/missionchurch/)
* [California Missions Foundation page](https://californiamissionsfoundation.org/mission-santa-clara/)
* [Missions California page](https://www.missionscalifornia.com/missions/santa-clara-de-asis/)
</v>
      </c>
      <c r="BR95" s="117" t="str">
        <f t="shared" si="115"/>
        <v/>
      </c>
      <c r="BS95" s="117" t="str">
        <f t="shared" si="116"/>
        <v/>
      </c>
      <c r="BT95" s="117" t="str">
        <f t="shared" si="117"/>
        <v/>
      </c>
      <c r="BU95" s="117" t="str">
        <f>IF(LEN(concat(BR95:BT95))&gt;0,concat("| ",BR95," | ",BS95," | ",BT95," |"),"")</f>
        <v/>
      </c>
      <c r="BV95" s="117" t="str">
        <f t="shared" si="118"/>
        <v/>
      </c>
      <c r="BW95" s="117" t="str">
        <f>IF(LEN(BQ95&amp;BV95)&gt;0,concatll("#### More Information",BQ95,BV95),"")</f>
        <v xml:space="preserve">#### More Information_x000D_
_x000D_
* [Official site](https://www.scu.edu/missionchurch/)
* [California Missions Foundation page](https://californiamissionsfoundation.org/mission-santa-clara/)
* [Missions California page](https://www.missionscalifornia.com/missions/santa-clara-de-asis/)
_x000D_
_x000D_
</v>
      </c>
      <c r="BX95" s="117" t="str">
        <f>IF(LEN(N95)&gt;1,concatll("#### Author's Note",N95,"-"&amp;B95),"")</f>
        <v/>
      </c>
      <c r="BY95" s="117" t="s">
        <v>53</v>
      </c>
      <c r="BZ95" s="117" t="s">
        <v>53</v>
      </c>
      <c r="CA95" s="6" t="str">
        <f>IF(AS95,concatll(concatl("---",AT95:AV95,BL95,"---"),M95,BW95:BX95),"")</f>
        <v xml:space="preserve">---_x000D_
title: "Mission Santa Clara de Asis"_x000D_
location: {lat: 37.3491892853456, lng: -121.941511544924}_x000D_
interest: local_x000D_
tags:
- us
- us-ca_x000D_
- san-jose_x000D_
- churches_x000D_
- holy-persons_x000D_
- california-missions_x000D_
- franciscans_x000D_
- junipero-serra_x000D_
- schools_x000D_
_x000D_
---_x000D_
_x000D_
_x000D_
The 8th of the 21 California missions, founded in 1777._x000D_
_x000D_
#### More Information_x000D_
_x000D_
* [Official site](https://www.scu.edu/missionchurch/)
* [California Missions Foundation page](https://californiamissionsfoundation.org/mission-santa-clara/)
* [Missions California page](https://www.missionscalifornia.com/missions/santa-clara-de-asis/)
_x000D_
_x000D_
_x000D_
_x000D_
</v>
      </c>
      <c r="CB95" s="6" t="str">
        <f>IF(AS95,"places\"&amp;VLOOKUP(C95,'Country Tags'!C:D,2,)&amp;IF(LEN(D95)&gt;1,"-"&amp;LOWER(SUBSTITUTE(D95," ","-")),"")&amp;"-"&amp;LOWER(SUBSTITUTE(SUBSTITUTE(H95," ","-"),".",""))&amp;".md","")</f>
        <v>places\us_ca-san-jose-mission-santa-clara.md</v>
      </c>
      <c r="CC95" s="6"/>
      <c r="CD95" s="12" t="e">
        <f>IF(LEN(Z95)&gt;1,VLOOKUP(Z95,#REF!,2,),"")</f>
        <v>#REF!</v>
      </c>
      <c r="CE95" s="12" t="e">
        <f>IF(LEN(AA95)&gt;1,VLOOKUP(AA95,#REF!,2,),"")</f>
        <v>#REF!</v>
      </c>
      <c r="CF95" s="12" t="e">
        <f>IF(LEN(AB95)&gt;1,VLOOKUP(AB95,#REF!,2,),"")</f>
        <v>#REF!</v>
      </c>
      <c r="CG95" s="12" t="e">
        <f>IF(LEN(Z95)&gt;1,GetTagPage(CD95,Z95),"")</f>
        <v>#VALUE!</v>
      </c>
      <c r="CH95" s="12" t="e">
        <f>IF(LEN(AA95)&gt;1,GetTagPage(CE95,AA95),"")</f>
        <v>#VALUE!</v>
      </c>
      <c r="CI95" s="12" t="e">
        <f>IF(LEN(AB95)&gt;1,GetTagPage(CF95,AB95),"")</f>
        <v>#VALUE!</v>
      </c>
      <c r="CJ95" s="12" t="e">
        <f t="shared" si="119"/>
        <v>#VALUE!</v>
      </c>
      <c r="CK95" s="12" t="str">
        <f t="shared" si="120"/>
        <v xml:space="preserve">| [](/places/places\us_ca-san-jose-mission-santa-clara) </v>
      </c>
      <c r="CL95" s="13" t="str">
        <f>"| "&amp;IF(AS95,GetTagPage(C95,VLOOKUP(C95,'Country Tags'!C:E,3,)),C95)&amp; " "</f>
        <v xml:space="preserve">| [US California](/tags/us
- us-ca) </v>
      </c>
      <c r="CM95" s="12" t="str">
        <f t="shared" si="121"/>
        <v xml:space="preserve">|  </v>
      </c>
      <c r="CN95" s="12" t="str">
        <f t="shared" si="122"/>
        <v xml:space="preserve">| [Link](/places/places\us_ca-san-jose-mission-santa-clara) </v>
      </c>
      <c r="CO95" s="12" t="e">
        <f t="shared" si="123"/>
        <v>#VALUE!</v>
      </c>
    </row>
    <row r="96" spans="1:93" ht="25.5" x14ac:dyDescent="0.25">
      <c r="A96" s="129" t="s">
        <v>786</v>
      </c>
      <c r="B96" s="7" t="s">
        <v>1653</v>
      </c>
      <c r="C96" s="7" t="s">
        <v>1074</v>
      </c>
      <c r="D96" s="7" t="s">
        <v>1469</v>
      </c>
      <c r="E96" s="1">
        <v>34.281052108004999</v>
      </c>
      <c r="F96" s="30">
        <v>-119.298020331519</v>
      </c>
      <c r="G96" s="7" t="s">
        <v>1455</v>
      </c>
      <c r="H96" s="33" t="s">
        <v>1455</v>
      </c>
      <c r="I96" s="7" t="s">
        <v>1002</v>
      </c>
      <c r="J96" s="7" t="b">
        <v>1</v>
      </c>
      <c r="L96" s="7" t="b">
        <v>1</v>
      </c>
      <c r="M96" s="7" t="s">
        <v>1491</v>
      </c>
      <c r="O96" s="1" t="s">
        <v>1508</v>
      </c>
      <c r="P96" s="1" t="s">
        <v>53</v>
      </c>
      <c r="Q96" s="40" t="s">
        <v>1520</v>
      </c>
      <c r="R96" s="1" t="s">
        <v>1529</v>
      </c>
      <c r="S96" s="44" t="s">
        <v>53</v>
      </c>
      <c r="T96" s="40" t="s">
        <v>1542</v>
      </c>
      <c r="U96" s="1" t="s">
        <v>1551</v>
      </c>
      <c r="V96" s="44" t="s">
        <v>53</v>
      </c>
      <c r="Z96" s="1" t="s">
        <v>1573</v>
      </c>
      <c r="AA96" s="1" t="s">
        <v>1567</v>
      </c>
      <c r="AB96" s="1" t="s">
        <v>1566</v>
      </c>
      <c r="AS96" s="116" t="b">
        <f t="shared" si="95"/>
        <v>1</v>
      </c>
      <c r="AT96" s="117" t="str">
        <f t="shared" si="96"/>
        <v>title: "Mission San Buenaventura"</v>
      </c>
      <c r="AU96" s="117" t="str">
        <f t="shared" si="97"/>
        <v>location: {lat: 34.281052108005, lng: -119.298020331519}</v>
      </c>
      <c r="AV96" s="117" t="str">
        <f t="shared" si="98"/>
        <v>interest: local</v>
      </c>
      <c r="AW96" s="117" t="str">
        <f>"- "&amp;VLOOKUP(C96,'Country Tags'!C:E,3,)</f>
        <v>- us
- us-ca</v>
      </c>
      <c r="AX96" s="117" t="str">
        <f t="shared" si="99"/>
        <v>- ventura</v>
      </c>
      <c r="AY96" s="117" t="str">
        <f t="shared" si="100"/>
        <v>- churches</v>
      </c>
      <c r="AZ96" s="117" t="str">
        <f t="shared" si="101"/>
        <v/>
      </c>
      <c r="BA96" s="117" t="str">
        <f t="shared" si="102"/>
        <v>- holy-persons</v>
      </c>
      <c r="BB96" s="117" t="str">
        <f t="shared" si="103"/>
        <v>- california-missions</v>
      </c>
      <c r="BC96" s="117" t="str">
        <f t="shared" si="104"/>
        <v>- franciscans</v>
      </c>
      <c r="BD96" s="117" t="str">
        <f t="shared" si="105"/>
        <v>- junipero-serra</v>
      </c>
      <c r="BE96" s="117" t="str">
        <f t="shared" si="106"/>
        <v/>
      </c>
      <c r="BF96" s="117" t="str">
        <f t="shared" si="107"/>
        <v/>
      </c>
      <c r="BG96" s="117" t="str">
        <f t="shared" si="108"/>
        <v/>
      </c>
      <c r="BH96" s="117" t="str">
        <f t="shared" si="109"/>
        <v/>
      </c>
      <c r="BI96" s="117" t="str">
        <f t="shared" si="110"/>
        <v/>
      </c>
      <c r="BJ96" s="117" t="str">
        <f t="shared" si="111"/>
        <v/>
      </c>
      <c r="BK96" s="117" t="str">
        <f t="shared" si="112"/>
        <v/>
      </c>
      <c r="BL96" s="117" t="str">
        <f t="shared" si="113"/>
        <v xml:space="preserve">tags:
- us
- us-ca_x000D_
- ventura_x000D_
- churches_x000D_
- holy-persons_x000D_
- california-missions_x000D_
- franciscans_x000D_
- junipero-serra_x000D_
</v>
      </c>
      <c r="BM96" s="120" t="str">
        <f t="shared" si="124"/>
        <v>[Official site](http://www.sanbuenaventuramission.org/)</v>
      </c>
      <c r="BN96" s="120" t="str">
        <f t="shared" si="125"/>
        <v>[California Missions Foundation page](https://californiamissionsfoundation.org/mission-san-buenaventura/)</v>
      </c>
      <c r="BO96" s="120" t="str">
        <f t="shared" si="126"/>
        <v>[Missions California page](https://www.missionscalifornia.com/missions/san-buenaventura/)</v>
      </c>
      <c r="BP96" s="120" t="str">
        <f t="shared" si="127"/>
        <v/>
      </c>
      <c r="BQ96" s="117" t="str">
        <f t="shared" si="114"/>
        <v xml:space="preserve">* [Official site](http://www.sanbuenaventuramission.org/)
* [California Missions Foundation page](https://californiamissionsfoundation.org/mission-san-buenaventura/)
* [Missions California page](https://www.missionscalifornia.com/missions/san-buenaventura/)
</v>
      </c>
      <c r="BR96" s="117" t="str">
        <f t="shared" si="115"/>
        <v/>
      </c>
      <c r="BS96" s="117" t="str">
        <f t="shared" si="116"/>
        <v/>
      </c>
      <c r="BT96" s="117" t="str">
        <f t="shared" si="117"/>
        <v/>
      </c>
      <c r="BU96" s="117" t="str">
        <f>IF(LEN(concat(BR96:BT96))&gt;0,concat("| ",BR96," | ",BS96," | ",BT96," |"),"")</f>
        <v/>
      </c>
      <c r="BV96" s="117" t="str">
        <f t="shared" si="118"/>
        <v/>
      </c>
      <c r="BW96" s="117" t="str">
        <f>IF(LEN(BQ96&amp;BV96)&gt;0,concatll("#### More Information",BQ96,BV96),"")</f>
        <v xml:space="preserve">#### More Information_x000D_
_x000D_
* [Official site](http://www.sanbuenaventuramission.org/)
* [California Missions Foundation page](https://californiamissionsfoundation.org/mission-san-buenaventura/)
* [Missions California page](https://www.missionscalifornia.com/missions/san-buenaventura/)
_x000D_
_x000D_
</v>
      </c>
      <c r="BX96" s="117" t="str">
        <f>IF(LEN(N96)&gt;1,concatll("#### Author's Note",N96,"-"&amp;B96),"")</f>
        <v/>
      </c>
      <c r="BY96" s="117" t="s">
        <v>53</v>
      </c>
      <c r="BZ96" s="117" t="s">
        <v>53</v>
      </c>
      <c r="CA96" s="6" t="str">
        <f>IF(AS96,concatll(concatl("---",AT96:AV96,BL96,"---"),M96,BW96:BX96),"")</f>
        <v xml:space="preserve">---_x000D_
title: "Mission San Buenaventura"_x000D_
location: {lat: 34.281052108005, lng: -119.298020331519}_x000D_
interest: local_x000D_
tags:
- us
- us-ca_x000D_
- ventura_x000D_
- churches_x000D_
- holy-persons_x000D_
- california-missions_x000D_
- franciscans_x000D_
- junipero-serra_x000D_
_x000D_
---_x000D_
_x000D_
_x000D_
The 9th of the 21 California missions, founded in 1782._x000D_
_x000D_
#### More Information_x000D_
_x000D_
* [Official site](http://www.sanbuenaventuramission.org/)
* [California Missions Foundation page](https://californiamissionsfoundation.org/mission-san-buenaventura/)
* [Missions California page](https://www.missionscalifornia.com/missions/san-buenaventura/)
_x000D_
_x000D_
_x000D_
_x000D_
</v>
      </c>
      <c r="CB96" s="6" t="str">
        <f>IF(AS96,"places\"&amp;VLOOKUP(C96,'Country Tags'!C:D,2,)&amp;IF(LEN(D96)&gt;1,"-"&amp;LOWER(SUBSTITUTE(D96," ","-")),"")&amp;"-"&amp;LOWER(SUBSTITUTE(SUBSTITUTE(H96," ","-"),".",""))&amp;".md","")</f>
        <v>places\us_ca-ventura-mission-san-buenaventura.md</v>
      </c>
      <c r="CC96" s="6"/>
      <c r="CD96" s="12" t="e">
        <f>IF(LEN(Z96)&gt;1,VLOOKUP(Z96,#REF!,2,),"")</f>
        <v>#REF!</v>
      </c>
      <c r="CE96" s="12" t="e">
        <f>IF(LEN(AA96)&gt;1,VLOOKUP(AA96,#REF!,2,),"")</f>
        <v>#REF!</v>
      </c>
      <c r="CF96" s="12" t="e">
        <f>IF(LEN(AB96)&gt;1,VLOOKUP(AB96,#REF!,2,),"")</f>
        <v>#REF!</v>
      </c>
      <c r="CG96" s="12" t="e">
        <f>IF(LEN(Z96)&gt;1,GetTagPage(CD96,Z96),"")</f>
        <v>#VALUE!</v>
      </c>
      <c r="CH96" s="12" t="e">
        <f>IF(LEN(AA96)&gt;1,GetTagPage(CE96,AA96),"")</f>
        <v>#VALUE!</v>
      </c>
      <c r="CI96" s="12" t="e">
        <f>IF(LEN(AB96)&gt;1,GetTagPage(CF96,AB96),"")</f>
        <v>#VALUE!</v>
      </c>
      <c r="CJ96" s="12" t="e">
        <f t="shared" si="119"/>
        <v>#VALUE!</v>
      </c>
      <c r="CK96" s="12" t="str">
        <f t="shared" si="120"/>
        <v xml:space="preserve">| [](/places/places\us_ca-ventura-mission-san-buenaventura) </v>
      </c>
      <c r="CL96" s="13" t="str">
        <f>"| "&amp;IF(AS96,GetTagPage(C96,VLOOKUP(C96,'Country Tags'!C:E,3,)),C96)&amp; " "</f>
        <v xml:space="preserve">| [US California](/tags/us
- us-ca) </v>
      </c>
      <c r="CM96" s="12" t="str">
        <f t="shared" si="121"/>
        <v xml:space="preserve">|  </v>
      </c>
      <c r="CN96" s="12" t="str">
        <f t="shared" si="122"/>
        <v xml:space="preserve">| [Link](/places/places\us_ca-ventura-mission-san-buenaventura) </v>
      </c>
      <c r="CO96" s="12" t="e">
        <f t="shared" si="123"/>
        <v>#VALUE!</v>
      </c>
    </row>
    <row r="97" spans="1:93" ht="25.5" x14ac:dyDescent="0.25">
      <c r="A97" s="129" t="s">
        <v>786</v>
      </c>
      <c r="B97" s="7" t="s">
        <v>1653</v>
      </c>
      <c r="C97" s="7" t="s">
        <v>1074</v>
      </c>
      <c r="D97" s="148" t="s">
        <v>1747</v>
      </c>
      <c r="E97" s="1">
        <v>34.438290779208302</v>
      </c>
      <c r="F97" s="30">
        <v>-119.714078531515</v>
      </c>
      <c r="G97" s="7" t="s">
        <v>1456</v>
      </c>
      <c r="H97" s="33" t="s">
        <v>1456</v>
      </c>
      <c r="I97" s="7" t="s">
        <v>1002</v>
      </c>
      <c r="J97" s="7" t="b">
        <v>1</v>
      </c>
      <c r="L97" s="7" t="b">
        <v>1</v>
      </c>
      <c r="M97" s="7" t="s">
        <v>1492</v>
      </c>
      <c r="O97" s="1" t="s">
        <v>1509</v>
      </c>
      <c r="P97" s="1" t="s">
        <v>53</v>
      </c>
      <c r="Q97" s="40" t="s">
        <v>1520</v>
      </c>
      <c r="R97" s="1" t="s">
        <v>1530</v>
      </c>
      <c r="S97" s="44" t="s">
        <v>53</v>
      </c>
      <c r="T97" s="40" t="s">
        <v>1542</v>
      </c>
      <c r="U97" s="1" t="s">
        <v>1552</v>
      </c>
      <c r="V97" s="44" t="s">
        <v>53</v>
      </c>
      <c r="Z97" s="1" t="s">
        <v>1573</v>
      </c>
      <c r="AA97" s="1" t="s">
        <v>1567</v>
      </c>
      <c r="AB97" s="1" t="s">
        <v>880</v>
      </c>
      <c r="AS97" s="116" t="b">
        <f t="shared" si="95"/>
        <v>1</v>
      </c>
      <c r="AT97" s="117" t="str">
        <f t="shared" si="96"/>
        <v>title: "Mission Santa Barbara"</v>
      </c>
      <c r="AU97" s="117" t="str">
        <f t="shared" si="97"/>
        <v>location: {lat: 34.4382907792083, lng: -119.714078531515}</v>
      </c>
      <c r="AV97" s="117" t="str">
        <f t="shared" si="98"/>
        <v>interest: local</v>
      </c>
      <c r="AW97" s="117" t="str">
        <f>"- "&amp;VLOOKUP(C97,'Country Tags'!C:E,3,)</f>
        <v>- us
- us-ca</v>
      </c>
      <c r="AX97" s="117" t="str">
        <f t="shared" si="99"/>
        <v>- los-angeles</v>
      </c>
      <c r="AY97" s="117" t="str">
        <f t="shared" si="100"/>
        <v>- churches</v>
      </c>
      <c r="AZ97" s="117" t="str">
        <f t="shared" si="101"/>
        <v/>
      </c>
      <c r="BA97" s="117" t="str">
        <f t="shared" si="102"/>
        <v>- holy-persons</v>
      </c>
      <c r="BB97" s="117" t="str">
        <f t="shared" si="103"/>
        <v>- california-missions</v>
      </c>
      <c r="BC97" s="117" t="str">
        <f t="shared" si="104"/>
        <v>- franciscans</v>
      </c>
      <c r="BD97" s="117" t="str">
        <f t="shared" si="105"/>
        <v>- communities</v>
      </c>
      <c r="BE97" s="117" t="str">
        <f t="shared" si="106"/>
        <v/>
      </c>
      <c r="BF97" s="117" t="str">
        <f t="shared" si="107"/>
        <v/>
      </c>
      <c r="BG97" s="117" t="str">
        <f t="shared" si="108"/>
        <v/>
      </c>
      <c r="BH97" s="117" t="str">
        <f t="shared" si="109"/>
        <v/>
      </c>
      <c r="BI97" s="117" t="str">
        <f t="shared" si="110"/>
        <v/>
      </c>
      <c r="BJ97" s="117" t="str">
        <f t="shared" si="111"/>
        <v/>
      </c>
      <c r="BK97" s="117" t="str">
        <f t="shared" si="112"/>
        <v/>
      </c>
      <c r="BL97" s="117" t="str">
        <f t="shared" si="113"/>
        <v xml:space="preserve">tags:
- us
- us-ca_x000D_
- los-angeles_x000D_
- churches_x000D_
- holy-persons_x000D_
- california-missions_x000D_
- franciscans_x000D_
- communities_x000D_
</v>
      </c>
      <c r="BM97" s="120" t="str">
        <f t="shared" si="124"/>
        <v>[Official site](http://www.santabarbaramission.org/)</v>
      </c>
      <c r="BN97" s="120" t="str">
        <f t="shared" si="125"/>
        <v>[California Missions Foundation page](https://californiamissionsfoundation.org/mission-santa-barbara/)</v>
      </c>
      <c r="BO97" s="120" t="str">
        <f t="shared" si="126"/>
        <v>[Missions California page](https://www.missionscalifornia.com/missions/santa-barbara/)</v>
      </c>
      <c r="BP97" s="120" t="str">
        <f t="shared" si="127"/>
        <v/>
      </c>
      <c r="BQ97" s="117" t="str">
        <f t="shared" si="114"/>
        <v xml:space="preserve">* [Official site](http://www.santabarbaramission.org/)
* [California Missions Foundation page](https://californiamissionsfoundation.org/mission-santa-barbara/)
* [Missions California page](https://www.missionscalifornia.com/missions/santa-barbara/)
</v>
      </c>
      <c r="BR97" s="117" t="str">
        <f t="shared" si="115"/>
        <v/>
      </c>
      <c r="BS97" s="117" t="str">
        <f t="shared" si="116"/>
        <v/>
      </c>
      <c r="BT97" s="117" t="str">
        <f t="shared" si="117"/>
        <v/>
      </c>
      <c r="BU97" s="117" t="str">
        <f>IF(LEN(concat(BR97:BT97))&gt;0,concat("| ",BR97," | ",BS97," | ",BT97," |"),"")</f>
        <v/>
      </c>
      <c r="BV97" s="117" t="str">
        <f t="shared" si="118"/>
        <v/>
      </c>
      <c r="BW97" s="117" t="str">
        <f>IF(LEN(BQ97&amp;BV97)&gt;0,concatll("#### More Information",BQ97,BV97),"")</f>
        <v xml:space="preserve">#### More Information_x000D_
_x000D_
* [Official site](http://www.santabarbaramission.org/)
* [California Missions Foundation page](https://californiamissionsfoundation.org/mission-santa-barbara/)
* [Missions California page](https://www.missionscalifornia.com/missions/santa-barbara/)
_x000D_
_x000D_
</v>
      </c>
      <c r="BX97" s="117" t="str">
        <f>IF(LEN(N97)&gt;1,concatll("#### Author's Note",N97,"-"&amp;B97),"")</f>
        <v/>
      </c>
      <c r="BY97" s="117" t="s">
        <v>53</v>
      </c>
      <c r="BZ97" s="117" t="s">
        <v>53</v>
      </c>
      <c r="CA97" s="6" t="str">
        <f>IF(AS97,concatll(concatl("---",AT97:AV97,BL97,"---"),M97,BW97:BX97),"")</f>
        <v xml:space="preserve">---_x000D_
title: "Mission Santa Barbara"_x000D_
location: {lat: 34.4382907792083, lng: -119.714078531515}_x000D_
interest: local_x000D_
tags:
- us
- us-ca_x000D_
- los-angeles_x000D_
- churches_x000D_
- holy-persons_x000D_
- california-missions_x000D_
- franciscans_x000D_
- communities_x000D_
_x000D_
---_x000D_
_x000D_
_x000D_
The 10th of the 21 California missions, founded in 1786._x000D_
_x000D_
#### More Information_x000D_
_x000D_
* [Official site](http://www.santabarbaramission.org/)
* [California Missions Foundation page](https://californiamissionsfoundation.org/mission-santa-barbara/)
* [Missions California page](https://www.missionscalifornia.com/missions/santa-barbara/)
_x000D_
_x000D_
_x000D_
_x000D_
</v>
      </c>
      <c r="CB97" s="6" t="str">
        <f>IF(AS97,"places\"&amp;VLOOKUP(C97,'Country Tags'!C:D,2,)&amp;IF(LEN(D97)&gt;1,"-"&amp;LOWER(SUBSTITUTE(D97," ","-")),"")&amp;"-"&amp;LOWER(SUBSTITUTE(SUBSTITUTE(H97," ","-"),".",""))&amp;".md","")</f>
        <v>places\us_ca-los-angeles-mission-santa-barbara.md</v>
      </c>
      <c r="CC97" s="6"/>
      <c r="CD97" s="12" t="e">
        <f>IF(LEN(Z97)&gt;1,VLOOKUP(Z97,#REF!,2,),"")</f>
        <v>#REF!</v>
      </c>
      <c r="CE97" s="12" t="e">
        <f>IF(LEN(AA97)&gt;1,VLOOKUP(AA97,#REF!,2,),"")</f>
        <v>#REF!</v>
      </c>
      <c r="CF97" s="12" t="e">
        <f>IF(LEN(AB97)&gt;1,VLOOKUP(AB97,#REF!,2,),"")</f>
        <v>#REF!</v>
      </c>
      <c r="CG97" s="12" t="e">
        <f>IF(LEN(Z97)&gt;1,GetTagPage(CD97,Z97),"")</f>
        <v>#VALUE!</v>
      </c>
      <c r="CH97" s="12" t="e">
        <f>IF(LEN(AA97)&gt;1,GetTagPage(CE97,AA97),"")</f>
        <v>#VALUE!</v>
      </c>
      <c r="CI97" s="12" t="e">
        <f>IF(LEN(AB97)&gt;1,GetTagPage(CF97,AB97),"")</f>
        <v>#VALUE!</v>
      </c>
      <c r="CJ97" s="12" t="e">
        <f t="shared" si="119"/>
        <v>#VALUE!</v>
      </c>
      <c r="CK97" s="12" t="str">
        <f t="shared" si="120"/>
        <v xml:space="preserve">| [](/places/places\us_ca-los-angeles-mission-santa-barbara) </v>
      </c>
      <c r="CL97" s="13" t="str">
        <f>"| "&amp;IF(AS97,GetTagPage(C97,VLOOKUP(C97,'Country Tags'!C:E,3,)),C97)&amp; " "</f>
        <v xml:space="preserve">| [US California](/tags/us
- us-ca) </v>
      </c>
      <c r="CM97" s="12" t="str">
        <f t="shared" si="121"/>
        <v xml:space="preserve">|  </v>
      </c>
      <c r="CN97" s="12" t="str">
        <f t="shared" si="122"/>
        <v xml:space="preserve">| [Link](/places/places\us_ca-los-angeles-mission-santa-barbara) </v>
      </c>
      <c r="CO97" s="12" t="e">
        <f t="shared" si="123"/>
        <v>#VALUE!</v>
      </c>
    </row>
    <row r="98" spans="1:93" ht="38.25" x14ac:dyDescent="0.25">
      <c r="A98" s="129" t="s">
        <v>786</v>
      </c>
      <c r="B98" s="7" t="s">
        <v>1653</v>
      </c>
      <c r="C98" s="7" t="s">
        <v>1074</v>
      </c>
      <c r="D98" s="148" t="s">
        <v>1746</v>
      </c>
      <c r="E98" s="1">
        <v>34.669743501321904</v>
      </c>
      <c r="F98" s="30">
        <v>-120.420619002672</v>
      </c>
      <c r="G98" s="7" t="s">
        <v>1457</v>
      </c>
      <c r="H98" s="86" t="s">
        <v>1477</v>
      </c>
      <c r="I98" s="7" t="s">
        <v>1002</v>
      </c>
      <c r="L98" s="7" t="b">
        <v>1</v>
      </c>
      <c r="M98" s="84" t="s">
        <v>1572</v>
      </c>
      <c r="O98" s="1" t="s">
        <v>1510</v>
      </c>
      <c r="P98" s="1" t="s">
        <v>53</v>
      </c>
      <c r="Q98" s="40" t="s">
        <v>1520</v>
      </c>
      <c r="R98" s="1" t="s">
        <v>1531</v>
      </c>
      <c r="S98" s="44" t="s">
        <v>53</v>
      </c>
      <c r="T98" s="40" t="s">
        <v>1542</v>
      </c>
      <c r="U98" s="1" t="s">
        <v>1553</v>
      </c>
      <c r="V98" s="44" t="s">
        <v>53</v>
      </c>
      <c r="Z98" s="1" t="s">
        <v>1573</v>
      </c>
      <c r="AA98" s="1" t="s">
        <v>1567</v>
      </c>
      <c r="AB98" s="85" t="s">
        <v>1279</v>
      </c>
      <c r="AS98" s="116" t="b">
        <f t="shared" si="95"/>
        <v>1</v>
      </c>
      <c r="AT98" s="117" t="str">
        <f t="shared" si="96"/>
        <v>title: "Mission La Purisima Concepcion"</v>
      </c>
      <c r="AU98" s="117" t="str">
        <f t="shared" si="97"/>
        <v>location: {lat: 34.6697435013219, lng: -120.420619002672}</v>
      </c>
      <c r="AV98" s="117" t="str">
        <f t="shared" si="98"/>
        <v>interest: local</v>
      </c>
      <c r="AW98" s="117" t="str">
        <f>"- "&amp;VLOOKUP(C98,'Country Tags'!C:E,3,)</f>
        <v>- us
- us-ca</v>
      </c>
      <c r="AX98" s="117" t="str">
        <f t="shared" si="99"/>
        <v>- monterey</v>
      </c>
      <c r="AY98" s="117" t="str">
        <f t="shared" si="100"/>
        <v/>
      </c>
      <c r="AZ98" s="117" t="str">
        <f t="shared" si="101"/>
        <v/>
      </c>
      <c r="BA98" s="117" t="str">
        <f t="shared" si="102"/>
        <v>- holy-persons</v>
      </c>
      <c r="BB98" s="117" t="str">
        <f t="shared" si="103"/>
        <v>- california-missions</v>
      </c>
      <c r="BC98" s="117" t="str">
        <f t="shared" si="104"/>
        <v>- franciscans</v>
      </c>
      <c r="BD98" s="117" t="str">
        <f t="shared" si="105"/>
        <v>- closed</v>
      </c>
      <c r="BE98" s="117" t="str">
        <f t="shared" si="106"/>
        <v/>
      </c>
      <c r="BF98" s="117" t="str">
        <f t="shared" si="107"/>
        <v/>
      </c>
      <c r="BG98" s="117" t="str">
        <f t="shared" si="108"/>
        <v/>
      </c>
      <c r="BH98" s="117" t="str">
        <f t="shared" si="109"/>
        <v/>
      </c>
      <c r="BI98" s="117" t="str">
        <f t="shared" si="110"/>
        <v/>
      </c>
      <c r="BJ98" s="117" t="str">
        <f t="shared" si="111"/>
        <v/>
      </c>
      <c r="BK98" s="117" t="str">
        <f t="shared" si="112"/>
        <v/>
      </c>
      <c r="BL98" s="117" t="str">
        <f t="shared" si="113"/>
        <v xml:space="preserve">tags:
- us
- us-ca_x000D_
- monterey_x000D_
- holy-persons_x000D_
- california-missions_x000D_
- franciscans_x000D_
- closed_x000D_
</v>
      </c>
      <c r="BM98" s="120" t="str">
        <f t="shared" si="124"/>
        <v>[Official site](http://www.lapurisimamission.org/)</v>
      </c>
      <c r="BN98" s="120" t="str">
        <f t="shared" si="125"/>
        <v>[California Missions Foundation page](https://californiamissionsfoundation.org/mission-la-purisima/)</v>
      </c>
      <c r="BO98" s="120" t="str">
        <f t="shared" si="126"/>
        <v>[Missions California page](https://www.missionscalifornia.com/missions/la-purisima-concepcion/)</v>
      </c>
      <c r="BP98" s="120" t="str">
        <f t="shared" si="127"/>
        <v/>
      </c>
      <c r="BQ98" s="117" t="str">
        <f t="shared" si="114"/>
        <v xml:space="preserve">* [Official site](http://www.lapurisimamission.org/)
* [California Missions Foundation page](https://californiamissionsfoundation.org/mission-la-purisima/)
* [Missions California page](https://www.missionscalifornia.com/missions/la-purisima-concepcion/)
</v>
      </c>
      <c r="BR98" s="117" t="str">
        <f t="shared" si="115"/>
        <v/>
      </c>
      <c r="BS98" s="117" t="str">
        <f t="shared" si="116"/>
        <v/>
      </c>
      <c r="BT98" s="117" t="str">
        <f t="shared" si="117"/>
        <v/>
      </c>
      <c r="BU98" s="117" t="str">
        <f>IF(LEN(concat(BR98:BT98))&gt;0,concat("| ",BR98," | ",BS98," | ",BT98," |"),"")</f>
        <v/>
      </c>
      <c r="BV98" s="117" t="str">
        <f t="shared" si="118"/>
        <v/>
      </c>
      <c r="BW98" s="117" t="str">
        <f>IF(LEN(BQ98&amp;BV98)&gt;0,concatll("#### More Information",BQ98,BV98),"")</f>
        <v xml:space="preserve">#### More Information_x000D_
_x000D_
* [Official site](http://www.lapurisimamission.org/)
* [California Missions Foundation page](https://californiamissionsfoundation.org/mission-la-purisima/)
* [Missions California page](https://www.missionscalifornia.com/missions/la-purisima-concepcion/)
_x000D_
_x000D_
</v>
      </c>
      <c r="BX98" s="117" t="str">
        <f>IF(LEN(N98)&gt;1,concatll("#### Author's Note",N98,"-"&amp;B98),"")</f>
        <v/>
      </c>
      <c r="BY98" s="117" t="s">
        <v>53</v>
      </c>
      <c r="BZ98" s="117" t="s">
        <v>53</v>
      </c>
      <c r="CA98" s="6" t="str">
        <f>IF(AS98,concatll(concatl("---",AT98:AV98,BL98,"---"),M98,BW98:BX98),"")</f>
        <v xml:space="preserve">---_x000D_
title: "Mission La Purisima Concepcion"_x000D_
location: {lat: 34.6697435013219, lng: -120.420619002672}_x000D_
interest: local_x000D_
tags:
- us
- us-ca_x000D_
- monterey_x000D_
- holy-persons_x000D_
- california-missions_x000D_
- franciscans_x000D_
- closed_x000D_
_x000D_
---_x000D_
_x000D_
_x000D_
The 11th of the 21 California missions, founded in 1787.  The mission is no longer an active church, but part of a state park which seeks to accurately replicate mission life._x000D_
_x000D_
#### More Information_x000D_
_x000D_
* [Official site](http://www.lapurisimamission.org/)
* [California Missions Foundation page](https://californiamissionsfoundation.org/mission-la-purisima/)
* [Missions California page](https://www.missionscalifornia.com/missions/la-purisima-concepcion/)
_x000D_
_x000D_
_x000D_
_x000D_
</v>
      </c>
      <c r="CB98" s="6" t="str">
        <f>IF(AS98,"places\"&amp;VLOOKUP(C98,'Country Tags'!C:D,2,)&amp;IF(LEN(D98)&gt;1,"-"&amp;LOWER(SUBSTITUTE(D98," ","-")),"")&amp;"-"&amp;LOWER(SUBSTITUTE(SUBSTITUTE(H98," ","-"),".",""))&amp;".md","")</f>
        <v>places\us_ca-monterey-mission-la-purisima.md</v>
      </c>
      <c r="CC98" s="6"/>
      <c r="CD98" s="12" t="e">
        <f>IF(LEN(Z98)&gt;1,VLOOKUP(Z98,#REF!,2,),"")</f>
        <v>#REF!</v>
      </c>
      <c r="CE98" s="12" t="e">
        <f>IF(LEN(AA98)&gt;1,VLOOKUP(AA98,#REF!,2,),"")</f>
        <v>#REF!</v>
      </c>
      <c r="CF98" s="12" t="e">
        <f>IF(LEN(AB98)&gt;1,VLOOKUP(AB98,#REF!,2,),"")</f>
        <v>#REF!</v>
      </c>
      <c r="CG98" s="12" t="e">
        <f>IF(LEN(Z98)&gt;1,GetTagPage(CD98,Z98),"")</f>
        <v>#VALUE!</v>
      </c>
      <c r="CH98" s="12" t="e">
        <f>IF(LEN(AA98)&gt;1,GetTagPage(CE98,AA98),"")</f>
        <v>#VALUE!</v>
      </c>
      <c r="CI98" s="12" t="e">
        <f>IF(LEN(AB98)&gt;1,GetTagPage(CF98,AB98),"")</f>
        <v>#VALUE!</v>
      </c>
      <c r="CJ98" s="12" t="e">
        <f t="shared" si="119"/>
        <v>#VALUE!</v>
      </c>
      <c r="CK98" s="12" t="str">
        <f t="shared" si="120"/>
        <v xml:space="preserve">| [](/places/places\us_ca-monterey-mission-la-purisima) </v>
      </c>
      <c r="CL98" s="13" t="str">
        <f>"| "&amp;IF(AS98,GetTagPage(C98,VLOOKUP(C98,'Country Tags'!C:E,3,)),C98)&amp; " "</f>
        <v xml:space="preserve">| [US California](/tags/us
- us-ca) </v>
      </c>
      <c r="CM98" s="12" t="str">
        <f t="shared" si="121"/>
        <v xml:space="preserve">|  </v>
      </c>
      <c r="CN98" s="12" t="str">
        <f t="shared" si="122"/>
        <v xml:space="preserve">| [Link](/places/places\us_ca-monterey-mission-la-purisima) </v>
      </c>
      <c r="CO98" s="12" t="e">
        <f t="shared" si="123"/>
        <v>#VALUE!</v>
      </c>
    </row>
    <row r="99" spans="1:93" ht="25.5" x14ac:dyDescent="0.25">
      <c r="A99" s="129" t="s">
        <v>786</v>
      </c>
      <c r="B99" s="7" t="s">
        <v>1653</v>
      </c>
      <c r="C99" s="7" t="s">
        <v>1074</v>
      </c>
      <c r="D99" s="148" t="s">
        <v>1746</v>
      </c>
      <c r="E99" s="1">
        <v>36.9781412595296</v>
      </c>
      <c r="F99" s="30">
        <v>-122.029494075624</v>
      </c>
      <c r="G99" s="7" t="s">
        <v>1458</v>
      </c>
      <c r="H99" s="33" t="s">
        <v>1458</v>
      </c>
      <c r="I99" s="7" t="s">
        <v>1002</v>
      </c>
      <c r="J99" s="7" t="b">
        <v>1</v>
      </c>
      <c r="L99" s="7" t="b">
        <v>1</v>
      </c>
      <c r="M99" s="7" t="s">
        <v>1493</v>
      </c>
      <c r="O99" s="1" t="s">
        <v>1511</v>
      </c>
      <c r="P99" s="1" t="s">
        <v>53</v>
      </c>
      <c r="Q99" s="40" t="s">
        <v>1520</v>
      </c>
      <c r="R99" s="1" t="s">
        <v>1532</v>
      </c>
      <c r="S99" s="44" t="s">
        <v>53</v>
      </c>
      <c r="T99" s="40" t="s">
        <v>1542</v>
      </c>
      <c r="U99" s="1" t="s">
        <v>1554</v>
      </c>
      <c r="V99" s="44" t="s">
        <v>53</v>
      </c>
      <c r="Z99" s="1" t="s">
        <v>1573</v>
      </c>
      <c r="AA99" s="1" t="s">
        <v>1567</v>
      </c>
      <c r="AS99" s="116" t="b">
        <f t="shared" si="95"/>
        <v>1</v>
      </c>
      <c r="AT99" s="117" t="str">
        <f t="shared" si="96"/>
        <v>title: "Mission Santa Cruz"</v>
      </c>
      <c r="AU99" s="117" t="str">
        <f t="shared" si="97"/>
        <v>location: {lat: 36.9781412595296, lng: -122.029494075624}</v>
      </c>
      <c r="AV99" s="117" t="str">
        <f t="shared" si="98"/>
        <v>interest: local</v>
      </c>
      <c r="AW99" s="117" t="str">
        <f>"- "&amp;VLOOKUP(C99,'Country Tags'!C:E,3,)</f>
        <v>- us
- us-ca</v>
      </c>
      <c r="AX99" s="117" t="str">
        <f t="shared" si="99"/>
        <v>- monterey</v>
      </c>
      <c r="AY99" s="117" t="str">
        <f t="shared" si="100"/>
        <v>- churches</v>
      </c>
      <c r="AZ99" s="117" t="str">
        <f t="shared" si="101"/>
        <v/>
      </c>
      <c r="BA99" s="117" t="str">
        <f t="shared" si="102"/>
        <v>- holy-persons</v>
      </c>
      <c r="BB99" s="117" t="str">
        <f t="shared" si="103"/>
        <v>- california-missions</v>
      </c>
      <c r="BC99" s="117" t="str">
        <f t="shared" si="104"/>
        <v>- franciscans</v>
      </c>
      <c r="BD99" s="117" t="str">
        <f t="shared" si="105"/>
        <v/>
      </c>
      <c r="BE99" s="117" t="str">
        <f t="shared" si="106"/>
        <v/>
      </c>
      <c r="BF99" s="117" t="str">
        <f t="shared" si="107"/>
        <v/>
      </c>
      <c r="BG99" s="117" t="str">
        <f t="shared" si="108"/>
        <v/>
      </c>
      <c r="BH99" s="117" t="str">
        <f t="shared" si="109"/>
        <v/>
      </c>
      <c r="BI99" s="117" t="str">
        <f t="shared" si="110"/>
        <v/>
      </c>
      <c r="BJ99" s="117" t="str">
        <f t="shared" si="111"/>
        <v/>
      </c>
      <c r="BK99" s="117" t="str">
        <f t="shared" si="112"/>
        <v/>
      </c>
      <c r="BL99" s="117" t="str">
        <f t="shared" si="113"/>
        <v xml:space="preserve">tags:
- us
- us-ca_x000D_
- monterey_x000D_
- churches_x000D_
- holy-persons_x000D_
- california-missions_x000D_
- franciscans_x000D_
</v>
      </c>
      <c r="BM99" s="120" t="str">
        <f t="shared" si="124"/>
        <v>[Official site](http://www.holycrosssantacruz.com/mission-santa-cruz/)</v>
      </c>
      <c r="BN99" s="120" t="str">
        <f t="shared" si="125"/>
        <v>[California Missions Foundation page](https://californiamissionsfoundation.org/mission-santa-cruz/)</v>
      </c>
      <c r="BO99" s="120" t="str">
        <f t="shared" si="126"/>
        <v>[Missions California page](https://www.missionscalifornia.com/missions/santa-cruz/)</v>
      </c>
      <c r="BP99" s="120" t="str">
        <f t="shared" si="127"/>
        <v/>
      </c>
      <c r="BQ99" s="117" t="str">
        <f t="shared" si="114"/>
        <v xml:space="preserve">* [Official site](http://www.holycrosssantacruz.com/mission-santa-cruz/)
* [California Missions Foundation page](https://californiamissionsfoundation.org/mission-santa-cruz/)
* [Missions California page](https://www.missionscalifornia.com/missions/santa-cruz/)
</v>
      </c>
      <c r="BR99" s="117" t="str">
        <f t="shared" si="115"/>
        <v/>
      </c>
      <c r="BS99" s="117" t="str">
        <f t="shared" si="116"/>
        <v/>
      </c>
      <c r="BT99" s="117" t="str">
        <f t="shared" si="117"/>
        <v/>
      </c>
      <c r="BU99" s="117" t="str">
        <f>IF(LEN(concat(BR99:BT99))&gt;0,concat("| ",BR99," | ",BS99," | ",BT99," |"),"")</f>
        <v/>
      </c>
      <c r="BV99" s="117" t="str">
        <f t="shared" si="118"/>
        <v/>
      </c>
      <c r="BW99" s="117" t="str">
        <f>IF(LEN(BQ99&amp;BV99)&gt;0,concatll("#### More Information",BQ99,BV99),"")</f>
        <v xml:space="preserve">#### More Information_x000D_
_x000D_
* [Official site](http://www.holycrosssantacruz.com/mission-santa-cruz/)
* [California Missions Foundation page](https://californiamissionsfoundation.org/mission-santa-cruz/)
* [Missions California page](https://www.missionscalifornia.com/missions/santa-cruz/)
_x000D_
_x000D_
</v>
      </c>
      <c r="BX99" s="117" t="str">
        <f>IF(LEN(N99)&gt;1,concatll("#### Author's Note",N99,"-"&amp;B99),"")</f>
        <v/>
      </c>
      <c r="BY99" s="117" t="s">
        <v>53</v>
      </c>
      <c r="BZ99" s="117" t="s">
        <v>53</v>
      </c>
      <c r="CA99" s="6" t="str">
        <f>IF(AS99,concatll(concatl("---",AT99:AV99,BL99,"---"),M99,BW99:BX99),"")</f>
        <v xml:space="preserve">---_x000D_
title: "Mission Santa Cruz"_x000D_
location: {lat: 36.9781412595296, lng: -122.029494075624}_x000D_
interest: local_x000D_
tags:
- us
- us-ca_x000D_
- monterey_x000D_
- churches_x000D_
- holy-persons_x000D_
- california-missions_x000D_
- franciscans_x000D_
_x000D_
---_x000D_
_x000D_
_x000D_
The 12th of the 21 California missions, founded in 1791._x000D_
_x000D_
#### More Information_x000D_
_x000D_
* [Official site](http://www.holycrosssantacruz.com/mission-santa-cruz/)
* [California Missions Foundation page](https://californiamissionsfoundation.org/mission-santa-cruz/)
* [Missions California page](https://www.missionscalifornia.com/missions/santa-cruz/)
_x000D_
_x000D_
_x000D_
_x000D_
</v>
      </c>
      <c r="CB99" s="6" t="str">
        <f>IF(AS99,"places\"&amp;VLOOKUP(C99,'Country Tags'!C:D,2,)&amp;IF(LEN(D99)&gt;1,"-"&amp;LOWER(SUBSTITUTE(D99," ","-")),"")&amp;"-"&amp;LOWER(SUBSTITUTE(SUBSTITUTE(H99," ","-"),".",""))&amp;".md","")</f>
        <v>places\us_ca-monterey-mission-santa-cruz.md</v>
      </c>
      <c r="CC99" s="6"/>
      <c r="CD99" s="12" t="e">
        <f>IF(LEN(Z99)&gt;1,VLOOKUP(Z99,#REF!,2,),"")</f>
        <v>#REF!</v>
      </c>
      <c r="CE99" s="12" t="e">
        <f>IF(LEN(AA99)&gt;1,VLOOKUP(AA99,#REF!,2,),"")</f>
        <v>#REF!</v>
      </c>
      <c r="CF99" s="12" t="str">
        <f>IF(LEN(AB99)&gt;1,VLOOKUP(AB99,#REF!,2,),"")</f>
        <v/>
      </c>
      <c r="CG99" s="12" t="e">
        <f>IF(LEN(Z99)&gt;1,GetTagPage(CD99,Z99),"")</f>
        <v>#VALUE!</v>
      </c>
      <c r="CH99" s="12" t="e">
        <f>IF(LEN(AA99)&gt;1,GetTagPage(CE99,AA99),"")</f>
        <v>#VALUE!</v>
      </c>
      <c r="CI99" s="12" t="str">
        <f>IF(LEN(AB99)&gt;1,GetTagPage(CF99,AB99),"")</f>
        <v/>
      </c>
      <c r="CJ99" s="12" t="e">
        <f t="shared" si="119"/>
        <v>#VALUE!</v>
      </c>
      <c r="CK99" s="12" t="str">
        <f t="shared" si="120"/>
        <v xml:space="preserve">| [](/places/places\us_ca-monterey-mission-santa-cruz) </v>
      </c>
      <c r="CL99" s="13" t="str">
        <f>"| "&amp;IF(AS99,GetTagPage(C99,VLOOKUP(C99,'Country Tags'!C:E,3,)),C99)&amp; " "</f>
        <v xml:space="preserve">| [US California](/tags/us
- us-ca) </v>
      </c>
      <c r="CM99" s="12" t="str">
        <f t="shared" si="121"/>
        <v xml:space="preserve">|  </v>
      </c>
      <c r="CN99" s="12" t="str">
        <f t="shared" si="122"/>
        <v xml:space="preserve">| [Link](/places/places\us_ca-monterey-mission-santa-cruz) </v>
      </c>
      <c r="CO99" s="12" t="e">
        <f t="shared" si="123"/>
        <v>#VALUE!</v>
      </c>
    </row>
    <row r="100" spans="1:93" ht="25.5" x14ac:dyDescent="0.25">
      <c r="A100" s="129" t="s">
        <v>786</v>
      </c>
      <c r="B100" s="7" t="s">
        <v>1653</v>
      </c>
      <c r="C100" s="7" t="s">
        <v>1074</v>
      </c>
      <c r="D100" s="148" t="s">
        <v>1746</v>
      </c>
      <c r="E100" s="1">
        <v>36.404839082598102</v>
      </c>
      <c r="F100" s="30">
        <v>-121.35576157378701</v>
      </c>
      <c r="G100" s="7" t="s">
        <v>1459</v>
      </c>
      <c r="H100" s="86" t="s">
        <v>1482</v>
      </c>
      <c r="I100" s="7" t="s">
        <v>1002</v>
      </c>
      <c r="J100" s="7" t="b">
        <v>1</v>
      </c>
      <c r="L100" s="7" t="b">
        <v>1</v>
      </c>
      <c r="M100" s="7" t="s">
        <v>1494</v>
      </c>
      <c r="O100" s="1" t="s">
        <v>1512</v>
      </c>
      <c r="P100" s="1" t="s">
        <v>53</v>
      </c>
      <c r="Q100" s="40" t="s">
        <v>1520</v>
      </c>
      <c r="R100" s="1" t="s">
        <v>1533</v>
      </c>
      <c r="S100" s="44" t="s">
        <v>53</v>
      </c>
      <c r="T100" s="40" t="s">
        <v>1542</v>
      </c>
      <c r="U100" s="1" t="s">
        <v>1555</v>
      </c>
      <c r="V100" s="44" t="s">
        <v>53</v>
      </c>
      <c r="Z100" s="1" t="s">
        <v>1573</v>
      </c>
      <c r="AA100" s="1" t="s">
        <v>1567</v>
      </c>
      <c r="AS100" s="116" t="b">
        <f t="shared" si="95"/>
        <v>1</v>
      </c>
      <c r="AT100" s="117" t="str">
        <f t="shared" si="96"/>
        <v>title: "Mission Nuestra Senora de la Soledad (Mission Soledad)"</v>
      </c>
      <c r="AU100" s="117" t="str">
        <f t="shared" si="97"/>
        <v>location: {lat: 36.4048390825981, lng: -121.355761573787}</v>
      </c>
      <c r="AV100" s="117" t="str">
        <f t="shared" si="98"/>
        <v>interest: local</v>
      </c>
      <c r="AW100" s="117" t="str">
        <f>"- "&amp;VLOOKUP(C100,'Country Tags'!C:E,3,)</f>
        <v>- us
- us-ca</v>
      </c>
      <c r="AX100" s="117" t="str">
        <f t="shared" si="99"/>
        <v>- monterey</v>
      </c>
      <c r="AY100" s="117" t="str">
        <f t="shared" si="100"/>
        <v>- churches</v>
      </c>
      <c r="AZ100" s="117" t="str">
        <f t="shared" si="101"/>
        <v/>
      </c>
      <c r="BA100" s="117" t="str">
        <f t="shared" si="102"/>
        <v>- holy-persons</v>
      </c>
      <c r="BB100" s="117" t="str">
        <f t="shared" si="103"/>
        <v>- california-missions</v>
      </c>
      <c r="BC100" s="117" t="str">
        <f t="shared" si="104"/>
        <v>- franciscans</v>
      </c>
      <c r="BD100" s="117" t="str">
        <f t="shared" si="105"/>
        <v/>
      </c>
      <c r="BE100" s="117" t="str">
        <f t="shared" si="106"/>
        <v/>
      </c>
      <c r="BF100" s="117" t="str">
        <f t="shared" si="107"/>
        <v/>
      </c>
      <c r="BG100" s="117" t="str">
        <f t="shared" si="108"/>
        <v/>
      </c>
      <c r="BH100" s="117" t="str">
        <f t="shared" si="109"/>
        <v/>
      </c>
      <c r="BI100" s="117" t="str">
        <f t="shared" si="110"/>
        <v/>
      </c>
      <c r="BJ100" s="117" t="str">
        <f t="shared" si="111"/>
        <v/>
      </c>
      <c r="BK100" s="117" t="str">
        <f t="shared" si="112"/>
        <v/>
      </c>
      <c r="BL100" s="117" t="str">
        <f t="shared" si="113"/>
        <v xml:space="preserve">tags:
- us
- us-ca_x000D_
- monterey_x000D_
- churches_x000D_
- holy-persons_x000D_
- california-missions_x000D_
- franciscans_x000D_
</v>
      </c>
      <c r="BM100" s="120" t="str">
        <f t="shared" si="124"/>
        <v>[Official site](http://missionsoledad.com/)</v>
      </c>
      <c r="BN100" s="120" t="str">
        <f t="shared" si="125"/>
        <v>[California Missions Foundation page](https://californiamissionsfoundation.org/mission-la-soledad/)</v>
      </c>
      <c r="BO100" s="120" t="str">
        <f t="shared" si="126"/>
        <v>[Missions California page](https://www.missionscalifornia.com/missions/nuestra-senora-de-la-soledad/)</v>
      </c>
      <c r="BP100" s="120" t="str">
        <f t="shared" si="127"/>
        <v/>
      </c>
      <c r="BQ100" s="117" t="str">
        <f t="shared" si="114"/>
        <v xml:space="preserve">* [Official site](http://missionsoledad.com/)
* [California Missions Foundation page](https://californiamissionsfoundation.org/mission-la-soledad/)
* [Missions California page](https://www.missionscalifornia.com/missions/nuestra-senora-de-la-soledad/)
</v>
      </c>
      <c r="BR100" s="117" t="str">
        <f t="shared" si="115"/>
        <v/>
      </c>
      <c r="BS100" s="117" t="str">
        <f t="shared" si="116"/>
        <v/>
      </c>
      <c r="BT100" s="117" t="str">
        <f t="shared" si="117"/>
        <v/>
      </c>
      <c r="BU100" s="117" t="str">
        <f>IF(LEN(concat(BR100:BT100))&gt;0,concat("| ",BR100," | ",BS100," | ",BT100," |"),"")</f>
        <v/>
      </c>
      <c r="BV100" s="117" t="str">
        <f t="shared" si="118"/>
        <v/>
      </c>
      <c r="BW100" s="117" t="str">
        <f>IF(LEN(BQ100&amp;BV100)&gt;0,concatll("#### More Information",BQ100,BV100),"")</f>
        <v xml:space="preserve">#### More Information_x000D_
_x000D_
* [Official site](http://missionsoledad.com/)
* [California Missions Foundation page](https://californiamissionsfoundation.org/mission-la-soledad/)
* [Missions California page](https://www.missionscalifornia.com/missions/nuestra-senora-de-la-soledad/)
_x000D_
_x000D_
</v>
      </c>
      <c r="BX100" s="117" t="str">
        <f>IF(LEN(N100)&gt;1,concatll("#### Author's Note",N100,"-"&amp;B100),"")</f>
        <v/>
      </c>
      <c r="BY100" s="117" t="s">
        <v>53</v>
      </c>
      <c r="BZ100" s="117" t="s">
        <v>53</v>
      </c>
      <c r="CA100" s="6" t="str">
        <f>IF(AS100,concatll(concatl("---",AT100:AV100,BL100,"---"),M100,BW100:BX100),"")</f>
        <v xml:space="preserve">---_x000D_
title: "Mission Nuestra Senora de la Soledad (Mission Soledad)"_x000D_
location: {lat: 36.4048390825981, lng: -121.355761573787}_x000D_
interest: local_x000D_
tags:
- us
- us-ca_x000D_
- monterey_x000D_
- churches_x000D_
- holy-persons_x000D_
- california-missions_x000D_
- franciscans_x000D_
_x000D_
---_x000D_
_x000D_
_x000D_
The 13th of the 21 California missions, founded in 1791._x000D_
_x000D_
#### More Information_x000D_
_x000D_
* [Official site](http://missionsoledad.com/)
* [California Missions Foundation page](https://californiamissionsfoundation.org/mission-la-soledad/)
* [Missions California page](https://www.missionscalifornia.com/missions/nuestra-senora-de-la-soledad/)
_x000D_
_x000D_
_x000D_
_x000D_
</v>
      </c>
      <c r="CB100" s="6" t="str">
        <f>IF(AS100,"places\"&amp;VLOOKUP(C100,'Country Tags'!C:D,2,)&amp;IF(LEN(D100)&gt;1,"-"&amp;LOWER(SUBSTITUTE(D100," ","-")),"")&amp;"-"&amp;LOWER(SUBSTITUTE(SUBSTITUTE(H100," ","-"),".",""))&amp;".md","")</f>
        <v>places\us_ca-monterey-mission-soledad.md</v>
      </c>
      <c r="CC100" s="6"/>
      <c r="CD100" s="12" t="e">
        <f>IF(LEN(Z100)&gt;1,VLOOKUP(Z100,#REF!,2,),"")</f>
        <v>#REF!</v>
      </c>
      <c r="CE100" s="12" t="e">
        <f>IF(LEN(AA100)&gt;1,VLOOKUP(AA100,#REF!,2,),"")</f>
        <v>#REF!</v>
      </c>
      <c r="CF100" s="12" t="str">
        <f>IF(LEN(AB100)&gt;1,VLOOKUP(AB100,#REF!,2,),"")</f>
        <v/>
      </c>
      <c r="CG100" s="12" t="e">
        <f>IF(LEN(Z100)&gt;1,GetTagPage(CD100,Z100),"")</f>
        <v>#VALUE!</v>
      </c>
      <c r="CH100" s="12" t="e">
        <f>IF(LEN(AA100)&gt;1,GetTagPage(CE100,AA100),"")</f>
        <v>#VALUE!</v>
      </c>
      <c r="CI100" s="12" t="str">
        <f>IF(LEN(AB100)&gt;1,GetTagPage(CF100,AB100),"")</f>
        <v/>
      </c>
      <c r="CJ100" s="12" t="e">
        <f t="shared" si="119"/>
        <v>#VALUE!</v>
      </c>
      <c r="CK100" s="12" t="str">
        <f t="shared" si="120"/>
        <v xml:space="preserve">| [](/places/places\us_ca-monterey-mission-soledad) </v>
      </c>
      <c r="CL100" s="13" t="str">
        <f>"| "&amp;IF(AS100,GetTagPage(C100,VLOOKUP(C100,'Country Tags'!C:E,3,)),C100)&amp; " "</f>
        <v xml:space="preserve">| [US California](/tags/us
- us-ca) </v>
      </c>
      <c r="CM100" s="12" t="str">
        <f t="shared" si="121"/>
        <v xml:space="preserve">|  </v>
      </c>
      <c r="CN100" s="12" t="str">
        <f t="shared" si="122"/>
        <v xml:space="preserve">| [Link](/places/places\us_ca-monterey-mission-soledad) </v>
      </c>
      <c r="CO100" s="12" t="e">
        <f t="shared" si="123"/>
        <v>#VALUE!</v>
      </c>
    </row>
    <row r="101" spans="1:93" ht="25.5" x14ac:dyDescent="0.25">
      <c r="A101" s="129" t="s">
        <v>786</v>
      </c>
      <c r="B101" s="7" t="s">
        <v>1653</v>
      </c>
      <c r="C101" s="7" t="s">
        <v>1074</v>
      </c>
      <c r="D101" s="148" t="s">
        <v>1750</v>
      </c>
      <c r="E101" s="1">
        <v>37.533403637449297</v>
      </c>
      <c r="F101" s="30">
        <v>-121.919695300919</v>
      </c>
      <c r="G101" s="7" t="s">
        <v>1460</v>
      </c>
      <c r="H101" s="33" t="s">
        <v>1460</v>
      </c>
      <c r="I101" s="7" t="s">
        <v>1002</v>
      </c>
      <c r="J101" s="7" t="b">
        <v>1</v>
      </c>
      <c r="L101" s="7" t="b">
        <v>1</v>
      </c>
      <c r="M101" s="7" t="s">
        <v>1495</v>
      </c>
      <c r="O101" s="1" t="s">
        <v>1513</v>
      </c>
      <c r="P101" s="1" t="s">
        <v>53</v>
      </c>
      <c r="Q101" s="40" t="s">
        <v>1520</v>
      </c>
      <c r="R101" s="1" t="s">
        <v>1534</v>
      </c>
      <c r="S101" s="44" t="s">
        <v>53</v>
      </c>
      <c r="T101" s="40" t="s">
        <v>1542</v>
      </c>
      <c r="U101" s="1" t="s">
        <v>1556</v>
      </c>
      <c r="V101" s="44" t="s">
        <v>53</v>
      </c>
      <c r="Z101" s="1" t="s">
        <v>1573</v>
      </c>
      <c r="AA101" s="1" t="s">
        <v>1567</v>
      </c>
      <c r="AS101" s="116" t="b">
        <f t="shared" si="95"/>
        <v>1</v>
      </c>
      <c r="AT101" s="117" t="str">
        <f t="shared" si="96"/>
        <v>title: "Mission San Jose"</v>
      </c>
      <c r="AU101" s="117" t="str">
        <f t="shared" si="97"/>
        <v>location: {lat: 37.5334036374493, lng: -121.919695300919}</v>
      </c>
      <c r="AV101" s="117" t="str">
        <f t="shared" si="98"/>
        <v>interest: local</v>
      </c>
      <c r="AW101" s="117" t="str">
        <f>"- "&amp;VLOOKUP(C101,'Country Tags'!C:E,3,)</f>
        <v>- us
- us-ca</v>
      </c>
      <c r="AX101" s="117" t="str">
        <f t="shared" si="99"/>
        <v>- oakland</v>
      </c>
      <c r="AY101" s="117" t="str">
        <f t="shared" si="100"/>
        <v>- churches</v>
      </c>
      <c r="AZ101" s="117" t="str">
        <f t="shared" si="101"/>
        <v/>
      </c>
      <c r="BA101" s="117" t="str">
        <f t="shared" si="102"/>
        <v>- holy-persons</v>
      </c>
      <c r="BB101" s="117" t="str">
        <f t="shared" si="103"/>
        <v>- california-missions</v>
      </c>
      <c r="BC101" s="117" t="str">
        <f t="shared" si="104"/>
        <v>- franciscans</v>
      </c>
      <c r="BD101" s="117" t="str">
        <f t="shared" si="105"/>
        <v/>
      </c>
      <c r="BE101" s="117" t="str">
        <f t="shared" si="106"/>
        <v/>
      </c>
      <c r="BF101" s="117" t="str">
        <f t="shared" si="107"/>
        <v/>
      </c>
      <c r="BG101" s="117" t="str">
        <f t="shared" si="108"/>
        <v/>
      </c>
      <c r="BH101" s="117" t="str">
        <f t="shared" si="109"/>
        <v/>
      </c>
      <c r="BI101" s="117" t="str">
        <f t="shared" si="110"/>
        <v/>
      </c>
      <c r="BJ101" s="117" t="str">
        <f t="shared" si="111"/>
        <v/>
      </c>
      <c r="BK101" s="117" t="str">
        <f t="shared" si="112"/>
        <v/>
      </c>
      <c r="BL101" s="117" t="str">
        <f t="shared" si="113"/>
        <v xml:space="preserve">tags:
- us
- us-ca_x000D_
- oakland_x000D_
- churches_x000D_
- holy-persons_x000D_
- california-missions_x000D_
- franciscans_x000D_
</v>
      </c>
      <c r="BM101" s="120" t="str">
        <f t="shared" si="124"/>
        <v>[Official site](http://www.missionsanjose.org/)</v>
      </c>
      <c r="BN101" s="120" t="str">
        <f t="shared" si="125"/>
        <v>[California Missions Foundation page](https://californiamissionsfoundation.org/mission-san-jose/)</v>
      </c>
      <c r="BO101" s="120" t="str">
        <f t="shared" si="126"/>
        <v>[Missions California page](https://www.missionscalifornia.com/missions/san-jose/)</v>
      </c>
      <c r="BP101" s="120" t="str">
        <f t="shared" si="127"/>
        <v/>
      </c>
      <c r="BQ101" s="117" t="str">
        <f t="shared" si="114"/>
        <v xml:space="preserve">* [Official site](http://www.missionsanjose.org/)
* [California Missions Foundation page](https://californiamissionsfoundation.org/mission-san-jose/)
* [Missions California page](https://www.missionscalifornia.com/missions/san-jose/)
</v>
      </c>
      <c r="BR101" s="117" t="str">
        <f t="shared" si="115"/>
        <v/>
      </c>
      <c r="BS101" s="117" t="str">
        <f t="shared" si="116"/>
        <v/>
      </c>
      <c r="BT101" s="117" t="str">
        <f t="shared" si="117"/>
        <v/>
      </c>
      <c r="BU101" s="117" t="str">
        <f>IF(LEN(concat(BR101:BT101))&gt;0,concat("| ",BR101," | ",BS101," | ",BT101," |"),"")</f>
        <v/>
      </c>
      <c r="BV101" s="117" t="str">
        <f t="shared" si="118"/>
        <v/>
      </c>
      <c r="BW101" s="117" t="str">
        <f>IF(LEN(BQ101&amp;BV101)&gt;0,concatll("#### More Information",BQ101,BV101),"")</f>
        <v xml:space="preserve">#### More Information_x000D_
_x000D_
* [Official site](http://www.missionsanjose.org/)
* [California Missions Foundation page](https://californiamissionsfoundation.org/mission-san-jose/)
* [Missions California page](https://www.missionscalifornia.com/missions/san-jose/)
_x000D_
_x000D_
</v>
      </c>
      <c r="BX101" s="117" t="str">
        <f>IF(LEN(N101)&gt;1,concatll("#### Author's Note",N101,"-"&amp;B101),"")</f>
        <v/>
      </c>
      <c r="BY101" s="117" t="s">
        <v>53</v>
      </c>
      <c r="BZ101" s="117" t="s">
        <v>53</v>
      </c>
      <c r="CA101" s="6" t="str">
        <f>IF(AS101,concatll(concatl("---",AT101:AV101,BL101,"---"),M101,BW101:BX101),"")</f>
        <v xml:space="preserve">---_x000D_
title: "Mission San Jose"_x000D_
location: {lat: 37.5334036374493, lng: -121.919695300919}_x000D_
interest: local_x000D_
tags:
- us
- us-ca_x000D_
- oakland_x000D_
- churches_x000D_
- holy-persons_x000D_
- california-missions_x000D_
- franciscans_x000D_
_x000D_
---_x000D_
_x000D_
_x000D_
The 14th of the 21 California missions, founded in 1797._x000D_
_x000D_
#### More Information_x000D_
_x000D_
* [Official site](http://www.missionsanjose.org/)
* [California Missions Foundation page](https://californiamissionsfoundation.org/mission-san-jose/)
* [Missions California page](https://www.missionscalifornia.com/missions/san-jose/)
_x000D_
_x000D_
_x000D_
_x000D_
</v>
      </c>
      <c r="CB101" s="6" t="str">
        <f>IF(AS101,"places\"&amp;VLOOKUP(C101,'Country Tags'!C:D,2,)&amp;IF(LEN(D101)&gt;1,"-"&amp;LOWER(SUBSTITUTE(D101," ","-")),"")&amp;"-"&amp;LOWER(SUBSTITUTE(SUBSTITUTE(H101," ","-"),".",""))&amp;".md","")</f>
        <v>places\us_ca-oakland-mission-san-jose.md</v>
      </c>
      <c r="CC101" s="6"/>
      <c r="CD101" s="12" t="e">
        <f>IF(LEN(Z101)&gt;1,VLOOKUP(Z101,#REF!,2,),"")</f>
        <v>#REF!</v>
      </c>
      <c r="CE101" s="12" t="e">
        <f>IF(LEN(AA101)&gt;1,VLOOKUP(AA101,#REF!,2,),"")</f>
        <v>#REF!</v>
      </c>
      <c r="CF101" s="12" t="str">
        <f>IF(LEN(AB101)&gt;1,VLOOKUP(AB101,#REF!,2,),"")</f>
        <v/>
      </c>
      <c r="CG101" s="12" t="e">
        <f>IF(LEN(Z101)&gt;1,GetTagPage(CD101,Z101),"")</f>
        <v>#VALUE!</v>
      </c>
      <c r="CH101" s="12" t="e">
        <f>IF(LEN(AA101)&gt;1,GetTagPage(CE101,AA101),"")</f>
        <v>#VALUE!</v>
      </c>
      <c r="CI101" s="12" t="str">
        <f>IF(LEN(AB101)&gt;1,GetTagPage(CF101,AB101),"")</f>
        <v/>
      </c>
      <c r="CJ101" s="12" t="e">
        <f t="shared" si="119"/>
        <v>#VALUE!</v>
      </c>
      <c r="CK101" s="12" t="str">
        <f t="shared" si="120"/>
        <v xml:space="preserve">| [](/places/places\us_ca-oakland-mission-san-jose) </v>
      </c>
      <c r="CL101" s="13" t="str">
        <f>"| "&amp;IF(AS101,GetTagPage(C101,VLOOKUP(C101,'Country Tags'!C:E,3,)),C101)&amp; " "</f>
        <v xml:space="preserve">| [US California](/tags/us
- us-ca) </v>
      </c>
      <c r="CM101" s="12" t="str">
        <f t="shared" si="121"/>
        <v xml:space="preserve">|  </v>
      </c>
      <c r="CN101" s="12" t="str">
        <f t="shared" si="122"/>
        <v xml:space="preserve">| [Link](/places/places\us_ca-oakland-mission-san-jose) </v>
      </c>
      <c r="CO101" s="12" t="e">
        <f t="shared" si="123"/>
        <v>#VALUE!</v>
      </c>
    </row>
    <row r="102" spans="1:93" ht="25.5" x14ac:dyDescent="0.25">
      <c r="A102" s="129" t="s">
        <v>786</v>
      </c>
      <c r="B102" s="7" t="s">
        <v>1653</v>
      </c>
      <c r="C102" s="7" t="s">
        <v>1074</v>
      </c>
      <c r="D102" s="148" t="s">
        <v>1746</v>
      </c>
      <c r="E102" s="1">
        <v>36.845891014947597</v>
      </c>
      <c r="F102" s="30">
        <v>-121.53575268911899</v>
      </c>
      <c r="G102" s="7" t="s">
        <v>1461</v>
      </c>
      <c r="H102" s="33" t="s">
        <v>1461</v>
      </c>
      <c r="I102" s="7" t="s">
        <v>1002</v>
      </c>
      <c r="J102" s="7" t="b">
        <v>1</v>
      </c>
      <c r="L102" s="7" t="b">
        <v>1</v>
      </c>
      <c r="M102" s="7" t="s">
        <v>1496</v>
      </c>
      <c r="O102" s="1" t="s">
        <v>1514</v>
      </c>
      <c r="P102" s="1" t="s">
        <v>53</v>
      </c>
      <c r="Q102" s="40" t="s">
        <v>1520</v>
      </c>
      <c r="R102" s="1" t="s">
        <v>1535</v>
      </c>
      <c r="S102" s="44" t="s">
        <v>53</v>
      </c>
      <c r="T102" s="40" t="s">
        <v>1542</v>
      </c>
      <c r="U102" s="1" t="s">
        <v>1557</v>
      </c>
      <c r="V102" s="44" t="s">
        <v>53</v>
      </c>
      <c r="Z102" s="1" t="s">
        <v>1573</v>
      </c>
      <c r="AA102" s="1" t="s">
        <v>1567</v>
      </c>
      <c r="AS102" s="116" t="b">
        <f t="shared" ref="AS102:AS133" si="128">IF(OR(A102="Done",A102="In Progress"),TRUE)</f>
        <v>1</v>
      </c>
      <c r="AT102" s="117" t="str">
        <f t="shared" ref="AT102:AT133" si="129">"title: """&amp;G102&amp;""""</f>
        <v>title: "Mission San Juan Bautista"</v>
      </c>
      <c r="AU102" s="117" t="str">
        <f t="shared" ref="AU102:AU133" si="130">"location: {lat: "&amp;E102&amp;", lng: "&amp;F102&amp;"}"</f>
        <v>location: {lat: 36.8458910149476, lng: -121.535752689119}</v>
      </c>
      <c r="AV102" s="117" t="str">
        <f t="shared" ref="AV102:AV133" si="131">"interest: "&amp;I102</f>
        <v>interest: local</v>
      </c>
      <c r="AW102" s="117" t="str">
        <f>"- "&amp;VLOOKUP(C102,'Country Tags'!C:E,3,)</f>
        <v>- us
- us-ca</v>
      </c>
      <c r="AX102" s="117" t="str">
        <f t="shared" ref="AX102:AX133" si="132">IF(LEN(D102)&gt;1,"- "&amp;LOWER(SUBSTITUTE(D102," ","-")),"")</f>
        <v>- monterey</v>
      </c>
      <c r="AY102" s="117" t="str">
        <f t="shared" ref="AY102:AY133" si="133">IF(J102,"- churches","")</f>
        <v>- churches</v>
      </c>
      <c r="AZ102" s="117" t="str">
        <f t="shared" ref="AZ102:AZ133" si="134">IF(K102,"- marian-sites","")</f>
        <v/>
      </c>
      <c r="BA102" s="117" t="str">
        <f t="shared" ref="BA102:BA133" si="135">IF(L102,"- holy-persons","")</f>
        <v>- holy-persons</v>
      </c>
      <c r="BB102" s="117" t="str">
        <f t="shared" ref="BB102:BB133" si="136">IF(LEN(Z102)&gt;0,"- "&amp;Z102,"")</f>
        <v>- california-missions</v>
      </c>
      <c r="BC102" s="117" t="str">
        <f t="shared" ref="BC102:BC133" si="137">IF(LEN(AA102)&gt;0,"- "&amp;AA102,"")</f>
        <v>- franciscans</v>
      </c>
      <c r="BD102" s="117" t="str">
        <f t="shared" ref="BD102:BD133" si="138">IF(LEN(AB102)&gt;0,"- "&amp;AB102,"")</f>
        <v/>
      </c>
      <c r="BE102" s="117" t="str">
        <f t="shared" ref="BE102:BE133" si="139">IF(LEN(AC102)&gt;0,"- "&amp;AC102,"")</f>
        <v/>
      </c>
      <c r="BF102" s="117" t="str">
        <f t="shared" ref="BF102:BF133" si="140">IF(LEN(AD102)&gt;0,"- "&amp;AD102,"")</f>
        <v/>
      </c>
      <c r="BG102" s="117" t="str">
        <f t="shared" ref="BG102:BG133" si="141">IF(LEN(AE102)&gt;0,"- "&amp;AE102,"")</f>
        <v/>
      </c>
      <c r="BH102" s="117" t="str">
        <f t="shared" ref="BH102:BH133" si="142">IF(LEN(AF102)&gt;0,"- "&amp;AF102,"")</f>
        <v/>
      </c>
      <c r="BI102" s="117" t="str">
        <f t="shared" ref="BI102:BI133" si="143">IF(LEN(AG102)&gt;0,"- "&amp;AG102,"")</f>
        <v/>
      </c>
      <c r="BJ102" s="117" t="str">
        <f t="shared" ref="BJ102:BJ133" si="144">IF(LEN(AH102)&gt;0,"- "&amp;AH102,"")</f>
        <v/>
      </c>
      <c r="BK102" s="117" t="str">
        <f t="shared" ref="BK102:BK133" si="145">IF(LEN(AI102)&gt;0,"- "&amp;AI102,"")</f>
        <v/>
      </c>
      <c r="BL102" s="117" t="str">
        <f t="shared" ref="BL102:BL133" si="146">"tags:"&amp;CHAR(10)&amp;concatl(AW102:BK102)</f>
        <v xml:space="preserve">tags:
- us
- us-ca_x000D_
- monterey_x000D_
- churches_x000D_
- holy-persons_x000D_
- california-missions_x000D_
- franciscans_x000D_
</v>
      </c>
      <c r="BM102" s="120" t="str">
        <f t="shared" si="124"/>
        <v>[Official site](http://www.oldmissionsjb.org/)</v>
      </c>
      <c r="BN102" s="120" t="str">
        <f t="shared" si="125"/>
        <v>[California Missions Foundation page](https://californiamissionsfoundation.org/mission-san-juan-bautista/)</v>
      </c>
      <c r="BO102" s="120" t="str">
        <f t="shared" si="126"/>
        <v>[Missions California page](https://www.missionscalifornia.com/missions/san-juan-bautista/)</v>
      </c>
      <c r="BP102" s="120" t="str">
        <f t="shared" si="127"/>
        <v/>
      </c>
      <c r="BQ102" s="117" t="str">
        <f t="shared" ref="BQ102:BQ133" si="147">IF(LEN(BM102)&gt;0,"* "&amp;BM102&amp;CHAR(10),"")&amp;
IF(LEN(BN102)&gt;0,"* "&amp;BN102&amp;CHAR(10),"")&amp;
IF(LEN(BO102)&gt;0,"* "&amp;BO102&amp;CHAR(10),"")&amp;
IF(LEN(BP102)&gt;0,"* "&amp;BP102&amp;CHAR(10),"")</f>
        <v xml:space="preserve">* [Official site](http://www.oldmissionsjb.org/)
* [California Missions Foundation page](https://californiamissionsfoundation.org/mission-san-juan-bautista/)
* [Missions California page](https://www.missionscalifornia.com/missions/san-juan-bautista/)
</v>
      </c>
      <c r="BR102" s="117" t="str">
        <f t="shared" ref="BR102:BR133" si="148">IF(LEN(AL102)&gt;0,TRIM(CONCATENATE("[Link](",AL102,") ",AM102)),"")</f>
        <v/>
      </c>
      <c r="BS102" s="117" t="str">
        <f t="shared" ref="BS102:BS133" si="149">IF(LEN(AN102)&gt;0,TRIM(CONCATENATE("[Link](",AN102,") ",AO102)),"")</f>
        <v/>
      </c>
      <c r="BT102" s="117" t="str">
        <f t="shared" ref="BT102:BT133" si="150">IF(LEN(AP102)&gt;0,TRIM(CONCATENATE("[Link](",AP102,") ",AQ102)),"")</f>
        <v/>
      </c>
      <c r="BU102" s="117" t="str">
        <f>IF(LEN(concat(BR102:BT102))&gt;0,concat("| ",BR102," | ",BS102," | ",BT102," |"),"")</f>
        <v/>
      </c>
      <c r="BV102" s="117" t="str">
        <f t="shared" ref="BV102:BV133" si="151">IF(K102,concatl("| The Real Presence | Miracle Hunter | MaryPages |","| --- | --- | --- |",BU102),"")</f>
        <v/>
      </c>
      <c r="BW102" s="117" t="str">
        <f>IF(LEN(BQ102&amp;BV102)&gt;0,concatll("#### More Information",BQ102,BV102),"")</f>
        <v xml:space="preserve">#### More Information_x000D_
_x000D_
* [Official site](http://www.oldmissionsjb.org/)
* [California Missions Foundation page](https://californiamissionsfoundation.org/mission-san-juan-bautista/)
* [Missions California page](https://www.missionscalifornia.com/missions/san-juan-bautista/)
_x000D_
_x000D_
</v>
      </c>
      <c r="BX102" s="117" t="str">
        <f>IF(LEN(N102)&gt;1,concatll("#### Author's Note",N102,"-"&amp;B102),"")</f>
        <v/>
      </c>
      <c r="BY102" s="117" t="s">
        <v>53</v>
      </c>
      <c r="BZ102" s="117" t="s">
        <v>53</v>
      </c>
      <c r="CA102" s="6" t="str">
        <f>IF(AS102,concatll(concatl("---",AT102:AV102,BL102,"---"),M102,BW102:BX102),"")</f>
        <v xml:space="preserve">---_x000D_
title: "Mission San Juan Bautista"_x000D_
location: {lat: 36.8458910149476, lng: -121.535752689119}_x000D_
interest: local_x000D_
tags:
- us
- us-ca_x000D_
- monterey_x000D_
- churches_x000D_
- holy-persons_x000D_
- california-missions_x000D_
- franciscans_x000D_
_x000D_
---_x000D_
_x000D_
_x000D_
The 15th of the 21 California missions, founded in 1797._x000D_
_x000D_
#### More Information_x000D_
_x000D_
* [Official site](http://www.oldmissionsjb.org/)
* [California Missions Foundation page](https://californiamissionsfoundation.org/mission-san-juan-bautista/)
* [Missions California page](https://www.missionscalifornia.com/missions/san-juan-bautista/)
_x000D_
_x000D_
_x000D_
_x000D_
</v>
      </c>
      <c r="CB102" s="6" t="str">
        <f>IF(AS102,"places\"&amp;VLOOKUP(C102,'Country Tags'!C:D,2,)&amp;IF(LEN(D102)&gt;1,"-"&amp;LOWER(SUBSTITUTE(D102," ","-")),"")&amp;"-"&amp;LOWER(SUBSTITUTE(SUBSTITUTE(H102," ","-"),".",""))&amp;".md","")</f>
        <v>places\us_ca-monterey-mission-san-juan-bautista.md</v>
      </c>
      <c r="CC102" s="6"/>
      <c r="CD102" s="12" t="e">
        <f>IF(LEN(Z102)&gt;1,VLOOKUP(Z102,#REF!,2,),"")</f>
        <v>#REF!</v>
      </c>
      <c r="CE102" s="12" t="e">
        <f>IF(LEN(AA102)&gt;1,VLOOKUP(AA102,#REF!,2,),"")</f>
        <v>#REF!</v>
      </c>
      <c r="CF102" s="12" t="str">
        <f>IF(LEN(AB102)&gt;1,VLOOKUP(AB102,#REF!,2,),"")</f>
        <v/>
      </c>
      <c r="CG102" s="12" t="e">
        <f>IF(LEN(Z102)&gt;1,GetTagPage(CD102,Z102),"")</f>
        <v>#VALUE!</v>
      </c>
      <c r="CH102" s="12" t="e">
        <f>IF(LEN(AA102)&gt;1,GetTagPage(CE102,AA102),"")</f>
        <v>#VALUE!</v>
      </c>
      <c r="CI102" s="12" t="str">
        <f>IF(LEN(AB102)&gt;1,GetTagPage(CF102,AB102),"")</f>
        <v/>
      </c>
      <c r="CJ102" s="12" t="e">
        <f t="shared" ref="CJ102:CJ133" si="152">"|"&amp;IF(LEN(CG102)&gt;1," "&amp;CG102,"")&amp;IF(LEN(CH102)&gt;1,", "&amp;CH102,"")&amp;IF(LEN(CI102)&gt;1,", "&amp;CI102,"")&amp;" "</f>
        <v>#VALUE!</v>
      </c>
      <c r="CK102" s="12" t="str">
        <f t="shared" ref="CK102:CK133" si="153">"| "&amp;IF(AS102,"["&amp;AJ102&amp;"](/places/"&amp;SUBSTITUTE(CB102,".md","")&amp;")",AJ102)&amp;" "</f>
        <v xml:space="preserve">| [](/places/places\us_ca-monterey-mission-san-juan-bautista) </v>
      </c>
      <c r="CL102" s="13" t="str">
        <f>"| "&amp;IF(AS102,GetTagPage(C102,VLOOKUP(C102,'Country Tags'!C:E,3,)),C102)&amp; " "</f>
        <v xml:space="preserve">| [US California](/tags/us
- us-ca) </v>
      </c>
      <c r="CM102" s="12" t="str">
        <f t="shared" ref="CM102:CM133" si="154">"| "&amp;AK102&amp;" "</f>
        <v xml:space="preserve">|  </v>
      </c>
      <c r="CN102" s="12" t="str">
        <f t="shared" ref="CN102:CN133" si="155">"|"&amp;IF(AS102," [Link](/places/"&amp;SUBSTITUTE(CB102,".md","")&amp;")","")&amp;" "</f>
        <v xml:space="preserve">| [Link](/places/places\us_ca-monterey-mission-san-juan-bautista) </v>
      </c>
      <c r="CO102" s="12" t="e">
        <f t="shared" ref="CO102:CO133" si="156">"
"&amp;CK102&amp;CL102&amp;CM102&amp;CN102&amp;BM102&amp;BR102&amp;BS102&amp;BT102&amp;CJ102&amp;"|"</f>
        <v>#VALUE!</v>
      </c>
    </row>
    <row r="103" spans="1:93" ht="25.5" x14ac:dyDescent="0.25">
      <c r="A103" s="129" t="s">
        <v>786</v>
      </c>
      <c r="B103" s="7" t="s">
        <v>1653</v>
      </c>
      <c r="C103" s="7" t="s">
        <v>1074</v>
      </c>
      <c r="D103" s="148" t="s">
        <v>1746</v>
      </c>
      <c r="E103" s="1">
        <v>35.744934541386101</v>
      </c>
      <c r="F103" s="30">
        <v>-120.69716204497</v>
      </c>
      <c r="G103" s="7" t="s">
        <v>1462</v>
      </c>
      <c r="H103" s="86" t="s">
        <v>1478</v>
      </c>
      <c r="I103" s="7" t="s">
        <v>1002</v>
      </c>
      <c r="J103" s="7" t="b">
        <v>1</v>
      </c>
      <c r="L103" s="7" t="b">
        <v>1</v>
      </c>
      <c r="M103" s="7" t="s">
        <v>1497</v>
      </c>
      <c r="O103" s="1" t="s">
        <v>1515</v>
      </c>
      <c r="P103" s="1" t="s">
        <v>53</v>
      </c>
      <c r="Q103" s="40" t="s">
        <v>1520</v>
      </c>
      <c r="R103" s="1" t="s">
        <v>1536</v>
      </c>
      <c r="S103" s="44" t="s">
        <v>53</v>
      </c>
      <c r="T103" s="40" t="s">
        <v>1542</v>
      </c>
      <c r="U103" s="1" t="s">
        <v>1558</v>
      </c>
      <c r="V103" s="44" t="s">
        <v>53</v>
      </c>
      <c r="Z103" s="1" t="s">
        <v>1573</v>
      </c>
      <c r="AA103" s="1" t="s">
        <v>1567</v>
      </c>
      <c r="AS103" s="116" t="b">
        <f t="shared" si="128"/>
        <v>1</v>
      </c>
      <c r="AT103" s="117" t="str">
        <f t="shared" si="129"/>
        <v>title: "Mission San Miguel Arcangel"</v>
      </c>
      <c r="AU103" s="117" t="str">
        <f t="shared" si="130"/>
        <v>location: {lat: 35.7449345413861, lng: -120.69716204497}</v>
      </c>
      <c r="AV103" s="117" t="str">
        <f t="shared" si="131"/>
        <v>interest: local</v>
      </c>
      <c r="AW103" s="117" t="str">
        <f>"- "&amp;VLOOKUP(C103,'Country Tags'!C:E,3,)</f>
        <v>- us
- us-ca</v>
      </c>
      <c r="AX103" s="117" t="str">
        <f t="shared" si="132"/>
        <v>- monterey</v>
      </c>
      <c r="AY103" s="117" t="str">
        <f t="shared" si="133"/>
        <v>- churches</v>
      </c>
      <c r="AZ103" s="117" t="str">
        <f t="shared" si="134"/>
        <v/>
      </c>
      <c r="BA103" s="117" t="str">
        <f t="shared" si="135"/>
        <v>- holy-persons</v>
      </c>
      <c r="BB103" s="117" t="str">
        <f t="shared" si="136"/>
        <v>- california-missions</v>
      </c>
      <c r="BC103" s="117" t="str">
        <f t="shared" si="137"/>
        <v>- franciscans</v>
      </c>
      <c r="BD103" s="117" t="str">
        <f t="shared" si="138"/>
        <v/>
      </c>
      <c r="BE103" s="117" t="str">
        <f t="shared" si="139"/>
        <v/>
      </c>
      <c r="BF103" s="117" t="str">
        <f t="shared" si="140"/>
        <v/>
      </c>
      <c r="BG103" s="117" t="str">
        <f t="shared" si="141"/>
        <v/>
      </c>
      <c r="BH103" s="117" t="str">
        <f t="shared" si="142"/>
        <v/>
      </c>
      <c r="BI103" s="117" t="str">
        <f t="shared" si="143"/>
        <v/>
      </c>
      <c r="BJ103" s="117" t="str">
        <f t="shared" si="144"/>
        <v/>
      </c>
      <c r="BK103" s="117" t="str">
        <f t="shared" si="145"/>
        <v/>
      </c>
      <c r="BL103" s="117" t="str">
        <f t="shared" si="146"/>
        <v xml:space="preserve">tags:
- us
- us-ca_x000D_
- monterey_x000D_
- churches_x000D_
- holy-persons_x000D_
- california-missions_x000D_
- franciscans_x000D_
</v>
      </c>
      <c r="BM103" s="120" t="str">
        <f t="shared" si="124"/>
        <v>[Official site](http://www.missionsanmiguel.org/)</v>
      </c>
      <c r="BN103" s="120" t="str">
        <f t="shared" si="125"/>
        <v>[California Missions Foundation page](https://californiamissionsfoundation.org/mission-san-miguel/)</v>
      </c>
      <c r="BO103" s="120" t="str">
        <f t="shared" si="126"/>
        <v>[Missions California page](https://www.missionscalifornia.com/missions/san-miguel-arcangel/)</v>
      </c>
      <c r="BP103" s="120" t="str">
        <f t="shared" si="127"/>
        <v/>
      </c>
      <c r="BQ103" s="117" t="str">
        <f t="shared" si="147"/>
        <v xml:space="preserve">* [Official site](http://www.missionsanmiguel.org/)
* [California Missions Foundation page](https://californiamissionsfoundation.org/mission-san-miguel/)
* [Missions California page](https://www.missionscalifornia.com/missions/san-miguel-arcangel/)
</v>
      </c>
      <c r="BR103" s="117" t="str">
        <f t="shared" si="148"/>
        <v/>
      </c>
      <c r="BS103" s="117" t="str">
        <f t="shared" si="149"/>
        <v/>
      </c>
      <c r="BT103" s="117" t="str">
        <f t="shared" si="150"/>
        <v/>
      </c>
      <c r="BU103" s="117" t="str">
        <f>IF(LEN(concat(BR103:BT103))&gt;0,concat("| ",BR103," | ",BS103," | ",BT103," |"),"")</f>
        <v/>
      </c>
      <c r="BV103" s="117" t="str">
        <f t="shared" si="151"/>
        <v/>
      </c>
      <c r="BW103" s="117" t="str">
        <f>IF(LEN(BQ103&amp;BV103)&gt;0,concatll("#### More Information",BQ103,BV103),"")</f>
        <v xml:space="preserve">#### More Information_x000D_
_x000D_
* [Official site](http://www.missionsanmiguel.org/)
* [California Missions Foundation page](https://californiamissionsfoundation.org/mission-san-miguel/)
* [Missions California page](https://www.missionscalifornia.com/missions/san-miguel-arcangel/)
_x000D_
_x000D_
</v>
      </c>
      <c r="BX103" s="117" t="str">
        <f>IF(LEN(N103)&gt;1,concatll("#### Author's Note",N103,"-"&amp;B103),"")</f>
        <v/>
      </c>
      <c r="BY103" s="117" t="s">
        <v>53</v>
      </c>
      <c r="BZ103" s="117" t="s">
        <v>53</v>
      </c>
      <c r="CA103" s="6" t="str">
        <f>IF(AS103,concatll(concatl("---",AT103:AV103,BL103,"---"),M103,BW103:BX103),"")</f>
        <v xml:space="preserve">---_x000D_
title: "Mission San Miguel Arcangel"_x000D_
location: {lat: 35.7449345413861, lng: -120.69716204497}_x000D_
interest: local_x000D_
tags:
- us
- us-ca_x000D_
- monterey_x000D_
- churches_x000D_
- holy-persons_x000D_
- california-missions_x000D_
- franciscans_x000D_
_x000D_
---_x000D_
_x000D_
_x000D_
The 16th of the 21 California missions, founded in 1797._x000D_
_x000D_
#### More Information_x000D_
_x000D_
* [Official site](http://www.missionsanmiguel.org/)
* [California Missions Foundation page](https://californiamissionsfoundation.org/mission-san-miguel/)
* [Missions California page](https://www.missionscalifornia.com/missions/san-miguel-arcangel/)
_x000D_
_x000D_
_x000D_
_x000D_
</v>
      </c>
      <c r="CB103" s="6" t="str">
        <f>IF(AS103,"places\"&amp;VLOOKUP(C103,'Country Tags'!C:D,2,)&amp;IF(LEN(D103)&gt;1,"-"&amp;LOWER(SUBSTITUTE(D103," ","-")),"")&amp;"-"&amp;LOWER(SUBSTITUTE(SUBSTITUTE(H103," ","-"),".",""))&amp;".md","")</f>
        <v>places\us_ca-monterey-mission-san-miguel.md</v>
      </c>
      <c r="CC103" s="6"/>
      <c r="CD103" s="12" t="e">
        <f>IF(LEN(Z103)&gt;1,VLOOKUP(Z103,#REF!,2,),"")</f>
        <v>#REF!</v>
      </c>
      <c r="CE103" s="12" t="e">
        <f>IF(LEN(AA103)&gt;1,VLOOKUP(AA103,#REF!,2,),"")</f>
        <v>#REF!</v>
      </c>
      <c r="CF103" s="12" t="str">
        <f>IF(LEN(AB103)&gt;1,VLOOKUP(AB103,#REF!,2,),"")</f>
        <v/>
      </c>
      <c r="CG103" s="12" t="e">
        <f>IF(LEN(Z103)&gt;1,GetTagPage(CD103,Z103),"")</f>
        <v>#VALUE!</v>
      </c>
      <c r="CH103" s="12" t="e">
        <f>IF(LEN(AA103)&gt;1,GetTagPage(CE103,AA103),"")</f>
        <v>#VALUE!</v>
      </c>
      <c r="CI103" s="12" t="str">
        <f>IF(LEN(AB103)&gt;1,GetTagPage(CF103,AB103),"")</f>
        <v/>
      </c>
      <c r="CJ103" s="12" t="e">
        <f t="shared" si="152"/>
        <v>#VALUE!</v>
      </c>
      <c r="CK103" s="12" t="str">
        <f t="shared" si="153"/>
        <v xml:space="preserve">| [](/places/places\us_ca-monterey-mission-san-miguel) </v>
      </c>
      <c r="CL103" s="13" t="str">
        <f>"| "&amp;IF(AS103,GetTagPage(C103,VLOOKUP(C103,'Country Tags'!C:E,3,)),C103)&amp; " "</f>
        <v xml:space="preserve">| [US California](/tags/us
- us-ca) </v>
      </c>
      <c r="CM103" s="12" t="str">
        <f t="shared" si="154"/>
        <v xml:space="preserve">|  </v>
      </c>
      <c r="CN103" s="12" t="str">
        <f t="shared" si="155"/>
        <v xml:space="preserve">| [Link](/places/places\us_ca-monterey-mission-san-miguel) </v>
      </c>
      <c r="CO103" s="12" t="e">
        <f t="shared" si="156"/>
        <v>#VALUE!</v>
      </c>
    </row>
    <row r="104" spans="1:93" ht="25.5" x14ac:dyDescent="0.25">
      <c r="A104" s="129" t="s">
        <v>786</v>
      </c>
      <c r="B104" s="7" t="s">
        <v>1653</v>
      </c>
      <c r="C104" s="7" t="s">
        <v>1074</v>
      </c>
      <c r="D104" s="148" t="s">
        <v>1747</v>
      </c>
      <c r="E104" s="1">
        <v>34.272871781930903</v>
      </c>
      <c r="F104" s="30">
        <v>-118.461632373847</v>
      </c>
      <c r="G104" s="7" t="s">
        <v>1463</v>
      </c>
      <c r="H104" s="86" t="s">
        <v>1479</v>
      </c>
      <c r="I104" s="7" t="s">
        <v>1002</v>
      </c>
      <c r="J104" s="7" t="b">
        <v>1</v>
      </c>
      <c r="L104" s="7" t="b">
        <v>1</v>
      </c>
      <c r="M104" s="7" t="s">
        <v>1498</v>
      </c>
      <c r="P104" s="1" t="s">
        <v>53</v>
      </c>
      <c r="Q104" s="40" t="s">
        <v>1520</v>
      </c>
      <c r="R104" s="1" t="s">
        <v>1537</v>
      </c>
      <c r="S104" s="44" t="s">
        <v>53</v>
      </c>
      <c r="T104" s="40" t="s">
        <v>1542</v>
      </c>
      <c r="U104" s="1" t="s">
        <v>1559</v>
      </c>
      <c r="V104" s="44" t="s">
        <v>53</v>
      </c>
      <c r="Z104" s="1" t="s">
        <v>1573</v>
      </c>
      <c r="AA104" s="1" t="s">
        <v>1567</v>
      </c>
      <c r="AS104" s="116" t="b">
        <f t="shared" si="128"/>
        <v>1</v>
      </c>
      <c r="AT104" s="117" t="str">
        <f t="shared" si="129"/>
        <v>title: "Mission San Fernando Rey de Espana"</v>
      </c>
      <c r="AU104" s="117" t="str">
        <f t="shared" si="130"/>
        <v>location: {lat: 34.2728717819309, lng: -118.461632373847}</v>
      </c>
      <c r="AV104" s="117" t="str">
        <f t="shared" si="131"/>
        <v>interest: local</v>
      </c>
      <c r="AW104" s="117" t="str">
        <f>"- "&amp;VLOOKUP(C104,'Country Tags'!C:E,3,)</f>
        <v>- us
- us-ca</v>
      </c>
      <c r="AX104" s="117" t="str">
        <f t="shared" si="132"/>
        <v>- los-angeles</v>
      </c>
      <c r="AY104" s="117" t="str">
        <f t="shared" si="133"/>
        <v>- churches</v>
      </c>
      <c r="AZ104" s="117" t="str">
        <f t="shared" si="134"/>
        <v/>
      </c>
      <c r="BA104" s="117" t="str">
        <f t="shared" si="135"/>
        <v>- holy-persons</v>
      </c>
      <c r="BB104" s="117" t="str">
        <f t="shared" si="136"/>
        <v>- california-missions</v>
      </c>
      <c r="BC104" s="117" t="str">
        <f t="shared" si="137"/>
        <v>- franciscans</v>
      </c>
      <c r="BD104" s="117" t="str">
        <f t="shared" si="138"/>
        <v/>
      </c>
      <c r="BE104" s="117" t="str">
        <f t="shared" si="139"/>
        <v/>
      </c>
      <c r="BF104" s="117" t="str">
        <f t="shared" si="140"/>
        <v/>
      </c>
      <c r="BG104" s="117" t="str">
        <f t="shared" si="141"/>
        <v/>
      </c>
      <c r="BH104" s="117" t="str">
        <f t="shared" si="142"/>
        <v/>
      </c>
      <c r="BI104" s="117" t="str">
        <f t="shared" si="143"/>
        <v/>
      </c>
      <c r="BJ104" s="117" t="str">
        <f t="shared" si="144"/>
        <v/>
      </c>
      <c r="BK104" s="117" t="str">
        <f t="shared" si="145"/>
        <v/>
      </c>
      <c r="BL104" s="117" t="str">
        <f t="shared" si="146"/>
        <v xml:space="preserve">tags:
- us
- us-ca_x000D_
- los-angeles_x000D_
- churches_x000D_
- holy-persons_x000D_
- california-missions_x000D_
- franciscans_x000D_
</v>
      </c>
      <c r="BM104" s="120" t="str">
        <f t="shared" si="124"/>
        <v/>
      </c>
      <c r="BN104" s="120" t="str">
        <f t="shared" si="125"/>
        <v>[California Missions Foundation page](https://californiamissionsfoundation.org/mission-san-fernando/)</v>
      </c>
      <c r="BO104" s="120" t="str">
        <f t="shared" si="126"/>
        <v>[Missions California page](https://www.missionscalifornia.com/missions/san-fernando-rey-de-espana/)</v>
      </c>
      <c r="BP104" s="120" t="str">
        <f t="shared" si="127"/>
        <v/>
      </c>
      <c r="BQ104" s="117" t="str">
        <f t="shared" si="147"/>
        <v xml:space="preserve">* [California Missions Foundation page](https://californiamissionsfoundation.org/mission-san-fernando/)
* [Missions California page](https://www.missionscalifornia.com/missions/san-fernando-rey-de-espana/)
</v>
      </c>
      <c r="BR104" s="117" t="str">
        <f t="shared" si="148"/>
        <v/>
      </c>
      <c r="BS104" s="117" t="str">
        <f t="shared" si="149"/>
        <v/>
      </c>
      <c r="BT104" s="117" t="str">
        <f t="shared" si="150"/>
        <v/>
      </c>
      <c r="BU104" s="117" t="str">
        <f>IF(LEN(concat(BR104:BT104))&gt;0,concat("| ",BR104," | ",BS104," | ",BT104," |"),"")</f>
        <v/>
      </c>
      <c r="BV104" s="117" t="str">
        <f t="shared" si="151"/>
        <v/>
      </c>
      <c r="BW104" s="117" t="str">
        <f>IF(LEN(BQ104&amp;BV104)&gt;0,concatll("#### More Information",BQ104,BV104),"")</f>
        <v xml:space="preserve">#### More Information_x000D_
_x000D_
* [California Missions Foundation page](https://californiamissionsfoundation.org/mission-san-fernando/)
* [Missions California page](https://www.missionscalifornia.com/missions/san-fernando-rey-de-espana/)
_x000D_
_x000D_
</v>
      </c>
      <c r="BX104" s="117" t="str">
        <f>IF(LEN(N104)&gt;1,concatll("#### Author's Note",N104,"-"&amp;B104),"")</f>
        <v/>
      </c>
      <c r="BY104" s="117" t="s">
        <v>53</v>
      </c>
      <c r="BZ104" s="117" t="s">
        <v>53</v>
      </c>
      <c r="CA104" s="6" t="str">
        <f>IF(AS104,concatll(concatl("---",AT104:AV104,BL104,"---"),M104,BW104:BX104),"")</f>
        <v xml:space="preserve">---_x000D_
title: "Mission San Fernando Rey de Espana"_x000D_
location: {lat: 34.2728717819309, lng: -118.461632373847}_x000D_
interest: local_x000D_
tags:
- us
- us-ca_x000D_
- los-angeles_x000D_
- churches_x000D_
- holy-persons_x000D_
- california-missions_x000D_
- franciscans_x000D_
_x000D_
---_x000D_
_x000D_
_x000D_
The 17th of the 21 California missions, founded in 1797._x000D_
_x000D_
#### More Information_x000D_
_x000D_
* [California Missions Foundation page](https://californiamissionsfoundation.org/mission-san-fernando/)
* [Missions California page](https://www.missionscalifornia.com/missions/san-fernando-rey-de-espana/)
_x000D_
_x000D_
_x000D_
_x000D_
</v>
      </c>
      <c r="CB104" s="6" t="str">
        <f>IF(AS104,"places\"&amp;VLOOKUP(C104,'Country Tags'!C:D,2,)&amp;IF(LEN(D104)&gt;1,"-"&amp;LOWER(SUBSTITUTE(D104," ","-")),"")&amp;"-"&amp;LOWER(SUBSTITUTE(SUBSTITUTE(H104," ","-"),".",""))&amp;".md","")</f>
        <v>places\us_ca-los-angeles-mission-san-fernando.md</v>
      </c>
      <c r="CC104" s="6"/>
      <c r="CD104" s="12" t="e">
        <f>IF(LEN(Z104)&gt;1,VLOOKUP(Z104,#REF!,2,),"")</f>
        <v>#REF!</v>
      </c>
      <c r="CE104" s="12" t="e">
        <f>IF(LEN(AA104)&gt;1,VLOOKUP(AA104,#REF!,2,),"")</f>
        <v>#REF!</v>
      </c>
      <c r="CF104" s="12" t="str">
        <f>IF(LEN(AB104)&gt;1,VLOOKUP(AB104,#REF!,2,),"")</f>
        <v/>
      </c>
      <c r="CG104" s="12" t="e">
        <f>IF(LEN(Z104)&gt;1,GetTagPage(CD104,Z104),"")</f>
        <v>#VALUE!</v>
      </c>
      <c r="CH104" s="12" t="e">
        <f>IF(LEN(AA104)&gt;1,GetTagPage(CE104,AA104),"")</f>
        <v>#VALUE!</v>
      </c>
      <c r="CI104" s="12" t="str">
        <f>IF(LEN(AB104)&gt;1,GetTagPage(CF104,AB104),"")</f>
        <v/>
      </c>
      <c r="CJ104" s="12" t="e">
        <f t="shared" si="152"/>
        <v>#VALUE!</v>
      </c>
      <c r="CK104" s="12" t="str">
        <f t="shared" si="153"/>
        <v xml:space="preserve">| [](/places/places\us_ca-los-angeles-mission-san-fernando) </v>
      </c>
      <c r="CL104" s="13" t="str">
        <f>"| "&amp;IF(AS104,GetTagPage(C104,VLOOKUP(C104,'Country Tags'!C:E,3,)),C104)&amp; " "</f>
        <v xml:space="preserve">| [US California](/tags/us
- us-ca) </v>
      </c>
      <c r="CM104" s="12" t="str">
        <f t="shared" si="154"/>
        <v xml:space="preserve">|  </v>
      </c>
      <c r="CN104" s="12" t="str">
        <f t="shared" si="155"/>
        <v xml:space="preserve">| [Link](/places/places\us_ca-los-angeles-mission-san-fernando) </v>
      </c>
      <c r="CO104" s="12" t="e">
        <f t="shared" si="156"/>
        <v>#VALUE!</v>
      </c>
    </row>
    <row r="105" spans="1:93" ht="25.5" x14ac:dyDescent="0.25">
      <c r="A105" s="129" t="s">
        <v>786</v>
      </c>
      <c r="B105" s="7" t="s">
        <v>1653</v>
      </c>
      <c r="C105" s="7" t="s">
        <v>1074</v>
      </c>
      <c r="D105" s="148" t="s">
        <v>1467</v>
      </c>
      <c r="E105" s="1">
        <v>33.232169550864199</v>
      </c>
      <c r="F105" s="30">
        <v>-117.31975640271099</v>
      </c>
      <c r="G105" s="7" t="s">
        <v>1464</v>
      </c>
      <c r="H105" s="86" t="s">
        <v>1475</v>
      </c>
      <c r="I105" s="7" t="s">
        <v>1002</v>
      </c>
      <c r="J105" s="7" t="b">
        <v>1</v>
      </c>
      <c r="L105" s="7" t="b">
        <v>1</v>
      </c>
      <c r="M105" s="84" t="s">
        <v>1571</v>
      </c>
      <c r="O105" s="1" t="s">
        <v>1516</v>
      </c>
      <c r="P105" s="1" t="s">
        <v>53</v>
      </c>
      <c r="Q105" s="40" t="s">
        <v>1520</v>
      </c>
      <c r="R105" s="1" t="s">
        <v>1538</v>
      </c>
      <c r="S105" s="44" t="s">
        <v>53</v>
      </c>
      <c r="T105" s="40" t="s">
        <v>1542</v>
      </c>
      <c r="U105" s="1" t="s">
        <v>1560</v>
      </c>
      <c r="V105" s="44" t="s">
        <v>53</v>
      </c>
      <c r="Z105" s="1" t="s">
        <v>1573</v>
      </c>
      <c r="AA105" s="1" t="s">
        <v>1567</v>
      </c>
      <c r="AB105" s="1" t="s">
        <v>880</v>
      </c>
      <c r="AS105" s="116" t="b">
        <f t="shared" si="128"/>
        <v>1</v>
      </c>
      <c r="AT105" s="117" t="str">
        <f t="shared" si="129"/>
        <v>title: "Mission San Luis Rey de Francia"</v>
      </c>
      <c r="AU105" s="117" t="str">
        <f t="shared" si="130"/>
        <v>location: {lat: 33.2321695508642, lng: -117.319756402711}</v>
      </c>
      <c r="AV105" s="117" t="str">
        <f t="shared" si="131"/>
        <v>interest: local</v>
      </c>
      <c r="AW105" s="117" t="str">
        <f>"- "&amp;VLOOKUP(C105,'Country Tags'!C:E,3,)</f>
        <v>- us
- us-ca</v>
      </c>
      <c r="AX105" s="117" t="str">
        <f t="shared" si="132"/>
        <v>- san-diego</v>
      </c>
      <c r="AY105" s="117" t="str">
        <f t="shared" si="133"/>
        <v>- churches</v>
      </c>
      <c r="AZ105" s="117" t="str">
        <f t="shared" si="134"/>
        <v/>
      </c>
      <c r="BA105" s="117" t="str">
        <f t="shared" si="135"/>
        <v>- holy-persons</v>
      </c>
      <c r="BB105" s="117" t="str">
        <f t="shared" si="136"/>
        <v>- california-missions</v>
      </c>
      <c r="BC105" s="117" t="str">
        <f t="shared" si="137"/>
        <v>- franciscans</v>
      </c>
      <c r="BD105" s="117" t="str">
        <f t="shared" si="138"/>
        <v>- communities</v>
      </c>
      <c r="BE105" s="117" t="str">
        <f t="shared" si="139"/>
        <v/>
      </c>
      <c r="BF105" s="117" t="str">
        <f t="shared" si="140"/>
        <v/>
      </c>
      <c r="BG105" s="117" t="str">
        <f t="shared" si="141"/>
        <v/>
      </c>
      <c r="BH105" s="117" t="str">
        <f t="shared" si="142"/>
        <v/>
      </c>
      <c r="BI105" s="117" t="str">
        <f t="shared" si="143"/>
        <v/>
      </c>
      <c r="BJ105" s="117" t="str">
        <f t="shared" si="144"/>
        <v/>
      </c>
      <c r="BK105" s="117" t="str">
        <f t="shared" si="145"/>
        <v/>
      </c>
      <c r="BL105" s="117" t="str">
        <f t="shared" si="146"/>
        <v xml:space="preserve">tags:
- us
- us-ca_x000D_
- san-diego_x000D_
- churches_x000D_
- holy-persons_x000D_
- california-missions_x000D_
- franciscans_x000D_
- communities_x000D_
</v>
      </c>
      <c r="BM105" s="120" t="str">
        <f t="shared" si="124"/>
        <v>[Official site](https://www.sanluisrey.org/)</v>
      </c>
      <c r="BN105" s="120" t="str">
        <f t="shared" si="125"/>
        <v>[California Missions Foundation page](https://californiamissionsfoundation.org/mission-san-luis-rey/)</v>
      </c>
      <c r="BO105" s="120" t="str">
        <f t="shared" si="126"/>
        <v>[Missions California page](https://www.missionscalifornia.com/missions/san-luis-rey-francia/)</v>
      </c>
      <c r="BP105" s="120" t="str">
        <f t="shared" si="127"/>
        <v/>
      </c>
      <c r="BQ105" s="117" t="str">
        <f t="shared" si="147"/>
        <v xml:space="preserve">* [Official site](https://www.sanluisrey.org/)
* [California Missions Foundation page](https://californiamissionsfoundation.org/mission-san-luis-rey/)
* [Missions California page](https://www.missionscalifornia.com/missions/san-luis-rey-francia/)
</v>
      </c>
      <c r="BR105" s="117" t="str">
        <f t="shared" si="148"/>
        <v/>
      </c>
      <c r="BS105" s="117" t="str">
        <f t="shared" si="149"/>
        <v/>
      </c>
      <c r="BT105" s="117" t="str">
        <f t="shared" si="150"/>
        <v/>
      </c>
      <c r="BU105" s="117" t="str">
        <f>IF(LEN(concat(BR105:BT105))&gt;0,concat("| ",BR105," | ",BS105," | ",BT105," |"),"")</f>
        <v/>
      </c>
      <c r="BV105" s="117" t="str">
        <f t="shared" si="151"/>
        <v/>
      </c>
      <c r="BW105" s="117" t="str">
        <f>IF(LEN(BQ105&amp;BV105)&gt;0,concatll("#### More Information",BQ105,BV105),"")</f>
        <v xml:space="preserve">#### More Information_x000D_
_x000D_
* [Official site](https://www.sanluisrey.org/)
* [California Missions Foundation page](https://californiamissionsfoundation.org/mission-san-luis-rey/)
* [Missions California page](https://www.missionscalifornia.com/missions/san-luis-rey-francia/)
_x000D_
_x000D_
</v>
      </c>
      <c r="BX105" s="117" t="str">
        <f>IF(LEN(N105)&gt;1,concatll("#### Author's Note",N105,"-"&amp;B105),"")</f>
        <v/>
      </c>
      <c r="BY105" s="117" t="s">
        <v>53</v>
      </c>
      <c r="BZ105" s="117" t="s">
        <v>53</v>
      </c>
      <c r="CA105" s="6" t="str">
        <f>IF(AS105,concatll(concatl("---",AT105:AV105,BL105,"---"),M105,BW105:BX105),"")</f>
        <v xml:space="preserve">---_x000D_
title: "Mission San Luis Rey de Francia"_x000D_
location: {lat: 33.2321695508642, lng: -117.319756402711}_x000D_
interest: local_x000D_
tags:
- us
- us-ca_x000D_
- san-diego_x000D_
- churches_x000D_
- holy-persons_x000D_
- california-missions_x000D_
- franciscans_x000D_
- communities_x000D_
_x000D_
---_x000D_
_x000D_
_x000D_
The 18th of the 21 California missions, founded in 1798.  It is attached to the Franciscan community of the same name._x000D_
_x000D_
#### More Information_x000D_
_x000D_
* [Official site](https://www.sanluisrey.org/)
* [California Missions Foundation page](https://californiamissionsfoundation.org/mission-san-luis-rey/)
* [Missions California page](https://www.missionscalifornia.com/missions/san-luis-rey-francia/)
_x000D_
_x000D_
_x000D_
_x000D_
</v>
      </c>
      <c r="CB105" s="6" t="str">
        <f>IF(AS105,"places\"&amp;VLOOKUP(C105,'Country Tags'!C:D,2,)&amp;IF(LEN(D105)&gt;1,"-"&amp;LOWER(SUBSTITUTE(D105," ","-")),"")&amp;"-"&amp;LOWER(SUBSTITUTE(SUBSTITUTE(H105," ","-"),".",""))&amp;".md","")</f>
        <v>places\us_ca-san-diego-mission-san-luis.md</v>
      </c>
      <c r="CC105" s="6"/>
      <c r="CD105" s="12" t="e">
        <f>IF(LEN(Z105)&gt;1,VLOOKUP(Z105,#REF!,2,),"")</f>
        <v>#REF!</v>
      </c>
      <c r="CE105" s="12" t="e">
        <f>IF(LEN(AA105)&gt;1,VLOOKUP(AA105,#REF!,2,),"")</f>
        <v>#REF!</v>
      </c>
      <c r="CF105" s="12" t="e">
        <f>IF(LEN(AB105)&gt;1,VLOOKUP(AB105,#REF!,2,),"")</f>
        <v>#REF!</v>
      </c>
      <c r="CG105" s="12" t="e">
        <f>IF(LEN(Z105)&gt;1,GetTagPage(CD105,Z105),"")</f>
        <v>#VALUE!</v>
      </c>
      <c r="CH105" s="12" t="e">
        <f>IF(LEN(AA105)&gt;1,GetTagPage(CE105,AA105),"")</f>
        <v>#VALUE!</v>
      </c>
      <c r="CI105" s="12" t="e">
        <f>IF(LEN(AB105)&gt;1,GetTagPage(CF105,AB105),"")</f>
        <v>#VALUE!</v>
      </c>
      <c r="CJ105" s="12" t="e">
        <f t="shared" si="152"/>
        <v>#VALUE!</v>
      </c>
      <c r="CK105" s="12" t="str">
        <f t="shared" si="153"/>
        <v xml:space="preserve">| [](/places/places\us_ca-san-diego-mission-san-luis) </v>
      </c>
      <c r="CL105" s="13" t="str">
        <f>"| "&amp;IF(AS105,GetTagPage(C105,VLOOKUP(C105,'Country Tags'!C:E,3,)),C105)&amp; " "</f>
        <v xml:space="preserve">| [US California](/tags/us
- us-ca) </v>
      </c>
      <c r="CM105" s="12" t="str">
        <f t="shared" si="154"/>
        <v xml:space="preserve">|  </v>
      </c>
      <c r="CN105" s="12" t="str">
        <f t="shared" si="155"/>
        <v xml:space="preserve">| [Link](/places/places\us_ca-san-diego-mission-san-luis) </v>
      </c>
      <c r="CO105" s="12" t="e">
        <f t="shared" si="156"/>
        <v>#VALUE!</v>
      </c>
    </row>
    <row r="106" spans="1:93" ht="25.5" x14ac:dyDescent="0.25">
      <c r="A106" s="129" t="s">
        <v>786</v>
      </c>
      <c r="B106" s="7" t="s">
        <v>1653</v>
      </c>
      <c r="C106" s="7" t="s">
        <v>1074</v>
      </c>
      <c r="D106" s="148" t="s">
        <v>1747</v>
      </c>
      <c r="E106" s="1">
        <v>34.594730577400298</v>
      </c>
      <c r="F106" s="30">
        <v>-120.13640525849399</v>
      </c>
      <c r="G106" s="7" t="s">
        <v>1465</v>
      </c>
      <c r="H106" s="33" t="s">
        <v>1465</v>
      </c>
      <c r="I106" s="7" t="s">
        <v>1002</v>
      </c>
      <c r="J106" s="7" t="b">
        <v>1</v>
      </c>
      <c r="L106" s="7" t="b">
        <v>1</v>
      </c>
      <c r="M106" s="148" t="s">
        <v>1751</v>
      </c>
      <c r="O106" s="1" t="s">
        <v>1517</v>
      </c>
      <c r="P106" s="1" t="s">
        <v>53</v>
      </c>
      <c r="Q106" s="40" t="s">
        <v>1520</v>
      </c>
      <c r="R106" s="1" t="s">
        <v>1539</v>
      </c>
      <c r="S106" s="44" t="s">
        <v>53</v>
      </c>
      <c r="T106" s="40" t="s">
        <v>1542</v>
      </c>
      <c r="U106" s="1" t="s">
        <v>1561</v>
      </c>
      <c r="V106" s="44" t="s">
        <v>53</v>
      </c>
      <c r="Z106" s="1" t="s">
        <v>1573</v>
      </c>
      <c r="AA106" s="1" t="s">
        <v>1567</v>
      </c>
      <c r="AB106" s="149" t="s">
        <v>1753</v>
      </c>
      <c r="AS106" s="116" t="b">
        <f t="shared" si="128"/>
        <v>1</v>
      </c>
      <c r="AT106" s="117" t="str">
        <f t="shared" si="129"/>
        <v>title: "Mission Santa Ines"</v>
      </c>
      <c r="AU106" s="117" t="str">
        <f t="shared" si="130"/>
        <v>location: {lat: 34.5947305774003, lng: -120.136405258494}</v>
      </c>
      <c r="AV106" s="117" t="str">
        <f t="shared" si="131"/>
        <v>interest: local</v>
      </c>
      <c r="AW106" s="117" t="str">
        <f>"- "&amp;VLOOKUP(C106,'Country Tags'!C:E,3,)</f>
        <v>- us
- us-ca</v>
      </c>
      <c r="AX106" s="117" t="str">
        <f t="shared" si="132"/>
        <v>- los-angeles</v>
      </c>
      <c r="AY106" s="117" t="str">
        <f t="shared" si="133"/>
        <v>- churches</v>
      </c>
      <c r="AZ106" s="117" t="str">
        <f t="shared" si="134"/>
        <v/>
      </c>
      <c r="BA106" s="117" t="str">
        <f t="shared" si="135"/>
        <v>- holy-persons</v>
      </c>
      <c r="BB106" s="117" t="str">
        <f t="shared" si="136"/>
        <v>- california-missions</v>
      </c>
      <c r="BC106" s="117" t="str">
        <f t="shared" si="137"/>
        <v>- franciscans</v>
      </c>
      <c r="BD106" s="117" t="str">
        <f t="shared" si="138"/>
        <v>- capuchins</v>
      </c>
      <c r="BE106" s="117" t="str">
        <f t="shared" si="139"/>
        <v/>
      </c>
      <c r="BF106" s="117" t="str">
        <f t="shared" si="140"/>
        <v/>
      </c>
      <c r="BG106" s="117" t="str">
        <f t="shared" si="141"/>
        <v/>
      </c>
      <c r="BH106" s="117" t="str">
        <f t="shared" si="142"/>
        <v/>
      </c>
      <c r="BI106" s="117" t="str">
        <f t="shared" si="143"/>
        <v/>
      </c>
      <c r="BJ106" s="117" t="str">
        <f t="shared" si="144"/>
        <v/>
      </c>
      <c r="BK106" s="117" t="str">
        <f t="shared" si="145"/>
        <v/>
      </c>
      <c r="BL106" s="117" t="str">
        <f t="shared" si="146"/>
        <v xml:space="preserve">tags:
- us
- us-ca_x000D_
- los-angeles_x000D_
- churches_x000D_
- holy-persons_x000D_
- california-missions_x000D_
- franciscans_x000D_
- capuchins_x000D_
</v>
      </c>
      <c r="BM106" s="120" t="str">
        <f t="shared" si="124"/>
        <v>[Official site](https://missionsantaines.org/)</v>
      </c>
      <c r="BN106" s="120" t="str">
        <f t="shared" si="125"/>
        <v>[California Missions Foundation page](https://californiamissionsfoundation.org/mission-santa-ines/)</v>
      </c>
      <c r="BO106" s="120" t="str">
        <f t="shared" si="126"/>
        <v>[Missions California page](https://www.missionscalifornia.com/missions/santa-ines-virgen-y-martir/)</v>
      </c>
      <c r="BP106" s="120" t="str">
        <f t="shared" si="127"/>
        <v/>
      </c>
      <c r="BQ106" s="117" t="str">
        <f t="shared" si="147"/>
        <v xml:space="preserve">* [Official site](https://missionsantaines.org/)
* [California Missions Foundation page](https://californiamissionsfoundation.org/mission-santa-ines/)
* [Missions California page](https://www.missionscalifornia.com/missions/santa-ines-virgen-y-martir/)
</v>
      </c>
      <c r="BR106" s="117" t="str">
        <f t="shared" si="148"/>
        <v/>
      </c>
      <c r="BS106" s="117" t="str">
        <f t="shared" si="149"/>
        <v/>
      </c>
      <c r="BT106" s="117" t="str">
        <f t="shared" si="150"/>
        <v/>
      </c>
      <c r="BU106" s="117" t="str">
        <f>IF(LEN(concat(BR106:BT106))&gt;0,concat("| ",BR106," | ",BS106," | ",BT106," |"),"")</f>
        <v/>
      </c>
      <c r="BV106" s="117" t="str">
        <f t="shared" si="151"/>
        <v/>
      </c>
      <c r="BW106" s="117" t="str">
        <f>IF(LEN(BQ106&amp;BV106)&gt;0,concatll("#### More Information",BQ106,BV106),"")</f>
        <v xml:space="preserve">#### More Information_x000D_
_x000D_
* [Official site](https://missionsantaines.org/)
* [California Missions Foundation page](https://californiamissionsfoundation.org/mission-santa-ines/)
* [Missions California page](https://www.missionscalifornia.com/missions/santa-ines-virgen-y-martir/)
_x000D_
_x000D_
</v>
      </c>
      <c r="BX106" s="117" t="str">
        <f>IF(LEN(N106)&gt;1,concatll("#### Author's Note",N106,"-"&amp;B106),"")</f>
        <v/>
      </c>
      <c r="BY106" s="117" t="s">
        <v>53</v>
      </c>
      <c r="BZ106" s="117" t="s">
        <v>53</v>
      </c>
      <c r="CA106" s="6" t="str">
        <f>IF(AS106,concatll(concatl("---",AT106:AV106,BL106,"---"),M106,BW106:BX106),"")</f>
        <v xml:space="preserve">---_x000D_
title: "Mission Santa Ines"_x000D_
location: {lat: 34.5947305774003, lng: -120.136405258494}_x000D_
interest: local_x000D_
tags:
- us
- us-ca_x000D_
- los-angeles_x000D_
- churches_x000D_
- holy-persons_x000D_
- california-missions_x000D_
- franciscans_x000D_
- capuchins_x000D_
_x000D_
---_x000D_
_x000D_
_x000D_
The 19th of the 21 California missions, founded in 1804.  In 1924 the Capucin Friars were given responsibility of this mission._x000D_
_x000D_
#### More Information_x000D_
_x000D_
* [Official site](https://missionsantaines.org/)
* [California Missions Foundation page](https://californiamissionsfoundation.org/mission-santa-ines/)
* [Missions California page](https://www.missionscalifornia.com/missions/santa-ines-virgen-y-martir/)
_x000D_
_x000D_
_x000D_
_x000D_
</v>
      </c>
      <c r="CB106" s="6" t="str">
        <f>IF(AS106,"places\"&amp;VLOOKUP(C106,'Country Tags'!C:D,2,)&amp;IF(LEN(D106)&gt;1,"-"&amp;LOWER(SUBSTITUTE(D106," ","-")),"")&amp;"-"&amp;LOWER(SUBSTITUTE(SUBSTITUTE(H106," ","-"),".",""))&amp;".md","")</f>
        <v>places\us_ca-los-angeles-mission-santa-ines.md</v>
      </c>
      <c r="CC106" s="6"/>
      <c r="CD106" s="12" t="e">
        <f>IF(LEN(Z106)&gt;1,VLOOKUP(Z106,#REF!,2,),"")</f>
        <v>#REF!</v>
      </c>
      <c r="CE106" s="12" t="e">
        <f>IF(LEN(AA106)&gt;1,VLOOKUP(AA106,#REF!,2,),"")</f>
        <v>#REF!</v>
      </c>
      <c r="CF106" s="12" t="e">
        <f>IF(LEN(AB106)&gt;1,VLOOKUP(AB106,#REF!,2,),"")</f>
        <v>#REF!</v>
      </c>
      <c r="CG106" s="12" t="e">
        <f>IF(LEN(Z106)&gt;1,GetTagPage(CD106,Z106),"")</f>
        <v>#VALUE!</v>
      </c>
      <c r="CH106" s="12" t="e">
        <f>IF(LEN(AA106)&gt;1,GetTagPage(CE106,AA106),"")</f>
        <v>#VALUE!</v>
      </c>
      <c r="CI106" s="12" t="e">
        <f>IF(LEN(AB106)&gt;1,GetTagPage(CF106,AB106),"")</f>
        <v>#VALUE!</v>
      </c>
      <c r="CJ106" s="12" t="e">
        <f t="shared" si="152"/>
        <v>#VALUE!</v>
      </c>
      <c r="CK106" s="12" t="str">
        <f t="shared" si="153"/>
        <v xml:space="preserve">| [](/places/places\us_ca-los-angeles-mission-santa-ines) </v>
      </c>
      <c r="CL106" s="13" t="str">
        <f>"| "&amp;IF(AS106,GetTagPage(C106,VLOOKUP(C106,'Country Tags'!C:E,3,)),C106)&amp; " "</f>
        <v xml:space="preserve">| [US California](/tags/us
- us-ca) </v>
      </c>
      <c r="CM106" s="12" t="str">
        <f t="shared" si="154"/>
        <v xml:space="preserve">|  </v>
      </c>
      <c r="CN106" s="12" t="str">
        <f t="shared" si="155"/>
        <v xml:space="preserve">| [Link](/places/places\us_ca-los-angeles-mission-santa-ines) </v>
      </c>
      <c r="CO106" s="12" t="e">
        <f t="shared" si="156"/>
        <v>#VALUE!</v>
      </c>
    </row>
    <row r="107" spans="1:93" ht="25.5" x14ac:dyDescent="0.25">
      <c r="A107" s="129" t="s">
        <v>786</v>
      </c>
      <c r="B107" s="7" t="s">
        <v>1653</v>
      </c>
      <c r="C107" s="7" t="s">
        <v>1074</v>
      </c>
      <c r="D107" s="148" t="s">
        <v>1468</v>
      </c>
      <c r="E107" s="1">
        <v>37.974237142318998</v>
      </c>
      <c r="F107" s="30">
        <v>-122.52797457374101</v>
      </c>
      <c r="G107" s="84" t="s">
        <v>1483</v>
      </c>
      <c r="H107" s="86" t="s">
        <v>1480</v>
      </c>
      <c r="I107" s="7" t="s">
        <v>1002</v>
      </c>
      <c r="J107" s="7" t="b">
        <v>1</v>
      </c>
      <c r="L107" s="7" t="b">
        <v>1</v>
      </c>
      <c r="M107" s="7" t="s">
        <v>1499</v>
      </c>
      <c r="O107" s="1" t="s">
        <v>1518</v>
      </c>
      <c r="P107" s="1" t="s">
        <v>53</v>
      </c>
      <c r="Q107" s="40" t="s">
        <v>1520</v>
      </c>
      <c r="R107" s="1" t="s">
        <v>1540</v>
      </c>
      <c r="S107" s="44" t="s">
        <v>53</v>
      </c>
      <c r="T107" s="40" t="s">
        <v>1542</v>
      </c>
      <c r="U107" s="1" t="s">
        <v>1562</v>
      </c>
      <c r="V107" s="44" t="s">
        <v>53</v>
      </c>
      <c r="Z107" s="1" t="s">
        <v>1573</v>
      </c>
      <c r="AA107" s="1" t="s">
        <v>1567</v>
      </c>
      <c r="AS107" s="116" t="b">
        <f t="shared" si="128"/>
        <v>1</v>
      </c>
      <c r="AT107" s="117" t="str">
        <f t="shared" si="129"/>
        <v>title: "Mission San Rafael Arcangel"</v>
      </c>
      <c r="AU107" s="117" t="str">
        <f t="shared" si="130"/>
        <v>location: {lat: 37.974237142319, lng: -122.527974573741}</v>
      </c>
      <c r="AV107" s="117" t="str">
        <f t="shared" si="131"/>
        <v>interest: local</v>
      </c>
      <c r="AW107" s="117" t="str">
        <f>"- "&amp;VLOOKUP(C107,'Country Tags'!C:E,3,)</f>
        <v>- us
- us-ca</v>
      </c>
      <c r="AX107" s="117" t="str">
        <f t="shared" si="132"/>
        <v>- san-francisco</v>
      </c>
      <c r="AY107" s="117" t="str">
        <f t="shared" si="133"/>
        <v>- churches</v>
      </c>
      <c r="AZ107" s="117" t="str">
        <f t="shared" si="134"/>
        <v/>
      </c>
      <c r="BA107" s="117" t="str">
        <f t="shared" si="135"/>
        <v>- holy-persons</v>
      </c>
      <c r="BB107" s="117" t="str">
        <f t="shared" si="136"/>
        <v>- california-missions</v>
      </c>
      <c r="BC107" s="117" t="str">
        <f t="shared" si="137"/>
        <v>- franciscans</v>
      </c>
      <c r="BD107" s="117" t="str">
        <f t="shared" si="138"/>
        <v/>
      </c>
      <c r="BE107" s="117" t="str">
        <f t="shared" si="139"/>
        <v/>
      </c>
      <c r="BF107" s="117" t="str">
        <f t="shared" si="140"/>
        <v/>
      </c>
      <c r="BG107" s="117" t="str">
        <f t="shared" si="141"/>
        <v/>
      </c>
      <c r="BH107" s="117" t="str">
        <f t="shared" si="142"/>
        <v/>
      </c>
      <c r="BI107" s="117" t="str">
        <f t="shared" si="143"/>
        <v/>
      </c>
      <c r="BJ107" s="117" t="str">
        <f t="shared" si="144"/>
        <v/>
      </c>
      <c r="BK107" s="117" t="str">
        <f t="shared" si="145"/>
        <v/>
      </c>
      <c r="BL107" s="117" t="str">
        <f t="shared" si="146"/>
        <v xml:space="preserve">tags:
- us
- us-ca_x000D_
- san-francisco_x000D_
- churches_x000D_
- holy-persons_x000D_
- california-missions_x000D_
- franciscans_x000D_
</v>
      </c>
      <c r="BM107" s="120" t="str">
        <f t="shared" si="124"/>
        <v>[Official site](http://saintraphael.com/)</v>
      </c>
      <c r="BN107" s="120" t="str">
        <f t="shared" si="125"/>
        <v>[California Missions Foundation page](https://californiamissionsfoundation.org/mission-san-rafael/)</v>
      </c>
      <c r="BO107" s="120" t="str">
        <f t="shared" si="126"/>
        <v>[Missions California page](https://www.missionscalifornia.com/missions/san-rafael-arcangel/)</v>
      </c>
      <c r="BP107" s="120" t="str">
        <f t="shared" si="127"/>
        <v/>
      </c>
      <c r="BQ107" s="117" t="str">
        <f t="shared" si="147"/>
        <v xml:space="preserve">* [Official site](http://saintraphael.com/)
* [California Missions Foundation page](https://californiamissionsfoundation.org/mission-san-rafael/)
* [Missions California page](https://www.missionscalifornia.com/missions/san-rafael-arcangel/)
</v>
      </c>
      <c r="BR107" s="117" t="str">
        <f t="shared" si="148"/>
        <v/>
      </c>
      <c r="BS107" s="117" t="str">
        <f t="shared" si="149"/>
        <v/>
      </c>
      <c r="BT107" s="117" t="str">
        <f t="shared" si="150"/>
        <v/>
      </c>
      <c r="BU107" s="117" t="str">
        <f>IF(LEN(concat(BR107:BT107))&gt;0,concat("| ",BR107," | ",BS107," | ",BT107," |"),"")</f>
        <v/>
      </c>
      <c r="BV107" s="117" t="str">
        <f t="shared" si="151"/>
        <v/>
      </c>
      <c r="BW107" s="117" t="str">
        <f>IF(LEN(BQ107&amp;BV107)&gt;0,concatll("#### More Information",BQ107,BV107),"")</f>
        <v xml:space="preserve">#### More Information_x000D_
_x000D_
* [Official site](http://saintraphael.com/)
* [California Missions Foundation page](https://californiamissionsfoundation.org/mission-san-rafael/)
* [Missions California page](https://www.missionscalifornia.com/missions/san-rafael-arcangel/)
_x000D_
_x000D_
</v>
      </c>
      <c r="BX107" s="117" t="str">
        <f>IF(LEN(N107)&gt;1,concatll("#### Author's Note",N107,"-"&amp;B107),"")</f>
        <v/>
      </c>
      <c r="BY107" s="117" t="s">
        <v>53</v>
      </c>
      <c r="BZ107" s="117" t="s">
        <v>53</v>
      </c>
      <c r="CA107" s="6" t="str">
        <f>IF(AS107,concatll(concatl("---",AT107:AV107,BL107,"---"),M107,BW107:BX107),"")</f>
        <v xml:space="preserve">---_x000D_
title: "Mission San Rafael Arcangel"_x000D_
location: {lat: 37.974237142319, lng: -122.527974573741}_x000D_
interest: local_x000D_
tags:
- us
- us-ca_x000D_
- san-francisco_x000D_
- churches_x000D_
- holy-persons_x000D_
- california-missions_x000D_
- franciscans_x000D_
_x000D_
---_x000D_
_x000D_
_x000D_
The 20th of the 21 California missions, founded in 1817._x000D_
_x000D_
#### More Information_x000D_
_x000D_
* [Official site](http://saintraphael.com/)
* [California Missions Foundation page](https://californiamissionsfoundation.org/mission-san-rafael/)
* [Missions California page](https://www.missionscalifornia.com/missions/san-rafael-arcangel/)
_x000D_
_x000D_
_x000D_
_x000D_
</v>
      </c>
      <c r="CB107" s="6" t="str">
        <f>IF(AS107,"places\"&amp;VLOOKUP(C107,'Country Tags'!C:D,2,)&amp;IF(LEN(D107)&gt;1,"-"&amp;LOWER(SUBSTITUTE(D107," ","-")),"")&amp;"-"&amp;LOWER(SUBSTITUTE(SUBSTITUTE(H107," ","-"),".",""))&amp;".md","")</f>
        <v>places\us_ca-san-francisco-mission-san-rafael.md</v>
      </c>
      <c r="CC107" s="6"/>
      <c r="CD107" s="12" t="e">
        <f>IF(LEN(Z107)&gt;1,VLOOKUP(Z107,#REF!,2,),"")</f>
        <v>#REF!</v>
      </c>
      <c r="CE107" s="12" t="e">
        <f>IF(LEN(AA107)&gt;1,VLOOKUP(AA107,#REF!,2,),"")</f>
        <v>#REF!</v>
      </c>
      <c r="CF107" s="12" t="str">
        <f>IF(LEN(AB107)&gt;1,VLOOKUP(AB107,#REF!,2,),"")</f>
        <v/>
      </c>
      <c r="CG107" s="12" t="e">
        <f>IF(LEN(Z107)&gt;1,GetTagPage(CD107,Z107),"")</f>
        <v>#VALUE!</v>
      </c>
      <c r="CH107" s="12" t="e">
        <f>IF(LEN(AA107)&gt;1,GetTagPage(CE107,AA107),"")</f>
        <v>#VALUE!</v>
      </c>
      <c r="CI107" s="12" t="str">
        <f>IF(LEN(AB107)&gt;1,GetTagPage(CF107,AB107),"")</f>
        <v/>
      </c>
      <c r="CJ107" s="12" t="e">
        <f t="shared" si="152"/>
        <v>#VALUE!</v>
      </c>
      <c r="CK107" s="12" t="str">
        <f t="shared" si="153"/>
        <v xml:space="preserve">| [](/places/places\us_ca-san-francisco-mission-san-rafael) </v>
      </c>
      <c r="CL107" s="13" t="str">
        <f>"| "&amp;IF(AS107,GetTagPage(C107,VLOOKUP(C107,'Country Tags'!C:E,3,)),C107)&amp; " "</f>
        <v xml:space="preserve">| [US California](/tags/us
- us-ca) </v>
      </c>
      <c r="CM107" s="12" t="str">
        <f t="shared" si="154"/>
        <v xml:space="preserve">|  </v>
      </c>
      <c r="CN107" s="12" t="str">
        <f t="shared" si="155"/>
        <v xml:space="preserve">| [Link](/places/places\us_ca-san-francisco-mission-san-rafael) </v>
      </c>
      <c r="CO107" s="12" t="e">
        <f t="shared" si="156"/>
        <v>#VALUE!</v>
      </c>
    </row>
    <row r="108" spans="1:93" ht="51" x14ac:dyDescent="0.25">
      <c r="A108" s="129" t="s">
        <v>786</v>
      </c>
      <c r="B108" s="7" t="s">
        <v>1653</v>
      </c>
      <c r="C108" s="7" t="s">
        <v>1074</v>
      </c>
      <c r="D108" s="148" t="s">
        <v>1468</v>
      </c>
      <c r="E108" s="1">
        <v>38.293693030927699</v>
      </c>
      <c r="F108" s="30">
        <v>-122.45588850256701</v>
      </c>
      <c r="G108" s="7" t="s">
        <v>1466</v>
      </c>
      <c r="H108" s="33" t="s">
        <v>1466</v>
      </c>
      <c r="I108" s="7" t="s">
        <v>1002</v>
      </c>
      <c r="L108" s="7" t="b">
        <v>1</v>
      </c>
      <c r="M108" s="84" t="s">
        <v>1570</v>
      </c>
      <c r="O108" s="1" t="s">
        <v>1519</v>
      </c>
      <c r="P108" s="1" t="s">
        <v>53</v>
      </c>
      <c r="Q108" s="40" t="s">
        <v>1520</v>
      </c>
      <c r="R108" s="1" t="s">
        <v>1541</v>
      </c>
      <c r="S108" s="44" t="s">
        <v>53</v>
      </c>
      <c r="T108" s="40" t="s">
        <v>1542</v>
      </c>
      <c r="U108" s="1" t="s">
        <v>1563</v>
      </c>
      <c r="V108" s="44" t="s">
        <v>53</v>
      </c>
      <c r="Z108" s="1" t="s">
        <v>1573</v>
      </c>
      <c r="AA108" s="1" t="s">
        <v>1567</v>
      </c>
      <c r="AB108" s="1" t="s">
        <v>1279</v>
      </c>
      <c r="AS108" s="116" t="b">
        <f t="shared" si="128"/>
        <v>1</v>
      </c>
      <c r="AT108" s="117" t="str">
        <f t="shared" si="129"/>
        <v>title: "Mission San Francisco Solano"</v>
      </c>
      <c r="AU108" s="117" t="str">
        <f t="shared" si="130"/>
        <v>location: {lat: 38.2936930309277, lng: -122.455888502567}</v>
      </c>
      <c r="AV108" s="117" t="str">
        <f t="shared" si="131"/>
        <v>interest: local</v>
      </c>
      <c r="AW108" s="117" t="str">
        <f>"- "&amp;VLOOKUP(C108,'Country Tags'!C:E,3,)</f>
        <v>- us
- us-ca</v>
      </c>
      <c r="AX108" s="117" t="str">
        <f t="shared" si="132"/>
        <v>- san-francisco</v>
      </c>
      <c r="AY108" s="117" t="str">
        <f t="shared" si="133"/>
        <v/>
      </c>
      <c r="AZ108" s="117" t="str">
        <f t="shared" si="134"/>
        <v/>
      </c>
      <c r="BA108" s="117" t="str">
        <f t="shared" si="135"/>
        <v>- holy-persons</v>
      </c>
      <c r="BB108" s="117" t="str">
        <f t="shared" si="136"/>
        <v>- california-missions</v>
      </c>
      <c r="BC108" s="117" t="str">
        <f t="shared" si="137"/>
        <v>- franciscans</v>
      </c>
      <c r="BD108" s="117" t="str">
        <f t="shared" si="138"/>
        <v>- closed</v>
      </c>
      <c r="BE108" s="117" t="str">
        <f t="shared" si="139"/>
        <v/>
      </c>
      <c r="BF108" s="117" t="str">
        <f t="shared" si="140"/>
        <v/>
      </c>
      <c r="BG108" s="117" t="str">
        <f t="shared" si="141"/>
        <v/>
      </c>
      <c r="BH108" s="117" t="str">
        <f t="shared" si="142"/>
        <v/>
      </c>
      <c r="BI108" s="117" t="str">
        <f t="shared" si="143"/>
        <v/>
      </c>
      <c r="BJ108" s="117" t="str">
        <f t="shared" si="144"/>
        <v/>
      </c>
      <c r="BK108" s="117" t="str">
        <f t="shared" si="145"/>
        <v/>
      </c>
      <c r="BL108" s="117" t="str">
        <f t="shared" si="146"/>
        <v xml:space="preserve">tags:
- us
- us-ca_x000D_
- san-francisco_x000D_
- holy-persons_x000D_
- california-missions_x000D_
- franciscans_x000D_
- closed_x000D_
</v>
      </c>
      <c r="BM108" s="120" t="str">
        <f t="shared" si="124"/>
        <v>[Official site](https://www.parks.ca.gov/?page_id=479)</v>
      </c>
      <c r="BN108" s="120" t="str">
        <f t="shared" si="125"/>
        <v>[California Missions Foundation page](https://californiamissionsfoundation.org/mission-san-francisco-solano/)</v>
      </c>
      <c r="BO108" s="120" t="str">
        <f t="shared" si="126"/>
        <v>[Missions California page](https://www.missionscalifornia.com/missions/san-francisco-solano/)</v>
      </c>
      <c r="BP108" s="120" t="str">
        <f t="shared" si="127"/>
        <v/>
      </c>
      <c r="BQ108" s="117" t="str">
        <f t="shared" si="147"/>
        <v xml:space="preserve">* [Official site](https://www.parks.ca.gov/?page_id=479)
* [California Missions Foundation page](https://californiamissionsfoundation.org/mission-san-francisco-solano/)
* [Missions California page](https://www.missionscalifornia.com/missions/san-francisco-solano/)
</v>
      </c>
      <c r="BR108" s="117" t="str">
        <f t="shared" si="148"/>
        <v/>
      </c>
      <c r="BS108" s="117" t="str">
        <f t="shared" si="149"/>
        <v/>
      </c>
      <c r="BT108" s="117" t="str">
        <f t="shared" si="150"/>
        <v/>
      </c>
      <c r="BU108" s="117" t="str">
        <f>IF(LEN(concat(BR108:BT108))&gt;0,concat("| ",BR108," | ",BS108," | ",BT108," |"),"")</f>
        <v/>
      </c>
      <c r="BV108" s="117" t="str">
        <f t="shared" si="151"/>
        <v/>
      </c>
      <c r="BW108" s="117" t="str">
        <f>IF(LEN(BQ108&amp;BV108)&gt;0,concatll("#### More Information",BQ108,BV108),"")</f>
        <v xml:space="preserve">#### More Information_x000D_
_x000D_
* [Official site](https://www.parks.ca.gov/?page_id=479)
* [California Missions Foundation page](https://californiamissionsfoundation.org/mission-san-francisco-solano/)
* [Missions California page](https://www.missionscalifornia.com/missions/san-francisco-solano/)
_x000D_
_x000D_
</v>
      </c>
      <c r="BX108" s="117" t="str">
        <f>IF(LEN(N108)&gt;1,concatll("#### Author's Note",N108,"-"&amp;B108),"")</f>
        <v/>
      </c>
      <c r="BY108" s="117" t="s">
        <v>53</v>
      </c>
      <c r="BZ108" s="117" t="s">
        <v>53</v>
      </c>
      <c r="CA108" s="6" t="str">
        <f>IF(AS108,concatll(concatl("---",AT108:AV108,BL108,"---"),M108,BW108:BX108),"")</f>
        <v xml:space="preserve">---_x000D_
title: "Mission San Francisco Solano"_x000D_
location: {lat: 38.2936930309277, lng: -122.455888502567}_x000D_
interest: local_x000D_
tags:
- us
- us-ca_x000D_
- san-francisco_x000D_
- holy-persons_x000D_
- california-missions_x000D_
- franciscans_x000D_
- closed_x000D_
_x000D_
---_x000D_
_x000D_
_x000D_
The 21st of the 21 California missions, founded in 1823.  The mission only remained so for 11 years before being secularized.  The Bear Flag Revolt of June 14, 1816 occurred directly across from the mission, declaring California a republic.  Today the mission is part of a public park._x000D_
_x000D_
#### More Information_x000D_
_x000D_
* [Official site](https://www.parks.ca.gov/?page_id=479)
* [California Missions Foundation page](https://californiamissionsfoundation.org/mission-san-francisco-solano/)
* [Missions California page](https://www.missionscalifornia.com/missions/san-francisco-solano/)
_x000D_
_x000D_
_x000D_
_x000D_
</v>
      </c>
      <c r="CB108" s="6" t="str">
        <f>IF(AS108,"places\"&amp;VLOOKUP(C108,'Country Tags'!C:D,2,)&amp;IF(LEN(D108)&gt;1,"-"&amp;LOWER(SUBSTITUTE(D108," ","-")),"")&amp;"-"&amp;LOWER(SUBSTITUTE(SUBSTITUTE(H108," ","-"),".",""))&amp;".md","")</f>
        <v>places\us_ca-san-francisco-mission-san-francisco-solano.md</v>
      </c>
      <c r="CC108" s="6"/>
      <c r="CD108" s="12" t="e">
        <f>IF(LEN(Z108)&gt;1,VLOOKUP(Z108,#REF!,2,),"")</f>
        <v>#REF!</v>
      </c>
      <c r="CE108" s="12" t="e">
        <f>IF(LEN(AA108)&gt;1,VLOOKUP(AA108,#REF!,2,),"")</f>
        <v>#REF!</v>
      </c>
      <c r="CF108" s="12" t="e">
        <f>IF(LEN(AB108)&gt;1,VLOOKUP(AB108,#REF!,2,),"")</f>
        <v>#REF!</v>
      </c>
      <c r="CG108" s="12" t="e">
        <f>IF(LEN(Z108)&gt;1,GetTagPage(CD108,Z108),"")</f>
        <v>#VALUE!</v>
      </c>
      <c r="CH108" s="12" t="e">
        <f>IF(LEN(AA108)&gt;1,GetTagPage(CE108,AA108),"")</f>
        <v>#VALUE!</v>
      </c>
      <c r="CI108" s="12" t="e">
        <f>IF(LEN(AB108)&gt;1,GetTagPage(CF108,AB108),"")</f>
        <v>#VALUE!</v>
      </c>
      <c r="CJ108" s="12" t="e">
        <f t="shared" si="152"/>
        <v>#VALUE!</v>
      </c>
      <c r="CK108" s="12" t="str">
        <f t="shared" si="153"/>
        <v xml:space="preserve">| [](/places/places\us_ca-san-francisco-mission-san-francisco-solano) </v>
      </c>
      <c r="CL108" s="13" t="str">
        <f>"| "&amp;IF(AS108,GetTagPage(C108,VLOOKUP(C108,'Country Tags'!C:E,3,)),C108)&amp; " "</f>
        <v xml:space="preserve">| [US California](/tags/us
- us-ca) </v>
      </c>
      <c r="CM108" s="12" t="str">
        <f t="shared" si="154"/>
        <v xml:space="preserve">|  </v>
      </c>
      <c r="CN108" s="12" t="str">
        <f t="shared" si="155"/>
        <v xml:space="preserve">| [Link](/places/places\us_ca-san-francisco-mission-san-francisco-solano) </v>
      </c>
      <c r="CO108" s="12" t="e">
        <f t="shared" si="156"/>
        <v>#VALUE!</v>
      </c>
    </row>
    <row r="109" spans="1:93" ht="25.5" x14ac:dyDescent="0.25">
      <c r="A109" s="129" t="s">
        <v>786</v>
      </c>
      <c r="B109" s="130" t="s">
        <v>1654</v>
      </c>
      <c r="C109" s="55" t="s">
        <v>1090</v>
      </c>
      <c r="D109" s="153" t="s">
        <v>1831</v>
      </c>
      <c r="E109" s="1">
        <v>39.679987992978504</v>
      </c>
      <c r="F109" s="30">
        <v>-77.354924107785493</v>
      </c>
      <c r="G109" s="7" t="s">
        <v>102</v>
      </c>
      <c r="H109" s="61" t="s">
        <v>1627</v>
      </c>
      <c r="I109" s="55" t="s">
        <v>1002</v>
      </c>
      <c r="J109" s="7" t="b">
        <v>1</v>
      </c>
      <c r="L109" s="7" t="b">
        <v>1</v>
      </c>
      <c r="M109" s="55" t="s">
        <v>1184</v>
      </c>
      <c r="O109" s="1" t="s">
        <v>103</v>
      </c>
      <c r="P109" s="64" t="s">
        <v>53</v>
      </c>
      <c r="Z109" s="62" t="s">
        <v>1036</v>
      </c>
      <c r="AS109" s="116" t="b">
        <f t="shared" si="128"/>
        <v>1</v>
      </c>
      <c r="AT109" s="117" t="str">
        <f t="shared" si="129"/>
        <v>title: "Mount St. Mary's Seminary"</v>
      </c>
      <c r="AU109" s="117" t="str">
        <f t="shared" si="130"/>
        <v>location: {lat: 39.6799879929785, lng: -77.3549241077855}</v>
      </c>
      <c r="AV109" s="117" t="str">
        <f t="shared" si="131"/>
        <v>interest: local</v>
      </c>
      <c r="AW109" s="117" t="str">
        <f>"- "&amp;VLOOKUP(C109,'Country Tags'!C:E,3,)</f>
        <v>- us
- us-md</v>
      </c>
      <c r="AX109" s="117" t="str">
        <f t="shared" si="132"/>
        <v>- baltimore</v>
      </c>
      <c r="AY109" s="117" t="str">
        <f t="shared" si="133"/>
        <v>- churches</v>
      </c>
      <c r="AZ109" s="117" t="str">
        <f t="shared" si="134"/>
        <v/>
      </c>
      <c r="BA109" s="117" t="str">
        <f t="shared" si="135"/>
        <v>- holy-persons</v>
      </c>
      <c r="BB109" s="117" t="str">
        <f t="shared" si="136"/>
        <v>- stanley-rother</v>
      </c>
      <c r="BC109" s="117" t="str">
        <f t="shared" si="137"/>
        <v/>
      </c>
      <c r="BD109" s="117" t="str">
        <f t="shared" si="138"/>
        <v/>
      </c>
      <c r="BE109" s="117" t="str">
        <f t="shared" si="139"/>
        <v/>
      </c>
      <c r="BF109" s="117" t="str">
        <f t="shared" si="140"/>
        <v/>
      </c>
      <c r="BG109" s="117" t="str">
        <f t="shared" si="141"/>
        <v/>
      </c>
      <c r="BH109" s="117" t="str">
        <f t="shared" si="142"/>
        <v/>
      </c>
      <c r="BI109" s="117" t="str">
        <f t="shared" si="143"/>
        <v/>
      </c>
      <c r="BJ109" s="117" t="str">
        <f t="shared" si="144"/>
        <v/>
      </c>
      <c r="BK109" s="117" t="str">
        <f t="shared" si="145"/>
        <v/>
      </c>
      <c r="BL109" s="117" t="str">
        <f t="shared" si="146"/>
        <v xml:space="preserve">tags:
- us
- us-md_x000D_
- baltimore_x000D_
- churches_x000D_
- holy-persons_x000D_
- stanley-rother_x000D_
</v>
      </c>
      <c r="BM109" s="120" t="str">
        <f t="shared" si="124"/>
        <v>[Official site](https://seminary.msmary.edu/)</v>
      </c>
      <c r="BN109" s="120" t="str">
        <f t="shared" si="125"/>
        <v/>
      </c>
      <c r="BO109" s="120" t="str">
        <f t="shared" si="126"/>
        <v/>
      </c>
      <c r="BP109" s="120" t="str">
        <f t="shared" si="127"/>
        <v/>
      </c>
      <c r="BQ109" s="117" t="str">
        <f t="shared" si="147"/>
        <v xml:space="preserve">* [Official site](https://seminary.msmary.edu/)
</v>
      </c>
      <c r="BR109" s="117" t="str">
        <f t="shared" si="148"/>
        <v/>
      </c>
      <c r="BS109" s="117" t="str">
        <f t="shared" si="149"/>
        <v/>
      </c>
      <c r="BT109" s="117" t="str">
        <f t="shared" si="150"/>
        <v/>
      </c>
      <c r="BU109" s="117" t="str">
        <f>IF(LEN(concat(BR109:BT109))&gt;0,concat("| ",BR109," | ",BS109," | ",BT109," |"),"")</f>
        <v/>
      </c>
      <c r="BV109" s="117" t="str">
        <f t="shared" si="151"/>
        <v/>
      </c>
      <c r="BW109" s="117" t="str">
        <f>IF(LEN(BQ109&amp;BV109)&gt;0,concatll("#### More Information",BQ109,BV109),"")</f>
        <v xml:space="preserve">#### More Information_x000D_
_x000D_
* [Official site](https://seminary.msmary.edu/)
_x000D_
_x000D_
</v>
      </c>
      <c r="BX109" s="117" t="str">
        <f>IF(LEN(N109)&gt;1,concatll("#### Author's Note",N109,"-"&amp;B109),"")</f>
        <v/>
      </c>
      <c r="BY109" s="117" t="s">
        <v>53</v>
      </c>
      <c r="BZ109" s="117" t="s">
        <v>53</v>
      </c>
      <c r="CA109" s="6" t="str">
        <f>IF(AS109,concatll(concatl("---",AT109:AV109,BL109,"---"),M109,BW109:BX109),"")</f>
        <v xml:space="preserve">---_x000D_
title: "Mount St. Mary's Seminary"_x000D_
location: {lat: 39.6799879929785, lng: -77.3549241077855}_x000D_
interest: local_x000D_
tags:
- us
- us-md_x000D_
- baltimore_x000D_
- churches_x000D_
- holy-persons_x000D_
- stanley-rother_x000D_
_x000D_
---_x000D_
_x000D_
_x000D_
Bl. Stanley Rother completed his studies at Mount Saint Mary's Seminary and was ordained a priest on May 25, 1963._x000D_
_x000D_
#### More Information_x000D_
_x000D_
* [Official site](https://seminary.msmary.edu/)
_x000D_
_x000D_
_x000D_
_x000D_
</v>
      </c>
      <c r="CB109" s="6" t="str">
        <f>IF(AS109,"places\"&amp;VLOOKUP(C109,'Country Tags'!C:D,2,)&amp;IF(LEN(D109)&gt;1,"-"&amp;LOWER(SUBSTITUTE(D109," ","-")),"")&amp;"-"&amp;LOWER(SUBSTITUTE(SUBSTITUTE(H109," ","-"),".",""))&amp;".md","")</f>
        <v>places\us_md-baltimore-mount-st-marys-seminary.md</v>
      </c>
      <c r="CC109" s="6"/>
      <c r="CD109" s="12" t="e">
        <f>IF(LEN(Z109)&gt;1,VLOOKUP(Z109,#REF!,2,),"")</f>
        <v>#REF!</v>
      </c>
      <c r="CE109" s="12" t="str">
        <f>IF(LEN(AA109)&gt;1,VLOOKUP(AA109,#REF!,2,),"")</f>
        <v/>
      </c>
      <c r="CF109" s="12" t="str">
        <f>IF(LEN(AB109)&gt;1,VLOOKUP(AB109,#REF!,2,),"")</f>
        <v/>
      </c>
      <c r="CG109" s="12" t="e">
        <f>IF(LEN(Z109)&gt;1,GetTagPage(CD109,Z109),"")</f>
        <v>#VALUE!</v>
      </c>
      <c r="CH109" s="12" t="str">
        <f>IF(LEN(AA109)&gt;1,GetTagPage(CE109,AA109),"")</f>
        <v/>
      </c>
      <c r="CI109" s="12" t="str">
        <f>IF(LEN(AB109)&gt;1,GetTagPage(CF109,AB109),"")</f>
        <v/>
      </c>
      <c r="CJ109" s="12" t="e">
        <f t="shared" si="152"/>
        <v>#VALUE!</v>
      </c>
      <c r="CK109" s="12" t="str">
        <f t="shared" si="153"/>
        <v xml:space="preserve">| [](/places/places\us_md-baltimore-mount-st-marys-seminary) </v>
      </c>
      <c r="CL109" s="13" t="str">
        <f>"| "&amp;IF(AS109,GetTagPage(C109,VLOOKUP(C109,'Country Tags'!C:E,3,)),C109)&amp; " "</f>
        <v xml:space="preserve">| [US Maryland](/tags/us
- us-md) </v>
      </c>
      <c r="CM109" s="12" t="str">
        <f t="shared" si="154"/>
        <v xml:space="preserve">|  </v>
      </c>
      <c r="CN109" s="12" t="str">
        <f t="shared" si="155"/>
        <v xml:space="preserve">| [Link](/places/places\us_md-baltimore-mount-st-marys-seminary) </v>
      </c>
      <c r="CO109" s="12" t="e">
        <f t="shared" si="156"/>
        <v>#VALUE!</v>
      </c>
    </row>
    <row r="110" spans="1:93" ht="38.25" x14ac:dyDescent="0.25">
      <c r="A110" s="129" t="s">
        <v>786</v>
      </c>
      <c r="B110" s="130" t="s">
        <v>1654</v>
      </c>
      <c r="C110" s="55" t="s">
        <v>1101</v>
      </c>
      <c r="D110" s="55" t="s">
        <v>1185</v>
      </c>
      <c r="E110" s="1">
        <v>35.6856315</v>
      </c>
      <c r="F110" s="30">
        <v>-105.93765930000001</v>
      </c>
      <c r="G110" s="7" t="s">
        <v>1186</v>
      </c>
      <c r="H110" s="61" t="s">
        <v>1187</v>
      </c>
      <c r="I110" s="55" t="s">
        <v>941</v>
      </c>
      <c r="J110" s="7" t="b">
        <v>1</v>
      </c>
      <c r="L110" s="7" t="b">
        <v>1</v>
      </c>
      <c r="M110" s="55" t="s">
        <v>1188</v>
      </c>
      <c r="O110" s="1" t="s">
        <v>1189</v>
      </c>
      <c r="P110" s="1" t="s">
        <v>53</v>
      </c>
      <c r="Q110" s="75" t="s">
        <v>1309</v>
      </c>
      <c r="R110" s="1" t="s">
        <v>1190</v>
      </c>
      <c r="S110" s="63" t="s">
        <v>53</v>
      </c>
      <c r="Z110" s="62" t="s">
        <v>1191</v>
      </c>
      <c r="AS110" s="116" t="b">
        <f t="shared" si="128"/>
        <v>1</v>
      </c>
      <c r="AT110" s="117" t="str">
        <f t="shared" si="129"/>
        <v>title: "Loretto Chapel, Santa Fe, NM"</v>
      </c>
      <c r="AU110" s="117" t="str">
        <f t="shared" si="130"/>
        <v>location: {lat: 35.6856315, lng: -105.9376593}</v>
      </c>
      <c r="AV110" s="117" t="str">
        <f t="shared" si="131"/>
        <v>interest: regional</v>
      </c>
      <c r="AW110" s="117" t="str">
        <f>"- "&amp;VLOOKUP(C110,'Country Tags'!C:E,3,)</f>
        <v>- us
- us-nm</v>
      </c>
      <c r="AX110" s="117" t="str">
        <f t="shared" si="132"/>
        <v>- santa-fe</v>
      </c>
      <c r="AY110" s="117" t="str">
        <f t="shared" si="133"/>
        <v>- churches</v>
      </c>
      <c r="AZ110" s="117" t="str">
        <f t="shared" si="134"/>
        <v/>
      </c>
      <c r="BA110" s="117" t="str">
        <f t="shared" si="135"/>
        <v>- holy-persons</v>
      </c>
      <c r="BB110" s="117" t="str">
        <f t="shared" si="136"/>
        <v>- joseph</v>
      </c>
      <c r="BC110" s="117" t="str">
        <f t="shared" si="137"/>
        <v/>
      </c>
      <c r="BD110" s="117" t="str">
        <f t="shared" si="138"/>
        <v/>
      </c>
      <c r="BE110" s="117" t="str">
        <f t="shared" si="139"/>
        <v/>
      </c>
      <c r="BF110" s="117" t="str">
        <f t="shared" si="140"/>
        <v/>
      </c>
      <c r="BG110" s="117" t="str">
        <f t="shared" si="141"/>
        <v/>
      </c>
      <c r="BH110" s="117" t="str">
        <f t="shared" si="142"/>
        <v/>
      </c>
      <c r="BI110" s="117" t="str">
        <f t="shared" si="143"/>
        <v/>
      </c>
      <c r="BJ110" s="117" t="str">
        <f t="shared" si="144"/>
        <v/>
      </c>
      <c r="BK110" s="117" t="str">
        <f t="shared" si="145"/>
        <v/>
      </c>
      <c r="BL110" s="117" t="str">
        <f t="shared" si="146"/>
        <v xml:space="preserve">tags:
- us
- us-nm_x000D_
- santa-fe_x000D_
- churches_x000D_
- holy-persons_x000D_
- joseph_x000D_
</v>
      </c>
      <c r="BM110" s="120" t="str">
        <f t="shared" si="124"/>
        <v>[Official site](https://www.lorettochapel.com)</v>
      </c>
      <c r="BN110" s="120" t="str">
        <f t="shared" si="125"/>
        <v>[Story of the staircase on the podcast *That's the Word*](https://thunderrock.org/story-extras/the-spiral-architect)</v>
      </c>
      <c r="BO110" s="120" t="str">
        <f t="shared" si="126"/>
        <v/>
      </c>
      <c r="BP110" s="120" t="str">
        <f t="shared" si="127"/>
        <v/>
      </c>
      <c r="BQ110" s="117" t="str">
        <f t="shared" si="147"/>
        <v xml:space="preserve">* [Official site](https://www.lorettochapel.com)
* [Story of the staircase on the podcast *That's the Word*](https://thunderrock.org/story-extras/the-spiral-architect)
</v>
      </c>
      <c r="BR110" s="117" t="str">
        <f t="shared" si="148"/>
        <v/>
      </c>
      <c r="BS110" s="117" t="str">
        <f t="shared" si="149"/>
        <v/>
      </c>
      <c r="BT110" s="117" t="str">
        <f t="shared" si="150"/>
        <v/>
      </c>
      <c r="BU110" s="117" t="str">
        <f>IF(LEN(concat(BR110:BT110))&gt;0,concat("| ",BR110," | ",BS110," | ",BT110," |"),"")</f>
        <v/>
      </c>
      <c r="BV110" s="117" t="str">
        <f t="shared" si="151"/>
        <v/>
      </c>
      <c r="BW110" s="117" t="str">
        <f>IF(LEN(BQ110&amp;BV110)&gt;0,concatll("#### More Information",BQ110,BV110),"")</f>
        <v xml:space="preserve">#### More Information_x000D_
_x000D_
* [Official site](https://www.lorettochapel.com)
* [Story of the staircase on the podcast *That's the Word*](https://thunderrock.org/story-extras/the-spiral-architect)
_x000D_
_x000D_
</v>
      </c>
      <c r="BX110" s="117" t="str">
        <f>IF(LEN(N110)&gt;1,concatll("#### Author's Note",N110,"-"&amp;B110),"")</f>
        <v/>
      </c>
      <c r="BY110" s="117" t="s">
        <v>53</v>
      </c>
      <c r="BZ110" s="117" t="s">
        <v>53</v>
      </c>
      <c r="CA110" s="6" t="str">
        <f>IF(AS110,concatll(concatl("---",AT110:AV110,BL110,"---"),M110,BW110:BX110),"")</f>
        <v xml:space="preserve">---_x000D_
title: "Loretto Chapel, Santa Fe, NM"_x000D_
location: {lat: 35.6856315, lng: -105.9376593}_x000D_
interest: regional_x000D_
tags:
- us
- us-nm_x000D_
- santa-fe_x000D_
- churches_x000D_
- holy-persons_x000D_
- joseph_x000D_
_x000D_
---_x000D_
_x000D_
_x000D_
According to tradition, when the architect failed to provide a way to get to the new choir loft, the architecturally-impressive spiral staircase was built by St. Joseph himself._x000D_
_x000D_
#### More Information_x000D_
_x000D_
* [Official site](https://www.lorettochapel.com)
* [Story of the staircase on the podcast *That's the Word*](https://thunderrock.org/story-extras/the-spiral-architect)
_x000D_
_x000D_
_x000D_
_x000D_
</v>
      </c>
      <c r="CB110" s="6" t="str">
        <f>IF(AS110,"places\"&amp;VLOOKUP(C110,'Country Tags'!C:D,2,)&amp;IF(LEN(D110)&gt;1,"-"&amp;LOWER(SUBSTITUTE(D110," ","-")),"")&amp;"-"&amp;LOWER(SUBSTITUTE(SUBSTITUTE(H110," ","-"),".",""))&amp;".md","")</f>
        <v>places\us_nm-santa-fe-loretto-chapel.md</v>
      </c>
      <c r="CC110" s="6"/>
      <c r="CD110" s="12" t="e">
        <f>IF(LEN(Z110)&gt;1,VLOOKUP(Z110,#REF!,2,),"")</f>
        <v>#REF!</v>
      </c>
      <c r="CE110" s="12" t="str">
        <f>IF(LEN(AA110)&gt;1,VLOOKUP(AA110,#REF!,2,),"")</f>
        <v/>
      </c>
      <c r="CF110" s="12" t="str">
        <f>IF(LEN(AB110)&gt;1,VLOOKUP(AB110,#REF!,2,),"")</f>
        <v/>
      </c>
      <c r="CG110" s="12" t="e">
        <f>IF(LEN(Z110)&gt;1,GetTagPage(CD110,Z110),"")</f>
        <v>#VALUE!</v>
      </c>
      <c r="CH110" s="12" t="str">
        <f>IF(LEN(AA110)&gt;1,GetTagPage(CE110,AA110),"")</f>
        <v/>
      </c>
      <c r="CI110" s="12" t="str">
        <f>IF(LEN(AB110)&gt;1,GetTagPage(CF110,AB110),"")</f>
        <v/>
      </c>
      <c r="CJ110" s="12" t="e">
        <f t="shared" si="152"/>
        <v>#VALUE!</v>
      </c>
      <c r="CK110" s="12" t="str">
        <f t="shared" si="153"/>
        <v xml:space="preserve">| [](/places/places\us_nm-santa-fe-loretto-chapel) </v>
      </c>
      <c r="CL110" s="13" t="str">
        <f>"| "&amp;IF(AS110,GetTagPage(C110,VLOOKUP(C110,'Country Tags'!C:E,3,)),C110)&amp; " "</f>
        <v xml:space="preserve">| [US New Mexico](/tags/us
- us-nm) </v>
      </c>
      <c r="CM110" s="12" t="str">
        <f t="shared" si="154"/>
        <v xml:space="preserve">|  </v>
      </c>
      <c r="CN110" s="12" t="str">
        <f t="shared" si="155"/>
        <v xml:space="preserve">| [Link](/places/places\us_nm-santa-fe-loretto-chapel) </v>
      </c>
      <c r="CO110" s="12" t="e">
        <f t="shared" si="156"/>
        <v>#VALUE!</v>
      </c>
    </row>
    <row r="111" spans="1:93" ht="63.75" x14ac:dyDescent="0.25">
      <c r="A111" s="129" t="s">
        <v>786</v>
      </c>
      <c r="B111" s="130" t="s">
        <v>1654</v>
      </c>
      <c r="C111" s="55" t="s">
        <v>1101</v>
      </c>
      <c r="D111" s="55" t="s">
        <v>1185</v>
      </c>
      <c r="E111" s="1">
        <v>35.989201000000001</v>
      </c>
      <c r="F111" s="30">
        <v>-105.93180220000001</v>
      </c>
      <c r="G111" s="7" t="s">
        <v>1197</v>
      </c>
      <c r="H111" s="61" t="s">
        <v>1198</v>
      </c>
      <c r="I111" s="55" t="s">
        <v>941</v>
      </c>
      <c r="J111" s="7" t="b">
        <v>1</v>
      </c>
      <c r="M111" s="55" t="s">
        <v>1193</v>
      </c>
      <c r="P111" s="1" t="s">
        <v>53</v>
      </c>
      <c r="Q111" s="65" t="s">
        <v>1195</v>
      </c>
      <c r="R111" s="1" t="s">
        <v>1194</v>
      </c>
      <c r="S111" s="63" t="s">
        <v>53</v>
      </c>
      <c r="T111" s="75" t="s">
        <v>1310</v>
      </c>
      <c r="U111" s="1" t="s">
        <v>1196</v>
      </c>
      <c r="V111" s="63" t="s">
        <v>53</v>
      </c>
      <c r="Z111" s="62"/>
      <c r="AS111" s="116" t="b">
        <f t="shared" si="128"/>
        <v>1</v>
      </c>
      <c r="AT111" s="117" t="str">
        <f t="shared" si="129"/>
        <v>title: "Sanctuary of Chimayo (Santuario de Chimayo)"</v>
      </c>
      <c r="AU111" s="117" t="str">
        <f t="shared" si="130"/>
        <v>location: {lat: 35.989201, lng: -105.9318022}</v>
      </c>
      <c r="AV111" s="117" t="str">
        <f t="shared" si="131"/>
        <v>interest: regional</v>
      </c>
      <c r="AW111" s="117" t="str">
        <f>"- "&amp;VLOOKUP(C111,'Country Tags'!C:E,3,)</f>
        <v>- us
- us-nm</v>
      </c>
      <c r="AX111" s="117" t="str">
        <f t="shared" si="132"/>
        <v>- santa-fe</v>
      </c>
      <c r="AY111" s="117" t="str">
        <f t="shared" si="133"/>
        <v>- churches</v>
      </c>
      <c r="AZ111" s="117" t="str">
        <f t="shared" si="134"/>
        <v/>
      </c>
      <c r="BA111" s="117" t="str">
        <f t="shared" si="135"/>
        <v/>
      </c>
      <c r="BB111" s="117" t="str">
        <f t="shared" si="136"/>
        <v/>
      </c>
      <c r="BC111" s="117" t="str">
        <f t="shared" si="137"/>
        <v/>
      </c>
      <c r="BD111" s="117" t="str">
        <f t="shared" si="138"/>
        <v/>
      </c>
      <c r="BE111" s="117" t="str">
        <f t="shared" si="139"/>
        <v/>
      </c>
      <c r="BF111" s="117" t="str">
        <f t="shared" si="140"/>
        <v/>
      </c>
      <c r="BG111" s="117" t="str">
        <f t="shared" si="141"/>
        <v/>
      </c>
      <c r="BH111" s="117" t="str">
        <f t="shared" si="142"/>
        <v/>
      </c>
      <c r="BI111" s="117" t="str">
        <f t="shared" si="143"/>
        <v/>
      </c>
      <c r="BJ111" s="117" t="str">
        <f t="shared" si="144"/>
        <v/>
      </c>
      <c r="BK111" s="117" t="str">
        <f t="shared" si="145"/>
        <v/>
      </c>
      <c r="BL111" s="117" t="str">
        <f t="shared" si="146"/>
        <v xml:space="preserve">tags:
- us
- us-nm_x000D_
- santa-fe_x000D_
- churches_x000D_
</v>
      </c>
      <c r="BM111" s="120" t="str">
        <f t="shared" si="124"/>
        <v/>
      </c>
      <c r="BN111" s="120" t="str">
        <f t="shared" si="125"/>
        <v>[Article from Catholic World Report](https://www.catholicworldreport.com/2023/04/07/visiting-el-santuario-de-chimayo-the-most-popular-pilgrimage-site-in-america/)</v>
      </c>
      <c r="BO111" s="120" t="str">
        <f t="shared" si="126"/>
        <v>[Story of the shrine on the podcast *That's the Word*](https://thunderrock.org/story-extras/take-the-hint)</v>
      </c>
      <c r="BP111" s="120" t="str">
        <f t="shared" si="127"/>
        <v/>
      </c>
      <c r="BQ111" s="117" t="str">
        <f t="shared" si="147"/>
        <v xml:space="preserve">* [Article from Catholic World Report](https://www.catholicworldreport.com/2023/04/07/visiting-el-santuario-de-chimayo-the-most-popular-pilgrimage-site-in-america/)
* [Story of the shrine on the podcast *That's the Word*](https://thunderrock.org/story-extras/take-the-hint)
</v>
      </c>
      <c r="BR111" s="117" t="str">
        <f t="shared" si="148"/>
        <v/>
      </c>
      <c r="BS111" s="117" t="str">
        <f t="shared" si="149"/>
        <v/>
      </c>
      <c r="BT111" s="117" t="str">
        <f t="shared" si="150"/>
        <v/>
      </c>
      <c r="BU111" s="117" t="str">
        <f>IF(LEN(concat(BR111:BT111))&gt;0,concat("| ",BR111," | ",BS111," | ",BT111," |"),"")</f>
        <v/>
      </c>
      <c r="BV111" s="117" t="str">
        <f t="shared" si="151"/>
        <v/>
      </c>
      <c r="BW111" s="117" t="str">
        <f>IF(LEN(BQ111&amp;BV111)&gt;0,concatll("#### More Information",BQ111,BV111),"")</f>
        <v xml:space="preserve">#### More Information_x000D_
_x000D_
* [Article from Catholic World Report](https://www.catholicworldreport.com/2023/04/07/visiting-el-santuario-de-chimayo-the-most-popular-pilgrimage-site-in-america/)
* [Story of the shrine on the podcast *That's the Word*](https://thunderrock.org/story-extras/take-the-hint)
_x000D_
_x000D_
</v>
      </c>
      <c r="BX111" s="117" t="str">
        <f>IF(LEN(N111)&gt;1,concatll("#### Author's Note",N111,"-"&amp;B111),"")</f>
        <v/>
      </c>
      <c r="BY111" s="117" t="s">
        <v>53</v>
      </c>
      <c r="BZ111" s="117" t="s">
        <v>53</v>
      </c>
      <c r="CA111" s="6" t="str">
        <f>IF(AS111,concatll(concatl("---",AT111:AV111,BL111,"---"),M111,BW111:BX111),"")</f>
        <v xml:space="preserve">---_x000D_
title: "Sanctuary of Chimayo (Santuario de Chimayo)"_x000D_
location: {lat: 35.989201, lng: -105.9318022}_x000D_
interest: regional_x000D_
tags:
- us
- us-nm_x000D_
- santa-fe_x000D_
- churches_x000D_
_x000D_
---_x000D_
_x000D_
_x000D_
A miraculous crucifix appearing in a field resulted in the construction of a chapel on this spot.  The hole where the crucifix appeared is said to contain dirt that has healing properties similar to the water at Lourdes.  Hundreds of thousands of pilgrims visit the shrine annually, which, according to Catholic World Report, makes it the most popular pilgrimage site in the United States._x000D_
_x000D_
#### More Information_x000D_
_x000D_
* [Article from Catholic World Report](https://www.catholicworldreport.com/2023/04/07/visiting-el-santuario-de-chimayo-the-most-popular-pilgrimage-site-in-america/)
* [Story of the shrine on the podcast *That's the Word*](https://thunderrock.org/story-extras/take-the-hint)
_x000D_
_x000D_
_x000D_
_x000D_
</v>
      </c>
      <c r="CB111" s="6" t="str">
        <f>IF(AS111,"places\"&amp;VLOOKUP(C111,'Country Tags'!C:D,2,)&amp;IF(LEN(D111)&gt;1,"-"&amp;LOWER(SUBSTITUTE(D111," ","-")),"")&amp;"-"&amp;LOWER(SUBSTITUTE(SUBSTITUTE(H111," ","-"),".",""))&amp;".md","")</f>
        <v>places\us_nm-santa-fe-santuario-de-chimayo.md</v>
      </c>
      <c r="CC111" s="6"/>
      <c r="CD111" s="12" t="str">
        <f>IF(LEN(Z111)&gt;1,VLOOKUP(Z111,#REF!,2,),"")</f>
        <v/>
      </c>
      <c r="CE111" s="12" t="str">
        <f>IF(LEN(AA111)&gt;1,VLOOKUP(AA111,#REF!,2,),"")</f>
        <v/>
      </c>
      <c r="CF111" s="12" t="str">
        <f>IF(LEN(AB111)&gt;1,VLOOKUP(AB111,#REF!,2,),"")</f>
        <v/>
      </c>
      <c r="CG111" s="12" t="str">
        <f>IF(LEN(Z111)&gt;1,GetTagPage(CD111,Z111),"")</f>
        <v/>
      </c>
      <c r="CH111" s="12" t="str">
        <f>IF(LEN(AA111)&gt;1,GetTagPage(CE111,AA111),"")</f>
        <v/>
      </c>
      <c r="CI111" s="12" t="str">
        <f>IF(LEN(AB111)&gt;1,GetTagPage(CF111,AB111),"")</f>
        <v/>
      </c>
      <c r="CJ111" s="12" t="str">
        <f t="shared" si="152"/>
        <v xml:space="preserve">| </v>
      </c>
      <c r="CK111" s="12" t="str">
        <f t="shared" si="153"/>
        <v xml:space="preserve">| [](/places/places\us_nm-santa-fe-santuario-de-chimayo) </v>
      </c>
      <c r="CL111" s="13" t="str">
        <f>"| "&amp;IF(AS111,GetTagPage(C111,VLOOKUP(C111,'Country Tags'!C:E,3,)),C111)&amp; " "</f>
        <v xml:space="preserve">| [US New Mexico](/tags/us
- us-nm) </v>
      </c>
      <c r="CM111" s="12" t="str">
        <f t="shared" si="154"/>
        <v xml:space="preserve">|  </v>
      </c>
      <c r="CN111" s="12" t="str">
        <f t="shared" si="155"/>
        <v xml:space="preserve">| [Link](/places/places\us_nm-santa-fe-santuario-de-chimayo) </v>
      </c>
      <c r="CO111" s="12" t="str">
        <f t="shared" si="156"/>
        <v xml:space="preserve">
| [](/places/places\us_nm-santa-fe-santuario-de-chimayo) | [US New Mexico](/tags/us
- us-nm) |  | [Link](/places/places\us_nm-santa-fe-santuario-de-chimayo) | |</v>
      </c>
    </row>
    <row r="112" spans="1:93" ht="38.25" x14ac:dyDescent="0.25">
      <c r="A112" s="129" t="s">
        <v>786</v>
      </c>
      <c r="B112" s="130" t="s">
        <v>1654</v>
      </c>
      <c r="C112" s="55" t="s">
        <v>1102</v>
      </c>
      <c r="E112" s="1">
        <v>42.9249911</v>
      </c>
      <c r="F112" s="30">
        <v>-74.302249200000006</v>
      </c>
      <c r="G112" s="55" t="s">
        <v>1211</v>
      </c>
      <c r="H112" s="33" t="s">
        <v>1199</v>
      </c>
      <c r="I112" s="7" t="s">
        <v>941</v>
      </c>
      <c r="J112" s="7" t="b">
        <v>1</v>
      </c>
      <c r="L112" s="7" t="b">
        <v>1</v>
      </c>
      <c r="M112" s="55" t="s">
        <v>1209</v>
      </c>
      <c r="O112" s="1" t="s">
        <v>1212</v>
      </c>
      <c r="P112" s="1" t="s">
        <v>53</v>
      </c>
      <c r="Q112" s="40" t="s">
        <v>1195</v>
      </c>
      <c r="R112" s="1" t="s">
        <v>1194</v>
      </c>
      <c r="S112" s="44" t="s">
        <v>53</v>
      </c>
      <c r="T112" s="75" t="s">
        <v>1310</v>
      </c>
      <c r="U112" s="1" t="s">
        <v>1196</v>
      </c>
      <c r="V112" s="44" t="s">
        <v>53</v>
      </c>
      <c r="Z112" s="62" t="s">
        <v>1205</v>
      </c>
      <c r="AA112" s="1" t="s">
        <v>1200</v>
      </c>
      <c r="AB112" s="1" t="s">
        <v>1201</v>
      </c>
      <c r="AC112" s="1" t="s">
        <v>1202</v>
      </c>
      <c r="AD112" s="62" t="s">
        <v>1210</v>
      </c>
      <c r="AE112" s="62" t="s">
        <v>1230</v>
      </c>
      <c r="AS112" s="116" t="b">
        <f t="shared" si="128"/>
        <v>1</v>
      </c>
      <c r="AT112" s="117" t="str">
        <f t="shared" si="129"/>
        <v>title: "Shrine of Our Lady of Martyrs (National Shrine of the North American Martyrs)"</v>
      </c>
      <c r="AU112" s="117" t="str">
        <f t="shared" si="130"/>
        <v>location: {lat: 42.9249911, lng: -74.3022492}</v>
      </c>
      <c r="AV112" s="117" t="str">
        <f t="shared" si="131"/>
        <v>interest: regional</v>
      </c>
      <c r="AW112" s="117" t="str">
        <f>"- "&amp;VLOOKUP(C112,'Country Tags'!C:E,3,)</f>
        <v>- us
- us-ny</v>
      </c>
      <c r="AX112" s="117" t="str">
        <f t="shared" si="132"/>
        <v/>
      </c>
      <c r="AY112" s="117" t="str">
        <f t="shared" si="133"/>
        <v>- churches</v>
      </c>
      <c r="AZ112" s="117" t="str">
        <f t="shared" si="134"/>
        <v/>
      </c>
      <c r="BA112" s="117" t="str">
        <f t="shared" si="135"/>
        <v>- holy-persons</v>
      </c>
      <c r="BB112" s="117" t="str">
        <f t="shared" si="136"/>
        <v>- canadian-martyrs</v>
      </c>
      <c r="BC112" s="117" t="str">
        <f t="shared" si="137"/>
        <v>- kateri-tekakwitha</v>
      </c>
      <c r="BD112" s="117" t="str">
        <f t="shared" si="138"/>
        <v>- isaac-jogues</v>
      </c>
      <c r="BE112" s="117" t="str">
        <f t="shared" si="139"/>
        <v>- rene-goupil</v>
      </c>
      <c r="BF112" s="117" t="str">
        <f t="shared" si="140"/>
        <v>- jean-de-lalande</v>
      </c>
      <c r="BG112" s="117" t="str">
        <f t="shared" si="141"/>
        <v>- jesuits</v>
      </c>
      <c r="BH112" s="117" t="str">
        <f t="shared" si="142"/>
        <v/>
      </c>
      <c r="BI112" s="117" t="str">
        <f t="shared" si="143"/>
        <v/>
      </c>
      <c r="BJ112" s="117" t="str">
        <f t="shared" si="144"/>
        <v/>
      </c>
      <c r="BK112" s="117" t="str">
        <f t="shared" si="145"/>
        <v/>
      </c>
      <c r="BL112" s="117" t="str">
        <f t="shared" si="146"/>
        <v xml:space="preserve">tags:
- us
- us-ny_x000D_
- churches_x000D_
- holy-persons_x000D_
- canadian-martyrs_x000D_
- kateri-tekakwitha_x000D_
- isaac-jogues_x000D_
- rene-goupil_x000D_
- jean-de-lalande_x000D_
- jesuits_x000D_
</v>
      </c>
      <c r="BM112" s="120" t="str">
        <f t="shared" si="124"/>
        <v>[Official site](https://www.ourladyofmartyrsshrine.org/)</v>
      </c>
      <c r="BN112" s="120" t="str">
        <f t="shared" si="125"/>
        <v>[Article from Catholic World Report](https://www.catholicworldreport.com/2023/04/07/visiting-el-santuario-de-chimayo-the-most-popular-pilgrimage-site-in-america/)</v>
      </c>
      <c r="BO112" s="120" t="str">
        <f t="shared" si="126"/>
        <v>[Story of the shrine on the podcast *That's the Word*](https://thunderrock.org/story-extras/take-the-hint)</v>
      </c>
      <c r="BP112" s="120" t="str">
        <f t="shared" si="127"/>
        <v/>
      </c>
      <c r="BQ112" s="117" t="str">
        <f t="shared" si="147"/>
        <v xml:space="preserve">* [Official site](https://www.ourladyofmartyrsshrine.org/)
* [Article from Catholic World Report](https://www.catholicworldreport.com/2023/04/07/visiting-el-santuario-de-chimayo-the-most-popular-pilgrimage-site-in-america/)
* [Story of the shrine on the podcast *That's the Word*](https://thunderrock.org/story-extras/take-the-hint)
</v>
      </c>
      <c r="BR112" s="117" t="str">
        <f t="shared" si="148"/>
        <v/>
      </c>
      <c r="BS112" s="117" t="str">
        <f t="shared" si="149"/>
        <v/>
      </c>
      <c r="BT112" s="117" t="str">
        <f t="shared" si="150"/>
        <v/>
      </c>
      <c r="BU112" s="117" t="str">
        <f>IF(LEN(concat(BR112:BT112))&gt;0,concat("| ",BR112," | ",BS112," | ",BT112," |"),"")</f>
        <v/>
      </c>
      <c r="BV112" s="117" t="str">
        <f t="shared" si="151"/>
        <v/>
      </c>
      <c r="BW112" s="117" t="str">
        <f>IF(LEN(BQ112&amp;BV112)&gt;0,concatll("#### More Information",BQ112,BV112),"")</f>
        <v xml:space="preserve">#### More Information_x000D_
_x000D_
* [Official site](https://www.ourladyofmartyrsshrine.org/)
* [Article from Catholic World Report](https://www.catholicworldreport.com/2023/04/07/visiting-el-santuario-de-chimayo-the-most-popular-pilgrimage-site-in-america/)
* [Story of the shrine on the podcast *That's the Word*](https://thunderrock.org/story-extras/take-the-hint)
_x000D_
_x000D_
</v>
      </c>
      <c r="BX112" s="117" t="str">
        <f>IF(LEN(N112)&gt;1,concatll("#### Author's Note",N112,"-"&amp;B112),"")</f>
        <v/>
      </c>
      <c r="BY112" s="117" t="s">
        <v>53</v>
      </c>
      <c r="BZ112" s="117" t="s">
        <v>53</v>
      </c>
      <c r="CA112" s="6" t="str">
        <f>IF(AS112,concatll(concatl("---",AT112:AV112,BL112,"---"),M112,BW112:BX112),"")</f>
        <v xml:space="preserve">---_x000D_
title: "Shrine of Our Lady of Martyrs (National Shrine of the North American Martyrs)"_x000D_
location: {lat: 42.9249911, lng: -74.3022492}_x000D_
interest: regional_x000D_
tags:
- us
- us-ny_x000D_
- churches_x000D_
- holy-persons_x000D_
- canadian-martyrs_x000D_
- kateri-tekakwitha_x000D_
- isaac-jogues_x000D_
- rene-goupil_x000D_
- jean-de-lalande_x000D_
- jesuits_x000D_
_x000D_
---_x000D_
_x000D_
_x000D_
Built on the site of the Mohawk village of Ossernenon, where Sts. Isaac Jogues, Rene Goupil, and Jean de Lalande were martyred, and where St. Kateri Tekakwitha was born._x000D_
_x000D_
#### More Information_x000D_
_x000D_
* [Official site](https://www.ourladyofmartyrsshrine.org/)
* [Article from Catholic World Report](https://www.catholicworldreport.com/2023/04/07/visiting-el-santuario-de-chimayo-the-most-popular-pilgrimage-site-in-america/)
* [Story of the shrine on the podcast *That's the Word*](https://thunderrock.org/story-extras/take-the-hint)
_x000D_
_x000D_
_x000D_
_x000D_
</v>
      </c>
      <c r="CB112" s="6" t="str">
        <f>IF(AS112,"places\"&amp;VLOOKUP(C112,'Country Tags'!C:D,2,)&amp;IF(LEN(D112)&gt;1,"-"&amp;LOWER(SUBSTITUTE(D112," ","-")),"")&amp;"-"&amp;LOWER(SUBSTITUTE(SUBSTITUTE(H112," ","-"),".",""))&amp;".md","")</f>
        <v>places\us_ny-shrine-of-our-lady-of-martyrs.md</v>
      </c>
      <c r="CC112" s="6"/>
      <c r="CD112" s="12" t="e">
        <f>IF(LEN(Z112)&gt;1,VLOOKUP(Z112,#REF!,2,),"")</f>
        <v>#REF!</v>
      </c>
      <c r="CE112" s="12" t="e">
        <f>IF(LEN(AA112)&gt;1,VLOOKUP(AA112,#REF!,2,),"")</f>
        <v>#REF!</v>
      </c>
      <c r="CF112" s="12" t="e">
        <f>IF(LEN(AB112)&gt;1,VLOOKUP(AB112,#REF!,2,),"")</f>
        <v>#REF!</v>
      </c>
      <c r="CG112" s="12" t="e">
        <f>IF(LEN(Z112)&gt;1,GetTagPage(CD112,Z112),"")</f>
        <v>#VALUE!</v>
      </c>
      <c r="CH112" s="12" t="e">
        <f>IF(LEN(AA112)&gt;1,GetTagPage(CE112,AA112),"")</f>
        <v>#VALUE!</v>
      </c>
      <c r="CI112" s="12" t="e">
        <f>IF(LEN(AB112)&gt;1,GetTagPage(CF112,AB112),"")</f>
        <v>#VALUE!</v>
      </c>
      <c r="CJ112" s="12" t="e">
        <f t="shared" si="152"/>
        <v>#VALUE!</v>
      </c>
      <c r="CK112" s="12" t="str">
        <f t="shared" si="153"/>
        <v xml:space="preserve">| [](/places/places\us_ny-shrine-of-our-lady-of-martyrs) </v>
      </c>
      <c r="CL112" s="13" t="str">
        <f>"| "&amp;IF(AS112,GetTagPage(C112,VLOOKUP(C112,'Country Tags'!C:E,3,)),C112)&amp; " "</f>
        <v xml:space="preserve">| [US New York](/tags/us
- us-ny) </v>
      </c>
      <c r="CM112" s="12" t="str">
        <f t="shared" si="154"/>
        <v xml:space="preserve">|  </v>
      </c>
      <c r="CN112" s="12" t="str">
        <f t="shared" si="155"/>
        <v xml:space="preserve">| [Link](/places/places\us_ny-shrine-of-our-lady-of-martyrs) </v>
      </c>
      <c r="CO112" s="12" t="e">
        <f t="shared" si="156"/>
        <v>#VALUE!</v>
      </c>
    </row>
    <row r="113" spans="1:93" ht="25.5" x14ac:dyDescent="0.25">
      <c r="A113" s="129" t="s">
        <v>786</v>
      </c>
      <c r="B113" s="130" t="s">
        <v>1653</v>
      </c>
      <c r="C113" s="55" t="s">
        <v>1106</v>
      </c>
      <c r="D113" s="55" t="s">
        <v>1181</v>
      </c>
      <c r="E113" s="1">
        <v>35.728490299999997</v>
      </c>
      <c r="F113" s="30">
        <v>-97.975802000000002</v>
      </c>
      <c r="G113" s="55" t="s">
        <v>1178</v>
      </c>
      <c r="H113" s="61" t="s">
        <v>1179</v>
      </c>
      <c r="I113" s="55" t="s">
        <v>1002</v>
      </c>
      <c r="J113" s="7" t="b">
        <v>1</v>
      </c>
      <c r="L113" s="7" t="b">
        <v>1</v>
      </c>
      <c r="M113" s="7" t="s">
        <v>112</v>
      </c>
      <c r="O113" s="1" t="s">
        <v>111</v>
      </c>
      <c r="P113" s="1" t="s">
        <v>53</v>
      </c>
      <c r="Z113" s="1" t="s">
        <v>1036</v>
      </c>
      <c r="AS113" s="116" t="b">
        <f t="shared" si="128"/>
        <v>1</v>
      </c>
      <c r="AT113" s="117" t="str">
        <f t="shared" si="129"/>
        <v>title: "Holy Trinity Catholic Church, Okarche, OK"</v>
      </c>
      <c r="AU113" s="117" t="str">
        <f t="shared" si="130"/>
        <v>location: {lat: 35.7284903, lng: -97.975802}</v>
      </c>
      <c r="AV113" s="117" t="str">
        <f t="shared" si="131"/>
        <v>interest: local</v>
      </c>
      <c r="AW113" s="117" t="str">
        <f>"- "&amp;VLOOKUP(C113,'Country Tags'!C:E,3,)</f>
        <v>- us
- us-ok</v>
      </c>
      <c r="AX113" s="117" t="str">
        <f t="shared" si="132"/>
        <v>- oklahoma-city</v>
      </c>
      <c r="AY113" s="117" t="str">
        <f t="shared" si="133"/>
        <v>- churches</v>
      </c>
      <c r="AZ113" s="117" t="str">
        <f t="shared" si="134"/>
        <v/>
      </c>
      <c r="BA113" s="117" t="str">
        <f t="shared" si="135"/>
        <v>- holy-persons</v>
      </c>
      <c r="BB113" s="117" t="str">
        <f t="shared" si="136"/>
        <v>- stanley-rother</v>
      </c>
      <c r="BC113" s="117" t="str">
        <f t="shared" si="137"/>
        <v/>
      </c>
      <c r="BD113" s="117" t="str">
        <f t="shared" si="138"/>
        <v/>
      </c>
      <c r="BE113" s="117" t="str">
        <f t="shared" si="139"/>
        <v/>
      </c>
      <c r="BF113" s="117" t="str">
        <f t="shared" si="140"/>
        <v/>
      </c>
      <c r="BG113" s="117" t="str">
        <f t="shared" si="141"/>
        <v/>
      </c>
      <c r="BH113" s="117" t="str">
        <f t="shared" si="142"/>
        <v/>
      </c>
      <c r="BI113" s="117" t="str">
        <f t="shared" si="143"/>
        <v/>
      </c>
      <c r="BJ113" s="117" t="str">
        <f t="shared" si="144"/>
        <v/>
      </c>
      <c r="BK113" s="117" t="str">
        <f t="shared" si="145"/>
        <v/>
      </c>
      <c r="BL113" s="117" t="str">
        <f t="shared" si="146"/>
        <v xml:space="preserve">tags:
- us
- us-ok_x000D_
- oklahoma-city_x000D_
- churches_x000D_
- holy-persons_x000D_
- stanley-rother_x000D_
</v>
      </c>
      <c r="BM113" s="120" t="str">
        <f t="shared" si="124"/>
        <v>[Official site](https://www.holytrinityok.org/)</v>
      </c>
      <c r="BN113" s="120" t="str">
        <f t="shared" si="125"/>
        <v/>
      </c>
      <c r="BO113" s="120" t="str">
        <f t="shared" si="126"/>
        <v/>
      </c>
      <c r="BP113" s="120" t="str">
        <f t="shared" si="127"/>
        <v/>
      </c>
      <c r="BQ113" s="117" t="str">
        <f t="shared" si="147"/>
        <v xml:space="preserve">* [Official site](https://www.holytrinityok.org/)
</v>
      </c>
      <c r="BR113" s="117" t="str">
        <f t="shared" si="148"/>
        <v/>
      </c>
      <c r="BS113" s="117" t="str">
        <f t="shared" si="149"/>
        <v/>
      </c>
      <c r="BT113" s="117" t="str">
        <f t="shared" si="150"/>
        <v/>
      </c>
      <c r="BU113" s="117" t="str">
        <f>IF(LEN(concat(BR113:BT113))&gt;0,concat("| ",BR113," | ",BS113," | ",BT113," |"),"")</f>
        <v/>
      </c>
      <c r="BV113" s="117" t="str">
        <f t="shared" si="151"/>
        <v/>
      </c>
      <c r="BW113" s="117" t="str">
        <f>IF(LEN(BQ113&amp;BV113)&gt;0,concatll("#### More Information",BQ113,BV113),"")</f>
        <v xml:space="preserve">#### More Information_x000D_
_x000D_
* [Official site](https://www.holytrinityok.org/)
_x000D_
_x000D_
</v>
      </c>
      <c r="BX113" s="117" t="str">
        <f>IF(LEN(N113)&gt;1,concatll("#### Author's Note",N113,"-"&amp;B113),"")</f>
        <v/>
      </c>
      <c r="BY113" s="117" t="s">
        <v>53</v>
      </c>
      <c r="BZ113" s="117" t="s">
        <v>53</v>
      </c>
      <c r="CA113" s="6" t="str">
        <f>IF(AS113,concatll(concatl("---",AT113:AV113,BL113,"---"),M113,BW113:BX113),"")</f>
        <v xml:space="preserve">---_x000D_
title: "Holy Trinity Catholic Church, Okarche, OK"_x000D_
location: {lat: 35.7284903, lng: -97.975802}_x000D_
interest: local_x000D_
tags:
- us
- us-ok_x000D_
- oklahoma-city_x000D_
- churches_x000D_
- holy-persons_x000D_
- stanley-rother_x000D_
_x000D_
---_x000D_
_x000D_
_x000D_
Bl. Stanley Rother was a parishioner at Holy Trinity Catholic Church, where he received his sacraments and studied at Holy Trinity Catholic School._x000D_
_x000D_
#### More Information_x000D_
_x000D_
* [Official site](https://www.holytrinityok.org/)
_x000D_
_x000D_
_x000D_
_x000D_
</v>
      </c>
      <c r="CB113" s="6" t="str">
        <f>IF(AS113,"places\"&amp;VLOOKUP(C113,'Country Tags'!C:D,2,)&amp;IF(LEN(D113)&gt;1,"-"&amp;LOWER(SUBSTITUTE(D113," ","-")),"")&amp;"-"&amp;LOWER(SUBSTITUTE(SUBSTITUTE(H113," ","-"),".",""))&amp;".md","")</f>
        <v>places\us_ok-oklahoma-city-holy-trinity.md</v>
      </c>
      <c r="CC113" s="6"/>
      <c r="CD113" s="12" t="e">
        <f>IF(LEN(Z113)&gt;1,VLOOKUP(Z113,#REF!,2,),"")</f>
        <v>#REF!</v>
      </c>
      <c r="CE113" s="12" t="str">
        <f>IF(LEN(AA113)&gt;1,VLOOKUP(AA113,#REF!,2,),"")</f>
        <v/>
      </c>
      <c r="CF113" s="12" t="str">
        <f>IF(LEN(AB113)&gt;1,VLOOKUP(AB113,#REF!,2,),"")</f>
        <v/>
      </c>
      <c r="CG113" s="12" t="e">
        <f>IF(LEN(Z113)&gt;1,GetTagPage(CD113,Z113),"")</f>
        <v>#VALUE!</v>
      </c>
      <c r="CH113" s="12" t="str">
        <f>IF(LEN(AA113)&gt;1,GetTagPage(CE113,AA113),"")</f>
        <v/>
      </c>
      <c r="CI113" s="12" t="str">
        <f>IF(LEN(AB113)&gt;1,GetTagPage(CF113,AB113),"")</f>
        <v/>
      </c>
      <c r="CJ113" s="12" t="e">
        <f t="shared" si="152"/>
        <v>#VALUE!</v>
      </c>
      <c r="CK113" s="12" t="str">
        <f t="shared" si="153"/>
        <v xml:space="preserve">| [](/places/places\us_ok-oklahoma-city-holy-trinity) </v>
      </c>
      <c r="CL113" s="13" t="str">
        <f>"| "&amp;IF(AS113,GetTagPage(C113,VLOOKUP(C113,'Country Tags'!C:E,3,)),C113)&amp; " "</f>
        <v xml:space="preserve">| [US Oklahoma](/tags/us
- us-ok) </v>
      </c>
      <c r="CM113" s="12" t="str">
        <f t="shared" si="154"/>
        <v xml:space="preserve">|  </v>
      </c>
      <c r="CN113" s="12" t="str">
        <f t="shared" si="155"/>
        <v xml:space="preserve">| [Link](/places/places\us_ok-oklahoma-city-holy-trinity) </v>
      </c>
      <c r="CO113" s="12" t="e">
        <f t="shared" si="156"/>
        <v>#VALUE!</v>
      </c>
    </row>
    <row r="114" spans="1:93" ht="38.25" x14ac:dyDescent="0.25">
      <c r="A114" s="129" t="s">
        <v>786</v>
      </c>
      <c r="B114" s="7" t="s">
        <v>1653</v>
      </c>
      <c r="C114" s="7" t="s">
        <v>1106</v>
      </c>
      <c r="D114" s="55" t="s">
        <v>1181</v>
      </c>
      <c r="E114" s="1">
        <v>35.375799999999998</v>
      </c>
      <c r="F114" s="30">
        <v>-97.497500000000002</v>
      </c>
      <c r="G114" s="7" t="s">
        <v>95</v>
      </c>
      <c r="H114" s="61" t="s">
        <v>1180</v>
      </c>
      <c r="I114" s="7" t="s">
        <v>1002</v>
      </c>
      <c r="J114" s="7" t="b">
        <v>1</v>
      </c>
      <c r="L114" s="7" t="b">
        <v>1</v>
      </c>
      <c r="M114" s="7" t="s">
        <v>1182</v>
      </c>
      <c r="O114" s="1" t="s">
        <v>96</v>
      </c>
      <c r="P114" s="1" t="s">
        <v>53</v>
      </c>
      <c r="Z114" s="1" t="s">
        <v>1036</v>
      </c>
      <c r="AS114" s="116" t="b">
        <f t="shared" si="128"/>
        <v>1</v>
      </c>
      <c r="AT114" s="117" t="str">
        <f t="shared" si="129"/>
        <v>title: "Blessed Stanley Rother Shrine"</v>
      </c>
      <c r="AU114" s="117" t="str">
        <f t="shared" si="130"/>
        <v>location: {lat: 35.3758, lng: -97.4975}</v>
      </c>
      <c r="AV114" s="117" t="str">
        <f t="shared" si="131"/>
        <v>interest: local</v>
      </c>
      <c r="AW114" s="117" t="str">
        <f>"- "&amp;VLOOKUP(C114,'Country Tags'!C:E,3,)</f>
        <v>- us
- us-ok</v>
      </c>
      <c r="AX114" s="117" t="str">
        <f t="shared" si="132"/>
        <v>- oklahoma-city</v>
      </c>
      <c r="AY114" s="117" t="str">
        <f t="shared" si="133"/>
        <v>- churches</v>
      </c>
      <c r="AZ114" s="117" t="str">
        <f t="shared" si="134"/>
        <v/>
      </c>
      <c r="BA114" s="117" t="str">
        <f t="shared" si="135"/>
        <v>- holy-persons</v>
      </c>
      <c r="BB114" s="117" t="str">
        <f t="shared" si="136"/>
        <v>- stanley-rother</v>
      </c>
      <c r="BC114" s="117" t="str">
        <f t="shared" si="137"/>
        <v/>
      </c>
      <c r="BD114" s="117" t="str">
        <f t="shared" si="138"/>
        <v/>
      </c>
      <c r="BE114" s="117" t="str">
        <f t="shared" si="139"/>
        <v/>
      </c>
      <c r="BF114" s="117" t="str">
        <f t="shared" si="140"/>
        <v/>
      </c>
      <c r="BG114" s="117" t="str">
        <f t="shared" si="141"/>
        <v/>
      </c>
      <c r="BH114" s="117" t="str">
        <f t="shared" si="142"/>
        <v/>
      </c>
      <c r="BI114" s="117" t="str">
        <f t="shared" si="143"/>
        <v/>
      </c>
      <c r="BJ114" s="117" t="str">
        <f t="shared" si="144"/>
        <v/>
      </c>
      <c r="BK114" s="117" t="str">
        <f t="shared" si="145"/>
        <v/>
      </c>
      <c r="BL114" s="117" t="str">
        <f t="shared" si="146"/>
        <v xml:space="preserve">tags:
- us
- us-ok_x000D_
- oklahoma-city_x000D_
- churches_x000D_
- holy-persons_x000D_
- stanley-rother_x000D_
</v>
      </c>
      <c r="BM114" s="120" t="str">
        <f t="shared" si="124"/>
        <v>[Official site](https://www.rothershrine.org/)</v>
      </c>
      <c r="BN114" s="120" t="str">
        <f t="shared" si="125"/>
        <v/>
      </c>
      <c r="BO114" s="120" t="str">
        <f t="shared" si="126"/>
        <v/>
      </c>
      <c r="BP114" s="120" t="str">
        <f t="shared" si="127"/>
        <v/>
      </c>
      <c r="BQ114" s="117" t="str">
        <f t="shared" si="147"/>
        <v xml:space="preserve">* [Official site](https://www.rothershrine.org/)
</v>
      </c>
      <c r="BR114" s="117" t="str">
        <f t="shared" si="148"/>
        <v/>
      </c>
      <c r="BS114" s="117" t="str">
        <f t="shared" si="149"/>
        <v/>
      </c>
      <c r="BT114" s="117" t="str">
        <f t="shared" si="150"/>
        <v/>
      </c>
      <c r="BU114" s="117" t="str">
        <f>IF(LEN(concat(BR114:BT114))&gt;0,concat("| ",BR114," | ",BS114," | ",BT114," |"),"")</f>
        <v/>
      </c>
      <c r="BV114" s="117" t="str">
        <f t="shared" si="151"/>
        <v/>
      </c>
      <c r="BW114" s="117" t="str">
        <f>IF(LEN(BQ114&amp;BV114)&gt;0,concatll("#### More Information",BQ114,BV114),"")</f>
        <v xml:space="preserve">#### More Information_x000D_
_x000D_
* [Official site](https://www.rothershrine.org/)
_x000D_
_x000D_
</v>
      </c>
      <c r="BX114" s="117" t="str">
        <f>IF(LEN(N114)&gt;1,concatll("#### Author's Note",N114,"-"&amp;B114),"")</f>
        <v/>
      </c>
      <c r="BY114" s="117" t="s">
        <v>53</v>
      </c>
      <c r="BZ114" s="117" t="s">
        <v>53</v>
      </c>
      <c r="CA114" s="6" t="str">
        <f>IF(AS114,concatll(concatl("---",AT114:AV114,BL114,"---"),M114,BW114:BX114),"")</f>
        <v xml:space="preserve">---_x000D_
title: "Blessed Stanley Rother Shrine"_x000D_
location: {lat: 35.3758, lng: -97.4975}_x000D_
interest: local_x000D_
tags:
- us
- us-ok_x000D_
- oklahoma-city_x000D_
- churches_x000D_
- holy-persons_x000D_
- stanley-rother_x000D_
_x000D_
---_x000D_
_x000D_
_x000D_
The shrine was dedicated on February 17, 2023 with the Most Rev. Paul S. Coakley, Archbishop of Oklahoma City presiding. The service was attended by 37 bishops, 147 priests, and hundreds of other religious and pilgrims._x000D_
_x000D_
#### More Information_x000D_
_x000D_
* [Official site](https://www.rothershrine.org/)
_x000D_
_x000D_
_x000D_
_x000D_
</v>
      </c>
      <c r="CB114" s="6" t="str">
        <f>IF(AS114,"places\"&amp;VLOOKUP(C114,'Country Tags'!C:D,2,)&amp;IF(LEN(D114)&gt;1,"-"&amp;LOWER(SUBSTITUTE(D114," ","-")),"")&amp;"-"&amp;LOWER(SUBSTITUTE(SUBSTITUTE(H114," ","-"),".",""))&amp;".md","")</f>
        <v>places\us_ok-oklahoma-city-stanley-rother-shrine.md</v>
      </c>
      <c r="CC114" s="6"/>
      <c r="CD114" s="12" t="e">
        <f>IF(LEN(Z114)&gt;1,VLOOKUP(Z114,#REF!,2,),"")</f>
        <v>#REF!</v>
      </c>
      <c r="CE114" s="12" t="str">
        <f>IF(LEN(AA114)&gt;1,VLOOKUP(AA114,#REF!,2,),"")</f>
        <v/>
      </c>
      <c r="CF114" s="12" t="str">
        <f>IF(LEN(AB114)&gt;1,VLOOKUP(AB114,#REF!,2,),"")</f>
        <v/>
      </c>
      <c r="CG114" s="12" t="e">
        <f>IF(LEN(Z114)&gt;1,GetTagPage(CD114,Z114),"")</f>
        <v>#VALUE!</v>
      </c>
      <c r="CH114" s="12" t="str">
        <f>IF(LEN(AA114)&gt;1,GetTagPage(CE114,AA114),"")</f>
        <v/>
      </c>
      <c r="CI114" s="12" t="str">
        <f>IF(LEN(AB114)&gt;1,GetTagPage(CF114,AB114),"")</f>
        <v/>
      </c>
      <c r="CJ114" s="12" t="e">
        <f t="shared" si="152"/>
        <v>#VALUE!</v>
      </c>
      <c r="CK114" s="12" t="str">
        <f t="shared" si="153"/>
        <v xml:space="preserve">| [](/places/places\us_ok-oklahoma-city-stanley-rother-shrine) </v>
      </c>
      <c r="CL114" s="13" t="str">
        <f>"| "&amp;IF(AS114,GetTagPage(C114,VLOOKUP(C114,'Country Tags'!C:E,3,)),C114)&amp; " "</f>
        <v xml:space="preserve">| [US Oklahoma](/tags/us
- us-ok) </v>
      </c>
      <c r="CM114" s="12" t="str">
        <f t="shared" si="154"/>
        <v xml:space="preserve">|  </v>
      </c>
      <c r="CN114" s="12" t="str">
        <f t="shared" si="155"/>
        <v xml:space="preserve">| [Link](/places/places\us_ok-oklahoma-city-stanley-rother-shrine) </v>
      </c>
      <c r="CO114" s="12" t="e">
        <f t="shared" si="156"/>
        <v>#VALUE!</v>
      </c>
    </row>
    <row r="115" spans="1:93" ht="25.5" x14ac:dyDescent="0.25">
      <c r="A115" s="129" t="s">
        <v>786</v>
      </c>
      <c r="B115" s="55" t="s">
        <v>1653</v>
      </c>
      <c r="C115" s="55" t="s">
        <v>1113</v>
      </c>
      <c r="D115" s="55" t="s">
        <v>1183</v>
      </c>
      <c r="E115" s="1">
        <v>29.454204000000001</v>
      </c>
      <c r="F115" s="30">
        <v>-98.545190000000005</v>
      </c>
      <c r="G115" s="55" t="s">
        <v>106</v>
      </c>
      <c r="H115" s="33" t="s">
        <v>106</v>
      </c>
      <c r="I115" s="7" t="s">
        <v>1002</v>
      </c>
      <c r="J115" s="7" t="b">
        <v>1</v>
      </c>
      <c r="L115" s="7" t="b">
        <v>1</v>
      </c>
      <c r="M115" s="55" t="s">
        <v>108</v>
      </c>
      <c r="O115" s="1" t="s">
        <v>107</v>
      </c>
      <c r="P115" s="1" t="s">
        <v>53</v>
      </c>
      <c r="Z115" s="1" t="s">
        <v>1036</v>
      </c>
      <c r="AS115" s="116" t="b">
        <f t="shared" si="128"/>
        <v>1</v>
      </c>
      <c r="AT115" s="117" t="str">
        <f t="shared" si="129"/>
        <v>title: "Assumption Seminary"</v>
      </c>
      <c r="AU115" s="117" t="str">
        <f t="shared" si="130"/>
        <v>location: {lat: 29.454204, lng: -98.54519}</v>
      </c>
      <c r="AV115" s="117" t="str">
        <f t="shared" si="131"/>
        <v>interest: local</v>
      </c>
      <c r="AW115" s="117" t="str">
        <f>"- "&amp;VLOOKUP(C115,'Country Tags'!C:E,3,)</f>
        <v>- us
- us-tx</v>
      </c>
      <c r="AX115" s="117" t="str">
        <f t="shared" si="132"/>
        <v>- san-antonio</v>
      </c>
      <c r="AY115" s="117" t="str">
        <f t="shared" si="133"/>
        <v>- churches</v>
      </c>
      <c r="AZ115" s="117" t="str">
        <f t="shared" si="134"/>
        <v/>
      </c>
      <c r="BA115" s="117" t="str">
        <f t="shared" si="135"/>
        <v>- holy-persons</v>
      </c>
      <c r="BB115" s="117" t="str">
        <f t="shared" si="136"/>
        <v>- stanley-rother</v>
      </c>
      <c r="BC115" s="117" t="str">
        <f t="shared" si="137"/>
        <v/>
      </c>
      <c r="BD115" s="117" t="str">
        <f t="shared" si="138"/>
        <v/>
      </c>
      <c r="BE115" s="117" t="str">
        <f t="shared" si="139"/>
        <v/>
      </c>
      <c r="BF115" s="117" t="str">
        <f t="shared" si="140"/>
        <v/>
      </c>
      <c r="BG115" s="117" t="str">
        <f t="shared" si="141"/>
        <v/>
      </c>
      <c r="BH115" s="117" t="str">
        <f t="shared" si="142"/>
        <v/>
      </c>
      <c r="BI115" s="117" t="str">
        <f t="shared" si="143"/>
        <v/>
      </c>
      <c r="BJ115" s="117" t="str">
        <f t="shared" si="144"/>
        <v/>
      </c>
      <c r="BK115" s="117" t="str">
        <f t="shared" si="145"/>
        <v/>
      </c>
      <c r="BL115" s="117" t="str">
        <f t="shared" si="146"/>
        <v xml:space="preserve">tags:
- us
- us-tx_x000D_
- san-antonio_x000D_
- churches_x000D_
- holy-persons_x000D_
- stanley-rother_x000D_
</v>
      </c>
      <c r="BM115" s="120" t="str">
        <f t="shared" si="124"/>
        <v>[Official site](https://assumptionseminary.org/)</v>
      </c>
      <c r="BN115" s="120" t="str">
        <f t="shared" si="125"/>
        <v/>
      </c>
      <c r="BO115" s="120" t="str">
        <f t="shared" si="126"/>
        <v/>
      </c>
      <c r="BP115" s="120" t="str">
        <f t="shared" si="127"/>
        <v/>
      </c>
      <c r="BQ115" s="117" t="str">
        <f t="shared" si="147"/>
        <v xml:space="preserve">* [Official site](https://assumptionseminary.org/)
</v>
      </c>
      <c r="BR115" s="117" t="str">
        <f t="shared" si="148"/>
        <v/>
      </c>
      <c r="BS115" s="117" t="str">
        <f t="shared" si="149"/>
        <v/>
      </c>
      <c r="BT115" s="117" t="str">
        <f t="shared" si="150"/>
        <v/>
      </c>
      <c r="BU115" s="117" t="str">
        <f>IF(LEN(concat(BR115:BT115))&gt;0,concat("| ",BR115," | ",BS115," | ",BT115," |"),"")</f>
        <v/>
      </c>
      <c r="BV115" s="117" t="str">
        <f t="shared" si="151"/>
        <v/>
      </c>
      <c r="BW115" s="117" t="str">
        <f>IF(LEN(BQ115&amp;BV115)&gt;0,concatll("#### More Information",BQ115,BV115),"")</f>
        <v xml:space="preserve">#### More Information_x000D_
_x000D_
* [Official site](https://assumptionseminary.org/)
_x000D_
_x000D_
</v>
      </c>
      <c r="BX115" s="117" t="str">
        <f>IF(LEN(N115)&gt;1,concatll("#### Author's Note",N115,"-"&amp;B115),"")</f>
        <v/>
      </c>
      <c r="BY115" s="117" t="s">
        <v>53</v>
      </c>
      <c r="BZ115" s="117" t="s">
        <v>53</v>
      </c>
      <c r="CA115" s="6" t="str">
        <f>IF(AS115,concatll(concatl("---",AT115:AV115,BL115,"---"),M115,BW115:BX115),"")</f>
        <v xml:space="preserve">---_x000D_
title: "Assumption Seminary"_x000D_
location: {lat: 29.454204, lng: -98.54519}_x000D_
interest: local_x000D_
tags:
- us
- us-tx_x000D_
- san-antonio_x000D_
- churches_x000D_
- holy-persons_x000D_
- stanley-rother_x000D_
_x000D_
---_x000D_
_x000D_
_x000D_
Bl. Stanley Rother was accepted as a seminarian and began his studies at Assumption Seminary._x000D_
_x000D_
#### More Information_x000D_
_x000D_
* [Official site](https://assumptionseminary.org/)
_x000D_
_x000D_
_x000D_
_x000D_
</v>
      </c>
      <c r="CB115" s="6" t="str">
        <f>IF(AS115,"places\"&amp;VLOOKUP(C115,'Country Tags'!C:D,2,)&amp;IF(LEN(D115)&gt;1,"-"&amp;LOWER(SUBSTITUTE(D115," ","-")),"")&amp;"-"&amp;LOWER(SUBSTITUTE(SUBSTITUTE(H115," ","-"),".",""))&amp;".md","")</f>
        <v>places\us_tx-san-antonio-assumption-seminary.md</v>
      </c>
      <c r="CC115" s="6"/>
      <c r="CD115" s="12" t="e">
        <f>IF(LEN(Z115)&gt;1,VLOOKUP(Z115,#REF!,2,),"")</f>
        <v>#REF!</v>
      </c>
      <c r="CE115" s="12" t="str">
        <f>IF(LEN(AA115)&gt;1,VLOOKUP(AA115,#REF!,2,),"")</f>
        <v/>
      </c>
      <c r="CF115" s="12" t="str">
        <f>IF(LEN(AB115)&gt;1,VLOOKUP(AB115,#REF!,2,),"")</f>
        <v/>
      </c>
      <c r="CG115" s="12" t="e">
        <f>IF(LEN(Z115)&gt;1,GetTagPage(CD115,Z115),"")</f>
        <v>#VALUE!</v>
      </c>
      <c r="CH115" s="12" t="str">
        <f>IF(LEN(AA115)&gt;1,GetTagPage(CE115,AA115),"")</f>
        <v/>
      </c>
      <c r="CI115" s="12" t="str">
        <f>IF(LEN(AB115)&gt;1,GetTagPage(CF115,AB115),"")</f>
        <v/>
      </c>
      <c r="CJ115" s="12" t="e">
        <f t="shared" si="152"/>
        <v>#VALUE!</v>
      </c>
      <c r="CK115" s="12" t="str">
        <f t="shared" si="153"/>
        <v xml:space="preserve">| [](/places/places\us_tx-san-antonio-assumption-seminary) </v>
      </c>
      <c r="CL115" s="13" t="str">
        <f>"| "&amp;IF(AS115,GetTagPage(C115,VLOOKUP(C115,'Country Tags'!C:E,3,)),C115)&amp; " "</f>
        <v xml:space="preserve">| [US Texas](/tags/us
- us-tx) </v>
      </c>
      <c r="CM115" s="12" t="str">
        <f t="shared" si="154"/>
        <v xml:space="preserve">|  </v>
      </c>
      <c r="CN115" s="12" t="str">
        <f t="shared" si="155"/>
        <v xml:space="preserve">| [Link](/places/places\us_tx-san-antonio-assumption-seminary) </v>
      </c>
      <c r="CO115" s="12" t="e">
        <f t="shared" si="156"/>
        <v>#VALUE!</v>
      </c>
    </row>
    <row r="116" spans="1:93" ht="25.5" x14ac:dyDescent="0.25">
      <c r="A116" s="129" t="s">
        <v>786</v>
      </c>
      <c r="B116" s="130" t="s">
        <v>1654</v>
      </c>
      <c r="C116" s="55" t="s">
        <v>1113</v>
      </c>
      <c r="D116" s="55" t="s">
        <v>1213</v>
      </c>
      <c r="E116" s="1">
        <v>32.750999999999998</v>
      </c>
      <c r="F116" s="30">
        <v>-96.8159986</v>
      </c>
      <c r="G116" s="55" t="s">
        <v>1214</v>
      </c>
      <c r="H116" s="61" t="s">
        <v>1215</v>
      </c>
      <c r="I116" s="55" t="s">
        <v>1002</v>
      </c>
      <c r="J116" s="7" t="b">
        <v>1</v>
      </c>
      <c r="M116" s="7" t="s">
        <v>1216</v>
      </c>
      <c r="O116" s="62" t="s">
        <v>1227</v>
      </c>
      <c r="P116" s="64" t="s">
        <v>53</v>
      </c>
      <c r="Q116" s="65" t="s">
        <v>1226</v>
      </c>
      <c r="R116" s="1" t="s">
        <v>1217</v>
      </c>
      <c r="S116" s="63" t="s">
        <v>53</v>
      </c>
      <c r="AS116" s="116" t="b">
        <f t="shared" si="128"/>
        <v>1</v>
      </c>
      <c r="AT116" s="117" t="str">
        <f t="shared" si="129"/>
        <v>title: "Blessed Sacrament Catholic Church, Dallas, TX"</v>
      </c>
      <c r="AU116" s="117" t="str">
        <f t="shared" si="130"/>
        <v>location: {lat: 32.751, lng: -96.8159986}</v>
      </c>
      <c r="AV116" s="117" t="str">
        <f t="shared" si="131"/>
        <v>interest: local</v>
      </c>
      <c r="AW116" s="117" t="str">
        <f>"- "&amp;VLOOKUP(C116,'Country Tags'!C:E,3,)</f>
        <v>- us
- us-tx</v>
      </c>
      <c r="AX116" s="117" t="str">
        <f t="shared" si="132"/>
        <v>- dallas</v>
      </c>
      <c r="AY116" s="117" t="str">
        <f t="shared" si="133"/>
        <v>- churches</v>
      </c>
      <c r="AZ116" s="117" t="str">
        <f t="shared" si="134"/>
        <v/>
      </c>
      <c r="BA116" s="117" t="str">
        <f t="shared" si="135"/>
        <v/>
      </c>
      <c r="BB116" s="117" t="str">
        <f t="shared" si="136"/>
        <v/>
      </c>
      <c r="BC116" s="117" t="str">
        <f t="shared" si="137"/>
        <v/>
      </c>
      <c r="BD116" s="117" t="str">
        <f t="shared" si="138"/>
        <v/>
      </c>
      <c r="BE116" s="117" t="str">
        <f t="shared" si="139"/>
        <v/>
      </c>
      <c r="BF116" s="117" t="str">
        <f t="shared" si="140"/>
        <v/>
      </c>
      <c r="BG116" s="117" t="str">
        <f t="shared" si="141"/>
        <v/>
      </c>
      <c r="BH116" s="117" t="str">
        <f t="shared" si="142"/>
        <v/>
      </c>
      <c r="BI116" s="117" t="str">
        <f t="shared" si="143"/>
        <v/>
      </c>
      <c r="BJ116" s="117" t="str">
        <f t="shared" si="144"/>
        <v/>
      </c>
      <c r="BK116" s="117" t="str">
        <f t="shared" si="145"/>
        <v/>
      </c>
      <c r="BL116" s="117" t="str">
        <f t="shared" si="146"/>
        <v xml:space="preserve">tags:
- us
- us-tx_x000D_
- dallas_x000D_
- churches_x000D_
</v>
      </c>
      <c r="BM116" s="120" t="str">
        <f t="shared" si="124"/>
        <v>[Official site](https://www.bsdallas.org/)</v>
      </c>
      <c r="BN116" s="120" t="str">
        <f t="shared" si="125"/>
        <v>[Parish history](https://www.bsdallas.org/about-our-parish)</v>
      </c>
      <c r="BO116" s="120" t="str">
        <f t="shared" si="126"/>
        <v/>
      </c>
      <c r="BP116" s="120" t="str">
        <f t="shared" si="127"/>
        <v/>
      </c>
      <c r="BQ116" s="117" t="str">
        <f t="shared" si="147"/>
        <v xml:space="preserve">* [Official site](https://www.bsdallas.org/)
* [Parish history](https://www.bsdallas.org/about-our-parish)
</v>
      </c>
      <c r="BR116" s="117" t="str">
        <f t="shared" si="148"/>
        <v/>
      </c>
      <c r="BS116" s="117" t="str">
        <f t="shared" si="149"/>
        <v/>
      </c>
      <c r="BT116" s="117" t="str">
        <f t="shared" si="150"/>
        <v/>
      </c>
      <c r="BU116" s="117" t="str">
        <f>IF(LEN(concat(BR116:BT116))&gt;0,concat("| ",BR116," | ",BS116," | ",BT116," |"),"")</f>
        <v/>
      </c>
      <c r="BV116" s="117" t="str">
        <f t="shared" si="151"/>
        <v/>
      </c>
      <c r="BW116" s="117" t="str">
        <f>IF(LEN(BQ116&amp;BV116)&gt;0,concatll("#### More Information",BQ116,BV116),"")</f>
        <v xml:space="preserve">#### More Information_x000D_
_x000D_
* [Official site](https://www.bsdallas.org/)
* [Parish history](https://www.bsdallas.org/about-our-parish)
_x000D_
_x000D_
</v>
      </c>
      <c r="BX116" s="117" t="str">
        <f>IF(LEN(N116)&gt;1,concatll("#### Author's Note",N116,"-"&amp;B116),"")</f>
        <v/>
      </c>
      <c r="BY116" s="117" t="s">
        <v>53</v>
      </c>
      <c r="BZ116" s="117" t="s">
        <v>53</v>
      </c>
      <c r="CA116" s="6" t="str">
        <f>IF(AS116,concatll(concatl("---",AT116:AV116,BL116,"---"),M116,BW116:BX116),"")</f>
        <v xml:space="preserve">---_x000D_
title: "Blessed Sacrament Catholic Church, Dallas, TX"_x000D_
location: {lat: 32.751, lng: -96.8159986}_x000D_
interest: local_x000D_
tags:
- us
- us-tx_x000D_
- dallas_x000D_
- churches_x000D_
_x000D_
---_x000D_
_x000D_
_x000D_
Second oldest parish in the city of Dallas, but established when Oak Cliff was a separate city._x000D_
_x000D_
#### More Information_x000D_
_x000D_
* [Official site](https://www.bsdallas.org/)
* [Parish history](https://www.bsdallas.org/about-our-parish)
_x000D_
_x000D_
_x000D_
_x000D_
</v>
      </c>
      <c r="CB116" s="6" t="str">
        <f>IF(AS116,"places\"&amp;VLOOKUP(C116,'Country Tags'!C:D,2,)&amp;IF(LEN(D116)&gt;1,"-"&amp;LOWER(SUBSTITUTE(D116," ","-")),"")&amp;"-"&amp;LOWER(SUBSTITUTE(SUBSTITUTE(H116," ","-"),".",""))&amp;".md","")</f>
        <v>places\us_tx-dallas-blessed-sacrament.md</v>
      </c>
      <c r="CC116" s="6"/>
      <c r="CD116" s="12" t="str">
        <f>IF(LEN(Z116)&gt;1,VLOOKUP(Z116,#REF!,2,),"")</f>
        <v/>
      </c>
      <c r="CE116" s="12" t="str">
        <f>IF(LEN(AA116)&gt;1,VLOOKUP(AA116,#REF!,2,),"")</f>
        <v/>
      </c>
      <c r="CF116" s="12" t="str">
        <f>IF(LEN(AB116)&gt;1,VLOOKUP(AB116,#REF!,2,),"")</f>
        <v/>
      </c>
      <c r="CG116" s="12" t="str">
        <f>IF(LEN(Z116)&gt;1,GetTagPage(CD116,Z116),"")</f>
        <v/>
      </c>
      <c r="CH116" s="12" t="str">
        <f>IF(LEN(AA116)&gt;1,GetTagPage(CE116,AA116),"")</f>
        <v/>
      </c>
      <c r="CI116" s="12" t="str">
        <f>IF(LEN(AB116)&gt;1,GetTagPage(CF116,AB116),"")</f>
        <v/>
      </c>
      <c r="CJ116" s="12" t="str">
        <f t="shared" si="152"/>
        <v xml:space="preserve">| </v>
      </c>
      <c r="CK116" s="12" t="str">
        <f t="shared" si="153"/>
        <v xml:space="preserve">| [](/places/places\us_tx-dallas-blessed-sacrament) </v>
      </c>
      <c r="CL116" s="13" t="str">
        <f>"| "&amp;IF(AS116,GetTagPage(C116,VLOOKUP(C116,'Country Tags'!C:E,3,)),C116)&amp; " "</f>
        <v xml:space="preserve">| [US Texas](/tags/us
- us-tx) </v>
      </c>
      <c r="CM116" s="12" t="str">
        <f t="shared" si="154"/>
        <v xml:space="preserve">|  </v>
      </c>
      <c r="CN116" s="12" t="str">
        <f t="shared" si="155"/>
        <v xml:space="preserve">| [Link](/places/places\us_tx-dallas-blessed-sacrament) </v>
      </c>
      <c r="CO116" s="12" t="str">
        <f t="shared" si="156"/>
        <v xml:space="preserve">
| [](/places/places\us_tx-dallas-blessed-sacrament) | [US Texas](/tags/us
- us-tx) |  | [Link](/places/places\us_tx-dallas-blessed-sacrament) [Official site](https://www.bsdallas.org/)| |</v>
      </c>
    </row>
    <row r="117" spans="1:93" ht="89.25" x14ac:dyDescent="0.25">
      <c r="A117" s="129" t="s">
        <v>786</v>
      </c>
      <c r="B117" s="7" t="s">
        <v>1654</v>
      </c>
      <c r="C117" s="7" t="s">
        <v>1113</v>
      </c>
      <c r="D117" s="7" t="s">
        <v>1213</v>
      </c>
      <c r="E117" s="1">
        <v>32.788515199999999</v>
      </c>
      <c r="F117" s="30">
        <v>-96.797780700000004</v>
      </c>
      <c r="G117" s="55" t="s">
        <v>1219</v>
      </c>
      <c r="H117" s="61" t="s">
        <v>1220</v>
      </c>
      <c r="I117" s="7" t="s">
        <v>1002</v>
      </c>
      <c r="J117" s="7" t="b">
        <v>1</v>
      </c>
      <c r="M117" s="55" t="s">
        <v>1218</v>
      </c>
      <c r="N117" s="139" t="s">
        <v>1688</v>
      </c>
      <c r="O117" s="1" t="s">
        <v>1221</v>
      </c>
      <c r="P117" s="64" t="s">
        <v>53</v>
      </c>
      <c r="AS117" s="116" t="b">
        <f t="shared" si="128"/>
        <v>1</v>
      </c>
      <c r="AT117" s="117" t="str">
        <f t="shared" si="129"/>
        <v>title: "National Shrine Cathedral of Our Lady of Guadalupe, Dallas, TX"</v>
      </c>
      <c r="AU117" s="117" t="str">
        <f t="shared" si="130"/>
        <v>location: {lat: 32.7885152, lng: -96.7977807}</v>
      </c>
      <c r="AV117" s="117" t="str">
        <f t="shared" si="131"/>
        <v>interest: local</v>
      </c>
      <c r="AW117" s="117" t="str">
        <f>"- "&amp;VLOOKUP(C117,'Country Tags'!C:E,3,)</f>
        <v>- us
- us-tx</v>
      </c>
      <c r="AX117" s="117" t="str">
        <f t="shared" si="132"/>
        <v>- dallas</v>
      </c>
      <c r="AY117" s="117" t="str">
        <f t="shared" si="133"/>
        <v>- churches</v>
      </c>
      <c r="AZ117" s="117" t="str">
        <f t="shared" si="134"/>
        <v/>
      </c>
      <c r="BA117" s="117" t="str">
        <f t="shared" si="135"/>
        <v/>
      </c>
      <c r="BB117" s="117" t="str">
        <f t="shared" si="136"/>
        <v/>
      </c>
      <c r="BC117" s="117" t="str">
        <f t="shared" si="137"/>
        <v/>
      </c>
      <c r="BD117" s="117" t="str">
        <f t="shared" si="138"/>
        <v/>
      </c>
      <c r="BE117" s="117" t="str">
        <f t="shared" si="139"/>
        <v/>
      </c>
      <c r="BF117" s="117" t="str">
        <f t="shared" si="140"/>
        <v/>
      </c>
      <c r="BG117" s="117" t="str">
        <f t="shared" si="141"/>
        <v/>
      </c>
      <c r="BH117" s="117" t="str">
        <f t="shared" si="142"/>
        <v/>
      </c>
      <c r="BI117" s="117" t="str">
        <f t="shared" si="143"/>
        <v/>
      </c>
      <c r="BJ117" s="117" t="str">
        <f t="shared" si="144"/>
        <v/>
      </c>
      <c r="BK117" s="117" t="str">
        <f t="shared" si="145"/>
        <v/>
      </c>
      <c r="BL117" s="117" t="str">
        <f t="shared" si="146"/>
        <v xml:space="preserve">tags:
- us
- us-tx_x000D_
- dallas_x000D_
- churches_x000D_
</v>
      </c>
      <c r="BM117" s="120" t="str">
        <f t="shared" si="124"/>
        <v>[Official site](https://www.cathdal.org/cathedral)</v>
      </c>
      <c r="BN117" s="120" t="str">
        <f t="shared" si="125"/>
        <v/>
      </c>
      <c r="BO117" s="120" t="str">
        <f t="shared" si="126"/>
        <v/>
      </c>
      <c r="BP117" s="120" t="str">
        <f t="shared" si="127"/>
        <v/>
      </c>
      <c r="BQ117" s="117" t="str">
        <f t="shared" si="147"/>
        <v xml:space="preserve">* [Official site](https://www.cathdal.org/cathedral)
</v>
      </c>
      <c r="BR117" s="117" t="str">
        <f t="shared" si="148"/>
        <v/>
      </c>
      <c r="BS117" s="117" t="str">
        <f t="shared" si="149"/>
        <v/>
      </c>
      <c r="BT117" s="117" t="str">
        <f t="shared" si="150"/>
        <v/>
      </c>
      <c r="BU117" s="117" t="str">
        <f>IF(LEN(concat(BR117:BT117))&gt;0,concat("| ",BR117," | ",BS117," | ",BT117," |"),"")</f>
        <v/>
      </c>
      <c r="BV117" s="117" t="str">
        <f t="shared" si="151"/>
        <v/>
      </c>
      <c r="BW117" s="117" t="str">
        <f>IF(LEN(BQ117&amp;BV117)&gt;0,concatll("#### More Information",BQ117,BV117),"")</f>
        <v xml:space="preserve">#### More Information_x000D_
_x000D_
* [Official site](https://www.cathdal.org/cathedral)
_x000D_
_x000D_
</v>
      </c>
      <c r="BX117" s="117" t="str">
        <f>IF(LEN(N117)&gt;1,concatll("#### Author's Note",N117,"-"&amp;B117),"")</f>
        <v xml:space="preserve">#### Author's Note_x000D_
_x000D_
The original altarpiece appears to be lost forever.  It was removed in the 1960's by the Carmelite fathers who staffed the parish at the time.  The official story is that it was so badly damaged by termites that it had to be trashed.  Some say that it wasn't eaten by termites, but by Carmelites._x000D_
_x000D_
-JPY_x000D_
_x000D_
</v>
      </c>
      <c r="BY117" s="117" t="s">
        <v>53</v>
      </c>
      <c r="BZ117" s="117" t="s">
        <v>53</v>
      </c>
      <c r="CA117" s="6" t="str">
        <f>IF(AS117,concatll(concatl("---",AT117:AV117,BL117,"---"),M117,BW117:BX117),"")</f>
        <v xml:space="preserve">---_x000D_
title: "National Shrine Cathedral of Our Lady of Guadalupe, Dallas, TX"_x000D_
location: {lat: 32.7885152, lng: -96.7977807}_x000D_
interest: local_x000D_
tags:
- us
- us-tx_x000D_
- dallas_x000D_
- churches_x000D_
_x000D_
---_x000D_
_x000D_
_x000D_
Originally dedicated to the Sacred Heart, this parish is the oldest in the city of Dallas.  The parish merged with Our Lady of Guadalupe in the Little Mexico neighborhood (now Harwood) in 1965, and in 1977 the Cathedral was renamed in honor of Our Lady of Guadalupe.
In 2023 the cathedral was elevated to a National Shrine by the US Conference fo Catholic Bishops._x000D_
_x000D_
#### More Information_x000D_
_x000D_
* [Official site](https://www.cathdal.org/cathedral)
_x000D_
_x000D_
_x000D_
_x000D_
#### Author's Note_x000D_
_x000D_
The original altarpiece appears to be lost forever.  It was removed in the 1960's by the Carmelite fathers who staffed the parish at the time.  The official story is that it was so badly damaged by termites that it had to be trashed.  Some say that it wasn't eaten by termites, but by Carmelites._x000D_
_x000D_
-JPY_x000D_
_x000D_
_x000D_
_x000D_
</v>
      </c>
      <c r="CB117" s="6" t="str">
        <f>IF(AS117,"places\"&amp;VLOOKUP(C117,'Country Tags'!C:D,2,)&amp;IF(LEN(D117)&gt;1,"-"&amp;LOWER(SUBSTITUTE(D117," ","-")),"")&amp;"-"&amp;LOWER(SUBSTITUTE(SUBSTITUTE(H117," ","-"),".",""))&amp;".md","")</f>
        <v>places\us_tx-dallas-guadalupe-cathedral.md</v>
      </c>
      <c r="CC117" s="6"/>
      <c r="CD117" s="12" t="str">
        <f>IF(LEN(Z117)&gt;1,VLOOKUP(Z117,#REF!,2,),"")</f>
        <v/>
      </c>
      <c r="CE117" s="12" t="str">
        <f>IF(LEN(AA117)&gt;1,VLOOKUP(AA117,#REF!,2,),"")</f>
        <v/>
      </c>
      <c r="CF117" s="12" t="str">
        <f>IF(LEN(AB117)&gt;1,VLOOKUP(AB117,#REF!,2,),"")</f>
        <v/>
      </c>
      <c r="CG117" s="12" t="str">
        <f>IF(LEN(Z117)&gt;1,GetTagPage(CD117,Z117),"")</f>
        <v/>
      </c>
      <c r="CH117" s="12" t="str">
        <f>IF(LEN(AA117)&gt;1,GetTagPage(CE117,AA117),"")</f>
        <v/>
      </c>
      <c r="CI117" s="12" t="str">
        <f>IF(LEN(AB117)&gt;1,GetTagPage(CF117,AB117),"")</f>
        <v/>
      </c>
      <c r="CJ117" s="12" t="str">
        <f t="shared" si="152"/>
        <v xml:space="preserve">| </v>
      </c>
      <c r="CK117" s="12" t="str">
        <f t="shared" si="153"/>
        <v xml:space="preserve">| [](/places/places\us_tx-dallas-guadalupe-cathedral) </v>
      </c>
      <c r="CL117" s="13" t="str">
        <f>"| "&amp;IF(AS117,GetTagPage(C117,VLOOKUP(C117,'Country Tags'!C:E,3,)),C117)&amp; " "</f>
        <v xml:space="preserve">| [US Texas](/tags/us
- us-tx) </v>
      </c>
      <c r="CM117" s="12" t="str">
        <f t="shared" si="154"/>
        <v xml:space="preserve">|  </v>
      </c>
      <c r="CN117" s="12" t="str">
        <f t="shared" si="155"/>
        <v xml:space="preserve">| [Link](/places/places\us_tx-dallas-guadalupe-cathedral) </v>
      </c>
      <c r="CO117" s="12" t="str">
        <f t="shared" si="156"/>
        <v xml:space="preserve">
| [](/places/places\us_tx-dallas-guadalupe-cathedral) | [US Texas](/tags/us
- us-tx) |  | [Link](/places/places\us_tx-dallas-guadalupe-cathedral) [Official site](https://www.cathdal.org/cathedral)| |</v>
      </c>
    </row>
    <row r="118" spans="1:93" ht="25.5" x14ac:dyDescent="0.25">
      <c r="A118" s="129" t="s">
        <v>786</v>
      </c>
      <c r="B118" s="7" t="s">
        <v>1654</v>
      </c>
      <c r="C118" s="7" t="s">
        <v>1113</v>
      </c>
      <c r="D118" s="7" t="s">
        <v>1213</v>
      </c>
      <c r="E118" s="1">
        <v>32.814570799999998</v>
      </c>
      <c r="F118" s="30">
        <v>-96.802842799999993</v>
      </c>
      <c r="G118" s="7" t="s">
        <v>1222</v>
      </c>
      <c r="H118" s="61" t="s">
        <v>1179</v>
      </c>
      <c r="I118" s="7" t="s">
        <v>1002</v>
      </c>
      <c r="J118" s="7" t="b">
        <v>1</v>
      </c>
      <c r="M118" s="55" t="s">
        <v>1223</v>
      </c>
      <c r="O118" s="62" t="s">
        <v>1224</v>
      </c>
      <c r="P118" s="64" t="s">
        <v>53</v>
      </c>
      <c r="Q118" s="65" t="s">
        <v>1226</v>
      </c>
      <c r="R118" s="1" t="s">
        <v>1225</v>
      </c>
      <c r="S118" s="63" t="s">
        <v>53</v>
      </c>
      <c r="Z118" s="62" t="s">
        <v>1228</v>
      </c>
      <c r="AS118" s="116" t="b">
        <f t="shared" si="128"/>
        <v>1</v>
      </c>
      <c r="AT118" s="117" t="str">
        <f t="shared" si="129"/>
        <v>title: "Holy Trinity Catholic Church, Dallas, TX"</v>
      </c>
      <c r="AU118" s="117" t="str">
        <f t="shared" si="130"/>
        <v>location: {lat: 32.8145708, lng: -96.8028428}</v>
      </c>
      <c r="AV118" s="117" t="str">
        <f t="shared" si="131"/>
        <v>interest: local</v>
      </c>
      <c r="AW118" s="117" t="str">
        <f>"- "&amp;VLOOKUP(C118,'Country Tags'!C:E,3,)</f>
        <v>- us
- us-tx</v>
      </c>
      <c r="AX118" s="117" t="str">
        <f t="shared" si="132"/>
        <v>- dallas</v>
      </c>
      <c r="AY118" s="117" t="str">
        <f t="shared" si="133"/>
        <v>- churches</v>
      </c>
      <c r="AZ118" s="117" t="str">
        <f t="shared" si="134"/>
        <v/>
      </c>
      <c r="BA118" s="117" t="str">
        <f t="shared" si="135"/>
        <v/>
      </c>
      <c r="BB118" s="117" t="str">
        <f t="shared" si="136"/>
        <v>- vincentians</v>
      </c>
      <c r="BC118" s="117" t="str">
        <f t="shared" si="137"/>
        <v/>
      </c>
      <c r="BD118" s="117" t="str">
        <f t="shared" si="138"/>
        <v/>
      </c>
      <c r="BE118" s="117" t="str">
        <f t="shared" si="139"/>
        <v/>
      </c>
      <c r="BF118" s="117" t="str">
        <f t="shared" si="140"/>
        <v/>
      </c>
      <c r="BG118" s="117" t="str">
        <f t="shared" si="141"/>
        <v/>
      </c>
      <c r="BH118" s="117" t="str">
        <f t="shared" si="142"/>
        <v/>
      </c>
      <c r="BI118" s="117" t="str">
        <f t="shared" si="143"/>
        <v/>
      </c>
      <c r="BJ118" s="117" t="str">
        <f t="shared" si="144"/>
        <v/>
      </c>
      <c r="BK118" s="117" t="str">
        <f t="shared" si="145"/>
        <v/>
      </c>
      <c r="BL118" s="117" t="str">
        <f t="shared" si="146"/>
        <v xml:space="preserve">tags:
- us
- us-tx_x000D_
- dallas_x000D_
- churches_x000D_
- vincentians_x000D_
</v>
      </c>
      <c r="BM118" s="120" t="str">
        <f t="shared" si="124"/>
        <v>[Official site](https://htccd.org/)</v>
      </c>
      <c r="BN118" s="120" t="str">
        <f t="shared" si="125"/>
        <v>[Parish history](https://htccd.org/history)</v>
      </c>
      <c r="BO118" s="120" t="str">
        <f t="shared" si="126"/>
        <v/>
      </c>
      <c r="BP118" s="120" t="str">
        <f t="shared" si="127"/>
        <v/>
      </c>
      <c r="BQ118" s="117" t="str">
        <f t="shared" si="147"/>
        <v xml:space="preserve">* [Official site](https://htccd.org/)
* [Parish history](https://htccd.org/history)
</v>
      </c>
      <c r="BR118" s="117" t="str">
        <f t="shared" si="148"/>
        <v/>
      </c>
      <c r="BS118" s="117" t="str">
        <f t="shared" si="149"/>
        <v/>
      </c>
      <c r="BT118" s="117" t="str">
        <f t="shared" si="150"/>
        <v/>
      </c>
      <c r="BU118" s="117" t="str">
        <f>IF(LEN(concat(BR118:BT118))&gt;0,concat("| ",BR118," | ",BS118," | ",BT118," |"),"")</f>
        <v/>
      </c>
      <c r="BV118" s="117" t="str">
        <f t="shared" si="151"/>
        <v/>
      </c>
      <c r="BW118" s="117" t="str">
        <f>IF(LEN(BQ118&amp;BV118)&gt;0,concatll("#### More Information",BQ118,BV118),"")</f>
        <v xml:space="preserve">#### More Information_x000D_
_x000D_
* [Official site](https://htccd.org/)
* [Parish history](https://htccd.org/history)
_x000D_
_x000D_
</v>
      </c>
      <c r="BX118" s="117" t="str">
        <f>IF(LEN(N118)&gt;1,concatll("#### Author's Note",N118,"-"&amp;B118),"")</f>
        <v/>
      </c>
      <c r="BY118" s="117" t="s">
        <v>53</v>
      </c>
      <c r="BZ118" s="117" t="s">
        <v>53</v>
      </c>
      <c r="CA118" s="6" t="str">
        <f>IF(AS118,concatll(concatl("---",AT118:AV118,BL118,"---"),M118,BW118:BX118),"")</f>
        <v xml:space="preserve">---_x000D_
title: "Holy Trinity Catholic Church, Dallas, TX"_x000D_
location: {lat: 32.8145708, lng: -96.8028428}_x000D_
interest: local_x000D_
tags:
- us
- us-tx_x000D_
- dallas_x000D_
- churches_x000D_
- vincentians_x000D_
_x000D_
---_x000D_
_x000D_
_x000D_
Founded and staffed by the Vincentians, who also staffed Trinity College/Dallas University across the street._x000D_
_x000D_
#### More Information_x000D_
_x000D_
* [Official site](https://htccd.org/)
* [Parish history](https://htccd.org/history)
_x000D_
_x000D_
_x000D_
_x000D_
</v>
      </c>
      <c r="CB118" s="6" t="str">
        <f>IF(AS118,"places\"&amp;VLOOKUP(C118,'Country Tags'!C:D,2,)&amp;IF(LEN(D118)&gt;1,"-"&amp;LOWER(SUBSTITUTE(D118," ","-")),"")&amp;"-"&amp;LOWER(SUBSTITUTE(SUBSTITUTE(H118," ","-"),".",""))&amp;".md","")</f>
        <v>places\us_tx-dallas-holy-trinity.md</v>
      </c>
      <c r="CC118" s="6"/>
      <c r="CD118" s="12" t="e">
        <f>IF(LEN(Z118)&gt;1,VLOOKUP(Z118,#REF!,2,),"")</f>
        <v>#REF!</v>
      </c>
      <c r="CE118" s="12" t="str">
        <f>IF(LEN(AA118)&gt;1,VLOOKUP(AA118,#REF!,2,),"")</f>
        <v/>
      </c>
      <c r="CF118" s="12" t="str">
        <f>IF(LEN(AB118)&gt;1,VLOOKUP(AB118,#REF!,2,),"")</f>
        <v/>
      </c>
      <c r="CG118" s="12" t="e">
        <f>IF(LEN(Z118)&gt;1,GetTagPage(CD118,Z118),"")</f>
        <v>#VALUE!</v>
      </c>
      <c r="CH118" s="12" t="str">
        <f>IF(LEN(AA118)&gt;1,GetTagPage(CE118,AA118),"")</f>
        <v/>
      </c>
      <c r="CI118" s="12" t="str">
        <f>IF(LEN(AB118)&gt;1,GetTagPage(CF118,AB118),"")</f>
        <v/>
      </c>
      <c r="CJ118" s="12" t="e">
        <f t="shared" si="152"/>
        <v>#VALUE!</v>
      </c>
      <c r="CK118" s="12" t="str">
        <f t="shared" si="153"/>
        <v xml:space="preserve">| [](/places/places\us_tx-dallas-holy-trinity) </v>
      </c>
      <c r="CL118" s="13" t="str">
        <f>"| "&amp;IF(AS118,GetTagPage(C118,VLOOKUP(C118,'Country Tags'!C:E,3,)),C118)&amp; " "</f>
        <v xml:space="preserve">| [US Texas](/tags/us
- us-tx) </v>
      </c>
      <c r="CM118" s="12" t="str">
        <f t="shared" si="154"/>
        <v xml:space="preserve">|  </v>
      </c>
      <c r="CN118" s="12" t="str">
        <f t="shared" si="155"/>
        <v xml:space="preserve">| [Link](/places/places\us_tx-dallas-holy-trinity) </v>
      </c>
      <c r="CO118" s="12" t="e">
        <f t="shared" si="156"/>
        <v>#VALUE!</v>
      </c>
    </row>
    <row r="119" spans="1:93" ht="127.5" x14ac:dyDescent="0.25">
      <c r="A119" s="129" t="s">
        <v>786</v>
      </c>
      <c r="B119" s="7" t="s">
        <v>1654</v>
      </c>
      <c r="C119" s="7" t="s">
        <v>1113</v>
      </c>
      <c r="D119" s="7" t="s">
        <v>1213</v>
      </c>
      <c r="E119" s="1">
        <v>32.792158999999998</v>
      </c>
      <c r="F119" s="30">
        <v>-96.806457199999997</v>
      </c>
      <c r="G119" s="55" t="s">
        <v>1232</v>
      </c>
      <c r="H119" s="61" t="s">
        <v>1233</v>
      </c>
      <c r="I119" s="7" t="s">
        <v>1002</v>
      </c>
      <c r="M119" s="55" t="s">
        <v>1234</v>
      </c>
      <c r="Q119" s="65" t="s">
        <v>1246</v>
      </c>
      <c r="R119" s="62" t="s">
        <v>1235</v>
      </c>
      <c r="S119" s="136" t="s">
        <v>1742</v>
      </c>
      <c r="T119" s="65" t="s">
        <v>1237</v>
      </c>
      <c r="U119" s="1" t="s">
        <v>1236</v>
      </c>
      <c r="V119" s="63" t="s">
        <v>53</v>
      </c>
      <c r="Z119" s="1" t="s">
        <v>1279</v>
      </c>
      <c r="AS119" s="116" t="b">
        <f t="shared" si="128"/>
        <v>1</v>
      </c>
      <c r="AT119" s="117" t="str">
        <f t="shared" si="129"/>
        <v>title: "Old Our Lady of Guadalupe Catholic Church, Dallas, TX"</v>
      </c>
      <c r="AU119" s="117" t="str">
        <f t="shared" si="130"/>
        <v>location: {lat: 32.792159, lng: -96.8064572}</v>
      </c>
      <c r="AV119" s="117" t="str">
        <f t="shared" si="131"/>
        <v>interest: local</v>
      </c>
      <c r="AW119" s="117" t="str">
        <f>"- "&amp;VLOOKUP(C119,'Country Tags'!C:E,3,)</f>
        <v>- us
- us-tx</v>
      </c>
      <c r="AX119" s="117" t="str">
        <f t="shared" si="132"/>
        <v>- dallas</v>
      </c>
      <c r="AY119" s="117" t="str">
        <f t="shared" si="133"/>
        <v/>
      </c>
      <c r="AZ119" s="117" t="str">
        <f t="shared" si="134"/>
        <v/>
      </c>
      <c r="BA119" s="117" t="str">
        <f t="shared" si="135"/>
        <v/>
      </c>
      <c r="BB119" s="117" t="str">
        <f t="shared" si="136"/>
        <v>- closed</v>
      </c>
      <c r="BC119" s="117" t="str">
        <f t="shared" si="137"/>
        <v/>
      </c>
      <c r="BD119" s="117" t="str">
        <f t="shared" si="138"/>
        <v/>
      </c>
      <c r="BE119" s="117" t="str">
        <f t="shared" si="139"/>
        <v/>
      </c>
      <c r="BF119" s="117" t="str">
        <f t="shared" si="140"/>
        <v/>
      </c>
      <c r="BG119" s="117" t="str">
        <f t="shared" si="141"/>
        <v/>
      </c>
      <c r="BH119" s="117" t="str">
        <f t="shared" si="142"/>
        <v/>
      </c>
      <c r="BI119" s="117" t="str">
        <f t="shared" si="143"/>
        <v/>
      </c>
      <c r="BJ119" s="117" t="str">
        <f t="shared" si="144"/>
        <v/>
      </c>
      <c r="BK119" s="117" t="str">
        <f t="shared" si="145"/>
        <v/>
      </c>
      <c r="BL119" s="117" t="str">
        <f t="shared" si="146"/>
        <v xml:space="preserve">tags:
- us
- us-tx_x000D_
- dallas_x000D_
- closed_x000D_
</v>
      </c>
      <c r="BM119" s="120" t="str">
        <f t="shared" si="124"/>
        <v/>
      </c>
      <c r="BN119" s="120" t="str">
        <f t="shared" si="125"/>
        <v>[St. Ann preservation application](https://dallascityhall.com/departments/sustainabledevelopment/historicpreservation/HP%20Documents/Landmark%20Structures/St.%20Anns%20School%20Landmark%20Nomination.pdf) - Includes section on the church's history</v>
      </c>
      <c r="BO119" s="120" t="str">
        <f t="shared" si="126"/>
        <v>[About St. Ann restauraunt](https://www.saintanndallas.com/restaurant)</v>
      </c>
      <c r="BP119" s="120" t="str">
        <f t="shared" si="127"/>
        <v/>
      </c>
      <c r="BQ119" s="117" t="str">
        <f t="shared" si="147"/>
        <v xml:space="preserve">* [St. Ann preservation application](https://dallascityhall.com/departments/sustainabledevelopment/historicpreservation/HP%20Documents/Landmark%20Structures/St.%20Anns%20School%20Landmark%20Nomination.pdf) - Includes section on the church's history
* [About St. Ann restauraunt](https://www.saintanndallas.com/restaurant)
</v>
      </c>
      <c r="BR119" s="117" t="str">
        <f t="shared" si="148"/>
        <v/>
      </c>
      <c r="BS119" s="117" t="str">
        <f t="shared" si="149"/>
        <v/>
      </c>
      <c r="BT119" s="117" t="str">
        <f t="shared" si="150"/>
        <v/>
      </c>
      <c r="BU119" s="117" t="str">
        <f>IF(LEN(concat(BR119:BT119))&gt;0,concat("| ",BR119," | ",BS119," | ",BT119," |"),"")</f>
        <v/>
      </c>
      <c r="BV119" s="117" t="str">
        <f t="shared" si="151"/>
        <v/>
      </c>
      <c r="BW119" s="117" t="str">
        <f>IF(LEN(BQ119&amp;BV119)&gt;0,concatll("#### More Information",BQ119,BV119),"")</f>
        <v xml:space="preserve">#### More Information_x000D_
_x000D_
* [St. Ann preservation application](https://dallascityhall.com/departments/sustainabledevelopment/historicpreservation/HP%20Documents/Landmark%20Structures/St.%20Anns%20School%20Landmark%20Nomination.pdf) - Includes section on the church's history
* [About St. Ann restauraunt](https://www.saintanndallas.com/restaurant)
_x000D_
_x000D_
</v>
      </c>
      <c r="BX119" s="117" t="str">
        <f>IF(LEN(N119)&gt;1,concatll("#### Author's Note",N119,"-"&amp;B119),"")</f>
        <v/>
      </c>
      <c r="BY119" s="117" t="s">
        <v>53</v>
      </c>
      <c r="BZ119" s="117" t="s">
        <v>53</v>
      </c>
      <c r="CA119" s="6" t="str">
        <f>IF(AS119,concatll(concatl("---",AT119:AV119,BL119,"---"),M119,BW119:BX119),"")</f>
        <v xml:space="preserve">---_x000D_
title: "Old Our Lady of Guadalupe Catholic Church, Dallas, TX"_x000D_
location: {lat: 32.792159, lng: -96.8064572}_x000D_
interest: local_x000D_
tags:
- us
- us-tx_x000D_
- dallas_x000D_
- closed_x000D_
_x000D_
---_x000D_
_x000D_
_x000D_
Established in 1914 in response to the flood of Mexican refugees fleeing the anti-Catholic dictatorship in Mexico, this parish was merged with the cathedral in 1965.  This gentrified neighborhood was once Little Mexico.  All that remains on the site is an image of Our Lady of Gudalaupe.
The church was first served by Vincentians, who staffed Holy Trinity, then by the Carmelites.
St. Ann's school was located next to the church, and the building still stands today, containing a restaurant and a Japanese samaurai collection._x000D_
_x000D_
#### More Information_x000D_
_x000D_
* [St. Ann preservation application](https://dallascityhall.com/departments/sustainabledevelopment/historicpreservation/HP%20Documents/Landmark%20Structures/St.%20Anns%20School%20Landmark%20Nomination.pdf) - Includes section on the church's history
* [About St. Ann restauraunt](https://www.saintanndallas.com/restaurant)
_x000D_
_x000D_
_x000D_
_x000D_
</v>
      </c>
      <c r="CB119" s="6" t="str">
        <f>IF(AS119,"places\"&amp;VLOOKUP(C119,'Country Tags'!C:D,2,)&amp;IF(LEN(D119)&gt;1,"-"&amp;LOWER(SUBSTITUTE(D119," ","-")),"")&amp;"-"&amp;LOWER(SUBSTITUTE(SUBSTITUTE(H119," ","-"),".",""))&amp;".md","")</f>
        <v>places\us_tx-dallas-old-guadalupe.md</v>
      </c>
      <c r="CC119" s="6"/>
      <c r="CD119" s="12" t="e">
        <f>IF(LEN(Z119)&gt;1,VLOOKUP(Z119,#REF!,2,),"")</f>
        <v>#REF!</v>
      </c>
      <c r="CE119" s="12" t="str">
        <f>IF(LEN(AA119)&gt;1,VLOOKUP(AA119,#REF!,2,),"")</f>
        <v/>
      </c>
      <c r="CF119" s="12" t="str">
        <f>IF(LEN(AB119)&gt;1,VLOOKUP(AB119,#REF!,2,),"")</f>
        <v/>
      </c>
      <c r="CG119" s="12" t="e">
        <f>IF(LEN(Z119)&gt;1,GetTagPage(CD119,Z119),"")</f>
        <v>#VALUE!</v>
      </c>
      <c r="CH119" s="12" t="str">
        <f>IF(LEN(AA119)&gt;1,GetTagPage(CE119,AA119),"")</f>
        <v/>
      </c>
      <c r="CI119" s="12" t="str">
        <f>IF(LEN(AB119)&gt;1,GetTagPage(CF119,AB119),"")</f>
        <v/>
      </c>
      <c r="CJ119" s="12" t="e">
        <f t="shared" si="152"/>
        <v>#VALUE!</v>
      </c>
      <c r="CK119" s="12" t="str">
        <f t="shared" si="153"/>
        <v xml:space="preserve">| [](/places/places\us_tx-dallas-old-guadalupe) </v>
      </c>
      <c r="CL119" s="13" t="str">
        <f>"| "&amp;IF(AS119,GetTagPage(C119,VLOOKUP(C119,'Country Tags'!C:E,3,)),C119)&amp; " "</f>
        <v xml:space="preserve">| [US Texas](/tags/us
- us-tx) </v>
      </c>
      <c r="CM119" s="12" t="str">
        <f t="shared" si="154"/>
        <v xml:space="preserve">|  </v>
      </c>
      <c r="CN119" s="12" t="str">
        <f t="shared" si="155"/>
        <v xml:space="preserve">| [Link](/places/places\us_tx-dallas-old-guadalupe) </v>
      </c>
      <c r="CO119" s="12" t="e">
        <f t="shared" si="156"/>
        <v>#VALUE!</v>
      </c>
    </row>
    <row r="120" spans="1:93" ht="63.75" x14ac:dyDescent="0.25">
      <c r="A120" s="129" t="s">
        <v>786</v>
      </c>
      <c r="B120" s="7" t="s">
        <v>1654</v>
      </c>
      <c r="C120" s="7" t="s">
        <v>1113</v>
      </c>
      <c r="D120" s="7" t="s">
        <v>1213</v>
      </c>
      <c r="E120" s="1">
        <v>32.775131000000002</v>
      </c>
      <c r="F120" s="30">
        <v>-96.787789000000004</v>
      </c>
      <c r="G120" s="7" t="s">
        <v>1238</v>
      </c>
      <c r="H120" s="61" t="s">
        <v>1628</v>
      </c>
      <c r="I120" s="7" t="s">
        <v>1002</v>
      </c>
      <c r="M120" s="55" t="s">
        <v>1239</v>
      </c>
      <c r="Q120" s="65" t="s">
        <v>1240</v>
      </c>
      <c r="R120" s="1" t="s">
        <v>1241</v>
      </c>
      <c r="S120" s="63" t="s">
        <v>53</v>
      </c>
      <c r="Z120" s="1" t="s">
        <v>1279</v>
      </c>
      <c r="AS120" s="116" t="b">
        <f t="shared" si="128"/>
        <v>1</v>
      </c>
      <c r="AT120" s="117" t="str">
        <f t="shared" si="129"/>
        <v>title: "Old St. Patrick Catholic Church, Dallas, TX"</v>
      </c>
      <c r="AU120" s="117" t="str">
        <f t="shared" si="130"/>
        <v>location: {lat: 32.775131, lng: -96.787789}</v>
      </c>
      <c r="AV120" s="117" t="str">
        <f t="shared" si="131"/>
        <v>interest: local</v>
      </c>
      <c r="AW120" s="117" t="str">
        <f>"- "&amp;VLOOKUP(C120,'Country Tags'!C:E,3,)</f>
        <v>- us
- us-tx</v>
      </c>
      <c r="AX120" s="117" t="str">
        <f t="shared" si="132"/>
        <v>- dallas</v>
      </c>
      <c r="AY120" s="117" t="str">
        <f t="shared" si="133"/>
        <v/>
      </c>
      <c r="AZ120" s="117" t="str">
        <f t="shared" si="134"/>
        <v/>
      </c>
      <c r="BA120" s="117" t="str">
        <f t="shared" si="135"/>
        <v/>
      </c>
      <c r="BB120" s="117" t="str">
        <f t="shared" si="136"/>
        <v>- closed</v>
      </c>
      <c r="BC120" s="117" t="str">
        <f t="shared" si="137"/>
        <v/>
      </c>
      <c r="BD120" s="117" t="str">
        <f t="shared" si="138"/>
        <v/>
      </c>
      <c r="BE120" s="117" t="str">
        <f t="shared" si="139"/>
        <v/>
      </c>
      <c r="BF120" s="117" t="str">
        <f t="shared" si="140"/>
        <v/>
      </c>
      <c r="BG120" s="117" t="str">
        <f t="shared" si="141"/>
        <v/>
      </c>
      <c r="BH120" s="117" t="str">
        <f t="shared" si="142"/>
        <v/>
      </c>
      <c r="BI120" s="117" t="str">
        <f t="shared" si="143"/>
        <v/>
      </c>
      <c r="BJ120" s="117" t="str">
        <f t="shared" si="144"/>
        <v/>
      </c>
      <c r="BK120" s="117" t="str">
        <f t="shared" si="145"/>
        <v/>
      </c>
      <c r="BL120" s="117" t="str">
        <f t="shared" si="146"/>
        <v xml:space="preserve">tags:
- us
- us-tx_x000D_
- dallas_x000D_
- closed_x000D_
</v>
      </c>
      <c r="BM120" s="120" t="str">
        <f t="shared" si="124"/>
        <v/>
      </c>
      <c r="BN120" s="120" t="str">
        <f t="shared" si="125"/>
        <v>[Article about St. Patrick](https://cityofdallaspreservation.wordpress.com/2018/03/16/the-old-st-patrick-roman-catholic-church-in-dallas-gone-but-not-forgotten)</v>
      </c>
      <c r="BO120" s="120" t="str">
        <f t="shared" si="126"/>
        <v/>
      </c>
      <c r="BP120" s="120" t="str">
        <f t="shared" si="127"/>
        <v/>
      </c>
      <c r="BQ120" s="117" t="str">
        <f t="shared" si="147"/>
        <v xml:space="preserve">* [Article about St. Patrick](https://cityofdallaspreservation.wordpress.com/2018/03/16/the-old-st-patrick-roman-catholic-church-in-dallas-gone-but-not-forgotten)
</v>
      </c>
      <c r="BR120" s="117" t="str">
        <f t="shared" si="148"/>
        <v/>
      </c>
      <c r="BS120" s="117" t="str">
        <f t="shared" si="149"/>
        <v/>
      </c>
      <c r="BT120" s="117" t="str">
        <f t="shared" si="150"/>
        <v/>
      </c>
      <c r="BU120" s="117" t="str">
        <f>IF(LEN(concat(BR120:BT120))&gt;0,concat("| ",BR120," | ",BS120," | ",BT120," |"),"")</f>
        <v/>
      </c>
      <c r="BV120" s="117" t="str">
        <f t="shared" si="151"/>
        <v/>
      </c>
      <c r="BW120" s="117" t="str">
        <f>IF(LEN(BQ120&amp;BV120)&gt;0,concatll("#### More Information",BQ120,BV120),"")</f>
        <v xml:space="preserve">#### More Information_x000D_
_x000D_
* [Article about St. Patrick](https://cityofdallaspreservation.wordpress.com/2018/03/16/the-old-st-patrick-roman-catholic-church-in-dallas-gone-but-not-forgotten)
_x000D_
_x000D_
</v>
      </c>
      <c r="BX120" s="117" t="str">
        <f>IF(LEN(N120)&gt;1,concatll("#### Author's Note",N120,"-"&amp;B120),"")</f>
        <v/>
      </c>
      <c r="BY120" s="117" t="s">
        <v>53</v>
      </c>
      <c r="BZ120" s="117" t="s">
        <v>53</v>
      </c>
      <c r="CA120" s="6" t="str">
        <f>IF(AS120,concatll(concatl("---",AT120:AV120,BL120,"---"),M120,BW120:BX120),"")</f>
        <v xml:space="preserve">---_x000D_
title: "Old St. Patrick Catholic Church, Dallas, TX"_x000D_
location: {lat: 32.775131, lng: -96.787789}_x000D_
interest: local_x000D_
tags:
- us
- us-tx_x000D_
- dallas_x000D_
- closed_x000D_
_x000D_
---_x000D_
_x000D_
_x000D_
Part of the deal when the first parish in Dallas was named Sacred Heart was that the second church would be named in honor of St. Patrick.  This parish (which became the third oldest in the Dallas city limits once Oak Cliff was annexed) was located across from City Park.  The church was flattened by I-30, and where it once stood is now squarely in the middle of the Canyon._x000D_
_x000D_
#### More Information_x000D_
_x000D_
* [Article about St. Patrick](https://cityofdallaspreservation.wordpress.com/2018/03/16/the-old-st-patrick-roman-catholic-church-in-dallas-gone-but-not-forgotten)
_x000D_
_x000D_
_x000D_
_x000D_
</v>
      </c>
      <c r="CB120" s="6" t="str">
        <f>IF(AS120,"places\"&amp;VLOOKUP(C120,'Country Tags'!C:D,2,)&amp;IF(LEN(D120)&gt;1,"-"&amp;LOWER(SUBSTITUTE(D120," ","-")),"")&amp;"-"&amp;LOWER(SUBSTITUTE(SUBSTITUTE(H120," ","-"),".",""))&amp;".md","")</f>
        <v>places\us_tx-dallas-old-st-patrick.md</v>
      </c>
      <c r="CC120" s="6"/>
      <c r="CD120" s="12" t="e">
        <f>IF(LEN(Z120)&gt;1,VLOOKUP(Z120,#REF!,2,),"")</f>
        <v>#REF!</v>
      </c>
      <c r="CE120" s="12" t="str">
        <f>IF(LEN(AA120)&gt;1,VLOOKUP(AA120,#REF!,2,),"")</f>
        <v/>
      </c>
      <c r="CF120" s="12" t="str">
        <f>IF(LEN(AB120)&gt;1,VLOOKUP(AB120,#REF!,2,),"")</f>
        <v/>
      </c>
      <c r="CG120" s="12" t="e">
        <f>IF(LEN(Z120)&gt;1,GetTagPage(CD120,Z120),"")</f>
        <v>#VALUE!</v>
      </c>
      <c r="CH120" s="12" t="str">
        <f>IF(LEN(AA120)&gt;1,GetTagPage(CE120,AA120),"")</f>
        <v/>
      </c>
      <c r="CI120" s="12" t="str">
        <f>IF(LEN(AB120)&gt;1,GetTagPage(CF120,AB120),"")</f>
        <v/>
      </c>
      <c r="CJ120" s="12" t="e">
        <f t="shared" si="152"/>
        <v>#VALUE!</v>
      </c>
      <c r="CK120" s="12" t="str">
        <f t="shared" si="153"/>
        <v xml:space="preserve">| [](/places/places\us_tx-dallas-old-st-patrick) </v>
      </c>
      <c r="CL120" s="13" t="str">
        <f>"| "&amp;IF(AS120,GetTagPage(C120,VLOOKUP(C120,'Country Tags'!C:E,3,)),C120)&amp; " "</f>
        <v xml:space="preserve">| [US Texas](/tags/us
- us-tx) </v>
      </c>
      <c r="CM120" s="12" t="str">
        <f t="shared" si="154"/>
        <v xml:space="preserve">|  </v>
      </c>
      <c r="CN120" s="12" t="str">
        <f t="shared" si="155"/>
        <v xml:space="preserve">| [Link](/places/places\us_tx-dallas-old-st-patrick) </v>
      </c>
      <c r="CO120" s="12" t="e">
        <f t="shared" si="156"/>
        <v>#VALUE!</v>
      </c>
    </row>
    <row r="121" spans="1:93" ht="127.5" x14ac:dyDescent="0.25">
      <c r="A121" s="129" t="s">
        <v>786</v>
      </c>
      <c r="B121" s="7" t="s">
        <v>1654</v>
      </c>
      <c r="C121" s="7" t="s">
        <v>1113</v>
      </c>
      <c r="D121" s="7" t="s">
        <v>1213</v>
      </c>
      <c r="E121" s="1">
        <v>32.795627000000003</v>
      </c>
      <c r="F121" s="30">
        <v>-96.782279000000003</v>
      </c>
      <c r="G121" s="55" t="s">
        <v>1242</v>
      </c>
      <c r="H121" s="61" t="s">
        <v>1243</v>
      </c>
      <c r="I121" s="7" t="s">
        <v>1002</v>
      </c>
      <c r="M121" s="55" t="s">
        <v>1244</v>
      </c>
      <c r="Q121" s="65" t="s">
        <v>1245</v>
      </c>
      <c r="R121" s="1" t="s">
        <v>1247</v>
      </c>
      <c r="S121" s="133" t="s">
        <v>1741</v>
      </c>
      <c r="T121" s="67" t="s">
        <v>1248</v>
      </c>
      <c r="U121" s="62" t="s">
        <v>1249</v>
      </c>
      <c r="V121" s="133" t="s">
        <v>1743</v>
      </c>
      <c r="W121" s="1" t="s">
        <v>1250</v>
      </c>
      <c r="X121" s="62" t="s">
        <v>1251</v>
      </c>
      <c r="Y121" s="70" t="s">
        <v>53</v>
      </c>
      <c r="Z121" s="1" t="s">
        <v>1279</v>
      </c>
      <c r="AS121" s="116" t="b">
        <f t="shared" si="128"/>
        <v>1</v>
      </c>
      <c r="AT121" s="117" t="str">
        <f t="shared" si="129"/>
        <v>title: "Old Ursuline Academy, Dallas, TX"</v>
      </c>
      <c r="AU121" s="117" t="str">
        <f t="shared" si="130"/>
        <v>location: {lat: 32.795627, lng: -96.782279}</v>
      </c>
      <c r="AV121" s="117" t="str">
        <f t="shared" si="131"/>
        <v>interest: local</v>
      </c>
      <c r="AW121" s="117" t="str">
        <f>"- "&amp;VLOOKUP(C121,'Country Tags'!C:E,3,)</f>
        <v>- us
- us-tx</v>
      </c>
      <c r="AX121" s="117" t="str">
        <f t="shared" si="132"/>
        <v>- dallas</v>
      </c>
      <c r="AY121" s="117" t="str">
        <f t="shared" si="133"/>
        <v/>
      </c>
      <c r="AZ121" s="117" t="str">
        <f t="shared" si="134"/>
        <v/>
      </c>
      <c r="BA121" s="117" t="str">
        <f t="shared" si="135"/>
        <v/>
      </c>
      <c r="BB121" s="117" t="str">
        <f t="shared" si="136"/>
        <v>- closed</v>
      </c>
      <c r="BC121" s="117" t="str">
        <f t="shared" si="137"/>
        <v/>
      </c>
      <c r="BD121" s="117" t="str">
        <f t="shared" si="138"/>
        <v/>
      </c>
      <c r="BE121" s="117" t="str">
        <f t="shared" si="139"/>
        <v/>
      </c>
      <c r="BF121" s="117" t="str">
        <f t="shared" si="140"/>
        <v/>
      </c>
      <c r="BG121" s="117" t="str">
        <f t="shared" si="141"/>
        <v/>
      </c>
      <c r="BH121" s="117" t="str">
        <f t="shared" si="142"/>
        <v/>
      </c>
      <c r="BI121" s="117" t="str">
        <f t="shared" si="143"/>
        <v/>
      </c>
      <c r="BJ121" s="117" t="str">
        <f t="shared" si="144"/>
        <v/>
      </c>
      <c r="BK121" s="117" t="str">
        <f t="shared" si="145"/>
        <v/>
      </c>
      <c r="BL121" s="117" t="str">
        <f t="shared" si="146"/>
        <v xml:space="preserve">tags:
- us
- us-tx_x000D_
- dallas_x000D_
- closed_x000D_
</v>
      </c>
      <c r="BM121" s="120" t="str">
        <f t="shared" si="124"/>
        <v/>
      </c>
      <c r="BN121" s="120" t="str">
        <f t="shared" si="125"/>
        <v>[Ursuline history article](https://www.ursulinedallas.org/mission/heritage) - Includes pictures of this convent</v>
      </c>
      <c r="BO121" s="120" t="str">
        <f t="shared" si="126"/>
        <v>[Additional Ursuline history article](https://www.tshaonline.org/handbook/entries/ursuline-academy-dallas) - Includes pictures</v>
      </c>
      <c r="BP121" s="120" t="str">
        <f t="shared" si="127"/>
        <v>[Convent in the 1922 Sanborn map](https://maps.lib.utexas.edu/maps/sanborn/d-f/txu-sanborn-dallas-1922-315.jpg)</v>
      </c>
      <c r="BQ121" s="117" t="str">
        <f t="shared" si="147"/>
        <v xml:space="preserve">* [Ursuline history article](https://www.ursulinedallas.org/mission/heritage) - Includes pictures of this convent
* [Additional Ursuline history article](https://www.tshaonline.org/handbook/entries/ursuline-academy-dallas) - Includes pictures
* [Convent in the 1922 Sanborn map](https://maps.lib.utexas.edu/maps/sanborn/d-f/txu-sanborn-dallas-1922-315.jpg)
</v>
      </c>
      <c r="BR121" s="117" t="str">
        <f t="shared" si="148"/>
        <v/>
      </c>
      <c r="BS121" s="117" t="str">
        <f t="shared" si="149"/>
        <v/>
      </c>
      <c r="BT121" s="117" t="str">
        <f t="shared" si="150"/>
        <v/>
      </c>
      <c r="BU121" s="117" t="str">
        <f>IF(LEN(concat(BR121:BT121))&gt;0,concat("| ",BR121," | ",BS121," | ",BT121," |"),"")</f>
        <v/>
      </c>
      <c r="BV121" s="117" t="str">
        <f t="shared" si="151"/>
        <v/>
      </c>
      <c r="BW121" s="117" t="str">
        <f>IF(LEN(BQ121&amp;BV121)&gt;0,concatll("#### More Information",BQ121,BV121),"")</f>
        <v xml:space="preserve">#### More Information_x000D_
_x000D_
* [Ursuline history article](https://www.ursulinedallas.org/mission/heritage) - Includes pictures of this convent
* [Additional Ursuline history article](https://www.tshaonline.org/handbook/entries/ursuline-academy-dallas) - Includes pictures
* [Convent in the 1922 Sanborn map](https://maps.lib.utexas.edu/maps/sanborn/d-f/txu-sanborn-dallas-1922-315.jpg)
_x000D_
_x000D_
</v>
      </c>
      <c r="BX121" s="117" t="str">
        <f>IF(LEN(N121)&gt;1,concatll("#### Author's Note",N121,"-"&amp;B121),"")</f>
        <v/>
      </c>
      <c r="BY121" s="117" t="s">
        <v>53</v>
      </c>
      <c r="BZ121" s="117" t="s">
        <v>53</v>
      </c>
      <c r="CA121" s="6" t="str">
        <f>IF(AS121,concatll(concatl("---",AT121:AV121,BL121,"---"),M121,BW121:BX121),"")</f>
        <v xml:space="preserve">---_x000D_
title: "Old Ursuline Academy, Dallas, TX"_x000D_
location: {lat: 32.795627, lng: -96.782279}_x000D_
interest: local_x000D_
tags:
- us
- us-tx_x000D_
- dallas_x000D_
- closed_x000D_
_x000D_
---_x000D_
_x000D_
_x000D_
Original site of Ursuline Academy and the Ursuline Convent.  It is unclear why this building was demolished.
![Ursuline academy](https://www.ursulinedallas.org/uploaded/images/mission/1882_OldUrsuline.jpg)
![Ursuline academy](https://www.tshaonline.org/images/handbook/entries/DD/Dallas%20ursuline%20aerial.jpg)_x000D_
_x000D_
#### More Information_x000D_
_x000D_
* [Ursuline history article](https://www.ursulinedallas.org/mission/heritage) - Includes pictures of this convent
* [Additional Ursuline history article](https://www.tshaonline.org/handbook/entries/ursuline-academy-dallas) - Includes pictures
* [Convent in the 1922 Sanborn map](https://maps.lib.utexas.edu/maps/sanborn/d-f/txu-sanborn-dallas-1922-315.jpg)
_x000D_
_x000D_
_x000D_
_x000D_
</v>
      </c>
      <c r="CB121" s="6" t="str">
        <f>IF(AS121,"places\"&amp;VLOOKUP(C121,'Country Tags'!C:D,2,)&amp;IF(LEN(D121)&gt;1,"-"&amp;LOWER(SUBSTITUTE(D121," ","-")),"")&amp;"-"&amp;LOWER(SUBSTITUTE(SUBSTITUTE(H121," ","-"),".",""))&amp;".md","")</f>
        <v>places\us_tx-dallas-old-ursuline.md</v>
      </c>
      <c r="CC121" s="6"/>
      <c r="CD121" s="12" t="e">
        <f>IF(LEN(Z121)&gt;1,VLOOKUP(Z121,#REF!,2,),"")</f>
        <v>#REF!</v>
      </c>
      <c r="CE121" s="12" t="str">
        <f>IF(LEN(AA121)&gt;1,VLOOKUP(AA121,#REF!,2,),"")</f>
        <v/>
      </c>
      <c r="CF121" s="12" t="str">
        <f>IF(LEN(AB121)&gt;1,VLOOKUP(AB121,#REF!,2,),"")</f>
        <v/>
      </c>
      <c r="CG121" s="12" t="e">
        <f>IF(LEN(Z121)&gt;1,GetTagPage(CD121,Z121),"")</f>
        <v>#VALUE!</v>
      </c>
      <c r="CH121" s="12" t="str">
        <f>IF(LEN(AA121)&gt;1,GetTagPage(CE121,AA121),"")</f>
        <v/>
      </c>
      <c r="CI121" s="12" t="str">
        <f>IF(LEN(AB121)&gt;1,GetTagPage(CF121,AB121),"")</f>
        <v/>
      </c>
      <c r="CJ121" s="12" t="e">
        <f t="shared" si="152"/>
        <v>#VALUE!</v>
      </c>
      <c r="CK121" s="12" t="str">
        <f t="shared" si="153"/>
        <v xml:space="preserve">| [](/places/places\us_tx-dallas-old-ursuline) </v>
      </c>
      <c r="CL121" s="13" t="str">
        <f>"| "&amp;IF(AS121,GetTagPage(C121,VLOOKUP(C121,'Country Tags'!C:E,3,)),C121)&amp; " "</f>
        <v xml:space="preserve">| [US Texas](/tags/us
- us-tx) </v>
      </c>
      <c r="CM121" s="12" t="str">
        <f t="shared" si="154"/>
        <v xml:space="preserve">|  </v>
      </c>
      <c r="CN121" s="12" t="str">
        <f t="shared" si="155"/>
        <v xml:space="preserve">| [Link](/places/places\us_tx-dallas-old-ursuline) </v>
      </c>
      <c r="CO121" s="12" t="e">
        <f t="shared" si="156"/>
        <v>#VALUE!</v>
      </c>
    </row>
    <row r="122" spans="1:93" ht="102" x14ac:dyDescent="0.25">
      <c r="A122" s="129" t="s">
        <v>786</v>
      </c>
      <c r="B122" s="7" t="s">
        <v>1654</v>
      </c>
      <c r="C122" s="7" t="s">
        <v>1113</v>
      </c>
      <c r="D122" s="7" t="s">
        <v>1213</v>
      </c>
      <c r="E122" s="1">
        <v>32.794211099999998</v>
      </c>
      <c r="F122" s="30">
        <v>-96.788927799999996</v>
      </c>
      <c r="G122" s="55" t="s">
        <v>1252</v>
      </c>
      <c r="H122" s="61" t="s">
        <v>1629</v>
      </c>
      <c r="I122" s="7" t="s">
        <v>1002</v>
      </c>
      <c r="M122" s="55" t="s">
        <v>1253</v>
      </c>
      <c r="Q122" s="65" t="s">
        <v>1254</v>
      </c>
      <c r="R122" s="1" t="s">
        <v>1255</v>
      </c>
      <c r="S122" s="63" t="s">
        <v>53</v>
      </c>
      <c r="T122" s="65" t="s">
        <v>1257</v>
      </c>
      <c r="U122" s="1" t="s">
        <v>1256</v>
      </c>
      <c r="V122" s="63" t="s">
        <v>53</v>
      </c>
      <c r="W122" s="62" t="s">
        <v>1258</v>
      </c>
      <c r="X122" s="64" t="s">
        <v>1259</v>
      </c>
      <c r="Y122" s="70" t="s">
        <v>53</v>
      </c>
      <c r="Z122" s="1" t="s">
        <v>1279</v>
      </c>
      <c r="AS122" s="116" t="b">
        <f t="shared" si="128"/>
        <v>1</v>
      </c>
      <c r="AT122" s="117" t="str">
        <f t="shared" si="129"/>
        <v>title: "Old St. Paul Sanitarium, Dallas, TX"</v>
      </c>
      <c r="AU122" s="117" t="str">
        <f t="shared" si="130"/>
        <v>location: {lat: 32.7942111, lng: -96.7889278}</v>
      </c>
      <c r="AV122" s="117" t="str">
        <f t="shared" si="131"/>
        <v>interest: local</v>
      </c>
      <c r="AW122" s="117" t="str">
        <f>"- "&amp;VLOOKUP(C122,'Country Tags'!C:E,3,)</f>
        <v>- us
- us-tx</v>
      </c>
      <c r="AX122" s="117" t="str">
        <f t="shared" si="132"/>
        <v>- dallas</v>
      </c>
      <c r="AY122" s="117" t="str">
        <f t="shared" si="133"/>
        <v/>
      </c>
      <c r="AZ122" s="117" t="str">
        <f t="shared" si="134"/>
        <v/>
      </c>
      <c r="BA122" s="117" t="str">
        <f t="shared" si="135"/>
        <v/>
      </c>
      <c r="BB122" s="117" t="str">
        <f t="shared" si="136"/>
        <v>- closed</v>
      </c>
      <c r="BC122" s="117" t="str">
        <f t="shared" si="137"/>
        <v/>
      </c>
      <c r="BD122" s="117" t="str">
        <f t="shared" si="138"/>
        <v/>
      </c>
      <c r="BE122" s="117" t="str">
        <f t="shared" si="139"/>
        <v/>
      </c>
      <c r="BF122" s="117" t="str">
        <f t="shared" si="140"/>
        <v/>
      </c>
      <c r="BG122" s="117" t="str">
        <f t="shared" si="141"/>
        <v/>
      </c>
      <c r="BH122" s="117" t="str">
        <f t="shared" si="142"/>
        <v/>
      </c>
      <c r="BI122" s="117" t="str">
        <f t="shared" si="143"/>
        <v/>
      </c>
      <c r="BJ122" s="117" t="str">
        <f t="shared" si="144"/>
        <v/>
      </c>
      <c r="BK122" s="117" t="str">
        <f t="shared" si="145"/>
        <v/>
      </c>
      <c r="BL122" s="117" t="str">
        <f t="shared" si="146"/>
        <v xml:space="preserve">tags:
- us
- us-tx_x000D_
- dallas_x000D_
- closed_x000D_
</v>
      </c>
      <c r="BM122" s="120" t="str">
        <f t="shared" si="124"/>
        <v/>
      </c>
      <c r="BN122" s="120" t="str">
        <f t="shared" si="125"/>
        <v>[History of St. Paul Sanitarium](https://cityofdallaspreservation.wordpress.com/2020/04/01/st-pauls-sanitarium-in-dallas-tx/)</v>
      </c>
      <c r="BO122" s="120" t="str">
        <f t="shared" si="126"/>
        <v>[UT Southwestern pamphlet on St. Paul's history](https://www.utsouthwestern.edu/edumedia/edufiles/about_us/Giving/st-paul-mag-2015.pdf)</v>
      </c>
      <c r="BP122" s="120" t="str">
        <f t="shared" si="127"/>
        <v>[Sanitarium in the 1921 Sanborn map](https://maps.lib.utexas.edu/maps/sanborn/d-f/txu-sanborn-dallas-1921-38.jpg)</v>
      </c>
      <c r="BQ122" s="117" t="str">
        <f t="shared" si="147"/>
        <v xml:space="preserve">* [History of St. Paul Sanitarium](https://cityofdallaspreservation.wordpress.com/2020/04/01/st-pauls-sanitarium-in-dallas-tx/)
* [UT Southwestern pamphlet on St. Paul's history](https://www.utsouthwestern.edu/edumedia/edufiles/about_us/Giving/st-paul-mag-2015.pdf)
* [Sanitarium in the 1921 Sanborn map](https://maps.lib.utexas.edu/maps/sanborn/d-f/txu-sanborn-dallas-1921-38.jpg)
</v>
      </c>
      <c r="BR122" s="117" t="str">
        <f t="shared" si="148"/>
        <v/>
      </c>
      <c r="BS122" s="117" t="str">
        <f t="shared" si="149"/>
        <v/>
      </c>
      <c r="BT122" s="117" t="str">
        <f t="shared" si="150"/>
        <v/>
      </c>
      <c r="BU122" s="117" t="str">
        <f>IF(LEN(concat(BR122:BT122))&gt;0,concat("| ",BR122," | ",BS122," | ",BT122," |"),"")</f>
        <v/>
      </c>
      <c r="BV122" s="117" t="str">
        <f t="shared" si="151"/>
        <v/>
      </c>
      <c r="BW122" s="117" t="str">
        <f>IF(LEN(BQ122&amp;BV122)&gt;0,concatll("#### More Information",BQ122,BV122),"")</f>
        <v xml:space="preserve">#### More Information_x000D_
_x000D_
* [History of St. Paul Sanitarium](https://cityofdallaspreservation.wordpress.com/2020/04/01/st-pauls-sanitarium-in-dallas-tx/)
* [UT Southwestern pamphlet on St. Paul's history](https://www.utsouthwestern.edu/edumedia/edufiles/about_us/Giving/st-paul-mag-2015.pdf)
* [Sanitarium in the 1921 Sanborn map](https://maps.lib.utexas.edu/maps/sanborn/d-f/txu-sanborn-dallas-1921-38.jpg)
_x000D_
_x000D_
</v>
      </c>
      <c r="BX122" s="117" t="str">
        <f>IF(LEN(N122)&gt;1,concatll("#### Author's Note",N122,"-"&amp;B122),"")</f>
        <v/>
      </c>
      <c r="BY122" s="117" t="s">
        <v>53</v>
      </c>
      <c r="BZ122" s="117" t="s">
        <v>53</v>
      </c>
      <c r="CA122" s="6" t="str">
        <f>IF(AS122,concatll(concatl("---",AT122:AV122,BL122,"---"),M122,BW122:BX122),"")</f>
        <v xml:space="preserve">---_x000D_
title: "Old St. Paul Sanitarium, Dallas, TX"_x000D_
location: {lat: 32.7942111, lng: -96.7889278}_x000D_
interest: local_x000D_
tags:
- us
- us-tx_x000D_
- dallas_x000D_
- closed_x000D_
_x000D_
---_x000D_
_x000D_
_x000D_
Original site of St. Paul Sanitarium.  The hospital moved to its present location on Harry Hines Blvd in the 1960's, and the original building was razed.  The Daughters of Charity continued administration of the hospital until it was sold around the year 2000.  Today it is part of UT Southwestern.
![St. Paul Sanitarium](https://cityofdallaspreservation.files.wordpress.com/2020/04/st.-pauls-aerial.jpg)_x000D_
_x000D_
#### More Information_x000D_
_x000D_
* [History of St. Paul Sanitarium](https://cityofdallaspreservation.wordpress.com/2020/04/01/st-pauls-sanitarium-in-dallas-tx/)
* [UT Southwestern pamphlet on St. Paul's history](https://www.utsouthwestern.edu/edumedia/edufiles/about_us/Giving/st-paul-mag-2015.pdf)
* [Sanitarium in the 1921 Sanborn map](https://maps.lib.utexas.edu/maps/sanborn/d-f/txu-sanborn-dallas-1921-38.jpg)
_x000D_
_x000D_
_x000D_
_x000D_
</v>
      </c>
      <c r="CB122" s="6" t="str">
        <f>IF(AS122,"places\"&amp;VLOOKUP(C122,'Country Tags'!C:D,2,)&amp;IF(LEN(D122)&gt;1,"-"&amp;LOWER(SUBSTITUTE(D122," ","-")),"")&amp;"-"&amp;LOWER(SUBSTITUTE(SUBSTITUTE(H122," ","-"),".",""))&amp;".md","")</f>
        <v>places\us_tx-dallas-old-st-paul.md</v>
      </c>
      <c r="CC122" s="6"/>
      <c r="CD122" s="12" t="e">
        <f>IF(LEN(Z122)&gt;1,VLOOKUP(Z122,#REF!,2,),"")</f>
        <v>#REF!</v>
      </c>
      <c r="CE122" s="12" t="str">
        <f>IF(LEN(AA122)&gt;1,VLOOKUP(AA122,#REF!,2,),"")</f>
        <v/>
      </c>
      <c r="CF122" s="12" t="str">
        <f>IF(LEN(AB122)&gt;1,VLOOKUP(AB122,#REF!,2,),"")</f>
        <v/>
      </c>
      <c r="CG122" s="12" t="e">
        <f>IF(LEN(Z122)&gt;1,GetTagPage(CD122,Z122),"")</f>
        <v>#VALUE!</v>
      </c>
      <c r="CH122" s="12" t="str">
        <f>IF(LEN(AA122)&gt;1,GetTagPage(CE122,AA122),"")</f>
        <v/>
      </c>
      <c r="CI122" s="12" t="str">
        <f>IF(LEN(AB122)&gt;1,GetTagPage(CF122,AB122),"")</f>
        <v/>
      </c>
      <c r="CJ122" s="12" t="e">
        <f t="shared" si="152"/>
        <v>#VALUE!</v>
      </c>
      <c r="CK122" s="12" t="str">
        <f t="shared" si="153"/>
        <v xml:space="preserve">| [](/places/places\us_tx-dallas-old-st-paul) </v>
      </c>
      <c r="CL122" s="13" t="str">
        <f>"| "&amp;IF(AS122,GetTagPage(C122,VLOOKUP(C122,'Country Tags'!C:E,3,)),C122)&amp; " "</f>
        <v xml:space="preserve">| [US Texas](/tags/us
- us-tx) </v>
      </c>
      <c r="CM122" s="12" t="str">
        <f t="shared" si="154"/>
        <v xml:space="preserve">|  </v>
      </c>
      <c r="CN122" s="12" t="str">
        <f t="shared" si="155"/>
        <v xml:space="preserve">| [Link](/places/places\us_tx-dallas-old-st-paul) </v>
      </c>
      <c r="CO122" s="12" t="e">
        <f t="shared" si="156"/>
        <v>#VALUE!</v>
      </c>
    </row>
    <row r="123" spans="1:93" ht="178.5" x14ac:dyDescent="0.25">
      <c r="A123" s="129" t="s">
        <v>786</v>
      </c>
      <c r="B123" s="7" t="s">
        <v>1654</v>
      </c>
      <c r="C123" s="7" t="s">
        <v>1113</v>
      </c>
      <c r="D123" s="7" t="s">
        <v>1213</v>
      </c>
      <c r="E123" s="1">
        <v>32.814343000000001</v>
      </c>
      <c r="F123" s="30">
        <v>-96.801815099999999</v>
      </c>
      <c r="G123" s="55" t="s">
        <v>1260</v>
      </c>
      <c r="H123" s="61" t="s">
        <v>1261</v>
      </c>
      <c r="I123" s="7" t="s">
        <v>1002</v>
      </c>
      <c r="M123" s="55" t="s">
        <v>1262</v>
      </c>
      <c r="Q123" s="40" t="s">
        <v>1263</v>
      </c>
      <c r="R123" s="1" t="s">
        <v>1264</v>
      </c>
      <c r="S123" s="63" t="s">
        <v>53</v>
      </c>
      <c r="Z123" s="1" t="s">
        <v>1279</v>
      </c>
      <c r="AS123" s="116" t="b">
        <f t="shared" si="128"/>
        <v>1</v>
      </c>
      <c r="AT123" s="117" t="str">
        <f t="shared" si="129"/>
        <v>title: "Old Trinity College / Dallas University / Jesuit Dallas"</v>
      </c>
      <c r="AU123" s="117" t="str">
        <f t="shared" si="130"/>
        <v>location: {lat: 32.814343, lng: -96.8018151}</v>
      </c>
      <c r="AV123" s="117" t="str">
        <f t="shared" si="131"/>
        <v>interest: local</v>
      </c>
      <c r="AW123" s="117" t="str">
        <f>"- "&amp;VLOOKUP(C123,'Country Tags'!C:E,3,)</f>
        <v>- us
- us-tx</v>
      </c>
      <c r="AX123" s="117" t="str">
        <f t="shared" si="132"/>
        <v>- dallas</v>
      </c>
      <c r="AY123" s="117" t="str">
        <f t="shared" si="133"/>
        <v/>
      </c>
      <c r="AZ123" s="117" t="str">
        <f t="shared" si="134"/>
        <v/>
      </c>
      <c r="BA123" s="117" t="str">
        <f t="shared" si="135"/>
        <v/>
      </c>
      <c r="BB123" s="117" t="str">
        <f t="shared" si="136"/>
        <v>- closed</v>
      </c>
      <c r="BC123" s="117" t="str">
        <f t="shared" si="137"/>
        <v/>
      </c>
      <c r="BD123" s="117" t="str">
        <f t="shared" si="138"/>
        <v/>
      </c>
      <c r="BE123" s="117" t="str">
        <f t="shared" si="139"/>
        <v/>
      </c>
      <c r="BF123" s="117" t="str">
        <f t="shared" si="140"/>
        <v/>
      </c>
      <c r="BG123" s="117" t="str">
        <f t="shared" si="141"/>
        <v/>
      </c>
      <c r="BH123" s="117" t="str">
        <f t="shared" si="142"/>
        <v/>
      </c>
      <c r="BI123" s="117" t="str">
        <f t="shared" si="143"/>
        <v/>
      </c>
      <c r="BJ123" s="117" t="str">
        <f t="shared" si="144"/>
        <v/>
      </c>
      <c r="BK123" s="117" t="str">
        <f t="shared" si="145"/>
        <v/>
      </c>
      <c r="BL123" s="117" t="str">
        <f t="shared" si="146"/>
        <v xml:space="preserve">tags:
- us
- us-tx_x000D_
- dallas_x000D_
- closed_x000D_
</v>
      </c>
      <c r="BM123" s="120" t="str">
        <f t="shared" si="124"/>
        <v/>
      </c>
      <c r="BN123" s="120" t="str">
        <f t="shared" si="125"/>
        <v>[School in the 1922 Sanborn map](https://maps.lib.utexas.edu/maps/sanborn/d-f/txu-sanborn-dallas-1921-287.jpg)</v>
      </c>
      <c r="BO123" s="120" t="str">
        <f t="shared" si="126"/>
        <v/>
      </c>
      <c r="BP123" s="120" t="str">
        <f t="shared" si="127"/>
        <v/>
      </c>
      <c r="BQ123" s="117" t="str">
        <f t="shared" si="147"/>
        <v xml:space="preserve">* [School in the 1922 Sanborn map](https://maps.lib.utexas.edu/maps/sanborn/d-f/txu-sanborn-dallas-1921-287.jpg)
</v>
      </c>
      <c r="BR123" s="117" t="str">
        <f t="shared" si="148"/>
        <v/>
      </c>
      <c r="BS123" s="117" t="str">
        <f t="shared" si="149"/>
        <v/>
      </c>
      <c r="BT123" s="117" t="str">
        <f t="shared" si="150"/>
        <v/>
      </c>
      <c r="BU123" s="117" t="str">
        <f>IF(LEN(concat(BR123:BT123))&gt;0,concat("| ",BR123," | ",BS123," | ",BT123," |"),"")</f>
        <v/>
      </c>
      <c r="BV123" s="117" t="str">
        <f t="shared" si="151"/>
        <v/>
      </c>
      <c r="BW123" s="117" t="str">
        <f>IF(LEN(BQ123&amp;BV123)&gt;0,concatll("#### More Information",BQ123,BV123),"")</f>
        <v xml:space="preserve">#### More Information_x000D_
_x000D_
* [School in the 1922 Sanborn map](https://maps.lib.utexas.edu/maps/sanborn/d-f/txu-sanborn-dallas-1921-287.jpg)
_x000D_
_x000D_
</v>
      </c>
      <c r="BX123" s="117" t="str">
        <f>IF(LEN(N123)&gt;1,concatll("#### Author's Note",N123,"-"&amp;B123),"")</f>
        <v/>
      </c>
      <c r="BY123" s="117" t="s">
        <v>53</v>
      </c>
      <c r="BZ123" s="117" t="s">
        <v>53</v>
      </c>
      <c r="CA123" s="6" t="str">
        <f>IF(AS123,concatll(concatl("---",AT123:AV123,BL123,"---"),M123,BW123:BX123),"")</f>
        <v xml:space="preserve">---_x000D_
title: "Old Trinity College / Dallas University / Jesuit Dallas"_x000D_
location: {lat: 32.814343, lng: -96.8018151}_x000D_
interest: local_x000D_
tags:
- us
- us-tx_x000D_
- dallas_x000D_
- closed_x000D_
_x000D_
---_x000D_
_x000D_
_x000D_
Original site of Holy Trinity College, the Vincentian college.  The school was later renamed to Dallas University/University of Dallas.  The school closed in 1929 and its charter was reused for the current University of Dlalas.
The building later housed Jesuit Prepatory School until it moved next to St. Rita and this building was sadly razed.
![Holy Trinity College](http://www.thepastwhispers.com/sitebuilder/images/DALLAS_HolyTrinityCollege_1907.jpg)
![Dallas University](https://flashbackdallas.files.wordpress.com/2016/05/jesuit_legacies_fall-2005.jpg)_x000D_
_x000D_
#### More Information_x000D_
_x000D_
* [School in the 1922 Sanborn map](https://maps.lib.utexas.edu/maps/sanborn/d-f/txu-sanborn-dallas-1921-287.jpg)
_x000D_
_x000D_
_x000D_
_x000D_
</v>
      </c>
      <c r="CB123" s="6" t="str">
        <f>IF(AS123,"places\"&amp;VLOOKUP(C123,'Country Tags'!C:D,2,)&amp;IF(LEN(D123)&gt;1,"-"&amp;LOWER(SUBSTITUTE(D123," ","-")),"")&amp;"-"&amp;LOWER(SUBSTITUTE(SUBSTITUTE(H123," ","-"),".",""))&amp;".md","")</f>
        <v>places\us_tx-dallas-old-trinity-college.md</v>
      </c>
      <c r="CC123" s="6"/>
      <c r="CD123" s="12" t="e">
        <f>IF(LEN(Z123)&gt;1,VLOOKUP(Z123,#REF!,2,),"")</f>
        <v>#REF!</v>
      </c>
      <c r="CE123" s="12" t="str">
        <f>IF(LEN(AA123)&gt;1,VLOOKUP(AA123,#REF!,2,),"")</f>
        <v/>
      </c>
      <c r="CF123" s="12" t="str">
        <f>IF(LEN(AB123)&gt;1,VLOOKUP(AB123,#REF!,2,),"")</f>
        <v/>
      </c>
      <c r="CG123" s="12" t="e">
        <f>IF(LEN(Z123)&gt;1,GetTagPage(CD123,Z123),"")</f>
        <v>#VALUE!</v>
      </c>
      <c r="CH123" s="12" t="str">
        <f>IF(LEN(AA123)&gt;1,GetTagPage(CE123,AA123),"")</f>
        <v/>
      </c>
      <c r="CI123" s="12" t="str">
        <f>IF(LEN(AB123)&gt;1,GetTagPage(CF123,AB123),"")</f>
        <v/>
      </c>
      <c r="CJ123" s="12" t="e">
        <f t="shared" si="152"/>
        <v>#VALUE!</v>
      </c>
      <c r="CK123" s="12" t="str">
        <f t="shared" si="153"/>
        <v xml:space="preserve">| [](/places/places\us_tx-dallas-old-trinity-college) </v>
      </c>
      <c r="CL123" s="13" t="str">
        <f>"| "&amp;IF(AS123,GetTagPage(C123,VLOOKUP(C123,'Country Tags'!C:E,3,)),C123)&amp; " "</f>
        <v xml:space="preserve">| [US Texas](/tags/us
- us-tx) </v>
      </c>
      <c r="CM123" s="12" t="str">
        <f t="shared" si="154"/>
        <v xml:space="preserve">|  </v>
      </c>
      <c r="CN123" s="12" t="str">
        <f t="shared" si="155"/>
        <v xml:space="preserve">| [Link](/places/places\us_tx-dallas-old-trinity-college) </v>
      </c>
      <c r="CO123" s="12" t="e">
        <f t="shared" si="156"/>
        <v>#VALUE!</v>
      </c>
    </row>
    <row r="124" spans="1:93" ht="127.5" x14ac:dyDescent="0.25">
      <c r="A124" s="129" t="s">
        <v>786</v>
      </c>
      <c r="B124" s="7" t="s">
        <v>1654</v>
      </c>
      <c r="C124" s="7" t="s">
        <v>1113</v>
      </c>
      <c r="D124" s="7" t="s">
        <v>1213</v>
      </c>
      <c r="E124" s="1">
        <v>32.787603699999998</v>
      </c>
      <c r="F124" s="30">
        <v>-96.787011800000002</v>
      </c>
      <c r="G124" s="55" t="s">
        <v>1269</v>
      </c>
      <c r="H124" s="61" t="s">
        <v>1630</v>
      </c>
      <c r="I124" s="7" t="s">
        <v>1002</v>
      </c>
      <c r="M124" s="55" t="s">
        <v>1270</v>
      </c>
      <c r="Q124" s="40" t="s">
        <v>1271</v>
      </c>
      <c r="R124" s="1" t="s">
        <v>1272</v>
      </c>
      <c r="S124" s="63" t="s">
        <v>53</v>
      </c>
      <c r="T124" s="40" t="s">
        <v>1273</v>
      </c>
      <c r="U124" s="1" t="s">
        <v>1274</v>
      </c>
      <c r="V124" s="63" t="s">
        <v>53</v>
      </c>
      <c r="Z124" s="62" t="s">
        <v>1279</v>
      </c>
      <c r="AS124" s="116" t="b">
        <f t="shared" si="128"/>
        <v>1</v>
      </c>
      <c r="AT124" s="117" t="str">
        <f t="shared" si="129"/>
        <v>title: "Old St. Joseph Catholic Church, Dallas, TX"</v>
      </c>
      <c r="AU124" s="117" t="str">
        <f t="shared" si="130"/>
        <v>location: {lat: 32.7876037, lng: -96.7870118}</v>
      </c>
      <c r="AV124" s="117" t="str">
        <f t="shared" si="131"/>
        <v>interest: local</v>
      </c>
      <c r="AW124" s="117" t="str">
        <f>"- "&amp;VLOOKUP(C124,'Country Tags'!C:E,3,)</f>
        <v>- us
- us-tx</v>
      </c>
      <c r="AX124" s="117" t="str">
        <f t="shared" si="132"/>
        <v>- dallas</v>
      </c>
      <c r="AY124" s="117" t="str">
        <f t="shared" si="133"/>
        <v/>
      </c>
      <c r="AZ124" s="117" t="str">
        <f t="shared" si="134"/>
        <v/>
      </c>
      <c r="BA124" s="117" t="str">
        <f t="shared" si="135"/>
        <v/>
      </c>
      <c r="BB124" s="117" t="str">
        <f t="shared" si="136"/>
        <v>- closed</v>
      </c>
      <c r="BC124" s="117" t="str">
        <f t="shared" si="137"/>
        <v/>
      </c>
      <c r="BD124" s="117" t="str">
        <f t="shared" si="138"/>
        <v/>
      </c>
      <c r="BE124" s="117" t="str">
        <f t="shared" si="139"/>
        <v/>
      </c>
      <c r="BF124" s="117" t="str">
        <f t="shared" si="140"/>
        <v/>
      </c>
      <c r="BG124" s="117" t="str">
        <f t="shared" si="141"/>
        <v/>
      </c>
      <c r="BH124" s="117" t="str">
        <f t="shared" si="142"/>
        <v/>
      </c>
      <c r="BI124" s="117" t="str">
        <f t="shared" si="143"/>
        <v/>
      </c>
      <c r="BJ124" s="117" t="str">
        <f t="shared" si="144"/>
        <v/>
      </c>
      <c r="BK124" s="117" t="str">
        <f t="shared" si="145"/>
        <v/>
      </c>
      <c r="BL124" s="117" t="str">
        <f t="shared" si="146"/>
        <v xml:space="preserve">tags:
- us
- us-tx_x000D_
- dallas_x000D_
- closed_x000D_
</v>
      </c>
      <c r="BM124" s="120" t="str">
        <f t="shared" si="124"/>
        <v/>
      </c>
      <c r="BN124" s="120" t="str">
        <f t="shared" si="125"/>
        <v>[Historical site nomination form](https://dallascityhall.com/departments/sustainabledevelopment/historicpreservation/HP%20Documents/Landmark%20Structures/St%20Josephs%20Catholic%20Church%20Landmark%20Nomination.pdf)</v>
      </c>
      <c r="BO124" s="120" t="str">
        <f t="shared" si="126"/>
        <v>[Historical site page](https://dallascityhall.com/departments/sustainabledevelopment/historicpreservation/Pages/St-Josephs-Catholic-Church-.aspx)</v>
      </c>
      <c r="BP124" s="120" t="str">
        <f t="shared" si="127"/>
        <v/>
      </c>
      <c r="BQ124" s="117" t="str">
        <f t="shared" si="147"/>
        <v xml:space="preserve">* [Historical site nomination form](https://dallascityhall.com/departments/sustainabledevelopment/historicpreservation/HP%20Documents/Landmark%20Structures/St%20Josephs%20Catholic%20Church%20Landmark%20Nomination.pdf)
* [Historical site page](https://dallascityhall.com/departments/sustainabledevelopment/historicpreservation/Pages/St-Josephs-Catholic-Church-.aspx)
</v>
      </c>
      <c r="BR124" s="117" t="str">
        <f t="shared" si="148"/>
        <v/>
      </c>
      <c r="BS124" s="117" t="str">
        <f t="shared" si="149"/>
        <v/>
      </c>
      <c r="BT124" s="117" t="str">
        <f t="shared" si="150"/>
        <v/>
      </c>
      <c r="BU124" s="117" t="str">
        <f>IF(LEN(concat(BR124:BT124))&gt;0,concat("| ",BR124," | ",BS124," | ",BT124," |"),"")</f>
        <v/>
      </c>
      <c r="BV124" s="117" t="str">
        <f t="shared" si="151"/>
        <v/>
      </c>
      <c r="BW124" s="117" t="str">
        <f>IF(LEN(BQ124&amp;BV124)&gt;0,concatll("#### More Information",BQ124,BV124),"")</f>
        <v xml:space="preserve">#### More Information_x000D_
_x000D_
* [Historical site nomination form](https://dallascityhall.com/departments/sustainabledevelopment/historicpreservation/HP%20Documents/Landmark%20Structures/St%20Josephs%20Catholic%20Church%20Landmark%20Nomination.pdf)
* [Historical site page](https://dallascityhall.com/departments/sustainabledevelopment/historicpreservation/Pages/St-Josephs-Catholic-Church-.aspx)
_x000D_
_x000D_
</v>
      </c>
      <c r="BX124" s="117" t="str">
        <f>IF(LEN(N124)&gt;1,concatll("#### Author's Note",N124,"-"&amp;B124),"")</f>
        <v/>
      </c>
      <c r="BY124" s="117" t="s">
        <v>53</v>
      </c>
      <c r="BZ124" s="117" t="s">
        <v>53</v>
      </c>
      <c r="CA124" s="6" t="str">
        <f>IF(AS124,concatll(concatl("---",AT124:AV124,BL124,"---"),M124,BW124:BX124),"")</f>
        <v xml:space="preserve">---_x000D_
title: "Old St. Joseph Catholic Church, Dallas, TX"_x000D_
location: {lat: 32.7876037, lng: -96.7870118}_x000D_
interest: local_x000D_
tags:
- us
- us-tx_x000D_
- dallas_x000D_
- closed_x000D_
_x000D_
---_x000D_
_x000D_
_x000D_
The school was founded in 1905 and the present church, the 5th church in Dallas and the 3rd oldest extant one, was built in 1910.  The original 1905 temporary church, later used as a parish hall, stood on the corner of Texas and Floyd and was extant in 2009, though it now appears to be gone.  The church was built by the Oblate fathers for the German population.
From 1977 to 2007, the buildings were used for St. Andrew Kim Korean parish, until that congregation moved to Farmers Branch.
This church is currently not in the possession of the Diocese of Dallas._x000D_
_x000D_
#### More Information_x000D_
_x000D_
* [Historical site nomination form](https://dallascityhall.com/departments/sustainabledevelopment/historicpreservation/HP%20Documents/Landmark%20Structures/St%20Josephs%20Catholic%20Church%20Landmark%20Nomination.pdf)
* [Historical site page](https://dallascityhall.com/departments/sustainabledevelopment/historicpreservation/Pages/St-Josephs-Catholic-Church-.aspx)
_x000D_
_x000D_
_x000D_
_x000D_
</v>
      </c>
      <c r="CB124" s="6" t="str">
        <f>IF(AS124,"places\"&amp;VLOOKUP(C124,'Country Tags'!C:D,2,)&amp;IF(LEN(D124)&gt;1,"-"&amp;LOWER(SUBSTITUTE(D124," ","-")),"")&amp;"-"&amp;LOWER(SUBSTITUTE(SUBSTITUTE(H124," ","-"),".",""))&amp;".md","")</f>
        <v>places\us_tx-dallas-old-st-joseph.md</v>
      </c>
      <c r="CC124" s="6"/>
      <c r="CD124" s="12" t="e">
        <f>IF(LEN(Z124)&gt;1,VLOOKUP(Z124,#REF!,2,),"")</f>
        <v>#REF!</v>
      </c>
      <c r="CE124" s="12" t="str">
        <f>IF(LEN(AA124)&gt;1,VLOOKUP(AA124,#REF!,2,),"")</f>
        <v/>
      </c>
      <c r="CF124" s="12" t="str">
        <f>IF(LEN(AB124)&gt;1,VLOOKUP(AB124,#REF!,2,),"")</f>
        <v/>
      </c>
      <c r="CG124" s="12" t="e">
        <f>IF(LEN(Z124)&gt;1,GetTagPage(CD124,Z124),"")</f>
        <v>#VALUE!</v>
      </c>
      <c r="CH124" s="12" t="str">
        <f>IF(LEN(AA124)&gt;1,GetTagPage(CE124,AA124),"")</f>
        <v/>
      </c>
      <c r="CI124" s="12" t="str">
        <f>IF(LEN(AB124)&gt;1,GetTagPage(CF124,AB124),"")</f>
        <v/>
      </c>
      <c r="CJ124" s="12" t="e">
        <f t="shared" si="152"/>
        <v>#VALUE!</v>
      </c>
      <c r="CK124" s="12" t="str">
        <f t="shared" si="153"/>
        <v xml:space="preserve">| [](/places/places\us_tx-dallas-old-st-joseph) </v>
      </c>
      <c r="CL124" s="13" t="str">
        <f>"| "&amp;IF(AS124,GetTagPage(C124,VLOOKUP(C124,'Country Tags'!C:E,3,)),C124)&amp; " "</f>
        <v xml:space="preserve">| [US Texas](/tags/us
- us-tx) </v>
      </c>
      <c r="CM124" s="12" t="str">
        <f t="shared" si="154"/>
        <v xml:space="preserve">|  </v>
      </c>
      <c r="CN124" s="12" t="str">
        <f t="shared" si="155"/>
        <v xml:space="preserve">| [Link](/places/places\us_tx-dallas-old-st-joseph) </v>
      </c>
      <c r="CO124" s="12" t="e">
        <f t="shared" si="156"/>
        <v>#VALUE!</v>
      </c>
    </row>
    <row r="125" spans="1:93" ht="89.25" x14ac:dyDescent="0.25">
      <c r="A125" s="129" t="s">
        <v>786</v>
      </c>
      <c r="B125" s="7" t="s">
        <v>1654</v>
      </c>
      <c r="C125" s="7" t="s">
        <v>1113</v>
      </c>
      <c r="D125" s="7" t="s">
        <v>1213</v>
      </c>
      <c r="E125" s="1">
        <v>32.788721000000002</v>
      </c>
      <c r="F125" s="30">
        <v>-96.772652600000001</v>
      </c>
      <c r="G125" s="7" t="s">
        <v>1265</v>
      </c>
      <c r="H125" s="61" t="s">
        <v>1631</v>
      </c>
      <c r="I125" s="7" t="s">
        <v>1002</v>
      </c>
      <c r="J125" s="7" t="b">
        <v>1</v>
      </c>
      <c r="M125" s="55" t="s">
        <v>1266</v>
      </c>
      <c r="O125" s="62" t="s">
        <v>1268</v>
      </c>
      <c r="P125" s="64" t="s">
        <v>53</v>
      </c>
      <c r="Q125" s="65" t="s">
        <v>1226</v>
      </c>
      <c r="R125" s="1" t="s">
        <v>1267</v>
      </c>
      <c r="S125" s="63" t="s">
        <v>53</v>
      </c>
      <c r="Z125" s="62"/>
      <c r="AS125" s="116" t="b">
        <f t="shared" si="128"/>
        <v>1</v>
      </c>
      <c r="AT125" s="117" t="str">
        <f t="shared" si="129"/>
        <v>title: "St. Edward the Confessor Catholic Church, Dallas, TX"</v>
      </c>
      <c r="AU125" s="117" t="str">
        <f t="shared" si="130"/>
        <v>location: {lat: 32.788721, lng: -96.7726526}</v>
      </c>
      <c r="AV125" s="117" t="str">
        <f t="shared" si="131"/>
        <v>interest: local</v>
      </c>
      <c r="AW125" s="117" t="str">
        <f>"- "&amp;VLOOKUP(C125,'Country Tags'!C:E,3,)</f>
        <v>- us
- us-tx</v>
      </c>
      <c r="AX125" s="117" t="str">
        <f t="shared" si="132"/>
        <v>- dallas</v>
      </c>
      <c r="AY125" s="117" t="str">
        <f t="shared" si="133"/>
        <v>- churches</v>
      </c>
      <c r="AZ125" s="117" t="str">
        <f t="shared" si="134"/>
        <v/>
      </c>
      <c r="BA125" s="117" t="str">
        <f t="shared" si="135"/>
        <v/>
      </c>
      <c r="BB125" s="117" t="str">
        <f t="shared" si="136"/>
        <v/>
      </c>
      <c r="BC125" s="117" t="str">
        <f t="shared" si="137"/>
        <v/>
      </c>
      <c r="BD125" s="117" t="str">
        <f t="shared" si="138"/>
        <v/>
      </c>
      <c r="BE125" s="117" t="str">
        <f t="shared" si="139"/>
        <v/>
      </c>
      <c r="BF125" s="117" t="str">
        <f t="shared" si="140"/>
        <v/>
      </c>
      <c r="BG125" s="117" t="str">
        <f t="shared" si="141"/>
        <v/>
      </c>
      <c r="BH125" s="117" t="str">
        <f t="shared" si="142"/>
        <v/>
      </c>
      <c r="BI125" s="117" t="str">
        <f t="shared" si="143"/>
        <v/>
      </c>
      <c r="BJ125" s="117" t="str">
        <f t="shared" si="144"/>
        <v/>
      </c>
      <c r="BK125" s="117" t="str">
        <f t="shared" si="145"/>
        <v/>
      </c>
      <c r="BL125" s="117" t="str">
        <f t="shared" si="146"/>
        <v xml:space="preserve">tags:
- us
- us-tx_x000D_
- dallas_x000D_
- churches_x000D_
</v>
      </c>
      <c r="BM125" s="120" t="str">
        <f t="shared" si="124"/>
        <v>[Official site](https://stedwardparish.org/)</v>
      </c>
      <c r="BN125" s="120" t="str">
        <f t="shared" si="125"/>
        <v>[Parish history](https://stedwardparish.org/history-)</v>
      </c>
      <c r="BO125" s="120" t="str">
        <f t="shared" si="126"/>
        <v/>
      </c>
      <c r="BP125" s="120" t="str">
        <f t="shared" si="127"/>
        <v/>
      </c>
      <c r="BQ125" s="117" t="str">
        <f t="shared" si="147"/>
        <v xml:space="preserve">* [Official site](https://stedwardparish.org/)
* [Parish history](https://stedwardparish.org/history-)
</v>
      </c>
      <c r="BR125" s="117" t="str">
        <f t="shared" si="148"/>
        <v/>
      </c>
      <c r="BS125" s="117" t="str">
        <f t="shared" si="149"/>
        <v/>
      </c>
      <c r="BT125" s="117" t="str">
        <f t="shared" si="150"/>
        <v/>
      </c>
      <c r="BU125" s="117" t="str">
        <f>IF(LEN(concat(BR125:BT125))&gt;0,concat("| ",BR125," | ",BS125," | ",BT125," |"),"")</f>
        <v/>
      </c>
      <c r="BV125" s="117" t="str">
        <f t="shared" si="151"/>
        <v/>
      </c>
      <c r="BW125" s="117" t="str">
        <f>IF(LEN(BQ125&amp;BV125)&gt;0,concatll("#### More Information",BQ125,BV125),"")</f>
        <v xml:space="preserve">#### More Information_x000D_
_x000D_
* [Official site](https://stedwardparish.org/)
* [Parish history](https://stedwardparish.org/history-)
_x000D_
_x000D_
</v>
      </c>
      <c r="BX125" s="117" t="str">
        <f>IF(LEN(N125)&gt;1,concatll("#### Author's Note",N125,"-"&amp;B125),"")</f>
        <v/>
      </c>
      <c r="BY125" s="117" t="s">
        <v>53</v>
      </c>
      <c r="BZ125" s="117" t="s">
        <v>53</v>
      </c>
      <c r="CA125" s="6" t="str">
        <f>IF(AS125,concatll(concatl("---",AT125:AV125,BL125,"---"),M125,BW125:BX125),"")</f>
        <v xml:space="preserve">---_x000D_
title: "St. Edward the Confessor Catholic Church, Dallas, TX"_x000D_
location: {lat: 32.788721, lng: -96.7726526}_x000D_
interest: local_x000D_
tags:
- us
- us-tx_x000D_
- dallas_x000D_
- churches_x000D_
_x000D_
---_x000D_
_x000D_
_x000D_
Founded by the Rt. Rev. Edward Joseph Dunne, bishop of Dallas, on Oct. 13, 1903, as the fourth parish in Dallas (Oak Cliff had just been annexed, so Blessed Sacrament was now in the Dallas city limits).  The name of the parish and the name of the bishop are not coincidence.
The founding pastor was the Rev. Joseph P. Lynch, who had been a priest for just 3 years.  Within a few years he would become bishop of Dallas._x000D_
_x000D_
#### More Information_x000D_
_x000D_
* [Official site](https://stedwardparish.org/)
* [Parish history](https://stedwardparish.org/history-)
_x000D_
_x000D_
_x000D_
_x000D_
</v>
      </c>
      <c r="CB125" s="6" t="str">
        <f>IF(AS125,"places\"&amp;VLOOKUP(C125,'Country Tags'!C:D,2,)&amp;IF(LEN(D125)&gt;1,"-"&amp;LOWER(SUBSTITUTE(D125," ","-")),"")&amp;"-"&amp;LOWER(SUBSTITUTE(SUBSTITUTE(H125," ","-"),".",""))&amp;".md","")</f>
        <v>places\us_tx-dallas-st-edward.md</v>
      </c>
      <c r="CC125" s="6"/>
      <c r="CD125" s="12" t="str">
        <f>IF(LEN(Z125)&gt;1,VLOOKUP(Z125,#REF!,2,),"")</f>
        <v/>
      </c>
      <c r="CE125" s="12" t="str">
        <f>IF(LEN(AA125)&gt;1,VLOOKUP(AA125,#REF!,2,),"")</f>
        <v/>
      </c>
      <c r="CF125" s="12" t="str">
        <f>IF(LEN(AB125)&gt;1,VLOOKUP(AB125,#REF!,2,),"")</f>
        <v/>
      </c>
      <c r="CG125" s="12" t="str">
        <f>IF(LEN(Z125)&gt;1,GetTagPage(CD125,Z125),"")</f>
        <v/>
      </c>
      <c r="CH125" s="12" t="str">
        <f>IF(LEN(AA125)&gt;1,GetTagPage(CE125,AA125),"")</f>
        <v/>
      </c>
      <c r="CI125" s="12" t="str">
        <f>IF(LEN(AB125)&gt;1,GetTagPage(CF125,AB125),"")</f>
        <v/>
      </c>
      <c r="CJ125" s="12" t="str">
        <f t="shared" si="152"/>
        <v xml:space="preserve">| </v>
      </c>
      <c r="CK125" s="12" t="str">
        <f t="shared" si="153"/>
        <v xml:space="preserve">| [](/places/places\us_tx-dallas-st-edward) </v>
      </c>
      <c r="CL125" s="13" t="str">
        <f>"| "&amp;IF(AS125,GetTagPage(C125,VLOOKUP(C125,'Country Tags'!C:E,3,)),C125)&amp; " "</f>
        <v xml:space="preserve">| [US Texas](/tags/us
- us-tx) </v>
      </c>
      <c r="CM125" s="12" t="str">
        <f t="shared" si="154"/>
        <v xml:space="preserve">|  </v>
      </c>
      <c r="CN125" s="12" t="str">
        <f t="shared" si="155"/>
        <v xml:space="preserve">| [Link](/places/places\us_tx-dallas-st-edward) </v>
      </c>
      <c r="CO125" s="12" t="str">
        <f t="shared" si="156"/>
        <v xml:space="preserve">
| [](/places/places\us_tx-dallas-st-edward) | [US Texas](/tags/us
- us-tx) |  | [Link](/places/places\us_tx-dallas-st-edward) [Official site](https://stedwardparish.org/)| |</v>
      </c>
    </row>
    <row r="126" spans="1:93" ht="25.5" x14ac:dyDescent="0.25">
      <c r="A126" s="129" t="s">
        <v>786</v>
      </c>
      <c r="B126" s="7" t="s">
        <v>1654</v>
      </c>
      <c r="C126" s="7" t="s">
        <v>1113</v>
      </c>
      <c r="D126" s="7" t="s">
        <v>1213</v>
      </c>
      <c r="E126" s="1">
        <v>32.795037200000003</v>
      </c>
      <c r="F126" s="30">
        <v>-96.795031699999996</v>
      </c>
      <c r="G126" s="55" t="s">
        <v>1275</v>
      </c>
      <c r="H126" s="61" t="s">
        <v>1608</v>
      </c>
      <c r="I126" s="7" t="s">
        <v>1002</v>
      </c>
      <c r="J126" s="7" t="b">
        <v>1</v>
      </c>
      <c r="M126" s="55" t="s">
        <v>1276</v>
      </c>
      <c r="O126" s="62" t="s">
        <v>1278</v>
      </c>
      <c r="P126" s="64" t="s">
        <v>53</v>
      </c>
      <c r="Q126" s="40" t="s">
        <v>1226</v>
      </c>
      <c r="R126" s="1" t="s">
        <v>1277</v>
      </c>
      <c r="S126" s="63" t="s">
        <v>53</v>
      </c>
      <c r="AS126" s="116" t="b">
        <f t="shared" si="128"/>
        <v>1</v>
      </c>
      <c r="AT126" s="117" t="str">
        <f t="shared" si="129"/>
        <v>title: "St. Peter Catholic Church, Dallas, TX"</v>
      </c>
      <c r="AU126" s="117" t="str">
        <f t="shared" si="130"/>
        <v>location: {lat: 32.7950372, lng: -96.7950317}</v>
      </c>
      <c r="AV126" s="117" t="str">
        <f t="shared" si="131"/>
        <v>interest: local</v>
      </c>
      <c r="AW126" s="117" t="str">
        <f>"- "&amp;VLOOKUP(C126,'Country Tags'!C:E,3,)</f>
        <v>- us
- us-tx</v>
      </c>
      <c r="AX126" s="117" t="str">
        <f t="shared" si="132"/>
        <v>- dallas</v>
      </c>
      <c r="AY126" s="117" t="str">
        <f t="shared" si="133"/>
        <v>- churches</v>
      </c>
      <c r="AZ126" s="117" t="str">
        <f t="shared" si="134"/>
        <v/>
      </c>
      <c r="BA126" s="117" t="str">
        <f t="shared" si="135"/>
        <v/>
      </c>
      <c r="BB126" s="117" t="str">
        <f t="shared" si="136"/>
        <v/>
      </c>
      <c r="BC126" s="117" t="str">
        <f t="shared" si="137"/>
        <v/>
      </c>
      <c r="BD126" s="117" t="str">
        <f t="shared" si="138"/>
        <v/>
      </c>
      <c r="BE126" s="117" t="str">
        <f t="shared" si="139"/>
        <v/>
      </c>
      <c r="BF126" s="117" t="str">
        <f t="shared" si="140"/>
        <v/>
      </c>
      <c r="BG126" s="117" t="str">
        <f t="shared" si="141"/>
        <v/>
      </c>
      <c r="BH126" s="117" t="str">
        <f t="shared" si="142"/>
        <v/>
      </c>
      <c r="BI126" s="117" t="str">
        <f t="shared" si="143"/>
        <v/>
      </c>
      <c r="BJ126" s="117" t="str">
        <f t="shared" si="144"/>
        <v/>
      </c>
      <c r="BK126" s="117" t="str">
        <f t="shared" si="145"/>
        <v/>
      </c>
      <c r="BL126" s="117" t="str">
        <f t="shared" si="146"/>
        <v xml:space="preserve">tags:
- us
- us-tx_x000D_
- dallas_x000D_
- churches_x000D_
</v>
      </c>
      <c r="BM126" s="120" t="str">
        <f t="shared" si="124"/>
        <v>[Official site](https://stpeterdal.com/)</v>
      </c>
      <c r="BN126" s="120" t="str">
        <f t="shared" si="125"/>
        <v>[Parish history](https://stpeterdal.com/about/#History)</v>
      </c>
      <c r="BO126" s="120" t="str">
        <f t="shared" si="126"/>
        <v/>
      </c>
      <c r="BP126" s="120" t="str">
        <f t="shared" si="127"/>
        <v/>
      </c>
      <c r="BQ126" s="117" t="str">
        <f t="shared" si="147"/>
        <v xml:space="preserve">* [Official site](https://stpeterdal.com/)
* [Parish history](https://stpeterdal.com/about/#History)
</v>
      </c>
      <c r="BR126" s="117" t="str">
        <f t="shared" si="148"/>
        <v/>
      </c>
      <c r="BS126" s="117" t="str">
        <f t="shared" si="149"/>
        <v/>
      </c>
      <c r="BT126" s="117" t="str">
        <f t="shared" si="150"/>
        <v/>
      </c>
      <c r="BU126" s="117" t="str">
        <f>IF(LEN(concat(BR126:BT126))&gt;0,concat("| ",BR126," | ",BS126," | ",BT126," |"),"")</f>
        <v/>
      </c>
      <c r="BV126" s="117" t="str">
        <f t="shared" si="151"/>
        <v/>
      </c>
      <c r="BW126" s="117" t="str">
        <f>IF(LEN(BQ126&amp;BV126)&gt;0,concatll("#### More Information",BQ126,BV126),"")</f>
        <v xml:space="preserve">#### More Information_x000D_
_x000D_
* [Official site](https://stpeterdal.com/)
* [Parish history](https://stpeterdal.com/about/#History)
_x000D_
_x000D_
</v>
      </c>
      <c r="BX126" s="117" t="str">
        <f>IF(LEN(N126)&gt;1,concatll("#### Author's Note",N126,"-"&amp;B126),"")</f>
        <v/>
      </c>
      <c r="BY126" s="117" t="s">
        <v>53</v>
      </c>
      <c r="BZ126" s="117" t="s">
        <v>53</v>
      </c>
      <c r="CA126" s="6" t="str">
        <f>IF(AS126,concatll(concatl("---",AT126:AV126,BL126,"---"),M126,BW126:BX126),"")</f>
        <v xml:space="preserve">---_x000D_
title: "St. Peter Catholic Church, Dallas, TX"_x000D_
location: {lat: 32.7950372, lng: -96.7950317}_x000D_
interest: local_x000D_
tags:
- us
- us-tx_x000D_
- dallas_x000D_
- churches_x000D_
_x000D_
---_x000D_
_x000D_
_x000D_
The first black parish in Dallas, founded in 1905, is now home to the area's Polish community._x000D_
_x000D_
#### More Information_x000D_
_x000D_
* [Official site](https://stpeterdal.com/)
* [Parish history](https://stpeterdal.com/about/#History)
_x000D_
_x000D_
_x000D_
_x000D_
</v>
      </c>
      <c r="CB126" s="6" t="str">
        <f>IF(AS126,"places\"&amp;VLOOKUP(C126,'Country Tags'!C:D,2,)&amp;IF(LEN(D126)&gt;1,"-"&amp;LOWER(SUBSTITUTE(D126," ","-")),"")&amp;"-"&amp;LOWER(SUBSTITUTE(SUBSTITUTE(H126," ","-"),".",""))&amp;".md","")</f>
        <v>places\us_tx-dallas-st-peter.md</v>
      </c>
      <c r="CC126" s="6"/>
      <c r="CD126" s="12" t="str">
        <f>IF(LEN(Z126)&gt;1,VLOOKUP(Z126,#REF!,2,),"")</f>
        <v/>
      </c>
      <c r="CE126" s="12" t="str">
        <f>IF(LEN(AA126)&gt;1,VLOOKUP(AA126,#REF!,2,),"")</f>
        <v/>
      </c>
      <c r="CF126" s="12" t="str">
        <f>IF(LEN(AB126)&gt;1,VLOOKUP(AB126,#REF!,2,),"")</f>
        <v/>
      </c>
      <c r="CG126" s="12" t="str">
        <f>IF(LEN(Z126)&gt;1,GetTagPage(CD126,Z126),"")</f>
        <v/>
      </c>
      <c r="CH126" s="12" t="str">
        <f>IF(LEN(AA126)&gt;1,GetTagPage(CE126,AA126),"")</f>
        <v/>
      </c>
      <c r="CI126" s="12" t="str">
        <f>IF(LEN(AB126)&gt;1,GetTagPage(CF126,AB126),"")</f>
        <v/>
      </c>
      <c r="CJ126" s="12" t="str">
        <f t="shared" si="152"/>
        <v xml:space="preserve">| </v>
      </c>
      <c r="CK126" s="12" t="str">
        <f t="shared" si="153"/>
        <v xml:space="preserve">| [](/places/places\us_tx-dallas-st-peter) </v>
      </c>
      <c r="CL126" s="13" t="str">
        <f>"| "&amp;IF(AS126,GetTagPage(C126,VLOOKUP(C126,'Country Tags'!C:E,3,)),C126)&amp; " "</f>
        <v xml:space="preserve">| [US Texas](/tags/us
- us-tx) </v>
      </c>
      <c r="CM126" s="12" t="str">
        <f t="shared" si="154"/>
        <v xml:space="preserve">|  </v>
      </c>
      <c r="CN126" s="12" t="str">
        <f t="shared" si="155"/>
        <v xml:space="preserve">| [Link](/places/places\us_tx-dallas-st-peter) </v>
      </c>
      <c r="CO126" s="12" t="str">
        <f t="shared" si="156"/>
        <v xml:space="preserve">
| [](/places/places\us_tx-dallas-st-peter) | [US Texas](/tags/us
- us-tx) |  | [Link](/places/places\us_tx-dallas-st-peter) [Official site](https://stpeterdal.com/)| |</v>
      </c>
    </row>
    <row r="127" spans="1:93" ht="76.5" x14ac:dyDescent="0.25">
      <c r="A127" s="129" t="s">
        <v>786</v>
      </c>
      <c r="B127" s="130" t="s">
        <v>1653</v>
      </c>
      <c r="C127" s="94" t="s">
        <v>1604</v>
      </c>
      <c r="E127" s="1">
        <v>41.902118788029298</v>
      </c>
      <c r="F127" s="30">
        <v>12.4539366999999</v>
      </c>
      <c r="G127" s="94" t="s">
        <v>1605</v>
      </c>
      <c r="H127" s="96" t="s">
        <v>1608</v>
      </c>
      <c r="I127" s="94" t="s">
        <v>919</v>
      </c>
      <c r="M127" s="98" t="s">
        <v>1609</v>
      </c>
      <c r="O127" s="1" t="s">
        <v>1606</v>
      </c>
      <c r="P127" s="97" t="s">
        <v>53</v>
      </c>
      <c r="Z127" s="95" t="s">
        <v>1607</v>
      </c>
      <c r="AA127" s="132" t="s">
        <v>1708</v>
      </c>
      <c r="AS127" s="116" t="b">
        <f t="shared" si="128"/>
        <v>1</v>
      </c>
      <c r="AT127" s="117" t="str">
        <f t="shared" si="129"/>
        <v>title: "St. Peter's Basilica"</v>
      </c>
      <c r="AU127" s="117" t="str">
        <f t="shared" si="130"/>
        <v>location: {lat: 41.9021187880293, lng: 12.4539366999999}</v>
      </c>
      <c r="AV127" s="117" t="str">
        <f t="shared" si="131"/>
        <v>interest: global</v>
      </c>
      <c r="AW127" s="117" t="str">
        <f>"- "&amp;VLOOKUP(C127,'Country Tags'!C:E,3,)</f>
        <v>- va
- rome</v>
      </c>
      <c r="AX127" s="117" t="str">
        <f t="shared" si="132"/>
        <v/>
      </c>
      <c r="AY127" s="117" t="str">
        <f t="shared" si="133"/>
        <v/>
      </c>
      <c r="AZ127" s="117" t="str">
        <f t="shared" si="134"/>
        <v/>
      </c>
      <c r="BA127" s="117" t="str">
        <f t="shared" si="135"/>
        <v/>
      </c>
      <c r="BB127" s="117" t="str">
        <f t="shared" si="136"/>
        <v>- peter</v>
      </c>
      <c r="BC127" s="117" t="str">
        <f t="shared" si="137"/>
        <v>- major-basilicas</v>
      </c>
      <c r="BD127" s="117" t="str">
        <f t="shared" si="138"/>
        <v/>
      </c>
      <c r="BE127" s="117" t="str">
        <f t="shared" si="139"/>
        <v/>
      </c>
      <c r="BF127" s="117" t="str">
        <f t="shared" si="140"/>
        <v/>
      </c>
      <c r="BG127" s="117" t="str">
        <f t="shared" si="141"/>
        <v/>
      </c>
      <c r="BH127" s="117" t="str">
        <f t="shared" si="142"/>
        <v/>
      </c>
      <c r="BI127" s="117" t="str">
        <f t="shared" si="143"/>
        <v/>
      </c>
      <c r="BJ127" s="117" t="str">
        <f t="shared" si="144"/>
        <v/>
      </c>
      <c r="BK127" s="117" t="str">
        <f t="shared" si="145"/>
        <v/>
      </c>
      <c r="BL127" s="117" t="str">
        <f t="shared" si="146"/>
        <v xml:space="preserve">tags:
- va
- rome_x000D_
- peter_x000D_
- major-basilicas_x000D_
</v>
      </c>
      <c r="BM127" s="120" t="str">
        <f t="shared" si="124"/>
        <v>[Official site](https://www.basilicasanpietro.va/en.html)</v>
      </c>
      <c r="BN127" s="120" t="str">
        <f t="shared" si="125"/>
        <v/>
      </c>
      <c r="BO127" s="120" t="str">
        <f t="shared" si="126"/>
        <v/>
      </c>
      <c r="BP127" s="120" t="str">
        <f t="shared" si="127"/>
        <v/>
      </c>
      <c r="BQ127" s="117" t="str">
        <f t="shared" si="147"/>
        <v xml:space="preserve">* [Official site](https://www.basilicasanpietro.va/en.html)
</v>
      </c>
      <c r="BR127" s="117" t="str">
        <f t="shared" si="148"/>
        <v/>
      </c>
      <c r="BS127" s="117" t="str">
        <f t="shared" si="149"/>
        <v/>
      </c>
      <c r="BT127" s="117" t="str">
        <f t="shared" si="150"/>
        <v/>
      </c>
      <c r="BU127" s="117" t="str">
        <f>IF(LEN(concat(BR127:BT127))&gt;0,concat("| ",BR127," | ",BS127," | ",BT127," |"),"")</f>
        <v/>
      </c>
      <c r="BV127" s="117" t="str">
        <f t="shared" si="151"/>
        <v/>
      </c>
      <c r="BW127" s="117" t="str">
        <f>IF(LEN(BQ127&amp;BV127)&gt;0,concatll("#### More Information",BQ127,BV127),"")</f>
        <v xml:space="preserve">#### More Information_x000D_
_x000D_
* [Official site](https://www.basilicasanpietro.va/en.html)
_x000D_
_x000D_
</v>
      </c>
      <c r="BX127" s="117" t="str">
        <f>IF(LEN(N127)&gt;1,concatll("#### Author's Note",N127,"-"&amp;B127),"")</f>
        <v/>
      </c>
      <c r="BY127" s="117" t="s">
        <v>53</v>
      </c>
      <c r="BZ127" s="117" t="s">
        <v>53</v>
      </c>
      <c r="CA127" s="6" t="str">
        <f>IF(AS127,concatll(concatl("---",AT127:AV127,BL127,"---"),M127,BW127:BX127),"")</f>
        <v xml:space="preserve">---_x000D_
title: "St. Peter's Basilica"_x000D_
location: {lat: 41.9021187880293, lng: 12.4539366999999}_x000D_
interest: global_x000D_
tags:
- va
- rome_x000D_
- peter_x000D_
- major-basilicas_x000D_
_x000D_
---_x000D_
_x000D_
_x000D_
Possibly the most famous church in the world, and one of the four papal basilicas, the current building was built between 1506 and 1626, replacing the original from the time of Constantine in the 4th century.
St. Peter's tomb lies beneath the high altar of the basilica, and the church continues to be a place of interment for popes, cardinals and bishops._x000D_
_x000D_
#### More Information_x000D_
_x000D_
* [Official site](https://www.basilicasanpietro.va/en.html)
_x000D_
_x000D_
_x000D_
_x000D_
</v>
      </c>
      <c r="CB127" s="6" t="str">
        <f>IF(AS127,"places\"&amp;VLOOKUP(C127,'Country Tags'!C:D,2,)&amp;IF(LEN(D127)&gt;1,"-"&amp;LOWER(SUBSTITUTE(D127," ","-")),"")&amp;"-"&amp;LOWER(SUBSTITUTE(SUBSTITUTE(H127," ","-"),".",""))&amp;".md","")</f>
        <v>places\va-st-peter.md</v>
      </c>
      <c r="CC127" s="6"/>
      <c r="CD127" s="12" t="e">
        <f>IF(LEN(Z127)&gt;1,VLOOKUP(Z127,#REF!,2,),"")</f>
        <v>#REF!</v>
      </c>
      <c r="CE127" s="12" t="e">
        <f>IF(LEN(AA127)&gt;1,VLOOKUP(AA127,#REF!,2,),"")</f>
        <v>#REF!</v>
      </c>
      <c r="CF127" s="12" t="str">
        <f>IF(LEN(AB127)&gt;1,VLOOKUP(AB127,#REF!,2,),"")</f>
        <v/>
      </c>
      <c r="CG127" s="12" t="e">
        <f>IF(LEN(Z127)&gt;1,GetTagPage(CD127,Z127),"")</f>
        <v>#VALUE!</v>
      </c>
      <c r="CH127" s="12" t="e">
        <f>IF(LEN(AA127)&gt;1,GetTagPage(CE127,AA127),"")</f>
        <v>#VALUE!</v>
      </c>
      <c r="CI127" s="12" t="str">
        <f>IF(LEN(AB127)&gt;1,GetTagPage(CF127,AB127),"")</f>
        <v/>
      </c>
      <c r="CJ127" s="12" t="e">
        <f t="shared" si="152"/>
        <v>#VALUE!</v>
      </c>
      <c r="CK127" s="12" t="str">
        <f t="shared" si="153"/>
        <v xml:space="preserve">| [](/places/places\va-st-peter) </v>
      </c>
      <c r="CL127" s="13" t="str">
        <f>"| "&amp;IF(AS127,GetTagPage(C127,VLOOKUP(C127,'Country Tags'!C:E,3,)),C127)&amp; " "</f>
        <v xml:space="preserve">| [Vatican City](/tags/va
- rome) </v>
      </c>
      <c r="CM127" s="12" t="str">
        <f t="shared" si="154"/>
        <v xml:space="preserve">|  </v>
      </c>
      <c r="CN127" s="12" t="str">
        <f t="shared" si="155"/>
        <v xml:space="preserve">| [Link](/places/places\va-st-peter) </v>
      </c>
      <c r="CO127" s="12" t="e">
        <f t="shared" si="156"/>
        <v>#VALUE!</v>
      </c>
    </row>
    <row r="128" spans="1:93" ht="102" x14ac:dyDescent="0.25">
      <c r="A128" s="129" t="s">
        <v>786</v>
      </c>
      <c r="B128" s="7" t="s">
        <v>1653</v>
      </c>
      <c r="C128" s="7" t="s">
        <v>450</v>
      </c>
      <c r="E128" s="1">
        <v>16.705491099922099</v>
      </c>
      <c r="F128" s="30">
        <v>107.19601082359701</v>
      </c>
      <c r="G128" s="7" t="s">
        <v>834</v>
      </c>
      <c r="H128" s="33" t="s">
        <v>834</v>
      </c>
      <c r="I128" s="7" t="s">
        <v>919</v>
      </c>
      <c r="J128" s="23" t="b">
        <v>1</v>
      </c>
      <c r="K128" s="7" t="b">
        <v>1</v>
      </c>
      <c r="M128" s="7" t="s">
        <v>833</v>
      </c>
      <c r="N128" s="139" t="s">
        <v>1689</v>
      </c>
      <c r="O128" s="1" t="s">
        <v>53</v>
      </c>
      <c r="P128" s="1" t="s">
        <v>53</v>
      </c>
      <c r="Z128" s="1" t="s">
        <v>53</v>
      </c>
      <c r="AJ128" s="56" t="s">
        <v>772</v>
      </c>
      <c r="AK128" s="57">
        <v>1798</v>
      </c>
      <c r="AL128" s="1" t="s">
        <v>32</v>
      </c>
      <c r="AM128" s="1" t="s">
        <v>53</v>
      </c>
      <c r="AN128" s="1" t="s">
        <v>832</v>
      </c>
      <c r="AO128" s="1" t="s">
        <v>53</v>
      </c>
      <c r="AP128" s="1" t="s">
        <v>835</v>
      </c>
      <c r="AQ128" s="30" t="s">
        <v>53</v>
      </c>
      <c r="AS128" s="116" t="b">
        <f t="shared" si="128"/>
        <v>1</v>
      </c>
      <c r="AT128" s="117" t="str">
        <f t="shared" si="129"/>
        <v>title: "Basilica of Our Lady of La Vang"</v>
      </c>
      <c r="AU128" s="117" t="str">
        <f t="shared" si="130"/>
        <v>location: {lat: 16.7054910999221, lng: 107.196010823597}</v>
      </c>
      <c r="AV128" s="117" t="str">
        <f t="shared" si="131"/>
        <v>interest: global</v>
      </c>
      <c r="AW128" s="117" t="str">
        <f>"- "&amp;VLOOKUP(C128,'Country Tags'!C:E,3,)</f>
        <v>- vn</v>
      </c>
      <c r="AX128" s="117" t="str">
        <f t="shared" si="132"/>
        <v/>
      </c>
      <c r="AY128" s="117" t="str">
        <f t="shared" si="133"/>
        <v>- churches</v>
      </c>
      <c r="AZ128" s="117" t="str">
        <f t="shared" si="134"/>
        <v>- marian-sites</v>
      </c>
      <c r="BA128" s="117" t="str">
        <f t="shared" si="135"/>
        <v/>
      </c>
      <c r="BB128" s="117" t="str">
        <f t="shared" si="136"/>
        <v/>
      </c>
      <c r="BC128" s="117" t="str">
        <f t="shared" si="137"/>
        <v/>
      </c>
      <c r="BD128" s="117" t="str">
        <f t="shared" si="138"/>
        <v/>
      </c>
      <c r="BE128" s="117" t="str">
        <f t="shared" si="139"/>
        <v/>
      </c>
      <c r="BF128" s="117" t="str">
        <f t="shared" si="140"/>
        <v/>
      </c>
      <c r="BG128" s="117" t="str">
        <f t="shared" si="141"/>
        <v/>
      </c>
      <c r="BH128" s="117" t="str">
        <f t="shared" si="142"/>
        <v/>
      </c>
      <c r="BI128" s="117" t="str">
        <f t="shared" si="143"/>
        <v/>
      </c>
      <c r="BJ128" s="117" t="str">
        <f t="shared" si="144"/>
        <v/>
      </c>
      <c r="BK128" s="117" t="str">
        <f t="shared" si="145"/>
        <v/>
      </c>
      <c r="BL128" s="117" t="str">
        <f t="shared" si="146"/>
        <v xml:space="preserve">tags:
- vn_x000D_
- churches_x000D_
- marian-sites_x000D_
</v>
      </c>
      <c r="BM128" s="120" t="str">
        <f t="shared" si="124"/>
        <v/>
      </c>
      <c r="BN128" s="120" t="str">
        <f t="shared" si="125"/>
        <v/>
      </c>
      <c r="BO128" s="120" t="str">
        <f t="shared" si="126"/>
        <v/>
      </c>
      <c r="BP128" s="120" t="str">
        <f t="shared" si="127"/>
        <v/>
      </c>
      <c r="BQ128" s="120" t="str">
        <f t="shared" si="147"/>
        <v/>
      </c>
      <c r="BR128" s="120" t="str">
        <f t="shared" si="148"/>
        <v>[Link](http://www.therealpresence.org/eucharst/misc/BVM/21_LAVANG_60x96.pdf)</v>
      </c>
      <c r="BS128" s="120" t="str">
        <f t="shared" si="149"/>
        <v>[Link](http://www.miraclehunter.com/marian_apparitions/approved_apparitions/lavang/index.html)</v>
      </c>
      <c r="BT128" s="120" t="str">
        <f t="shared" si="150"/>
        <v>[Link](https://www.marypages.com/la-vang-vietnam-en.html)</v>
      </c>
      <c r="BU128" s="120" t="str">
        <f>IF(LEN(concat(BR128:BT128))&gt;0,concat("| ",BR128," | ",BS128," | ",BT128," |"),"")</f>
        <v>| [Link](http://www.therealpresence.org/eucharst/misc/BVM/21_LAVANG_60x96.pdf) | [Link](http://www.miraclehunter.com/marian_apparitions/approved_apparitions/lavang/index.html) | [Link](https://www.marypages.com/la-vang-vietnam-en.html) |</v>
      </c>
      <c r="BV128" s="117" t="str">
        <f t="shared" si="151"/>
        <v xml:space="preserve">| The Real Presence | Miracle Hunter | MaryPages |_x000D_
| --- | --- | --- |_x000D_
| [Link](http://www.therealpresence.org/eucharst/misc/BVM/21_LAVANG_60x96.pdf) | [Link](http://www.miraclehunter.com/marian_apparitions/approved_apparitions/lavang/index.html) | [Link](https://www.marypages.com/la-vang-vietnam-en.html) |_x000D_
</v>
      </c>
      <c r="BW128" s="117" t="str">
        <f>IF(LEN(BQ128&amp;BV128)&gt;0,concatll("#### More Information",BQ128,BV128),"")</f>
        <v xml:space="preserve">#### More Information_x000D_
_x000D_
| The Real Presence | Miracle Hunter | MaryPages |_x000D_
| --- | --- | --- |_x000D_
| [Link](http://www.therealpresence.org/eucharst/misc/BVM/21_LAVANG_60x96.pdf) | [Link](http://www.miraclehunter.com/marian_apparitions/approved_apparitions/lavang/index.html) | [Link](https://www.marypages.com/la-vang-vietnam-en.html) |_x000D_
_x000D_
_x000D_
</v>
      </c>
      <c r="BX128" s="117" t="str">
        <f>IF(LEN(N128)&gt;1,concatll("#### Author's Note",N128,"-"&amp;B128),"")</f>
        <v xml:space="preserve">#### Author's Note_x000D_
_x000D_
We can't find an official website or other social media page for the basilica.  If you know of one, please [contact us](/contact)._x000D_
_x000D_
-JMM_x000D_
_x000D_
</v>
      </c>
      <c r="BY128" s="117" t="s">
        <v>53</v>
      </c>
      <c r="BZ128" s="117" t="s">
        <v>53</v>
      </c>
      <c r="CA128" s="6" t="str">
        <f>IF(AS128,concatll(concatl("---",AT128:AV128,BL128,"---"),M128,BW128:BX128),"")</f>
        <v xml:space="preserve">---_x000D_
title: "Basilica of Our Lady of La Vang"_x000D_
location: {lat: 16.7054910999221, lng: 107.196010823597}_x000D_
interest: global_x000D_
tags:
- vn_x000D_
- churches_x000D_
- marian-sites_x000D_
_x000D_
---_x000D_
_x000D_
_x000D_
In 1798, many Christians took refuge in the Vietnamese jungle and prepared themselves for martyrdom.  At night, they often gathered in small groups to pray the rosary.  Unexpectedly, one night they were visited by an apparition of Our Blessed Mother in a long cape, holding a child in her arms, with two angels at her sides.  She comforted them and told them to boil the leaves from the surrounding trees to use as medicine.  She also told them that from that day on, all those who came to this place to pray, would have their prayers heard and answered.  All those who were present witnessed this miracle._x000D_
_x000D_
#### More Information_x000D_
_x000D_
| The Real Presence | Miracle Hunter | MaryPages |_x000D_
| --- | --- | --- |_x000D_
| [Link](http://www.therealpresence.org/eucharst/misc/BVM/21_LAVANG_60x96.pdf) | [Link](http://www.miraclehunter.com/marian_apparitions/approved_apparitions/lavang/index.html) | [Link](https://www.marypages.com/la-vang-vietnam-en.html) |_x000D_
_x000D_
_x000D_
_x000D_
_x000D_
#### Author's Note_x000D_
_x000D_
We can't find an official website or other social media page for the basilica.  If you know of one, please [contact us](/contact)._x000D_
_x000D_
-JMM_x000D_
_x000D_
_x000D_
_x000D_
</v>
      </c>
      <c r="CB128" s="6" t="str">
        <f>IF(AS128,"places\"&amp;VLOOKUP(C128,'Country Tags'!C:D,2,)&amp;IF(LEN(D128)&gt;1,"-"&amp;LOWER(SUBSTITUTE(D128," ","-")),"")&amp;"-"&amp;LOWER(SUBSTITUTE(SUBSTITUTE(H128," ","-"),".",""))&amp;".md","")</f>
        <v>places\vn-basilica-of-our-lady-of-la-vang.md</v>
      </c>
      <c r="CC128" s="6"/>
      <c r="CD128" s="12" t="str">
        <f>IF(LEN(Z128)&gt;1,VLOOKUP(Z128,#REF!,2,),"")</f>
        <v/>
      </c>
      <c r="CE128" s="12" t="str">
        <f>IF(LEN(AA128)&gt;1,VLOOKUP(AA128,#REF!,2,),"")</f>
        <v/>
      </c>
      <c r="CF128" s="12" t="str">
        <f>IF(LEN(AB128)&gt;1,VLOOKUP(AB128,#REF!,2,),"")</f>
        <v/>
      </c>
      <c r="CG128" s="13" t="str">
        <f>IF(LEN(Z128)&gt;1,GetTagPage(CD128,Z128),"")</f>
        <v/>
      </c>
      <c r="CH128" s="13" t="str">
        <f>IF(LEN(AA128)&gt;1,GetTagPage(CE128,AA128),"")</f>
        <v/>
      </c>
      <c r="CI128" s="13" t="str">
        <f>IF(LEN(AB128)&gt;1,GetTagPage(CF128,AB128),"")</f>
        <v/>
      </c>
      <c r="CJ128" s="13" t="str">
        <f t="shared" si="152"/>
        <v xml:space="preserve">| </v>
      </c>
      <c r="CK128" s="13" t="str">
        <f t="shared" si="153"/>
        <v xml:space="preserve">| [La Vang](/places/places\vn-basilica-of-our-lady-of-la-vang) </v>
      </c>
      <c r="CL128" s="13" t="str">
        <f>"| "&amp;IF(AS128,GetTagPage(C128,VLOOKUP(C128,'Country Tags'!C:E,3,)),C128)&amp; " "</f>
        <v xml:space="preserve">| [Vietnam](/tags/vn) </v>
      </c>
      <c r="CM128" s="13" t="str">
        <f t="shared" si="154"/>
        <v xml:space="preserve">| 1798 </v>
      </c>
      <c r="CN128" s="13" t="str">
        <f t="shared" si="155"/>
        <v xml:space="preserve">| [Link](/places/places\vn-basilica-of-our-lady-of-la-vang) </v>
      </c>
      <c r="CO128" s="12" t="str">
        <f t="shared" si="156"/>
        <v xml:space="preserve">
| [La Vang](/places/places\vn-basilica-of-our-lady-of-la-vang) | [Vietnam](/tags/vn) | 1798 | [Link](/places/places\vn-basilica-of-our-lady-of-la-vang) [Link](http://www.therealpresence.org/eucharst/misc/BVM/21_LAVANG_60x96.pdf)[Link](http://www.miraclehunter.com/marian_apparitions/approved_apparitions/lavang/index.html)[Link](https://www.marypages.com/la-vang-vietnam-en.html)| |</v>
      </c>
    </row>
    <row r="129" spans="1:93" ht="38.25" x14ac:dyDescent="0.25">
      <c r="A129" s="129" t="s">
        <v>786</v>
      </c>
      <c r="B129" s="130" t="s">
        <v>1657</v>
      </c>
      <c r="C129" s="94" t="s">
        <v>450</v>
      </c>
      <c r="D129" s="7" t="s">
        <v>1617</v>
      </c>
      <c r="E129" s="1">
        <v>20.4247269</v>
      </c>
      <c r="F129" s="30">
        <v>106.1588304</v>
      </c>
      <c r="G129" s="94" t="s">
        <v>1610</v>
      </c>
      <c r="H129" s="101" t="s">
        <v>1619</v>
      </c>
      <c r="I129" s="102" t="s">
        <v>1002</v>
      </c>
      <c r="J129" s="7" t="b">
        <v>1</v>
      </c>
      <c r="L129" s="7" t="b">
        <v>1</v>
      </c>
      <c r="M129" s="102" t="s">
        <v>1618</v>
      </c>
      <c r="N129" s="139" t="s">
        <v>798</v>
      </c>
      <c r="P129" s="97"/>
      <c r="Q129" s="40" t="s">
        <v>1612</v>
      </c>
      <c r="R129" s="1" t="s">
        <v>1611</v>
      </c>
      <c r="S129" s="100" t="s">
        <v>53</v>
      </c>
      <c r="Z129" s="95" t="s">
        <v>1613</v>
      </c>
      <c r="AA129" s="95" t="s">
        <v>1614</v>
      </c>
      <c r="AS129" s="116" t="b">
        <f t="shared" si="128"/>
        <v>1</v>
      </c>
      <c r="AT129" s="117" t="str">
        <f t="shared" si="129"/>
        <v>title: "Basilica of the Immaculate Conception at Ha Nam"</v>
      </c>
      <c r="AU129" s="117" t="str">
        <f t="shared" si="130"/>
        <v>location: {lat: 20.4247269, lng: 106.1588304}</v>
      </c>
      <c r="AV129" s="117" t="str">
        <f t="shared" si="131"/>
        <v>interest: local</v>
      </c>
      <c r="AW129" s="117" t="str">
        <f>"- "&amp;VLOOKUP(C129,'Country Tags'!C:E,3,)</f>
        <v>- vn</v>
      </c>
      <c r="AX129" s="117" t="str">
        <f t="shared" si="132"/>
        <v>- ha-nam</v>
      </c>
      <c r="AY129" s="117" t="str">
        <f t="shared" si="133"/>
        <v>- churches</v>
      </c>
      <c r="AZ129" s="117" t="str">
        <f t="shared" si="134"/>
        <v/>
      </c>
      <c r="BA129" s="117" t="str">
        <f t="shared" si="135"/>
        <v>- holy-persons</v>
      </c>
      <c r="BB129" s="117" t="str">
        <f t="shared" si="136"/>
        <v>- vietnamese-martyrs</v>
      </c>
      <c r="BC129" s="117" t="str">
        <f t="shared" si="137"/>
        <v>- andrew-dung-lac</v>
      </c>
      <c r="BD129" s="117" t="str">
        <f t="shared" si="138"/>
        <v/>
      </c>
      <c r="BE129" s="117" t="str">
        <f t="shared" si="139"/>
        <v/>
      </c>
      <c r="BF129" s="117" t="str">
        <f t="shared" si="140"/>
        <v/>
      </c>
      <c r="BG129" s="117" t="str">
        <f t="shared" si="141"/>
        <v/>
      </c>
      <c r="BH129" s="117" t="str">
        <f t="shared" si="142"/>
        <v/>
      </c>
      <c r="BI129" s="117" t="str">
        <f t="shared" si="143"/>
        <v/>
      </c>
      <c r="BJ129" s="117" t="str">
        <f t="shared" si="144"/>
        <v/>
      </c>
      <c r="BK129" s="117" t="str">
        <f t="shared" si="145"/>
        <v/>
      </c>
      <c r="BL129" s="117" t="str">
        <f t="shared" si="146"/>
        <v xml:space="preserve">tags:
- vn_x000D_
- ha-nam_x000D_
- churches_x000D_
- holy-persons_x000D_
- vietnamese-martyrs_x000D_
- andrew-dung-lac_x000D_
</v>
      </c>
      <c r="BM129" s="120" t="str">
        <f t="shared" si="124"/>
        <v/>
      </c>
      <c r="BN129" s="120" t="str">
        <f t="shared" si="125"/>
        <v>[Saint Andrew Dung and Companions](https://mycatholic.life/saints/saints-of-the-liturgical-year/november-24-saint-andrew-dung-lac-and-his-companions-martyrs-memorial/)</v>
      </c>
      <c r="BO129" s="120" t="str">
        <f t="shared" si="126"/>
        <v/>
      </c>
      <c r="BP129" s="120" t="str">
        <f t="shared" si="127"/>
        <v/>
      </c>
      <c r="BQ129" s="117" t="str">
        <f t="shared" si="147"/>
        <v xml:space="preserve">* [Saint Andrew Dung and Companions](https://mycatholic.life/saints/saints-of-the-liturgical-year/november-24-saint-andrew-dung-lac-and-his-companions-martyrs-memorial/)
</v>
      </c>
      <c r="BR129" s="117" t="str">
        <f t="shared" si="148"/>
        <v/>
      </c>
      <c r="BS129" s="117" t="str">
        <f t="shared" si="149"/>
        <v/>
      </c>
      <c r="BT129" s="117" t="str">
        <f t="shared" si="150"/>
        <v/>
      </c>
      <c r="BU129" s="117" t="str">
        <f>IF(LEN(concat(BR129:BT129))&gt;0,concat("| ",BR129," | ",BS129," | ",BT129," |"),"")</f>
        <v/>
      </c>
      <c r="BV129" s="117" t="str">
        <f t="shared" si="151"/>
        <v/>
      </c>
      <c r="BW129" s="117" t="str">
        <f>IF(LEN(BQ129&amp;BV129)&gt;0,concatll("#### More Information",BQ129,BV129),"")</f>
        <v xml:space="preserve">#### More Information_x000D_
_x000D_
* [Saint Andrew Dung and Companions](https://mycatholic.life/saints/saints-of-the-liturgical-year/november-24-saint-andrew-dung-lac-and-his-companions-martyrs-memorial/)
_x000D_
_x000D_
</v>
      </c>
      <c r="BX129" s="117" t="str">
        <f>IF(LEN(N129)&gt;1,concatll("#### Author's Note",N129,"-"&amp;B129),"")</f>
        <v xml:space="preserve">#### Author's Note_x000D_
_x000D_
_Research in progress__x000D_
_x000D_
-NDS_x000D_
_x000D_
</v>
      </c>
      <c r="BY129" s="117" t="s">
        <v>53</v>
      </c>
      <c r="BZ129" s="117" t="s">
        <v>53</v>
      </c>
      <c r="CA129" s="6" t="str">
        <f>IF(AS129,concatll(concatl("---",AT129:AV129,BL129,"---"),M129,BW129:BX129),"")</f>
        <v xml:space="preserve">---_x000D_
title: "Basilica of the Immaculate Conception at Ha Nam"_x000D_
location: {lat: 20.4247269, lng: 106.1588304}_x000D_
interest: local_x000D_
tags:
- vn_x000D_
- ha-nam_x000D_
- churches_x000D_
- holy-persons_x000D_
- vietnamese-martyrs_x000D_
- andrew-dung-lac_x000D_
_x000D_
---_x000D_
_x000D_
_x000D_
This Basilica is a shrine in rememberance of the Vietnamese Martyrs, St. Andrew Dung-Lac and Companions killed during the persecution of the Christians in Vietnam in the 18th and 19th century._x000D_
_x000D_
#### More Information_x000D_
_x000D_
* [Saint Andrew Dung and Companions](https://mycatholic.life/saints/saints-of-the-liturgical-year/november-24-saint-andrew-dung-lac-and-his-companions-martyrs-memorial/)
_x000D_
_x000D_
_x000D_
_x000D_
#### Author's Note_x000D_
_x000D_
_Research in progress__x000D_
_x000D_
-NDS_x000D_
_x000D_
_x000D_
_x000D_
</v>
      </c>
      <c r="CB129" s="6" t="str">
        <f>IF(AS129,"places\"&amp;VLOOKUP(C129,'Country Tags'!C:D,2,)&amp;IF(LEN(D129)&gt;1,"-"&amp;LOWER(SUBSTITUTE(D129," ","-")),"")&amp;"-"&amp;LOWER(SUBSTITUTE(SUBSTITUTE(H129," ","-"),".",""))&amp;".md","")</f>
        <v>places\vn-ha-nam-basilica-of-the-immaculate-conception.md</v>
      </c>
      <c r="CC129" s="6"/>
      <c r="CD129" s="12" t="e">
        <f>IF(LEN(Z129)&gt;1,VLOOKUP(Z129,#REF!,2,),"")</f>
        <v>#REF!</v>
      </c>
      <c r="CE129" s="12" t="e">
        <f>IF(LEN(AA129)&gt;1,VLOOKUP(AA129,#REF!,2,),"")</f>
        <v>#REF!</v>
      </c>
      <c r="CF129" s="12" t="str">
        <f>IF(LEN(AB129)&gt;1,VLOOKUP(AB129,#REF!,2,),"")</f>
        <v/>
      </c>
      <c r="CG129" s="12" t="e">
        <f>IF(LEN(Z129)&gt;1,GetTagPage(CD129,Z129),"")</f>
        <v>#VALUE!</v>
      </c>
      <c r="CH129" s="12" t="e">
        <f>IF(LEN(AA129)&gt;1,GetTagPage(CE129,AA129),"")</f>
        <v>#VALUE!</v>
      </c>
      <c r="CI129" s="12" t="str">
        <f>IF(LEN(AB129)&gt;1,GetTagPage(CF129,AB129),"")</f>
        <v/>
      </c>
      <c r="CJ129" s="12" t="e">
        <f t="shared" si="152"/>
        <v>#VALUE!</v>
      </c>
      <c r="CK129" s="12" t="str">
        <f t="shared" si="153"/>
        <v xml:space="preserve">| [](/places/places\vn-ha-nam-basilica-of-the-immaculate-conception) </v>
      </c>
      <c r="CL129" s="13" t="str">
        <f>"| "&amp;IF(AS129,GetTagPage(C129,VLOOKUP(C129,'Country Tags'!C:E,3,)),C129)&amp; " "</f>
        <v xml:space="preserve">| [Vietnam](/tags/vn) </v>
      </c>
      <c r="CM129" s="12" t="str">
        <f t="shared" si="154"/>
        <v xml:space="preserve">|  </v>
      </c>
      <c r="CN129" s="12" t="str">
        <f t="shared" si="155"/>
        <v xml:space="preserve">| [Link](/places/places\vn-ha-nam-basilica-of-the-immaculate-conception) </v>
      </c>
      <c r="CO129" s="12" t="e">
        <f t="shared" si="156"/>
        <v>#VALUE!</v>
      </c>
    </row>
    <row r="130" spans="1:93" x14ac:dyDescent="0.25">
      <c r="A130" s="129" t="s">
        <v>743</v>
      </c>
      <c r="B130" s="7" t="s">
        <v>1653</v>
      </c>
      <c r="C130" s="7" t="s">
        <v>251</v>
      </c>
      <c r="E130" s="1">
        <v>20.050796521215599</v>
      </c>
      <c r="F130" s="30">
        <v>-75.948970548482805</v>
      </c>
      <c r="G130" s="7" t="s">
        <v>782</v>
      </c>
      <c r="H130" s="33" t="s">
        <v>783</v>
      </c>
      <c r="I130" s="7" t="s">
        <v>919</v>
      </c>
      <c r="J130" s="23" t="b">
        <v>1</v>
      </c>
      <c r="K130" s="7" t="b">
        <v>1</v>
      </c>
      <c r="M130" s="7" t="s">
        <v>798</v>
      </c>
      <c r="O130" s="1" t="s">
        <v>53</v>
      </c>
      <c r="P130" s="1" t="s">
        <v>53</v>
      </c>
      <c r="Z130" s="1" t="s">
        <v>53</v>
      </c>
      <c r="AJ130" s="56" t="s">
        <v>780</v>
      </c>
      <c r="AK130" s="57">
        <v>1612</v>
      </c>
      <c r="AL130" s="1" t="s">
        <v>29</v>
      </c>
      <c r="AM130" s="1" t="s">
        <v>53</v>
      </c>
      <c r="AN130" s="1" t="s">
        <v>53</v>
      </c>
      <c r="AO130" s="1" t="s">
        <v>53</v>
      </c>
      <c r="AP130" s="1" t="s">
        <v>53</v>
      </c>
      <c r="AQ130" s="30" t="s">
        <v>53</v>
      </c>
      <c r="AS130" s="116" t="b">
        <f t="shared" si="128"/>
        <v>1</v>
      </c>
      <c r="AT130" s="117" t="str">
        <f t="shared" si="129"/>
        <v>title: "Basilica of Our Lady of Charity of El Cobre"</v>
      </c>
      <c r="AU130" s="117" t="str">
        <f t="shared" si="130"/>
        <v>location: {lat: 20.0507965212156, lng: -75.9489705484828}</v>
      </c>
      <c r="AV130" s="117" t="str">
        <f t="shared" si="131"/>
        <v>interest: global</v>
      </c>
      <c r="AW130" s="117" t="str">
        <f>"- "&amp;VLOOKUP(C130,'Country Tags'!C:E,3,)</f>
        <v>- cu</v>
      </c>
      <c r="AX130" s="117" t="str">
        <f t="shared" si="132"/>
        <v/>
      </c>
      <c r="AY130" s="117" t="str">
        <f t="shared" si="133"/>
        <v>- churches</v>
      </c>
      <c r="AZ130" s="117" t="str">
        <f t="shared" si="134"/>
        <v>- marian-sites</v>
      </c>
      <c r="BA130" s="117" t="str">
        <f t="shared" si="135"/>
        <v/>
      </c>
      <c r="BB130" s="117" t="str">
        <f t="shared" si="136"/>
        <v/>
      </c>
      <c r="BC130" s="117" t="str">
        <f t="shared" si="137"/>
        <v/>
      </c>
      <c r="BD130" s="117" t="str">
        <f t="shared" si="138"/>
        <v/>
      </c>
      <c r="BE130" s="117" t="str">
        <f t="shared" si="139"/>
        <v/>
      </c>
      <c r="BF130" s="117" t="str">
        <f t="shared" si="140"/>
        <v/>
      </c>
      <c r="BG130" s="117" t="str">
        <f t="shared" si="141"/>
        <v/>
      </c>
      <c r="BH130" s="117" t="str">
        <f t="shared" si="142"/>
        <v/>
      </c>
      <c r="BI130" s="117" t="str">
        <f t="shared" si="143"/>
        <v/>
      </c>
      <c r="BJ130" s="117" t="str">
        <f t="shared" si="144"/>
        <v/>
      </c>
      <c r="BK130" s="117" t="str">
        <f t="shared" si="145"/>
        <v/>
      </c>
      <c r="BL130" s="117" t="str">
        <f t="shared" si="146"/>
        <v xml:space="preserve">tags:
- cu_x000D_
- churches_x000D_
- marian-sites_x000D_
</v>
      </c>
      <c r="BM130" s="120" t="str">
        <f t="shared" si="124"/>
        <v/>
      </c>
      <c r="BN130" s="120" t="str">
        <f t="shared" si="125"/>
        <v/>
      </c>
      <c r="BO130" s="120" t="str">
        <f t="shared" si="126"/>
        <v/>
      </c>
      <c r="BP130" s="120" t="str">
        <f t="shared" si="127"/>
        <v/>
      </c>
      <c r="BQ130" s="120" t="str">
        <f t="shared" si="147"/>
        <v/>
      </c>
      <c r="BR130" s="120" t="str">
        <f t="shared" si="148"/>
        <v>[Link](http://www.therealpresence.org/eucharst/misc/BVM/102_CUBA_96x96.pdf)</v>
      </c>
      <c r="BS130" s="120" t="str">
        <f t="shared" si="149"/>
        <v/>
      </c>
      <c r="BT130" s="120" t="str">
        <f t="shared" si="150"/>
        <v/>
      </c>
      <c r="BU130" s="120" t="str">
        <f>IF(LEN(concat(BR130:BT130))&gt;0,concat("| ",BR130," | ",BS130," | ",BT130," |"),"")</f>
        <v>| [Link](http://www.therealpresence.org/eucharst/misc/BVM/102_CUBA_96x96.pdf) |  |  |</v>
      </c>
      <c r="BV130" s="117" t="str">
        <f t="shared" si="151"/>
        <v xml:space="preserve">| The Real Presence | Miracle Hunter | MaryPages |_x000D_
| --- | --- | --- |_x000D_
| [Link](http://www.therealpresence.org/eucharst/misc/BVM/102_CUBA_96x96.pdf) |  |  |_x000D_
</v>
      </c>
      <c r="BW130" s="117" t="str">
        <f>IF(LEN(BQ130&amp;BV130)&gt;0,concatll("#### More Information",BQ130,BV130),"")</f>
        <v xml:space="preserve">#### More Information_x000D_
_x000D_
| The Real Presence | Miracle Hunter | MaryPages |_x000D_
| --- | --- | --- |_x000D_
| [Link](http://www.therealpresence.org/eucharst/misc/BVM/102_CUBA_96x96.pdf) |  |  |_x000D_
_x000D_
_x000D_
</v>
      </c>
      <c r="BX130" s="117" t="str">
        <f>IF(LEN(N130)&gt;1,concatll("#### Author's Note",N130,"-"&amp;B130),"")</f>
        <v/>
      </c>
      <c r="BY130" s="117" t="s">
        <v>53</v>
      </c>
      <c r="BZ130" s="117" t="s">
        <v>53</v>
      </c>
      <c r="CA130" s="6" t="str">
        <f>IF(AS130,concatll(concatl("---",AT130:AV130,BL130,"---"),M130,BW130:BX130),"")</f>
        <v xml:space="preserve">---_x000D_
title: "Basilica of Our Lady of Charity of El Cobre"_x000D_
location: {lat: 20.0507965212156, lng: -75.9489705484828}_x000D_
interest: global_x000D_
tags:
- cu_x000D_
- churches_x000D_
- marian-sites_x000D_
_x000D_
---_x000D_
_x000D_
_x000D_
_Research in progress__x000D_
_x000D_
#### More Information_x000D_
_x000D_
| The Real Presence | Miracle Hunter | MaryPages |_x000D_
| --- | --- | --- |_x000D_
| [Link](http://www.therealpresence.org/eucharst/misc/BVM/102_CUBA_96x96.pdf) |  |  |_x000D_
_x000D_
_x000D_
_x000D_
_x000D_
</v>
      </c>
      <c r="CB130" s="6" t="str">
        <f>IF(AS130,"places\"&amp;VLOOKUP(C130,'Country Tags'!C:D,2,)&amp;IF(LEN(D130)&gt;1,"-"&amp;LOWER(SUBSTITUTE(D130," ","-")),"")&amp;"-"&amp;LOWER(SUBSTITUTE(SUBSTITUTE(H130," ","-"),".",""))&amp;".md","")</f>
        <v>places\cu-basilica-of-el-cobre.md</v>
      </c>
      <c r="CC130" s="6"/>
      <c r="CD130" s="12" t="str">
        <f>IF(LEN(Z130)&gt;1,VLOOKUP(Z130,#REF!,2,),"")</f>
        <v/>
      </c>
      <c r="CE130" s="12" t="str">
        <f>IF(LEN(AA130)&gt;1,VLOOKUP(AA130,#REF!,2,),"")</f>
        <v/>
      </c>
      <c r="CF130" s="12" t="str">
        <f>IF(LEN(AB130)&gt;1,VLOOKUP(AB130,#REF!,2,),"")</f>
        <v/>
      </c>
      <c r="CG130" s="13" t="str">
        <f>IF(LEN(Z130)&gt;1,GetTagPage(CD130,Z130),"")</f>
        <v/>
      </c>
      <c r="CH130" s="13" t="str">
        <f>IF(LEN(AA130)&gt;1,GetTagPage(CE130,AA130),"")</f>
        <v/>
      </c>
      <c r="CI130" s="13" t="str">
        <f>IF(LEN(AB130)&gt;1,GetTagPage(CF130,AB130),"")</f>
        <v/>
      </c>
      <c r="CJ130" s="13" t="str">
        <f t="shared" si="152"/>
        <v xml:space="preserve">| </v>
      </c>
      <c r="CK130" s="13" t="str">
        <f t="shared" si="153"/>
        <v xml:space="preserve">| [El Cobre](/places/places\cu-basilica-of-el-cobre) </v>
      </c>
      <c r="CL130" s="13" t="str">
        <f>"| "&amp;IF(AS130,GetTagPage(C130,VLOOKUP(C130,'Country Tags'!C:E,3,)),C130)&amp; " "</f>
        <v xml:space="preserve">| [Cuba](/tags/cu) </v>
      </c>
      <c r="CM130" s="13" t="str">
        <f t="shared" si="154"/>
        <v xml:space="preserve">| 1612 </v>
      </c>
      <c r="CN130" s="13" t="str">
        <f t="shared" si="155"/>
        <v xml:space="preserve">| [Link](/places/places\cu-basilica-of-el-cobre) </v>
      </c>
      <c r="CO130" s="12" t="str">
        <f t="shared" si="156"/>
        <v xml:space="preserve">
| [El Cobre](/places/places\cu-basilica-of-el-cobre) | [Cuba](/tags/cu) | 1612 | [Link](/places/places\cu-basilica-of-el-cobre) [Link](http://www.therealpresence.org/eucharst/misc/BVM/102_CUBA_96x96.pdf)| |</v>
      </c>
    </row>
    <row r="131" spans="1:93" x14ac:dyDescent="0.25">
      <c r="A131" s="129" t="s">
        <v>743</v>
      </c>
      <c r="B131" s="7" t="s">
        <v>1653</v>
      </c>
      <c r="C131" s="7" t="s">
        <v>271</v>
      </c>
      <c r="E131" s="1">
        <v>46.982858987663199</v>
      </c>
      <c r="F131" s="30">
        <v>1.4171181142389</v>
      </c>
      <c r="G131" s="10" t="s">
        <v>906</v>
      </c>
      <c r="H131" s="33" t="s">
        <v>906</v>
      </c>
      <c r="I131" s="7" t="s">
        <v>919</v>
      </c>
      <c r="J131" s="23" t="b">
        <v>1</v>
      </c>
      <c r="K131" s="7" t="b">
        <v>1</v>
      </c>
      <c r="M131" s="10" t="s">
        <v>798</v>
      </c>
      <c r="O131" s="1" t="s">
        <v>907</v>
      </c>
      <c r="P131" s="1" t="s">
        <v>53</v>
      </c>
      <c r="Z131" s="1" t="s">
        <v>53</v>
      </c>
      <c r="AJ131" s="56" t="s">
        <v>773</v>
      </c>
      <c r="AK131" s="57">
        <v>1876</v>
      </c>
      <c r="AL131" s="1" t="s">
        <v>40</v>
      </c>
      <c r="AM131" s="1" t="s">
        <v>53</v>
      </c>
      <c r="AN131" s="1" t="s">
        <v>908</v>
      </c>
      <c r="AO131" s="1" t="s">
        <v>53</v>
      </c>
      <c r="AP131" s="1" t="s">
        <v>909</v>
      </c>
      <c r="AQ131" s="30" t="s">
        <v>53</v>
      </c>
      <c r="AS131" s="116" t="b">
        <f t="shared" si="128"/>
        <v>1</v>
      </c>
      <c r="AT131" s="117" t="str">
        <f t="shared" si="129"/>
        <v>title: "Sanctuary of Pellevoisin"</v>
      </c>
      <c r="AU131" s="117" t="str">
        <f t="shared" si="130"/>
        <v>location: {lat: 46.9828589876632, lng: 1.4171181142389}</v>
      </c>
      <c r="AV131" s="117" t="str">
        <f t="shared" si="131"/>
        <v>interest: global</v>
      </c>
      <c r="AW131" s="117" t="str">
        <f>"- "&amp;VLOOKUP(C131,'Country Tags'!C:E,3,)</f>
        <v>- fr</v>
      </c>
      <c r="AX131" s="117" t="str">
        <f t="shared" si="132"/>
        <v/>
      </c>
      <c r="AY131" s="117" t="str">
        <f t="shared" si="133"/>
        <v>- churches</v>
      </c>
      <c r="AZ131" s="117" t="str">
        <f t="shared" si="134"/>
        <v>- marian-sites</v>
      </c>
      <c r="BA131" s="117" t="str">
        <f t="shared" si="135"/>
        <v/>
      </c>
      <c r="BB131" s="117" t="str">
        <f t="shared" si="136"/>
        <v/>
      </c>
      <c r="BC131" s="117" t="str">
        <f t="shared" si="137"/>
        <v/>
      </c>
      <c r="BD131" s="117" t="str">
        <f t="shared" si="138"/>
        <v/>
      </c>
      <c r="BE131" s="117" t="str">
        <f t="shared" si="139"/>
        <v/>
      </c>
      <c r="BF131" s="117" t="str">
        <f t="shared" si="140"/>
        <v/>
      </c>
      <c r="BG131" s="117" t="str">
        <f t="shared" si="141"/>
        <v/>
      </c>
      <c r="BH131" s="117" t="str">
        <f t="shared" si="142"/>
        <v/>
      </c>
      <c r="BI131" s="117" t="str">
        <f t="shared" si="143"/>
        <v/>
      </c>
      <c r="BJ131" s="117" t="str">
        <f t="shared" si="144"/>
        <v/>
      </c>
      <c r="BK131" s="117" t="str">
        <f t="shared" si="145"/>
        <v/>
      </c>
      <c r="BL131" s="117" t="str">
        <f t="shared" si="146"/>
        <v xml:space="preserve">tags:
- fr_x000D_
- churches_x000D_
- marian-sites_x000D_
</v>
      </c>
      <c r="BM131" s="120" t="str">
        <f t="shared" si="124"/>
        <v>[Official site](https://www.pellevoisin.net/)</v>
      </c>
      <c r="BN131" s="120" t="str">
        <f t="shared" si="125"/>
        <v/>
      </c>
      <c r="BO131" s="120" t="str">
        <f t="shared" si="126"/>
        <v/>
      </c>
      <c r="BP131" s="120" t="str">
        <f t="shared" si="127"/>
        <v/>
      </c>
      <c r="BQ131" s="120" t="str">
        <f t="shared" si="147"/>
        <v xml:space="preserve">* [Official site](https://www.pellevoisin.net/)
</v>
      </c>
      <c r="BR131" s="120" t="str">
        <f t="shared" si="148"/>
        <v>[Link](http://www.therealpresence.org/eucharst/misc/BVM/07_PELLEVOISIN_60x96.pdf)</v>
      </c>
      <c r="BS131" s="120" t="str">
        <f t="shared" si="149"/>
        <v>[Link](https://www.miraclehunter.com/marian_apparitions/approved_apparitions/pellevoisin/index.html)</v>
      </c>
      <c r="BT131" s="120" t="str">
        <f t="shared" si="150"/>
        <v>[Link](https://www.marypages.com/pellevoisin-france-en.html)</v>
      </c>
      <c r="BU131" s="120" t="str">
        <f>IF(LEN(concat(BR131:BT131))&gt;0,concat("| ",BR131," | ",BS131," | ",BT131," |"),"")</f>
        <v>| [Link](http://www.therealpresence.org/eucharst/misc/BVM/07_PELLEVOISIN_60x96.pdf) | [Link](https://www.miraclehunter.com/marian_apparitions/approved_apparitions/pellevoisin/index.html) | [Link](https://www.marypages.com/pellevoisin-france-en.html) |</v>
      </c>
      <c r="BV131" s="117" t="str">
        <f t="shared" si="151"/>
        <v xml:space="preserve">| The Real Presence | Miracle Hunter | MaryPages |_x000D_
| --- | --- | --- |_x000D_
| [Link](http://www.therealpresence.org/eucharst/misc/BVM/07_PELLEVOISIN_60x96.pdf) | [Link](https://www.miraclehunter.com/marian_apparitions/approved_apparitions/pellevoisin/index.html) | [Link](https://www.marypages.com/pellevoisin-france-en.html) |_x000D_
</v>
      </c>
      <c r="BW131" s="117" t="str">
        <f>IF(LEN(BQ131&amp;BV131)&gt;0,concatll("#### More Information",BQ131,BV131),"")</f>
        <v xml:space="preserve">#### More Information_x000D_
_x000D_
* [Official site](https://www.pellevoisin.net/)
_x000D_
_x000D_
| The Real Presence | Miracle Hunter | MaryPages |_x000D_
| --- | --- | --- |_x000D_
| [Link](http://www.therealpresence.org/eucharst/misc/BVM/07_PELLEVOISIN_60x96.pdf) | [Link](https://www.miraclehunter.com/marian_apparitions/approved_apparitions/pellevoisin/index.html) | [Link](https://www.marypages.com/pellevoisin-france-en.html) |_x000D_
_x000D_
_x000D_
</v>
      </c>
      <c r="BX131" s="117" t="str">
        <f>IF(LEN(N131)&gt;1,concatll("#### Author's Note",N131,"-"&amp;B131),"")</f>
        <v/>
      </c>
      <c r="BY131" s="117" t="s">
        <v>53</v>
      </c>
      <c r="BZ131" s="117" t="s">
        <v>53</v>
      </c>
      <c r="CA131" s="6" t="str">
        <f>IF(AS131,concatll(concatl("---",AT131:AV131,BL131,"---"),M131,BW131:BX131),"")</f>
        <v xml:space="preserve">---_x000D_
title: "Sanctuary of Pellevoisin"_x000D_
location: {lat: 46.9828589876632, lng: 1.4171181142389}_x000D_
interest: global_x000D_
tags:
- fr_x000D_
- churches_x000D_
- marian-sites_x000D_
_x000D_
---_x000D_
_x000D_
_x000D_
_Research in progress__x000D_
_x000D_
#### More Information_x000D_
_x000D_
* [Official site](https://www.pellevoisin.net/)
_x000D_
_x000D_
| The Real Presence | Miracle Hunter | MaryPages |_x000D_
| --- | --- | --- |_x000D_
| [Link](http://www.therealpresence.org/eucharst/misc/BVM/07_PELLEVOISIN_60x96.pdf) | [Link](https://www.miraclehunter.com/marian_apparitions/approved_apparitions/pellevoisin/index.html) | [Link](https://www.marypages.com/pellevoisin-france-en.html) |_x000D_
_x000D_
_x000D_
_x000D_
_x000D_
</v>
      </c>
      <c r="CB131" s="6" t="str">
        <f>IF(AS131,"places\"&amp;VLOOKUP(C131,'Country Tags'!C:D,2,)&amp;IF(LEN(D131)&gt;1,"-"&amp;LOWER(SUBSTITUTE(D131," ","-")),"")&amp;"-"&amp;LOWER(SUBSTITUTE(SUBSTITUTE(H131," ","-"),".",""))&amp;".md","")</f>
        <v>places\fr-sanctuary-of-pellevoisin.md</v>
      </c>
      <c r="CC131" s="6"/>
      <c r="CD131" s="12" t="str">
        <f>IF(LEN(Z131)&gt;1,VLOOKUP(Z131,#REF!,2,),"")</f>
        <v/>
      </c>
      <c r="CE131" s="12" t="str">
        <f>IF(LEN(AA131)&gt;1,VLOOKUP(AA131,#REF!,2,),"")</f>
        <v/>
      </c>
      <c r="CF131" s="12" t="str">
        <f>IF(LEN(AB131)&gt;1,VLOOKUP(AB131,#REF!,2,),"")</f>
        <v/>
      </c>
      <c r="CG131" s="13" t="str">
        <f>IF(LEN(Z131)&gt;1,GetTagPage(CD131,Z131),"")</f>
        <v/>
      </c>
      <c r="CH131" s="13" t="str">
        <f>IF(LEN(AA131)&gt;1,GetTagPage(CE131,AA131),"")</f>
        <v/>
      </c>
      <c r="CI131" s="13" t="str">
        <f>IF(LEN(AB131)&gt;1,GetTagPage(CF131,AB131),"")</f>
        <v/>
      </c>
      <c r="CJ131" s="13" t="str">
        <f t="shared" si="152"/>
        <v xml:space="preserve">| </v>
      </c>
      <c r="CK131" s="13" t="str">
        <f t="shared" si="153"/>
        <v xml:space="preserve">| [Pellovoisin](/places/places\fr-sanctuary-of-pellevoisin) </v>
      </c>
      <c r="CL131" s="13" t="str">
        <f>"| "&amp;IF(AS131,GetTagPage(C131,VLOOKUP(C131,'Country Tags'!C:E,3,)),C131)&amp; " "</f>
        <v xml:space="preserve">| [France](/tags/fr) </v>
      </c>
      <c r="CM131" s="13" t="str">
        <f t="shared" si="154"/>
        <v xml:space="preserve">| 1876 </v>
      </c>
      <c r="CN131" s="13" t="str">
        <f t="shared" si="155"/>
        <v xml:space="preserve">| [Link](/places/places\fr-sanctuary-of-pellevoisin) </v>
      </c>
      <c r="CO131" s="12" t="str">
        <f t="shared" si="156"/>
        <v xml:space="preserve">
| [Pellovoisin](/places/places\fr-sanctuary-of-pellevoisin) | [France](/tags/fr) | 1876 | [Link](/places/places\fr-sanctuary-of-pellevoisin) [Official site](https://www.pellevoisin.net/)[Link](http://www.therealpresence.org/eucharst/misc/BVM/07_PELLEVOISIN_60x96.pdf)[Link](https://www.miraclehunter.com/marian_apparitions/approved_apparitions/pellevoisin/index.html)[Link](https://www.marypages.com/pellevoisin-france-en.html)| |</v>
      </c>
    </row>
    <row r="132" spans="1:93" ht="25.5" x14ac:dyDescent="0.25">
      <c r="A132" s="129" t="s">
        <v>743</v>
      </c>
      <c r="B132" s="26" t="s">
        <v>1653</v>
      </c>
      <c r="C132" s="26" t="s">
        <v>256</v>
      </c>
      <c r="D132" s="55" t="s">
        <v>1028</v>
      </c>
      <c r="E132" s="1">
        <v>48.369192631907303</v>
      </c>
      <c r="F132" s="30">
        <v>10.8982826487021</v>
      </c>
      <c r="G132" s="26" t="s">
        <v>927</v>
      </c>
      <c r="H132" s="38" t="s">
        <v>1632</v>
      </c>
      <c r="I132" s="7" t="s">
        <v>919</v>
      </c>
      <c r="J132" s="23" t="b">
        <v>1</v>
      </c>
      <c r="K132" s="7" t="b">
        <v>1</v>
      </c>
      <c r="M132" s="26" t="s">
        <v>931</v>
      </c>
      <c r="N132" s="139" t="s">
        <v>1690</v>
      </c>
      <c r="O132" s="1" t="s">
        <v>930</v>
      </c>
      <c r="P132" s="1" t="s">
        <v>53</v>
      </c>
      <c r="Z132" s="7"/>
      <c r="AA132" s="7"/>
      <c r="AB132" s="7"/>
      <c r="AC132" s="7"/>
      <c r="AD132" s="7"/>
      <c r="AE132" s="7"/>
      <c r="AF132" s="7"/>
      <c r="AG132" s="7"/>
      <c r="AH132" s="7"/>
      <c r="AI132" s="7"/>
      <c r="AJ132" s="56" t="s">
        <v>926</v>
      </c>
      <c r="AK132" s="59" t="s">
        <v>867</v>
      </c>
      <c r="AL132" s="1" t="s">
        <v>53</v>
      </c>
      <c r="AM132" s="1" t="s">
        <v>53</v>
      </c>
      <c r="AN132" s="1" t="s">
        <v>929</v>
      </c>
      <c r="AO132" s="1" t="s">
        <v>53</v>
      </c>
      <c r="AP132" s="1" t="s">
        <v>928</v>
      </c>
      <c r="AQ132" s="30" t="s">
        <v>53</v>
      </c>
      <c r="AS132" s="116" t="b">
        <f t="shared" si="128"/>
        <v>1</v>
      </c>
      <c r="AT132" s="117" t="str">
        <f t="shared" si="129"/>
        <v>title: "St. Peter am Perlach (Mary Undoer of Knots)"</v>
      </c>
      <c r="AU132" s="117" t="str">
        <f t="shared" si="130"/>
        <v>location: {lat: 48.3691926319073, lng: 10.8982826487021}</v>
      </c>
      <c r="AV132" s="117" t="str">
        <f t="shared" si="131"/>
        <v>interest: global</v>
      </c>
      <c r="AW132" s="117" t="str">
        <f>"- "&amp;VLOOKUP(C132,'Country Tags'!C:E,3,)</f>
        <v>- de</v>
      </c>
      <c r="AX132" s="117" t="str">
        <f t="shared" si="132"/>
        <v>- augsburg</v>
      </c>
      <c r="AY132" s="117" t="str">
        <f t="shared" si="133"/>
        <v>- churches</v>
      </c>
      <c r="AZ132" s="117" t="str">
        <f t="shared" si="134"/>
        <v>- marian-sites</v>
      </c>
      <c r="BA132" s="117" t="str">
        <f t="shared" si="135"/>
        <v/>
      </c>
      <c r="BB132" s="117" t="str">
        <f t="shared" si="136"/>
        <v/>
      </c>
      <c r="BC132" s="117" t="str">
        <f t="shared" si="137"/>
        <v/>
      </c>
      <c r="BD132" s="117" t="str">
        <f t="shared" si="138"/>
        <v/>
      </c>
      <c r="BE132" s="117" t="str">
        <f t="shared" si="139"/>
        <v/>
      </c>
      <c r="BF132" s="117" t="str">
        <f t="shared" si="140"/>
        <v/>
      </c>
      <c r="BG132" s="117" t="str">
        <f t="shared" si="141"/>
        <v/>
      </c>
      <c r="BH132" s="117" t="str">
        <f t="shared" si="142"/>
        <v/>
      </c>
      <c r="BI132" s="117" t="str">
        <f t="shared" si="143"/>
        <v/>
      </c>
      <c r="BJ132" s="117" t="str">
        <f t="shared" si="144"/>
        <v/>
      </c>
      <c r="BK132" s="117" t="str">
        <f t="shared" si="145"/>
        <v/>
      </c>
      <c r="BL132" s="117" t="str">
        <f t="shared" si="146"/>
        <v xml:space="preserve">tags:
- de_x000D_
- augsburg_x000D_
- churches_x000D_
- marian-sites_x000D_
</v>
      </c>
      <c r="BM132" s="120" t="str">
        <f t="shared" si="124"/>
        <v>[Official site](https://sankt-peter-am-perlach.de)</v>
      </c>
      <c r="BN132" s="120" t="str">
        <f t="shared" si="125"/>
        <v/>
      </c>
      <c r="BO132" s="120" t="str">
        <f t="shared" si="126"/>
        <v/>
      </c>
      <c r="BP132" s="120" t="str">
        <f t="shared" si="127"/>
        <v/>
      </c>
      <c r="BQ132" s="120" t="str">
        <f t="shared" si="147"/>
        <v xml:space="preserve">* [Official site](https://sankt-peter-am-perlach.de)
</v>
      </c>
      <c r="BR132" s="120" t="str">
        <f t="shared" si="148"/>
        <v/>
      </c>
      <c r="BS132" s="120" t="str">
        <f t="shared" si="149"/>
        <v>[Link](https://www.miraclehunter.com/news/francis/francis-marian-devotion.html)</v>
      </c>
      <c r="BT132" s="120" t="str">
        <f t="shared" si="150"/>
        <v>[Link](https://www.marypages.com/mary-undoer-of-knots.html)</v>
      </c>
      <c r="BU132" s="120" t="str">
        <f>IF(LEN(concat(BR132:BT132))&gt;0,concat("| ",BR132," | ",BS132," | ",BT132," |"),"")</f>
        <v>|  | [Link](https://www.miraclehunter.com/news/francis/francis-marian-devotion.html) | [Link](https://www.marypages.com/mary-undoer-of-knots.html) |</v>
      </c>
      <c r="BV132" s="117" t="str">
        <f t="shared" si="151"/>
        <v xml:space="preserve">| The Real Presence | Miracle Hunter | MaryPages |_x000D_
| --- | --- | --- |_x000D_
|  | [Link](https://www.miraclehunter.com/news/francis/francis-marian-devotion.html) | [Link](https://www.marypages.com/mary-undoer-of-knots.html) |_x000D_
</v>
      </c>
      <c r="BW132" s="117" t="str">
        <f>IF(LEN(BQ132&amp;BV132)&gt;0,concatll("#### More Information",BQ132,BV132),"")</f>
        <v xml:space="preserve">#### More Information_x000D_
_x000D_
* [Official site](https://sankt-peter-am-perlach.de)
_x000D_
_x000D_
| The Real Presence | Miracle Hunter | MaryPages |_x000D_
| --- | --- | --- |_x000D_
|  | [Link](https://www.miraclehunter.com/news/francis/francis-marian-devotion.html) | [Link](https://www.marypages.com/mary-undoer-of-knots.html) |_x000D_
_x000D_
_x000D_
</v>
      </c>
      <c r="BX132" s="117" t="str">
        <f>IF(LEN(N132)&gt;1,concatll("#### Author's Note",N132,"-"&amp;B132),"")</f>
        <v xml:space="preserve">#### Author's Note_x000D_
_x000D_
Pope Francis has a special devotion to this image, explained in the Miracle Hunter link._x000D_
_x000D_
-JMM_x000D_
_x000D_
</v>
      </c>
      <c r="BY132" s="117" t="s">
        <v>53</v>
      </c>
      <c r="BZ132" s="117" t="s">
        <v>53</v>
      </c>
      <c r="CA132" s="6" t="str">
        <f>IF(AS132,concatll(concatl("---",AT132:AV132,BL132,"---"),M132,BW132:BX132),"")</f>
        <v xml:space="preserve">---_x000D_
title: "St. Peter am Perlach (Mary Undoer of Knots)"_x000D_
location: {lat: 48.3691926319073, lng: 10.8982826487021}_x000D_
interest: global_x000D_
tags:
- de_x000D_
- augsburg_x000D_
- churches_x000D_
- marian-sites_x000D_
_x000D_
---_x000D_
_x000D_
_x000D_
Home of the image Our Lady Undoer of Knots._x000D_
_x000D_
#### More Information_x000D_
_x000D_
* [Official site](https://sankt-peter-am-perlach.de)
_x000D_
_x000D_
| The Real Presence | Miracle Hunter | MaryPages |_x000D_
| --- | --- | --- |_x000D_
|  | [Link](https://www.miraclehunter.com/news/francis/francis-marian-devotion.html) | [Link](https://www.marypages.com/mary-undoer-of-knots.html) |_x000D_
_x000D_
_x000D_
_x000D_
_x000D_
#### Author's Note_x000D_
_x000D_
Pope Francis has a special devotion to this image, explained in the Miracle Hunter link._x000D_
_x000D_
-JMM_x000D_
_x000D_
_x000D_
_x000D_
</v>
      </c>
      <c r="CB132" s="6" t="str">
        <f>IF(AS132,"places\"&amp;VLOOKUP(C132,'Country Tags'!C:D,2,)&amp;IF(LEN(D132)&gt;1,"-"&amp;LOWER(SUBSTITUTE(D132," ","-")),"")&amp;"-"&amp;LOWER(SUBSTITUTE(SUBSTITUTE(H132," ","-"),".",""))&amp;".md","")</f>
        <v>places\de-augsburg-st-peter-am-perlach.md</v>
      </c>
      <c r="CC132" s="6"/>
      <c r="CD132" s="11" t="str">
        <f>IF(LEN(Z132)&gt;1,VLOOKUP(Z132,#REF!,2,),"")</f>
        <v/>
      </c>
      <c r="CE132" s="11" t="str">
        <f>IF(LEN(AA132)&gt;1,VLOOKUP(AA132,#REF!,2,),"")</f>
        <v/>
      </c>
      <c r="CF132" s="11" t="str">
        <f>IF(LEN(AB132)&gt;1,VLOOKUP(AB132,#REF!,2,),"")</f>
        <v/>
      </c>
      <c r="CG132" s="13" t="str">
        <f>IF(LEN(Z132)&gt;1,GetTagPage(CD132,Z132),"")</f>
        <v/>
      </c>
      <c r="CH132" s="13" t="str">
        <f>IF(LEN(AA132)&gt;1,GetTagPage(CE132,AA132),"")</f>
        <v/>
      </c>
      <c r="CI132" s="13" t="str">
        <f>IF(LEN(AB132)&gt;1,GetTagPage(CF132,AB132),"")</f>
        <v/>
      </c>
      <c r="CJ132" s="13" t="str">
        <f t="shared" si="152"/>
        <v xml:space="preserve">| </v>
      </c>
      <c r="CK132" s="13" t="str">
        <f t="shared" si="153"/>
        <v xml:space="preserve">| [Augsberg](/places/places\de-augsburg-st-peter-am-perlach) </v>
      </c>
      <c r="CL132" s="13" t="str">
        <f>"| "&amp;IF(AS132,GetTagPage(C132,VLOOKUP(C132,'Country Tags'!C:E,3,)),C132)&amp; " "</f>
        <v xml:space="preserve">| [Germany](/tags/de) </v>
      </c>
      <c r="CM132" s="13" t="str">
        <f t="shared" si="154"/>
        <v xml:space="preserve">| c. 1700 </v>
      </c>
      <c r="CN132" s="13" t="str">
        <f t="shared" si="155"/>
        <v xml:space="preserve">| [Link](/places/places\de-augsburg-st-peter-am-perlach) </v>
      </c>
      <c r="CO132" s="12" t="str">
        <f t="shared" si="156"/>
        <v xml:space="preserve">
| [Augsberg](/places/places\de-augsburg-st-peter-am-perlach) | [Germany](/tags/de) | c. 1700 | [Link](/places/places\de-augsburg-st-peter-am-perlach) [Official site](https://sankt-peter-am-perlach.de)[Link](https://www.miraclehunter.com/news/francis/francis-marian-devotion.html)[Link](https://www.marypages.com/mary-undoer-of-knots.html)| |</v>
      </c>
    </row>
    <row r="133" spans="1:93" ht="25.5" x14ac:dyDescent="0.25">
      <c r="A133" s="129" t="s">
        <v>743</v>
      </c>
      <c r="B133" s="7" t="s">
        <v>1653</v>
      </c>
      <c r="C133" s="7" t="s">
        <v>0</v>
      </c>
      <c r="E133" s="1">
        <v>8.352427276057</v>
      </c>
      <c r="F133" s="30">
        <v>77.663576934286198</v>
      </c>
      <c r="G133" s="23" t="s">
        <v>922</v>
      </c>
      <c r="H133" s="34" t="s">
        <v>920</v>
      </c>
      <c r="I133" s="7" t="s">
        <v>919</v>
      </c>
      <c r="J133" s="23" t="b">
        <v>1</v>
      </c>
      <c r="K133" s="7" t="b">
        <v>1</v>
      </c>
      <c r="M133" s="23" t="s">
        <v>798</v>
      </c>
      <c r="O133" s="1" t="s">
        <v>921</v>
      </c>
      <c r="P133" s="1" t="s">
        <v>53</v>
      </c>
      <c r="Z133" s="1" t="s">
        <v>53</v>
      </c>
      <c r="AJ133" s="56" t="s">
        <v>774</v>
      </c>
      <c r="AK133" s="57">
        <v>1939</v>
      </c>
      <c r="AL133" s="1" t="s">
        <v>44</v>
      </c>
      <c r="AM133" s="1" t="s">
        <v>53</v>
      </c>
      <c r="AN133" s="1" t="s">
        <v>53</v>
      </c>
      <c r="AO133" s="1" t="s">
        <v>53</v>
      </c>
      <c r="AP133" s="1" t="s">
        <v>53</v>
      </c>
      <c r="AQ133" s="30" t="s">
        <v>53</v>
      </c>
      <c r="AS133" s="116" t="b">
        <f t="shared" si="128"/>
        <v>1</v>
      </c>
      <c r="AT133" s="117" t="str">
        <f t="shared" si="129"/>
        <v>title: "Athisaya Panimatha (Our Lady of Snows) Shrine, Kallikulam"</v>
      </c>
      <c r="AU133" s="117" t="str">
        <f t="shared" si="130"/>
        <v>location: {lat: 8.352427276057, lng: 77.6635769342862}</v>
      </c>
      <c r="AV133" s="117" t="str">
        <f t="shared" si="131"/>
        <v>interest: global</v>
      </c>
      <c r="AW133" s="117" t="str">
        <f>"- "&amp;VLOOKUP(C133,'Country Tags'!C:E,3,)</f>
        <v>- in</v>
      </c>
      <c r="AX133" s="117" t="str">
        <f t="shared" si="132"/>
        <v/>
      </c>
      <c r="AY133" s="117" t="str">
        <f t="shared" si="133"/>
        <v>- churches</v>
      </c>
      <c r="AZ133" s="117" t="str">
        <f t="shared" si="134"/>
        <v>- marian-sites</v>
      </c>
      <c r="BA133" s="117" t="str">
        <f t="shared" si="135"/>
        <v/>
      </c>
      <c r="BB133" s="117" t="str">
        <f t="shared" si="136"/>
        <v/>
      </c>
      <c r="BC133" s="117" t="str">
        <f t="shared" si="137"/>
        <v/>
      </c>
      <c r="BD133" s="117" t="str">
        <f t="shared" si="138"/>
        <v/>
      </c>
      <c r="BE133" s="117" t="str">
        <f t="shared" si="139"/>
        <v/>
      </c>
      <c r="BF133" s="117" t="str">
        <f t="shared" si="140"/>
        <v/>
      </c>
      <c r="BG133" s="117" t="str">
        <f t="shared" si="141"/>
        <v/>
      </c>
      <c r="BH133" s="117" t="str">
        <f t="shared" si="142"/>
        <v/>
      </c>
      <c r="BI133" s="117" t="str">
        <f t="shared" si="143"/>
        <v/>
      </c>
      <c r="BJ133" s="117" t="str">
        <f t="shared" si="144"/>
        <v/>
      </c>
      <c r="BK133" s="117" t="str">
        <f t="shared" si="145"/>
        <v/>
      </c>
      <c r="BL133" s="117" t="str">
        <f t="shared" si="146"/>
        <v xml:space="preserve">tags:
- in_x000D_
- churches_x000D_
- marian-sites_x000D_
</v>
      </c>
      <c r="BM133" s="120" t="str">
        <f t="shared" si="124"/>
        <v>[Official site](https://www.athisayapanimatha.com/)</v>
      </c>
      <c r="BN133" s="120" t="str">
        <f t="shared" si="125"/>
        <v/>
      </c>
      <c r="BO133" s="120" t="str">
        <f t="shared" si="126"/>
        <v/>
      </c>
      <c r="BP133" s="120" t="str">
        <f t="shared" si="127"/>
        <v/>
      </c>
      <c r="BQ133" s="120" t="str">
        <f t="shared" si="147"/>
        <v xml:space="preserve">* [Official site](https://www.athisayapanimatha.com/)
</v>
      </c>
      <c r="BR133" s="120" t="str">
        <f t="shared" si="148"/>
        <v>[Link](http://www.therealpresence.org/eucharst/misc/BVM/128_KALLIKULAM_60x96.pdf)</v>
      </c>
      <c r="BS133" s="120" t="str">
        <f t="shared" si="149"/>
        <v/>
      </c>
      <c r="BT133" s="120" t="str">
        <f t="shared" si="150"/>
        <v/>
      </c>
      <c r="BU133" s="120" t="str">
        <f>IF(LEN(concat(BR133:BT133))&gt;0,concat("| ",BR133," | ",BS133," | ",BT133," |"),"")</f>
        <v>| [Link](http://www.therealpresence.org/eucharst/misc/BVM/128_KALLIKULAM_60x96.pdf) |  |  |</v>
      </c>
      <c r="BV133" s="117" t="str">
        <f t="shared" si="151"/>
        <v xml:space="preserve">| The Real Presence | Miracle Hunter | MaryPages |_x000D_
| --- | --- | --- |_x000D_
| [Link](http://www.therealpresence.org/eucharst/misc/BVM/128_KALLIKULAM_60x96.pdf) |  |  |_x000D_
</v>
      </c>
      <c r="BW133" s="117" t="str">
        <f>IF(LEN(BQ133&amp;BV133)&gt;0,concatll("#### More Information",BQ133,BV133),"")</f>
        <v xml:space="preserve">#### More Information_x000D_
_x000D_
* [Official site](https://www.athisayapanimatha.com/)
_x000D_
_x000D_
| The Real Presence | Miracle Hunter | MaryPages |_x000D_
| --- | --- | --- |_x000D_
| [Link](http://www.therealpresence.org/eucharst/misc/BVM/128_KALLIKULAM_60x96.pdf) |  |  |_x000D_
_x000D_
_x000D_
</v>
      </c>
      <c r="BX133" s="117" t="str">
        <f>IF(LEN(N133)&gt;1,concatll("#### Author's Note",N133,"-"&amp;B133),"")</f>
        <v/>
      </c>
      <c r="BY133" s="117" t="s">
        <v>53</v>
      </c>
      <c r="BZ133" s="117" t="s">
        <v>53</v>
      </c>
      <c r="CA133" s="6" t="str">
        <f>IF(AS133,concatll(concatl("---",AT133:AV133,BL133,"---"),M133,BW133:BX133),"")</f>
        <v xml:space="preserve">---_x000D_
title: "Athisaya Panimatha (Our Lady of Snows) Shrine, Kallikulam"_x000D_
location: {lat: 8.352427276057, lng: 77.6635769342862}_x000D_
interest: global_x000D_
tags:
- in_x000D_
- churches_x000D_
- marian-sites_x000D_
_x000D_
---_x000D_
_x000D_
_x000D_
_Research in progress__x000D_
_x000D_
#### More Information_x000D_
_x000D_
* [Official site](https://www.athisayapanimatha.com/)
_x000D_
_x000D_
| The Real Presence | Miracle Hunter | MaryPages |_x000D_
| --- | --- | --- |_x000D_
| [Link](http://www.therealpresence.org/eucharst/misc/BVM/128_KALLIKULAM_60x96.pdf) |  |  |_x000D_
_x000D_
_x000D_
_x000D_
_x000D_
</v>
      </c>
      <c r="CB133" s="6" t="str">
        <f>IF(AS133,"places\"&amp;VLOOKUP(C133,'Country Tags'!C:D,2,)&amp;IF(LEN(D133)&gt;1,"-"&amp;LOWER(SUBSTITUTE(D133," ","-")),"")&amp;"-"&amp;LOWER(SUBSTITUTE(SUBSTITUTE(H133," ","-"),".",""))&amp;".md","")</f>
        <v>places\in-athisaya-panimatha-shrine.md</v>
      </c>
      <c r="CC133" s="6"/>
      <c r="CD133" s="12" t="str">
        <f>IF(LEN(Z133)&gt;1,VLOOKUP(Z133,#REF!,2,),"")</f>
        <v/>
      </c>
      <c r="CE133" s="12" t="str">
        <f>IF(LEN(AA133)&gt;1,VLOOKUP(AA133,#REF!,2,),"")</f>
        <v/>
      </c>
      <c r="CF133" s="12" t="str">
        <f>IF(LEN(AB133)&gt;1,VLOOKUP(AB133,#REF!,2,),"")</f>
        <v/>
      </c>
      <c r="CG133" s="13" t="str">
        <f>IF(LEN(Z133)&gt;1,GetTagPage(CD133,Z133),"")</f>
        <v/>
      </c>
      <c r="CH133" s="13" t="str">
        <f>IF(LEN(AA133)&gt;1,GetTagPage(CE133,AA133),"")</f>
        <v/>
      </c>
      <c r="CI133" s="13" t="str">
        <f>IF(LEN(AB133)&gt;1,GetTagPage(CF133,AB133),"")</f>
        <v/>
      </c>
      <c r="CJ133" s="13" t="str">
        <f t="shared" si="152"/>
        <v xml:space="preserve">| </v>
      </c>
      <c r="CK133" s="13" t="str">
        <f t="shared" si="153"/>
        <v xml:space="preserve">| [Kallikulam](/places/places\in-athisaya-panimatha-shrine) </v>
      </c>
      <c r="CL133" s="13" t="str">
        <f>"| "&amp;IF(AS133,GetTagPage(C133,VLOOKUP(C133,'Country Tags'!C:E,3,)),C133)&amp; " "</f>
        <v xml:space="preserve">| [India](/tags/in) </v>
      </c>
      <c r="CM133" s="13" t="str">
        <f t="shared" si="154"/>
        <v xml:space="preserve">| 1939 </v>
      </c>
      <c r="CN133" s="13" t="str">
        <f t="shared" si="155"/>
        <v xml:space="preserve">| [Link](/places/places\in-athisaya-panimatha-shrine) </v>
      </c>
      <c r="CO133" s="12" t="str">
        <f t="shared" si="156"/>
        <v xml:space="preserve">
| [Kallikulam](/places/places\in-athisaya-panimatha-shrine) | [India](/tags/in) | 1939 | [Link](/places/places\in-athisaya-panimatha-shrine) [Official site](https://www.athisayapanimatha.com/)[Link](http://www.therealpresence.org/eucharst/misc/BVM/128_KALLIKULAM_60x96.pdf)| |</v>
      </c>
    </row>
    <row r="134" spans="1:93" x14ac:dyDescent="0.25">
      <c r="A134" s="129" t="s">
        <v>743</v>
      </c>
      <c r="B134" s="7" t="s">
        <v>1653</v>
      </c>
      <c r="C134" s="7" t="s">
        <v>1</v>
      </c>
      <c r="D134" s="26" t="s">
        <v>887</v>
      </c>
      <c r="E134" s="1">
        <v>38.141271460015901</v>
      </c>
      <c r="F134" s="30">
        <v>15.0456795824699</v>
      </c>
      <c r="G134" s="7" t="s">
        <v>803</v>
      </c>
      <c r="H134" s="33" t="s">
        <v>802</v>
      </c>
      <c r="I134" s="7" t="s">
        <v>919</v>
      </c>
      <c r="J134" s="23" t="b">
        <v>1</v>
      </c>
      <c r="K134" s="7" t="b">
        <v>1</v>
      </c>
      <c r="M134" s="7" t="s">
        <v>798</v>
      </c>
      <c r="O134" s="1" t="s">
        <v>800</v>
      </c>
      <c r="P134" s="1" t="s">
        <v>53</v>
      </c>
      <c r="AJ134" s="56" t="s">
        <v>761</v>
      </c>
      <c r="AK134" s="57" t="s">
        <v>806</v>
      </c>
      <c r="AL134" s="1" t="s">
        <v>16</v>
      </c>
      <c r="AM134" s="1" t="s">
        <v>53</v>
      </c>
      <c r="AO134" s="1" t="s">
        <v>53</v>
      </c>
      <c r="AP134" s="1" t="s">
        <v>53</v>
      </c>
      <c r="AQ134" s="30" t="s">
        <v>53</v>
      </c>
      <c r="AS134" s="116" t="b">
        <f t="shared" ref="AS134:AS139" si="157">IF(OR(A134="Done",A134="In Progress"),TRUE)</f>
        <v>1</v>
      </c>
      <c r="AT134" s="117" t="str">
        <f t="shared" ref="AT134:AT139" si="158">"title: """&amp;G134&amp;""""</f>
        <v>title: "Sanctuary of Holy Mary of Tindari"</v>
      </c>
      <c r="AU134" s="117" t="str">
        <f t="shared" ref="AU134:AU139" si="159">"location: {lat: "&amp;E134&amp;", lng: "&amp;F134&amp;"}"</f>
        <v>location: {lat: 38.1412714600159, lng: 15.0456795824699}</v>
      </c>
      <c r="AV134" s="117" t="str">
        <f t="shared" ref="AV134:AV139" si="160">"interest: "&amp;I134</f>
        <v>interest: global</v>
      </c>
      <c r="AW134" s="117" t="str">
        <f>"- "&amp;VLOOKUP(C134,'Country Tags'!C:E,3,)</f>
        <v>- it</v>
      </c>
      <c r="AX134" s="117" t="str">
        <f t="shared" ref="AX134:AX139" si="161">IF(LEN(D134)&gt;1,"- "&amp;LOWER(SUBSTITUTE(D134," ","-")),"")</f>
        <v>- sicily</v>
      </c>
      <c r="AY134" s="117" t="str">
        <f t="shared" ref="AY134:AY139" si="162">IF(J134,"- churches","")</f>
        <v>- churches</v>
      </c>
      <c r="AZ134" s="117" t="str">
        <f t="shared" ref="AZ134:AZ139" si="163">IF(K134,"- marian-sites","")</f>
        <v>- marian-sites</v>
      </c>
      <c r="BA134" s="117" t="str">
        <f t="shared" ref="BA134:BA139" si="164">IF(L134,"- holy-persons","")</f>
        <v/>
      </c>
      <c r="BB134" s="117" t="str">
        <f t="shared" ref="BB134:BB139" si="165">IF(LEN(Z134)&gt;0,"- "&amp;Z134,"")</f>
        <v/>
      </c>
      <c r="BC134" s="117" t="str">
        <f t="shared" ref="BC134:BC139" si="166">IF(LEN(AA134)&gt;0,"- "&amp;AA134,"")</f>
        <v/>
      </c>
      <c r="BD134" s="117" t="str">
        <f t="shared" ref="BD134:BD139" si="167">IF(LEN(AB134)&gt;0,"- "&amp;AB134,"")</f>
        <v/>
      </c>
      <c r="BE134" s="117" t="str">
        <f t="shared" ref="BE134:BE139" si="168">IF(LEN(AC134)&gt;0,"- "&amp;AC134,"")</f>
        <v/>
      </c>
      <c r="BF134" s="117" t="str">
        <f t="shared" ref="BF134:BF139" si="169">IF(LEN(AD134)&gt;0,"- "&amp;AD134,"")</f>
        <v/>
      </c>
      <c r="BG134" s="117" t="str">
        <f t="shared" ref="BG134:BG139" si="170">IF(LEN(AE134)&gt;0,"- "&amp;AE134,"")</f>
        <v/>
      </c>
      <c r="BH134" s="117" t="str">
        <f t="shared" ref="BH134:BH139" si="171">IF(LEN(AF134)&gt;0,"- "&amp;AF134,"")</f>
        <v/>
      </c>
      <c r="BI134" s="117" t="str">
        <f t="shared" ref="BI134:BI139" si="172">IF(LEN(AG134)&gt;0,"- "&amp;AG134,"")</f>
        <v/>
      </c>
      <c r="BJ134" s="117" t="str">
        <f t="shared" ref="BJ134:BJ139" si="173">IF(LEN(AH134)&gt;0,"- "&amp;AH134,"")</f>
        <v/>
      </c>
      <c r="BK134" s="117" t="str">
        <f t="shared" ref="BK134:BK139" si="174">IF(LEN(AI134)&gt;0,"- "&amp;AI134,"")</f>
        <v/>
      </c>
      <c r="BL134" s="117" t="str">
        <f t="shared" ref="BL134:BL139" si="175">"tags:"&amp;CHAR(10)&amp;concatl(AW134:BK134)</f>
        <v xml:space="preserve">tags:
- it_x000D_
- sicily_x000D_
- churches_x000D_
- marian-sites_x000D_
</v>
      </c>
      <c r="BM134" s="120" t="str">
        <f t="shared" si="124"/>
        <v>[Official site](https://santuariotindari.it/)</v>
      </c>
      <c r="BN134" s="120" t="str">
        <f t="shared" si="125"/>
        <v/>
      </c>
      <c r="BO134" s="120" t="str">
        <f t="shared" si="126"/>
        <v/>
      </c>
      <c r="BP134" s="120" t="str">
        <f t="shared" si="127"/>
        <v/>
      </c>
      <c r="BQ134" s="120" t="str">
        <f t="shared" ref="BQ134:BQ139" si="176">IF(LEN(BM134)&gt;0,"* "&amp;BM134&amp;CHAR(10),"")&amp;
IF(LEN(BN134)&gt;0,"* "&amp;BN134&amp;CHAR(10),"")&amp;
IF(LEN(BO134)&gt;0,"* "&amp;BO134&amp;CHAR(10),"")&amp;
IF(LEN(BP134)&gt;0,"* "&amp;BP134&amp;CHAR(10),"")</f>
        <v xml:space="preserve">* [Official site](https://santuariotindari.it/)
</v>
      </c>
      <c r="BR134" s="120" t="str">
        <f t="shared" ref="BR134:BR139" si="177">IF(LEN(AL134)&gt;0,TRIM(CONCATENATE("[Link](",AL134,") ",AM134)),"")</f>
        <v>[Link](http://www.therealpresence.org/eucharst/misc/BVM/90_TINDARI_60x96.pdf)</v>
      </c>
      <c r="BS134" s="120" t="str">
        <f t="shared" ref="BS134:BS139" si="178">IF(LEN(AN134)&gt;0,TRIM(CONCATENATE("[Link](",AN134,") ",AO134)),"")</f>
        <v/>
      </c>
      <c r="BT134" s="120" t="str">
        <f t="shared" ref="BT134:BT139" si="179">IF(LEN(AP134)&gt;0,TRIM(CONCATENATE("[Link](",AP134,") ",AQ134)),"")</f>
        <v/>
      </c>
      <c r="BU134" s="120" t="str">
        <f>IF(LEN(concat(BR134:BT134))&gt;0,concat("| ",BR134," | ",BS134," | ",BT134," |"),"")</f>
        <v>| [Link](http://www.therealpresence.org/eucharst/misc/BVM/90_TINDARI_60x96.pdf) |  |  |</v>
      </c>
      <c r="BV134" s="117" t="str">
        <f t="shared" ref="BV134:BV139" si="180">IF(K134,concatl("| The Real Presence | Miracle Hunter | MaryPages |","| --- | --- | --- |",BU134),"")</f>
        <v xml:space="preserve">| The Real Presence | Miracle Hunter | MaryPages |_x000D_
| --- | --- | --- |_x000D_
| [Link](http://www.therealpresence.org/eucharst/misc/BVM/90_TINDARI_60x96.pdf) |  |  |_x000D_
</v>
      </c>
      <c r="BW134" s="117" t="str">
        <f>IF(LEN(BQ134&amp;BV134)&gt;0,concatll("#### More Information",BQ134,BV134),"")</f>
        <v xml:space="preserve">#### More Information_x000D_
_x000D_
* [Official site](https://santuariotindari.it/)
_x000D_
_x000D_
| The Real Presence | Miracle Hunter | MaryPages |_x000D_
| --- | --- | --- |_x000D_
| [Link](http://www.therealpresence.org/eucharst/misc/BVM/90_TINDARI_60x96.pdf) |  |  |_x000D_
_x000D_
_x000D_
</v>
      </c>
      <c r="BX134" s="117" t="str">
        <f>IF(LEN(N134)&gt;1,concatll("#### Author's Note",N134,"-"&amp;B134),"")</f>
        <v/>
      </c>
      <c r="BY134" s="117" t="s">
        <v>53</v>
      </c>
      <c r="BZ134" s="117" t="s">
        <v>53</v>
      </c>
      <c r="CA134" s="6" t="str">
        <f>IF(AS134,concatll(concatl("---",AT134:AV134,BL134,"---"),M134,BW134:BX134),"")</f>
        <v xml:space="preserve">---_x000D_
title: "Sanctuary of Holy Mary of Tindari"_x000D_
location: {lat: 38.1412714600159, lng: 15.0456795824699}_x000D_
interest: global_x000D_
tags:
- it_x000D_
- sicily_x000D_
- churches_x000D_
- marian-sites_x000D_
_x000D_
---_x000D_
_x000D_
_x000D_
_Research in progress__x000D_
_x000D_
#### More Information_x000D_
_x000D_
* [Official site](https://santuariotindari.it/)
_x000D_
_x000D_
| The Real Presence | Miracle Hunter | MaryPages |_x000D_
| --- | --- | --- |_x000D_
| [Link](http://www.therealpresence.org/eucharst/misc/BVM/90_TINDARI_60x96.pdf) |  |  |_x000D_
_x000D_
_x000D_
_x000D_
_x000D_
</v>
      </c>
      <c r="CB134" s="6" t="str">
        <f>IF(AS134,"places\"&amp;VLOOKUP(C134,'Country Tags'!C:D,2,)&amp;IF(LEN(D134)&gt;1,"-"&amp;LOWER(SUBSTITUTE(D134," ","-")),"")&amp;"-"&amp;LOWER(SUBSTITUTE(SUBSTITUTE(H134," ","-"),".",""))&amp;".md","")</f>
        <v>places\it-sicily-sanctuary-of-tindari.md</v>
      </c>
      <c r="CC134" s="6"/>
      <c r="CD134" s="12" t="str">
        <f>IF(LEN(Z134)&gt;1,VLOOKUP(Z134,#REF!,2,),"")</f>
        <v/>
      </c>
      <c r="CE134" s="12" t="str">
        <f>IF(LEN(AA134)&gt;1,VLOOKUP(AA134,#REF!,2,),"")</f>
        <v/>
      </c>
      <c r="CF134" s="12" t="str">
        <f>IF(LEN(AB134)&gt;1,VLOOKUP(AB134,#REF!,2,),"")</f>
        <v/>
      </c>
      <c r="CG134" s="13" t="str">
        <f>IF(LEN(Z134)&gt;1,GetTagPage(CD134,Z134),"")</f>
        <v/>
      </c>
      <c r="CH134" s="13" t="str">
        <f>IF(LEN(AA134)&gt;1,GetTagPage(CE134,AA134),"")</f>
        <v/>
      </c>
      <c r="CI134" s="13" t="str">
        <f>IF(LEN(AB134)&gt;1,GetTagPage(CF134,AB134),"")</f>
        <v/>
      </c>
      <c r="CJ134" s="13" t="str">
        <f t="shared" ref="CJ134:CJ139" si="181">"|"&amp;IF(LEN(CG134)&gt;1," "&amp;CG134,"")&amp;IF(LEN(CH134)&gt;1,", "&amp;CH134,"")&amp;IF(LEN(CI134)&gt;1,", "&amp;CI134,"")&amp;" "</f>
        <v xml:space="preserve">| </v>
      </c>
      <c r="CK134" s="13" t="str">
        <f t="shared" ref="CK134:CK139" si="182">"| "&amp;IF(AS134,"["&amp;AJ134&amp;"](/places/"&amp;SUBSTITUTE(CB134,".md","")&amp;")",AJ134)&amp;" "</f>
        <v xml:space="preserve">| [Tindari](/places/places\it-sicily-sanctuary-of-tindari) </v>
      </c>
      <c r="CL134" s="13" t="str">
        <f>"| "&amp;IF(AS134,GetTagPage(C134,VLOOKUP(C134,'Country Tags'!C:E,3,)),C134)&amp; " "</f>
        <v xml:space="preserve">| [Italy](/tags/it) </v>
      </c>
      <c r="CM134" s="13" t="str">
        <f t="shared" ref="CM134:CM139" si="183">"| "&amp;AK134&amp;" "</f>
        <v xml:space="preserve">| 5th or 6th Century </v>
      </c>
      <c r="CN134" s="13" t="str">
        <f t="shared" ref="CN134:CN139" si="184">"|"&amp;IF(AS134," [Link](/places/"&amp;SUBSTITUTE(CB134,".md","")&amp;")","")&amp;" "</f>
        <v xml:space="preserve">| [Link](/places/places\it-sicily-sanctuary-of-tindari) </v>
      </c>
      <c r="CO134" s="12" t="str">
        <f t="shared" ref="CO134:CO139" si="185">"
"&amp;CK134&amp;CL134&amp;CM134&amp;CN134&amp;BM134&amp;BR134&amp;BS134&amp;BT134&amp;CJ134&amp;"|"</f>
        <v xml:space="preserve">
| [Tindari](/places/places\it-sicily-sanctuary-of-tindari) | [Italy](/tags/it) | 5th or 6th Century | [Link](/places/places\it-sicily-sanctuary-of-tindari) [Official site](https://santuariotindari.it/)[Link](http://www.therealpresence.org/eucharst/misc/BVM/90_TINDARI_60x96.pdf)| |</v>
      </c>
    </row>
    <row r="135" spans="1:93" x14ac:dyDescent="0.25">
      <c r="A135" s="129" t="s">
        <v>743</v>
      </c>
      <c r="B135" s="7" t="s">
        <v>1653</v>
      </c>
      <c r="C135" s="7" t="s">
        <v>340</v>
      </c>
      <c r="E135" s="1">
        <v>36.0617520264557</v>
      </c>
      <c r="F135" s="30">
        <v>14.2153318855345</v>
      </c>
      <c r="G135" s="7" t="s">
        <v>831</v>
      </c>
      <c r="H135" s="34" t="s">
        <v>918</v>
      </c>
      <c r="I135" s="23" t="s">
        <v>919</v>
      </c>
      <c r="J135" s="23" t="b">
        <v>1</v>
      </c>
      <c r="K135" s="7" t="b">
        <v>1</v>
      </c>
      <c r="M135" s="7" t="s">
        <v>798</v>
      </c>
      <c r="O135" s="1" t="s">
        <v>828</v>
      </c>
      <c r="P135" s="1" t="s">
        <v>53</v>
      </c>
      <c r="Z135" s="1" t="s">
        <v>53</v>
      </c>
      <c r="AJ135" s="56" t="s">
        <v>766</v>
      </c>
      <c r="AK135" s="57">
        <v>1575</v>
      </c>
      <c r="AL135" s="1" t="s">
        <v>23</v>
      </c>
      <c r="AM135" s="1" t="s">
        <v>53</v>
      </c>
      <c r="AN135" s="1" t="s">
        <v>829</v>
      </c>
      <c r="AO135" s="1" t="s">
        <v>53</v>
      </c>
      <c r="AP135" s="1" t="s">
        <v>830</v>
      </c>
      <c r="AQ135" s="30" t="s">
        <v>53</v>
      </c>
      <c r="AS135" s="116" t="b">
        <f t="shared" si="157"/>
        <v>1</v>
      </c>
      <c r="AT135" s="117" t="str">
        <f t="shared" si="158"/>
        <v>title: "Basilica of the Blessed Virgin of Ta' Pinu"</v>
      </c>
      <c r="AU135" s="117" t="str">
        <f t="shared" si="159"/>
        <v>location: {lat: 36.0617520264557, lng: 14.2153318855345}</v>
      </c>
      <c r="AV135" s="117" t="str">
        <f t="shared" si="160"/>
        <v>interest: global</v>
      </c>
      <c r="AW135" s="117" t="str">
        <f>"- "&amp;VLOOKUP(C135,'Country Tags'!C:E,3,)</f>
        <v>- mt</v>
      </c>
      <c r="AX135" s="117" t="str">
        <f t="shared" si="161"/>
        <v/>
      </c>
      <c r="AY135" s="117" t="str">
        <f t="shared" si="162"/>
        <v>- churches</v>
      </c>
      <c r="AZ135" s="117" t="str">
        <f t="shared" si="163"/>
        <v>- marian-sites</v>
      </c>
      <c r="BA135" s="117" t="str">
        <f t="shared" si="164"/>
        <v/>
      </c>
      <c r="BB135" s="117" t="str">
        <f t="shared" si="165"/>
        <v/>
      </c>
      <c r="BC135" s="117" t="str">
        <f t="shared" si="166"/>
        <v/>
      </c>
      <c r="BD135" s="117" t="str">
        <f t="shared" si="167"/>
        <v/>
      </c>
      <c r="BE135" s="117" t="str">
        <f t="shared" si="168"/>
        <v/>
      </c>
      <c r="BF135" s="117" t="str">
        <f t="shared" si="169"/>
        <v/>
      </c>
      <c r="BG135" s="117" t="str">
        <f t="shared" si="170"/>
        <v/>
      </c>
      <c r="BH135" s="117" t="str">
        <f t="shared" si="171"/>
        <v/>
      </c>
      <c r="BI135" s="117" t="str">
        <f t="shared" si="172"/>
        <v/>
      </c>
      <c r="BJ135" s="117" t="str">
        <f t="shared" si="173"/>
        <v/>
      </c>
      <c r="BK135" s="117" t="str">
        <f t="shared" si="174"/>
        <v/>
      </c>
      <c r="BL135" s="117" t="str">
        <f t="shared" si="175"/>
        <v xml:space="preserve">tags:
- mt_x000D_
- churches_x000D_
- marian-sites_x000D_
</v>
      </c>
      <c r="BM135" s="120" t="str">
        <f t="shared" ref="BM135:BM139" si="186">IF(LEN(O135)&gt;0,TRIM(CONCATENATE("[Official site](",O135,") ",IF(LEN(P135)&gt;0,"- "&amp;P135,P135))),"")</f>
        <v>[Official site](http://www.tapinu.org/)</v>
      </c>
      <c r="BN135" s="120" t="str">
        <f t="shared" ref="BN135:BN139" si="187">IF(LEN(R135)&gt;0,TRIM(CONCATENATE("["&amp;Q135&amp;"](",R135,") ",IF(LEN(S135)&gt;0,"- "&amp;S135,S135))),"")</f>
        <v/>
      </c>
      <c r="BO135" s="120" t="str">
        <f t="shared" ref="BO135:BO139" si="188">IF(LEN(U135)&gt;0,TRIM(CONCATENATE("["&amp;T135&amp;"](",U135,") ",IF(LEN(V135)&gt;0,"- "&amp;V135,V135))),"")</f>
        <v/>
      </c>
      <c r="BP135" s="120" t="str">
        <f t="shared" ref="BP135:BP139" si="189">IF(LEN(X135)&gt;0,TRIM(CONCATENATE("["&amp;W135&amp;"](",X135,") ",IF(LEN(Y135)&gt;0,"- "&amp;Y135,Y135))),"")</f>
        <v/>
      </c>
      <c r="BQ135" s="120" t="str">
        <f t="shared" si="176"/>
        <v xml:space="preserve">* [Official site](http://www.tapinu.org/)
</v>
      </c>
      <c r="BR135" s="120" t="str">
        <f t="shared" si="177"/>
        <v>[Link](http://www.therealpresence.org/eucharst/misc/BVM/140_GOZO_60x96.pdf)</v>
      </c>
      <c r="BS135" s="120" t="str">
        <f t="shared" si="178"/>
        <v>[Link](http://www.miraclehunter.com/marian_apparitions/approved_apparitions/tapinu/)</v>
      </c>
      <c r="BT135" s="120" t="str">
        <f t="shared" si="179"/>
        <v>[Link](https://www.marypages.com/ta-pinu-malta-en.html)</v>
      </c>
      <c r="BU135" s="120" t="str">
        <f>IF(LEN(concat(BR135:BT135))&gt;0,concat("| ",BR135," | ",BS135," | ",BT135," |"),"")</f>
        <v>| [Link](http://www.therealpresence.org/eucharst/misc/BVM/140_GOZO_60x96.pdf) | [Link](http://www.miraclehunter.com/marian_apparitions/approved_apparitions/tapinu/) | [Link](https://www.marypages.com/ta-pinu-malta-en.html) |</v>
      </c>
      <c r="BV135" s="117" t="str">
        <f t="shared" si="180"/>
        <v xml:space="preserve">| The Real Presence | Miracle Hunter | MaryPages |_x000D_
| --- | --- | --- |_x000D_
| [Link](http://www.therealpresence.org/eucharst/misc/BVM/140_GOZO_60x96.pdf) | [Link](http://www.miraclehunter.com/marian_apparitions/approved_apparitions/tapinu/) | [Link](https://www.marypages.com/ta-pinu-malta-en.html) |_x000D_
</v>
      </c>
      <c r="BW135" s="117" t="str">
        <f>IF(LEN(BQ135&amp;BV135)&gt;0,concatll("#### More Information",BQ135,BV135),"")</f>
        <v xml:space="preserve">#### More Information_x000D_
_x000D_
* [Official site](http://www.tapinu.org/)
_x000D_
_x000D_
| The Real Presence | Miracle Hunter | MaryPages |_x000D_
| --- | --- | --- |_x000D_
| [Link](http://www.therealpresence.org/eucharst/misc/BVM/140_GOZO_60x96.pdf) | [Link](http://www.miraclehunter.com/marian_apparitions/approved_apparitions/tapinu/) | [Link](https://www.marypages.com/ta-pinu-malta-en.html) |_x000D_
_x000D_
_x000D_
</v>
      </c>
      <c r="BX135" s="117" t="str">
        <f>IF(LEN(N135)&gt;1,concatll("#### Author's Note",N135,"-"&amp;B135),"")</f>
        <v/>
      </c>
      <c r="BY135" s="117" t="s">
        <v>53</v>
      </c>
      <c r="BZ135" s="117" t="s">
        <v>53</v>
      </c>
      <c r="CA135" s="6" t="str">
        <f>IF(AS135,concatll(concatl("---",AT135:AV135,BL135,"---"),M135,BW135:BX135),"")</f>
        <v xml:space="preserve">---_x000D_
title: "Basilica of the Blessed Virgin of Ta' Pinu"_x000D_
location: {lat: 36.0617520264557, lng: 14.2153318855345}_x000D_
interest: global_x000D_
tags:
- mt_x000D_
- churches_x000D_
- marian-sites_x000D_
_x000D_
---_x000D_
_x000D_
_x000D_
_Research in progress__x000D_
_x000D_
#### More Information_x000D_
_x000D_
* [Official site](http://www.tapinu.org/)
_x000D_
_x000D_
| The Real Presence | Miracle Hunter | MaryPages |_x000D_
| --- | --- | --- |_x000D_
| [Link](http://www.therealpresence.org/eucharst/misc/BVM/140_GOZO_60x96.pdf) | [Link](http://www.miraclehunter.com/marian_apparitions/approved_apparitions/tapinu/) | [Link](https://www.marypages.com/ta-pinu-malta-en.html) |_x000D_
_x000D_
_x000D_
_x000D_
_x000D_
</v>
      </c>
      <c r="CB135" s="6" t="str">
        <f>IF(AS135,"places\"&amp;VLOOKUP(C135,'Country Tags'!C:D,2,)&amp;IF(LEN(D135)&gt;1,"-"&amp;LOWER(SUBSTITUTE(D135," ","-")),"")&amp;"-"&amp;LOWER(SUBSTITUTE(SUBSTITUTE(H135," ","-"),".",""))&amp;".md","")</f>
        <v>places\mt-basilica-of-ta-pinu.md</v>
      </c>
      <c r="CC135" s="6"/>
      <c r="CD135" s="12" t="str">
        <f>IF(LEN(Z135)&gt;1,VLOOKUP(Z135,#REF!,2,),"")</f>
        <v/>
      </c>
      <c r="CE135" s="12" t="str">
        <f>IF(LEN(AA135)&gt;1,VLOOKUP(AA135,#REF!,2,),"")</f>
        <v/>
      </c>
      <c r="CF135" s="12" t="str">
        <f>IF(LEN(AB135)&gt;1,VLOOKUP(AB135,#REF!,2,),"")</f>
        <v/>
      </c>
      <c r="CG135" s="13" t="str">
        <f>IF(LEN(Z135)&gt;1,GetTagPage(CD135,Z135),"")</f>
        <v/>
      </c>
      <c r="CH135" s="13" t="str">
        <f>IF(LEN(AA135)&gt;1,GetTagPage(CE135,AA135),"")</f>
        <v/>
      </c>
      <c r="CI135" s="13" t="str">
        <f>IF(LEN(AB135)&gt;1,GetTagPage(CF135,AB135),"")</f>
        <v/>
      </c>
      <c r="CJ135" s="13" t="str">
        <f t="shared" si="181"/>
        <v xml:space="preserve">| </v>
      </c>
      <c r="CK135" s="13" t="str">
        <f t="shared" si="182"/>
        <v xml:space="preserve">| [Gozo](/places/places\mt-basilica-of-ta-pinu) </v>
      </c>
      <c r="CL135" s="13" t="str">
        <f>"| "&amp;IF(AS135,GetTagPage(C135,VLOOKUP(C135,'Country Tags'!C:E,3,)),C135)&amp; " "</f>
        <v xml:space="preserve">| [Malta](/tags/mt) </v>
      </c>
      <c r="CM135" s="13" t="str">
        <f t="shared" si="183"/>
        <v xml:space="preserve">| 1575 </v>
      </c>
      <c r="CN135" s="13" t="str">
        <f t="shared" si="184"/>
        <v xml:space="preserve">| [Link](/places/places\mt-basilica-of-ta-pinu) </v>
      </c>
      <c r="CO135" s="12" t="str">
        <f t="shared" si="185"/>
        <v xml:space="preserve">
| [Gozo](/places/places\mt-basilica-of-ta-pinu) | [Malta](/tags/mt) | 1575 | [Link](/places/places\mt-basilica-of-ta-pinu) [Official site](http://www.tapinu.org/)[Link](http://www.therealpresence.org/eucharst/misc/BVM/140_GOZO_60x96.pdf)[Link](http://www.miraclehunter.com/marian_apparitions/approved_apparitions/tapinu/)[Link](https://www.marypages.com/ta-pinu-malta-en.html)| |</v>
      </c>
    </row>
    <row r="136" spans="1:93" ht="25.5" x14ac:dyDescent="0.25">
      <c r="A136" s="129" t="s">
        <v>743</v>
      </c>
      <c r="B136" s="7" t="s">
        <v>1653</v>
      </c>
      <c r="C136" s="7" t="s">
        <v>352</v>
      </c>
      <c r="E136" s="1">
        <v>12.250924807686999</v>
      </c>
      <c r="F136" s="30">
        <v>-85.378274608161107</v>
      </c>
      <c r="G136" s="7" t="s">
        <v>811</v>
      </c>
      <c r="H136" s="33" t="s">
        <v>810</v>
      </c>
      <c r="I136" s="7" t="s">
        <v>919</v>
      </c>
      <c r="J136" s="23" t="b">
        <v>1</v>
      </c>
      <c r="K136" s="7" t="b">
        <v>1</v>
      </c>
      <c r="M136" s="7" t="s">
        <v>798</v>
      </c>
      <c r="N136" s="139" t="s">
        <v>1691</v>
      </c>
      <c r="O136" s="1" t="s">
        <v>812</v>
      </c>
      <c r="P136" s="1" t="s">
        <v>53</v>
      </c>
      <c r="Z136" s="1" t="s">
        <v>53</v>
      </c>
      <c r="AJ136" s="56" t="s">
        <v>777</v>
      </c>
      <c r="AK136" s="57">
        <v>1980</v>
      </c>
      <c r="AL136" s="1" t="s">
        <v>48</v>
      </c>
      <c r="AM136" s="1" t="s">
        <v>53</v>
      </c>
      <c r="AN136" s="1" t="s">
        <v>809</v>
      </c>
      <c r="AO136" s="1" t="s">
        <v>53</v>
      </c>
      <c r="AP136" s="1" t="s">
        <v>808</v>
      </c>
      <c r="AQ136" s="30" t="s">
        <v>53</v>
      </c>
      <c r="AS136" s="116" t="b">
        <f t="shared" si="157"/>
        <v>1</v>
      </c>
      <c r="AT136" s="117" t="str">
        <f t="shared" si="158"/>
        <v>title: "National Sanctuary of Our Lady of Cuapa"</v>
      </c>
      <c r="AU136" s="117" t="str">
        <f t="shared" si="159"/>
        <v>location: {lat: 12.250924807687, lng: -85.3782746081611}</v>
      </c>
      <c r="AV136" s="117" t="str">
        <f t="shared" si="160"/>
        <v>interest: global</v>
      </c>
      <c r="AW136" s="117" t="str">
        <f>"- "&amp;VLOOKUP(C136,'Country Tags'!C:E,3,)</f>
        <v>- ni</v>
      </c>
      <c r="AX136" s="117" t="str">
        <f t="shared" si="161"/>
        <v/>
      </c>
      <c r="AY136" s="117" t="str">
        <f t="shared" si="162"/>
        <v>- churches</v>
      </c>
      <c r="AZ136" s="117" t="str">
        <f t="shared" si="163"/>
        <v>- marian-sites</v>
      </c>
      <c r="BA136" s="117" t="str">
        <f t="shared" si="164"/>
        <v/>
      </c>
      <c r="BB136" s="117" t="str">
        <f t="shared" si="165"/>
        <v/>
      </c>
      <c r="BC136" s="117" t="str">
        <f t="shared" si="166"/>
        <v/>
      </c>
      <c r="BD136" s="117" t="str">
        <f t="shared" si="167"/>
        <v/>
      </c>
      <c r="BE136" s="117" t="str">
        <f t="shared" si="168"/>
        <v/>
      </c>
      <c r="BF136" s="117" t="str">
        <f t="shared" si="169"/>
        <v/>
      </c>
      <c r="BG136" s="117" t="str">
        <f t="shared" si="170"/>
        <v/>
      </c>
      <c r="BH136" s="117" t="str">
        <f t="shared" si="171"/>
        <v/>
      </c>
      <c r="BI136" s="117" t="str">
        <f t="shared" si="172"/>
        <v/>
      </c>
      <c r="BJ136" s="117" t="str">
        <f t="shared" si="173"/>
        <v/>
      </c>
      <c r="BK136" s="117" t="str">
        <f t="shared" si="174"/>
        <v/>
      </c>
      <c r="BL136" s="117" t="str">
        <f t="shared" si="175"/>
        <v xml:space="preserve">tags:
- ni_x000D_
- churches_x000D_
- marian-sites_x000D_
</v>
      </c>
      <c r="BM136" s="120" t="str">
        <f t="shared" si="186"/>
        <v>[Official site](https://www.facebook.com/SDVirgendeCuapa)</v>
      </c>
      <c r="BN136" s="120" t="str">
        <f t="shared" si="187"/>
        <v/>
      </c>
      <c r="BO136" s="120" t="str">
        <f t="shared" si="188"/>
        <v/>
      </c>
      <c r="BP136" s="120" t="str">
        <f t="shared" si="189"/>
        <v/>
      </c>
      <c r="BQ136" s="120" t="str">
        <f t="shared" si="176"/>
        <v xml:space="preserve">* [Official site](https://www.facebook.com/SDVirgendeCuapa)
</v>
      </c>
      <c r="BR136" s="120" t="str">
        <f t="shared" si="177"/>
        <v>[Link](http://www.therealpresence.org/eucharst/misc/BVM/16_CUAPA_60x96.pdf)</v>
      </c>
      <c r="BS136" s="120" t="str">
        <f t="shared" si="178"/>
        <v>[Link](http://www.miraclehunter.com/marian_apparitions/approved_apparitions/cuapa/index.html)</v>
      </c>
      <c r="BT136" s="120" t="str">
        <f t="shared" si="179"/>
        <v>[Link](https://www.marypages.com/our-lady-of-cuapa-also-known-as-our-lady-of-nicaragua-en.html)</v>
      </c>
      <c r="BU136" s="120" t="str">
        <f>IF(LEN(concat(BR136:BT136))&gt;0,concat("| ",BR136," | ",BS136," | ",BT136," |"),"")</f>
        <v>| [Link](http://www.therealpresence.org/eucharst/misc/BVM/16_CUAPA_60x96.pdf) | [Link](http://www.miraclehunter.com/marian_apparitions/approved_apparitions/cuapa/index.html) | [Link](https://www.marypages.com/our-lady-of-cuapa-also-known-as-our-lady-of-nicaragua-en.html) |</v>
      </c>
      <c r="BV136" s="117" t="str">
        <f t="shared" si="180"/>
        <v xml:space="preserve">| The Real Presence | Miracle Hunter | MaryPages |_x000D_
| --- | --- | --- |_x000D_
| [Link](http://www.therealpresence.org/eucharst/misc/BVM/16_CUAPA_60x96.pdf) | [Link](http://www.miraclehunter.com/marian_apparitions/approved_apparitions/cuapa/index.html) | [Link](https://www.marypages.com/our-lady-of-cuapa-also-known-as-our-lady-of-nicaragua-en.html) |_x000D_
</v>
      </c>
      <c r="BW136" s="117" t="str">
        <f>IF(LEN(BQ136&amp;BV136)&gt;0,concatll("#### More Information",BQ136,BV136),"")</f>
        <v xml:space="preserve">#### More Information_x000D_
_x000D_
* [Official site](https://www.facebook.com/SDVirgendeCuapa)
_x000D_
_x000D_
| The Real Presence | Miracle Hunter | MaryPages |_x000D_
| --- | --- | --- |_x000D_
| [Link](http://www.therealpresence.org/eucharst/misc/BVM/16_CUAPA_60x96.pdf) | [Link](http://www.miraclehunter.com/marian_apparitions/approved_apparitions/cuapa/index.html) | [Link](https://www.marypages.com/our-lady-of-cuapa-also-known-as-our-lady-of-nicaragua-en.html) |_x000D_
_x000D_
_x000D_
</v>
      </c>
      <c r="BX136" s="117" t="str">
        <f>IF(LEN(N136)&gt;1,concatll("#### Author's Note",N136,"-"&amp;B136),"")</f>
        <v xml:space="preserve">#### Author's Note_x000D_
_x000D_
We can't find an official website for the parish; their Facebook page has been listed for now._x000D_
_x000D_
-JMM_x000D_
_x000D_
</v>
      </c>
      <c r="BY136" s="117" t="s">
        <v>53</v>
      </c>
      <c r="BZ136" s="117" t="s">
        <v>53</v>
      </c>
      <c r="CA136" s="6" t="str">
        <f>IF(AS136,concatll(concatl("---",AT136:AV136,BL136,"---"),M136,BW136:BX136),"")</f>
        <v xml:space="preserve">---_x000D_
title: "National Sanctuary of Our Lady of Cuapa"_x000D_
location: {lat: 12.250924807687, lng: -85.3782746081611}_x000D_
interest: global_x000D_
tags:
- ni_x000D_
- churches_x000D_
- marian-sites_x000D_
_x000D_
---_x000D_
_x000D_
_x000D_
_Research in progress__x000D_
_x000D_
#### More Information_x000D_
_x000D_
* [Official site](https://www.facebook.com/SDVirgendeCuapa)
_x000D_
_x000D_
| The Real Presence | Miracle Hunter | MaryPages |_x000D_
| --- | --- | --- |_x000D_
| [Link](http://www.therealpresence.org/eucharst/misc/BVM/16_CUAPA_60x96.pdf) | [Link](http://www.miraclehunter.com/marian_apparitions/approved_apparitions/cuapa/index.html) | [Link](https://www.marypages.com/our-lady-of-cuapa-also-known-as-our-lady-of-nicaragua-en.html) |_x000D_
_x000D_
_x000D_
_x000D_
_x000D_
#### Author's Note_x000D_
_x000D_
We can't find an official website for the parish; their Facebook page has been listed for now._x000D_
_x000D_
-JMM_x000D_
_x000D_
_x000D_
_x000D_
</v>
      </c>
      <c r="CB136" s="6" t="str">
        <f>IF(AS136,"places\"&amp;VLOOKUP(C136,'Country Tags'!C:D,2,)&amp;IF(LEN(D136)&gt;1,"-"&amp;LOWER(SUBSTITUTE(D136," ","-")),"")&amp;"-"&amp;LOWER(SUBSTITUTE(SUBSTITUTE(H136," ","-"),".",""))&amp;".md","")</f>
        <v>places\ni-sanctuary-of-our-lady-of-cuapa.md</v>
      </c>
      <c r="CC136" s="6"/>
      <c r="CD136" s="12" t="str">
        <f>IF(LEN(Z136)&gt;1,VLOOKUP(Z136,#REF!,2,),"")</f>
        <v/>
      </c>
      <c r="CE136" s="12" t="str">
        <f>IF(LEN(AA136)&gt;1,VLOOKUP(AA136,#REF!,2,),"")</f>
        <v/>
      </c>
      <c r="CF136" s="12" t="str">
        <f>IF(LEN(AB136)&gt;1,VLOOKUP(AB136,#REF!,2,),"")</f>
        <v/>
      </c>
      <c r="CG136" s="13" t="str">
        <f>IF(LEN(Z136)&gt;1,GetTagPage(CD136,Z136),"")</f>
        <v/>
      </c>
      <c r="CH136" s="13" t="str">
        <f>IF(LEN(AA136)&gt;1,GetTagPage(CE136,AA136),"")</f>
        <v/>
      </c>
      <c r="CI136" s="13" t="str">
        <f>IF(LEN(AB136)&gt;1,GetTagPage(CF136,AB136),"")</f>
        <v/>
      </c>
      <c r="CJ136" s="13" t="str">
        <f t="shared" si="181"/>
        <v xml:space="preserve">| </v>
      </c>
      <c r="CK136" s="13" t="str">
        <f t="shared" si="182"/>
        <v xml:space="preserve">| [Cuapa](/places/places\ni-sanctuary-of-our-lady-of-cuapa) </v>
      </c>
      <c r="CL136" s="13" t="str">
        <f>"| "&amp;IF(AS136,GetTagPage(C136,VLOOKUP(C136,'Country Tags'!C:E,3,)),C136)&amp; " "</f>
        <v xml:space="preserve">| [Nicaragua](/tags/ni) </v>
      </c>
      <c r="CM136" s="13" t="str">
        <f t="shared" si="183"/>
        <v xml:space="preserve">| 1980 </v>
      </c>
      <c r="CN136" s="13" t="str">
        <f t="shared" si="184"/>
        <v xml:space="preserve">| [Link](/places/places\ni-sanctuary-of-our-lady-of-cuapa) </v>
      </c>
      <c r="CO136" s="12" t="str">
        <f t="shared" si="185"/>
        <v xml:space="preserve">
| [Cuapa](/places/places\ni-sanctuary-of-our-lady-of-cuapa) | [Nicaragua](/tags/ni) | 1980 | [Link](/places/places\ni-sanctuary-of-our-lady-of-cuapa) [Official site](https://www.facebook.com/SDVirgendeCuapa)[Link](http://www.therealpresence.org/eucharst/misc/BVM/16_CUAPA_60x96.pdf)[Link](http://www.miraclehunter.com/marian_apparitions/approved_apparitions/cuapa/index.html)[Link](https://www.marypages.com/our-lady-of-cuapa-also-known-as-our-lady-of-nicaragua-en.html)| |</v>
      </c>
    </row>
    <row r="137" spans="1:93" ht="25.5" x14ac:dyDescent="0.25">
      <c r="A137" s="129" t="s">
        <v>743</v>
      </c>
      <c r="B137" s="7" t="s">
        <v>1653</v>
      </c>
      <c r="C137" s="7" t="s">
        <v>363</v>
      </c>
      <c r="E137" s="1">
        <v>13.882181522598099</v>
      </c>
      <c r="F137" s="30">
        <v>120.92027885535801</v>
      </c>
      <c r="G137" s="7" t="s">
        <v>837</v>
      </c>
      <c r="H137" s="33" t="s">
        <v>838</v>
      </c>
      <c r="I137" s="7" t="s">
        <v>919</v>
      </c>
      <c r="J137" s="23" t="b">
        <v>1</v>
      </c>
      <c r="K137" s="7" t="b">
        <v>1</v>
      </c>
      <c r="M137" s="7" t="s">
        <v>798</v>
      </c>
      <c r="N137" s="139" t="s">
        <v>1692</v>
      </c>
      <c r="O137" s="1" t="s">
        <v>840</v>
      </c>
      <c r="P137" s="1" t="s">
        <v>53</v>
      </c>
      <c r="Z137" s="1" t="s">
        <v>53</v>
      </c>
      <c r="AJ137" s="56" t="s">
        <v>768</v>
      </c>
      <c r="AK137" s="57">
        <v>1603</v>
      </c>
      <c r="AL137" s="1" t="s">
        <v>25</v>
      </c>
      <c r="AM137" s="1" t="s">
        <v>53</v>
      </c>
      <c r="AN137" s="1" t="s">
        <v>839</v>
      </c>
      <c r="AO137" s="1" t="s">
        <v>53</v>
      </c>
      <c r="AP137" s="1" t="s">
        <v>53</v>
      </c>
      <c r="AQ137" s="30" t="s">
        <v>53</v>
      </c>
      <c r="AS137" s="116" t="b">
        <f t="shared" si="157"/>
        <v>1</v>
      </c>
      <c r="AT137" s="117" t="str">
        <f t="shared" si="158"/>
        <v>title: "Archdiocesan Shrine of Our Lady of Caysasay"</v>
      </c>
      <c r="AU137" s="117" t="str">
        <f t="shared" si="159"/>
        <v>location: {lat: 13.8821815225981, lng: 120.920278855358}</v>
      </c>
      <c r="AV137" s="117" t="str">
        <f t="shared" si="160"/>
        <v>interest: global</v>
      </c>
      <c r="AW137" s="117" t="str">
        <f>"- "&amp;VLOOKUP(C137,'Country Tags'!C:E,3,)</f>
        <v>- ph</v>
      </c>
      <c r="AX137" s="117" t="str">
        <f t="shared" si="161"/>
        <v/>
      </c>
      <c r="AY137" s="117" t="str">
        <f t="shared" si="162"/>
        <v>- churches</v>
      </c>
      <c r="AZ137" s="117" t="str">
        <f t="shared" si="163"/>
        <v>- marian-sites</v>
      </c>
      <c r="BA137" s="117" t="str">
        <f t="shared" si="164"/>
        <v/>
      </c>
      <c r="BB137" s="117" t="str">
        <f t="shared" si="165"/>
        <v/>
      </c>
      <c r="BC137" s="117" t="str">
        <f t="shared" si="166"/>
        <v/>
      </c>
      <c r="BD137" s="117" t="str">
        <f t="shared" si="167"/>
        <v/>
      </c>
      <c r="BE137" s="117" t="str">
        <f t="shared" si="168"/>
        <v/>
      </c>
      <c r="BF137" s="117" t="str">
        <f t="shared" si="169"/>
        <v/>
      </c>
      <c r="BG137" s="117" t="str">
        <f t="shared" si="170"/>
        <v/>
      </c>
      <c r="BH137" s="117" t="str">
        <f t="shared" si="171"/>
        <v/>
      </c>
      <c r="BI137" s="117" t="str">
        <f t="shared" si="172"/>
        <v/>
      </c>
      <c r="BJ137" s="117" t="str">
        <f t="shared" si="173"/>
        <v/>
      </c>
      <c r="BK137" s="117" t="str">
        <f t="shared" si="174"/>
        <v/>
      </c>
      <c r="BL137" s="117" t="str">
        <f t="shared" si="175"/>
        <v xml:space="preserve">tags:
- ph_x000D_
- churches_x000D_
- marian-sites_x000D_
</v>
      </c>
      <c r="BM137" s="120" t="str">
        <f t="shared" si="186"/>
        <v>[Official site](https://www.facebook.com/CaysasayTaal)</v>
      </c>
      <c r="BN137" s="120" t="str">
        <f t="shared" si="187"/>
        <v/>
      </c>
      <c r="BO137" s="120" t="str">
        <f t="shared" si="188"/>
        <v/>
      </c>
      <c r="BP137" s="120" t="str">
        <f t="shared" si="189"/>
        <v/>
      </c>
      <c r="BQ137" s="120" t="str">
        <f t="shared" si="176"/>
        <v xml:space="preserve">* [Official site](https://www.facebook.com/CaysasayTaal)
</v>
      </c>
      <c r="BR137" s="120" t="str">
        <f t="shared" si="177"/>
        <v>[Link](http://www.therealpresence.org/eucharst/misc/BVM/94_CAYSASAY_60x96.pdf)</v>
      </c>
      <c r="BS137" s="120" t="str">
        <f t="shared" si="178"/>
        <v>[Link](http://www.miraclehunter.com/marian_apparitions/approved_apparitions/caysasay/index.html)</v>
      </c>
      <c r="BT137" s="120" t="str">
        <f t="shared" si="179"/>
        <v/>
      </c>
      <c r="BU137" s="120" t="str">
        <f>IF(LEN(concat(BR137:BT137))&gt;0,concat("| ",BR137," | ",BS137," | ",BT137," |"),"")</f>
        <v>| [Link](http://www.therealpresence.org/eucharst/misc/BVM/94_CAYSASAY_60x96.pdf) | [Link](http://www.miraclehunter.com/marian_apparitions/approved_apparitions/caysasay/index.html) |  |</v>
      </c>
      <c r="BV137" s="117" t="str">
        <f t="shared" si="180"/>
        <v xml:space="preserve">| The Real Presence | Miracle Hunter | MaryPages |_x000D_
| --- | --- | --- |_x000D_
| [Link](http://www.therealpresence.org/eucharst/misc/BVM/94_CAYSASAY_60x96.pdf) | [Link](http://www.miraclehunter.com/marian_apparitions/approved_apparitions/caysasay/index.html) |  |_x000D_
</v>
      </c>
      <c r="BW137" s="117" t="str">
        <f>IF(LEN(BQ137&amp;BV137)&gt;0,concatll("#### More Information",BQ137,BV137),"")</f>
        <v xml:space="preserve">#### More Information_x000D_
_x000D_
* [Official site](https://www.facebook.com/CaysasayTaal)
_x000D_
_x000D_
| The Real Presence | Miracle Hunter | MaryPages |_x000D_
| --- | --- | --- |_x000D_
| [Link](http://www.therealpresence.org/eucharst/misc/BVM/94_CAYSASAY_60x96.pdf) | [Link](http://www.miraclehunter.com/marian_apparitions/approved_apparitions/caysasay/index.html) |  |_x000D_
_x000D_
_x000D_
</v>
      </c>
      <c r="BX137" s="117" t="str">
        <f>IF(LEN(N137)&gt;1,concatll("#### Author's Note",N137,"-"&amp;B137),"")</f>
        <v xml:space="preserve">#### Author's Note_x000D_
_x000D_
The Facebook page appears to be the official site._x000D_
_x000D_
-JMM_x000D_
_x000D_
</v>
      </c>
      <c r="BY137" s="117" t="s">
        <v>53</v>
      </c>
      <c r="BZ137" s="117" t="s">
        <v>53</v>
      </c>
      <c r="CA137" s="6" t="str">
        <f>IF(AS137,concatll(concatl("---",AT137:AV137,BL137,"---"),M137,BW137:BX137),"")</f>
        <v xml:space="preserve">---_x000D_
title: "Archdiocesan Shrine of Our Lady of Caysasay"_x000D_
location: {lat: 13.8821815225981, lng: 120.920278855358}_x000D_
interest: global_x000D_
tags:
- ph_x000D_
- churches_x000D_
- marian-sites_x000D_
_x000D_
---_x000D_
_x000D_
_x000D_
_Research in progress__x000D_
_x000D_
#### More Information_x000D_
_x000D_
* [Official site](https://www.facebook.com/CaysasayTaal)
_x000D_
_x000D_
| The Real Presence | Miracle Hunter | MaryPages |_x000D_
| --- | --- | --- |_x000D_
| [Link](http://www.therealpresence.org/eucharst/misc/BVM/94_CAYSASAY_60x96.pdf) | [Link](http://www.miraclehunter.com/marian_apparitions/approved_apparitions/caysasay/index.html) |  |_x000D_
_x000D_
_x000D_
_x000D_
_x000D_
#### Author's Note_x000D_
_x000D_
The Facebook page appears to be the official site._x000D_
_x000D_
-JMM_x000D_
_x000D_
_x000D_
_x000D_
</v>
      </c>
      <c r="CB137" s="6" t="str">
        <f>IF(AS137,"places\"&amp;VLOOKUP(C137,'Country Tags'!C:D,2,)&amp;IF(LEN(D137)&gt;1,"-"&amp;LOWER(SUBSTITUTE(D137," ","-")),"")&amp;"-"&amp;LOWER(SUBSTITUTE(SUBSTITUTE(H137," ","-"),".",""))&amp;".md","")</f>
        <v>places\ph-shrine-of-our-lady-of-caysasay.md</v>
      </c>
      <c r="CC137" s="6"/>
      <c r="CD137" s="12" t="str">
        <f>IF(LEN(Z137)&gt;1,VLOOKUP(Z137,#REF!,2,),"")</f>
        <v/>
      </c>
      <c r="CE137" s="12" t="str">
        <f>IF(LEN(AA137)&gt;1,VLOOKUP(AA137,#REF!,2,),"")</f>
        <v/>
      </c>
      <c r="CF137" s="12" t="str">
        <f>IF(LEN(AB137)&gt;1,VLOOKUP(AB137,#REF!,2,),"")</f>
        <v/>
      </c>
      <c r="CG137" s="13" t="str">
        <f>IF(LEN(Z137)&gt;1,GetTagPage(CD137,Z137),"")</f>
        <v/>
      </c>
      <c r="CH137" s="13" t="str">
        <f>IF(LEN(AA137)&gt;1,GetTagPage(CE137,AA137),"")</f>
        <v/>
      </c>
      <c r="CI137" s="13" t="str">
        <f>IF(LEN(AB137)&gt;1,GetTagPage(CF137,AB137),"")</f>
        <v/>
      </c>
      <c r="CJ137" s="13" t="str">
        <f t="shared" si="181"/>
        <v xml:space="preserve">| </v>
      </c>
      <c r="CK137" s="13" t="str">
        <f t="shared" si="182"/>
        <v xml:space="preserve">| [Caysasay](/places/places\ph-shrine-of-our-lady-of-caysasay) </v>
      </c>
      <c r="CL137" s="13" t="str">
        <f>"| "&amp;IF(AS137,GetTagPage(C137,VLOOKUP(C137,'Country Tags'!C:E,3,)),C137)&amp; " "</f>
        <v xml:space="preserve">| [Philippines](/tags/ph) </v>
      </c>
      <c r="CM137" s="13" t="str">
        <f t="shared" si="183"/>
        <v xml:space="preserve">| 1603 </v>
      </c>
      <c r="CN137" s="13" t="str">
        <f t="shared" si="184"/>
        <v xml:space="preserve">| [Link](/places/places\ph-shrine-of-our-lady-of-caysasay) </v>
      </c>
      <c r="CO137" s="12" t="str">
        <f t="shared" si="185"/>
        <v xml:space="preserve">
| [Caysasay](/places/places\ph-shrine-of-our-lady-of-caysasay) | [Philippines](/tags/ph) | 1603 | [Link](/places/places\ph-shrine-of-our-lady-of-caysasay) [Official site](https://www.facebook.com/CaysasayTaal)[Link](http://www.therealpresence.org/eucharst/misc/BVM/94_CAYSASAY_60x96.pdf)[Link](http://www.miraclehunter.com/marian_apparitions/approved_apparitions/caysasay/index.html)| |</v>
      </c>
    </row>
    <row r="138" spans="1:93" ht="25.5" x14ac:dyDescent="0.25">
      <c r="A138" s="129" t="s">
        <v>743</v>
      </c>
      <c r="B138" s="7" t="s">
        <v>1653</v>
      </c>
      <c r="C138" s="7" t="s">
        <v>418</v>
      </c>
      <c r="E138" s="1">
        <v>-27.855349035650701</v>
      </c>
      <c r="F138" s="30">
        <v>31.453787971164701</v>
      </c>
      <c r="G138" s="7" t="s">
        <v>784</v>
      </c>
      <c r="H138" s="33" t="s">
        <v>784</v>
      </c>
      <c r="I138" s="7" t="s">
        <v>919</v>
      </c>
      <c r="J138" s="23" t="b">
        <v>1</v>
      </c>
      <c r="K138" s="7" t="b">
        <v>1</v>
      </c>
      <c r="M138" s="7" t="s">
        <v>798</v>
      </c>
      <c r="N138" s="35"/>
      <c r="O138" s="1" t="s">
        <v>799</v>
      </c>
      <c r="P138" s="144" t="s">
        <v>1740</v>
      </c>
      <c r="Q138" s="40" t="s">
        <v>996</v>
      </c>
      <c r="R138" s="1" t="s">
        <v>994</v>
      </c>
      <c r="Z138" s="1" t="s">
        <v>785</v>
      </c>
      <c r="AJ138" s="56" t="s">
        <v>775</v>
      </c>
      <c r="AK138" s="57" t="s">
        <v>759</v>
      </c>
      <c r="AL138" s="1" t="s">
        <v>45</v>
      </c>
      <c r="AM138" s="1" t="s">
        <v>53</v>
      </c>
      <c r="AN138" s="1" t="s">
        <v>53</v>
      </c>
      <c r="AO138" s="1" t="s">
        <v>53</v>
      </c>
      <c r="AP138" s="1" t="s">
        <v>53</v>
      </c>
      <c r="AQ138" s="30" t="s">
        <v>53</v>
      </c>
      <c r="AS138" s="116" t="b">
        <f t="shared" si="157"/>
        <v>1</v>
      </c>
      <c r="AT138" s="117" t="str">
        <f t="shared" si="158"/>
        <v>title: "Ngome Marian Shrine"</v>
      </c>
      <c r="AU138" s="117" t="str">
        <f t="shared" si="159"/>
        <v>location: {lat: -27.8553490356507, lng: 31.4537879711647}</v>
      </c>
      <c r="AV138" s="117" t="str">
        <f t="shared" si="160"/>
        <v>interest: global</v>
      </c>
      <c r="AW138" s="117" t="str">
        <f>"- "&amp;VLOOKUP(C138,'Country Tags'!C:E,3,)</f>
        <v>- za</v>
      </c>
      <c r="AX138" s="117" t="str">
        <f t="shared" si="161"/>
        <v/>
      </c>
      <c r="AY138" s="117" t="str">
        <f t="shared" si="162"/>
        <v>- churches</v>
      </c>
      <c r="AZ138" s="117" t="str">
        <f t="shared" si="163"/>
        <v>- marian-sites</v>
      </c>
      <c r="BA138" s="117" t="str">
        <f t="shared" si="164"/>
        <v/>
      </c>
      <c r="BB138" s="117" t="str">
        <f t="shared" si="165"/>
        <v>- reinolda-may</v>
      </c>
      <c r="BC138" s="117" t="str">
        <f t="shared" si="166"/>
        <v/>
      </c>
      <c r="BD138" s="117" t="str">
        <f t="shared" si="167"/>
        <v/>
      </c>
      <c r="BE138" s="117" t="str">
        <f t="shared" si="168"/>
        <v/>
      </c>
      <c r="BF138" s="117" t="str">
        <f t="shared" si="169"/>
        <v/>
      </c>
      <c r="BG138" s="117" t="str">
        <f t="shared" si="170"/>
        <v/>
      </c>
      <c r="BH138" s="117" t="str">
        <f t="shared" si="171"/>
        <v/>
      </c>
      <c r="BI138" s="117" t="str">
        <f t="shared" si="172"/>
        <v/>
      </c>
      <c r="BJ138" s="117" t="str">
        <f t="shared" si="173"/>
        <v/>
      </c>
      <c r="BK138" s="117" t="str">
        <f t="shared" si="174"/>
        <v/>
      </c>
      <c r="BL138" s="117" t="str">
        <f t="shared" si="175"/>
        <v xml:space="preserve">tags:
- za_x000D_
- churches_x000D_
- marian-sites_x000D_
- reinolda-may_x000D_
</v>
      </c>
      <c r="BM138" s="120" t="str">
        <f t="shared" si="186"/>
        <v>[Official site](http://www.ngome.co.za/) - Note: website not active at time of writing</v>
      </c>
      <c r="BN138" s="120" t="str">
        <f t="shared" si="187"/>
        <v>[Official Facebook page](https://www.facebook.com/ngomemarianshrine/)</v>
      </c>
      <c r="BO138" s="120" t="str">
        <f t="shared" si="188"/>
        <v/>
      </c>
      <c r="BP138" s="120" t="str">
        <f t="shared" si="189"/>
        <v/>
      </c>
      <c r="BQ138" s="120" t="str">
        <f t="shared" si="176"/>
        <v xml:space="preserve">* [Official site](http://www.ngome.co.za/) - Note: website not active at time of writing
* [Official Facebook page](https://www.facebook.com/ngomemarianshrine/)
</v>
      </c>
      <c r="BR138" s="120" t="str">
        <f t="shared" si="177"/>
        <v>[Link](http://www.therealpresence.org/eucharst/misc/BVM/124_NGOME_140x96.pdf)</v>
      </c>
      <c r="BS138" s="120" t="str">
        <f t="shared" si="178"/>
        <v/>
      </c>
      <c r="BT138" s="120" t="str">
        <f t="shared" si="179"/>
        <v/>
      </c>
      <c r="BU138" s="120" t="str">
        <f>IF(LEN(concat(BR138:BT138))&gt;0,concat("| ",BR138," | ",BS138," | ",BT138," |"),"")</f>
        <v>| [Link](http://www.therealpresence.org/eucharst/misc/BVM/124_NGOME_140x96.pdf) |  |  |</v>
      </c>
      <c r="BV138" s="117" t="str">
        <f t="shared" si="180"/>
        <v xml:space="preserve">| The Real Presence | Miracle Hunter | MaryPages |_x000D_
| --- | --- | --- |_x000D_
| [Link](http://www.therealpresence.org/eucharst/misc/BVM/124_NGOME_140x96.pdf) |  |  |_x000D_
</v>
      </c>
      <c r="BW138" s="117" t="str">
        <f>IF(LEN(BQ138&amp;BV138)&gt;0,concatll("#### More Information",BQ138,BV138),"")</f>
        <v xml:space="preserve">#### More Information_x000D_
_x000D_
* [Official site](http://www.ngome.co.za/) - Note: website not active at time of writing
* [Official Facebook page](https://www.facebook.com/ngomemarianshrine/)
_x000D_
_x000D_
| The Real Presence | Miracle Hunter | MaryPages |_x000D_
| --- | --- | --- |_x000D_
| [Link](http://www.therealpresence.org/eucharst/misc/BVM/124_NGOME_140x96.pdf) |  |  |_x000D_
_x000D_
_x000D_
</v>
      </c>
      <c r="BX138" s="117" t="str">
        <f>IF(LEN(N138)&gt;1,concatll("#### Author's Note",N138,"-"&amp;B138),"")</f>
        <v/>
      </c>
      <c r="BY138" s="117" t="s">
        <v>53</v>
      </c>
      <c r="BZ138" s="117" t="s">
        <v>53</v>
      </c>
      <c r="CA138" s="6" t="str">
        <f>IF(AS138,concatll(concatl("---",AT138:AV138,BL138,"---"),M138,BW138:BX138),"")</f>
        <v xml:space="preserve">---_x000D_
title: "Ngome Marian Shrine"_x000D_
location: {lat: -27.8553490356507, lng: 31.4537879711647}_x000D_
interest: global_x000D_
tags:
- za_x000D_
- churches_x000D_
- marian-sites_x000D_
- reinolda-may_x000D_
_x000D_
---_x000D_
_x000D_
_x000D_
_Research in progress__x000D_
_x000D_
#### More Information_x000D_
_x000D_
* [Official site](http://www.ngome.co.za/) - Note: website not active at time of writing
* [Official Facebook page](https://www.facebook.com/ngomemarianshrine/)
_x000D_
_x000D_
| The Real Presence | Miracle Hunter | MaryPages |_x000D_
| --- | --- | --- |_x000D_
| [Link](http://www.therealpresence.org/eucharst/misc/BVM/124_NGOME_140x96.pdf) |  |  |_x000D_
_x000D_
_x000D_
_x000D_
_x000D_
</v>
      </c>
      <c r="CB138" s="6" t="str">
        <f>IF(AS138,"places\"&amp;VLOOKUP(C138,'Country Tags'!C:D,2,)&amp;IF(LEN(D138)&gt;1,"-"&amp;LOWER(SUBSTITUTE(D138," ","-")),"")&amp;"-"&amp;LOWER(SUBSTITUTE(SUBSTITUTE(H138," ","-"),".",""))&amp;".md","")</f>
        <v>places\za-ngome-marian-shrine.md</v>
      </c>
      <c r="CC138" s="6"/>
      <c r="CD138" s="12" t="e">
        <f>IF(LEN(Z138)&gt;1,VLOOKUP(Z138,#REF!,2,),"")</f>
        <v>#REF!</v>
      </c>
      <c r="CE138" s="12" t="str">
        <f>IF(LEN(AA138)&gt;1,VLOOKUP(AA138,#REF!,2,),"")</f>
        <v/>
      </c>
      <c r="CF138" s="12" t="str">
        <f>IF(LEN(AB138)&gt;1,VLOOKUP(AB138,#REF!,2,),"")</f>
        <v/>
      </c>
      <c r="CG138" s="13" t="e">
        <f>IF(LEN(Z138)&gt;1,GetTagPage(CD138,Z138),"")</f>
        <v>#VALUE!</v>
      </c>
      <c r="CH138" s="13" t="str">
        <f>IF(LEN(AA138)&gt;1,GetTagPage(CE138,AA138),"")</f>
        <v/>
      </c>
      <c r="CI138" s="13" t="str">
        <f>IF(LEN(AB138)&gt;1,GetTagPage(CF138,AB138),"")</f>
        <v/>
      </c>
      <c r="CJ138" s="13" t="e">
        <f t="shared" si="181"/>
        <v>#VALUE!</v>
      </c>
      <c r="CK138" s="13" t="str">
        <f t="shared" si="182"/>
        <v xml:space="preserve">| [Ngome](/places/places\za-ngome-marian-shrine) </v>
      </c>
      <c r="CL138" s="13" t="str">
        <f>"| "&amp;IF(AS138,GetTagPage(C138,VLOOKUP(C138,'Country Tags'!C:E,3,)),C138)&amp; " "</f>
        <v xml:space="preserve">| [South Africa](/tags/za) </v>
      </c>
      <c r="CM138" s="13" t="str">
        <f t="shared" si="183"/>
        <v xml:space="preserve">| 1955-1971 </v>
      </c>
      <c r="CN138" s="13" t="str">
        <f t="shared" si="184"/>
        <v xml:space="preserve">| [Link](/places/places\za-ngome-marian-shrine) </v>
      </c>
      <c r="CO138" s="12" t="e">
        <f t="shared" si="185"/>
        <v>#VALUE!</v>
      </c>
    </row>
    <row r="139" spans="1:93" ht="76.5" x14ac:dyDescent="0.25">
      <c r="A139" s="129" t="s">
        <v>743</v>
      </c>
      <c r="B139" s="7" t="s">
        <v>1653</v>
      </c>
      <c r="C139" s="7" t="s">
        <v>445</v>
      </c>
      <c r="E139" s="1">
        <v>52.880559553822799</v>
      </c>
      <c r="F139" s="30">
        <v>0.85276071534114095</v>
      </c>
      <c r="G139" s="7" t="s">
        <v>818</v>
      </c>
      <c r="H139" s="33" t="s">
        <v>51</v>
      </c>
      <c r="I139" s="7" t="s">
        <v>919</v>
      </c>
      <c r="J139" s="23" t="b">
        <v>1</v>
      </c>
      <c r="K139" s="7" t="b">
        <v>1</v>
      </c>
      <c r="M139" s="7" t="s">
        <v>816</v>
      </c>
      <c r="O139" s="1" t="s">
        <v>817</v>
      </c>
      <c r="P139" s="1" t="s">
        <v>53</v>
      </c>
      <c r="Z139" s="1" t="s">
        <v>53</v>
      </c>
      <c r="AJ139" s="56" t="s">
        <v>762</v>
      </c>
      <c r="AK139" s="57" t="s">
        <v>755</v>
      </c>
      <c r="AL139" s="1" t="s">
        <v>17</v>
      </c>
      <c r="AM139" s="1" t="s">
        <v>53</v>
      </c>
      <c r="AN139" s="1" t="s">
        <v>815</v>
      </c>
      <c r="AO139" s="1" t="s">
        <v>53</v>
      </c>
      <c r="AP139" s="1" t="s">
        <v>819</v>
      </c>
      <c r="AQ139" s="30" t="s">
        <v>53</v>
      </c>
      <c r="AS139" s="116" t="b">
        <f t="shared" si="157"/>
        <v>1</v>
      </c>
      <c r="AT139" s="117" t="str">
        <f t="shared" si="158"/>
        <v>title: "Catholic National Shrine and Basilica of Our Lady of Walsingham"</v>
      </c>
      <c r="AU139" s="117" t="str">
        <f t="shared" si="159"/>
        <v>location: {lat: 52.8805595538228, lng: 0.852760715341141}</v>
      </c>
      <c r="AV139" s="117" t="str">
        <f t="shared" si="160"/>
        <v>interest: global</v>
      </c>
      <c r="AW139" s="117" t="str">
        <f>"- "&amp;VLOOKUP(C139,'Country Tags'!C:E,3,)</f>
        <v>- gb</v>
      </c>
      <c r="AX139" s="117" t="str">
        <f t="shared" si="161"/>
        <v/>
      </c>
      <c r="AY139" s="117" t="str">
        <f t="shared" si="162"/>
        <v>- churches</v>
      </c>
      <c r="AZ139" s="117" t="str">
        <f t="shared" si="163"/>
        <v>- marian-sites</v>
      </c>
      <c r="BA139" s="117" t="str">
        <f t="shared" si="164"/>
        <v/>
      </c>
      <c r="BB139" s="117" t="str">
        <f t="shared" si="165"/>
        <v/>
      </c>
      <c r="BC139" s="117" t="str">
        <f t="shared" si="166"/>
        <v/>
      </c>
      <c r="BD139" s="117" t="str">
        <f t="shared" si="167"/>
        <v/>
      </c>
      <c r="BE139" s="117" t="str">
        <f t="shared" si="168"/>
        <v/>
      </c>
      <c r="BF139" s="117" t="str">
        <f t="shared" si="169"/>
        <v/>
      </c>
      <c r="BG139" s="117" t="str">
        <f t="shared" si="170"/>
        <v/>
      </c>
      <c r="BH139" s="117" t="str">
        <f t="shared" si="171"/>
        <v/>
      </c>
      <c r="BI139" s="117" t="str">
        <f t="shared" si="172"/>
        <v/>
      </c>
      <c r="BJ139" s="117" t="str">
        <f t="shared" si="173"/>
        <v/>
      </c>
      <c r="BK139" s="117" t="str">
        <f t="shared" si="174"/>
        <v/>
      </c>
      <c r="BL139" s="117" t="str">
        <f t="shared" si="175"/>
        <v xml:space="preserve">tags:
- gb_x000D_
- churches_x000D_
- marian-sites_x000D_
</v>
      </c>
      <c r="BM139" s="120" t="str">
        <f t="shared" si="186"/>
        <v>[Official site](https://www.walsingham.org.uk/)</v>
      </c>
      <c r="BN139" s="120" t="str">
        <f t="shared" si="187"/>
        <v/>
      </c>
      <c r="BO139" s="120" t="str">
        <f t="shared" si="188"/>
        <v/>
      </c>
      <c r="BP139" s="120" t="str">
        <f t="shared" si="189"/>
        <v/>
      </c>
      <c r="BQ139" s="120" t="str">
        <f t="shared" si="176"/>
        <v xml:space="preserve">* [Official site](https://www.walsingham.org.uk/)
</v>
      </c>
      <c r="BR139" s="120" t="str">
        <f t="shared" si="177"/>
        <v>[Link](http://www.therealpresence.org/eucharst/misc/BVM/153_WALSINGHAM_60x96.pdf)</v>
      </c>
      <c r="BS139" s="120" t="str">
        <f t="shared" si="178"/>
        <v>[Link](https://www.miraclehunter.com/marian_apparitions/approved_apparitions/walsingham/index.html)</v>
      </c>
      <c r="BT139" s="120" t="str">
        <f t="shared" si="179"/>
        <v>[Link](https://www.marypages.com/our-lady-of-walsingham-en.html)</v>
      </c>
      <c r="BU139" s="120" t="str">
        <f>IF(LEN(concat(BR139:BT139))&gt;0,concat("| ",BR139," | ",BS139," | ",BT139," |"),"")</f>
        <v>| [Link](http://www.therealpresence.org/eucharst/misc/BVM/153_WALSINGHAM_60x96.pdf) | [Link](https://www.miraclehunter.com/marian_apparitions/approved_apparitions/walsingham/index.html) | [Link](https://www.marypages.com/our-lady-of-walsingham-en.html) |</v>
      </c>
      <c r="BV139" s="117" t="str">
        <f t="shared" si="180"/>
        <v xml:space="preserve">| The Real Presence | Miracle Hunter | MaryPages |_x000D_
| --- | --- | --- |_x000D_
| [Link](http://www.therealpresence.org/eucharst/misc/BVM/153_WALSINGHAM_60x96.pdf) | [Link](https://www.miraclehunter.com/marian_apparitions/approved_apparitions/walsingham/index.html) | [Link](https://www.marypages.com/our-lady-of-walsingham-en.html) |_x000D_
</v>
      </c>
      <c r="BW139" s="117" t="str">
        <f>IF(LEN(BQ139&amp;BV139)&gt;0,concatll("#### More Information",BQ139,BV139),"")</f>
        <v xml:space="preserve">#### More Information_x000D_
_x000D_
* [Official site](https://www.walsingham.org.uk/)
_x000D_
_x000D_
| The Real Presence | Miracle Hunter | MaryPages |_x000D_
| --- | --- | --- |_x000D_
| [Link](http://www.therealpresence.org/eucharst/misc/BVM/153_WALSINGHAM_60x96.pdf) | [Link](https://www.miraclehunter.com/marian_apparitions/approved_apparitions/walsingham/index.html) | [Link](https://www.marypages.com/our-lady-of-walsingham-en.html) |_x000D_
_x000D_
_x000D_
</v>
      </c>
      <c r="BX139" s="117" t="str">
        <f>IF(LEN(N139)&gt;1,concatll("#### Author's Note",N139,"-"&amp;B139),"")</f>
        <v/>
      </c>
      <c r="BY139" s="117" t="s">
        <v>53</v>
      </c>
      <c r="BZ139" s="117" t="s">
        <v>53</v>
      </c>
      <c r="CA139" s="6" t="str">
        <f>IF(AS139,concatll(concatl("---",AT139:AV139,BL139,"---"),M139,BW139:BX139),"")</f>
        <v xml:space="preserve">---_x000D_
title: "Catholic National Shrine and Basilica of Our Lady of Walsingham"_x000D_
location: {lat: 52.8805595538228, lng: 0.852760715341141}_x000D_
interest: global_x000D_
tags:
- gb_x000D_
- churches_x000D_
- marian-sites_x000D_
_x000D_
---_x000D_
_x000D_
_x000D_
In 1061, Our Lady appeared to Richeldis de Faverches, a Catholic English noblewoman in the village of Walsingham in Norfolk, England.
Our Lady of Walsingham presented her with the plans of the Holy House of the Holy Family in Nazareth and asked that she build the house as a shrine and place of pilgrimage._x000D_
_x000D_
#### More Information_x000D_
_x000D_
* [Official site](https://www.walsingham.org.uk/)
_x000D_
_x000D_
| The Real Presence | Miracle Hunter | MaryPages |_x000D_
| --- | --- | --- |_x000D_
| [Link](http://www.therealpresence.org/eucharst/misc/BVM/153_WALSINGHAM_60x96.pdf) | [Link](https://www.miraclehunter.com/marian_apparitions/approved_apparitions/walsingham/index.html) | [Link](https://www.marypages.com/our-lady-of-walsingham-en.html) |_x000D_
_x000D_
_x000D_
_x000D_
_x000D_
</v>
      </c>
      <c r="CB139" s="6" t="str">
        <f>IF(AS139,"places\"&amp;VLOOKUP(C139,'Country Tags'!C:D,2,)&amp;IF(LEN(D139)&gt;1,"-"&amp;LOWER(SUBSTITUTE(D139," ","-")),"")&amp;"-"&amp;LOWER(SUBSTITUTE(SUBSTITUTE(H139," ","-"),".",""))&amp;".md","")</f>
        <v>places\gb-basilica-of-our-lady-of-walsingham.md</v>
      </c>
      <c r="CC139" s="6"/>
      <c r="CD139" s="12" t="str">
        <f>IF(LEN(Z139)&gt;1,VLOOKUP(Z139,#REF!,2,),"")</f>
        <v/>
      </c>
      <c r="CE139" s="12" t="str">
        <f>IF(LEN(AA139)&gt;1,VLOOKUP(AA139,#REF!,2,),"")</f>
        <v/>
      </c>
      <c r="CF139" s="12" t="str">
        <f>IF(LEN(AB139)&gt;1,VLOOKUP(AB139,#REF!,2,),"")</f>
        <v/>
      </c>
      <c r="CG139" s="13" t="str">
        <f>IF(LEN(Z139)&gt;1,GetTagPage(CD139,Z139),"")</f>
        <v/>
      </c>
      <c r="CH139" s="13" t="str">
        <f>IF(LEN(AA139)&gt;1,GetTagPage(CE139,AA139),"")</f>
        <v/>
      </c>
      <c r="CI139" s="13" t="str">
        <f>IF(LEN(AB139)&gt;1,GetTagPage(CF139,AB139),"")</f>
        <v/>
      </c>
      <c r="CJ139" s="13" t="str">
        <f t="shared" si="181"/>
        <v xml:space="preserve">| </v>
      </c>
      <c r="CK139" s="13" t="str">
        <f t="shared" si="182"/>
        <v xml:space="preserve">| [Walsingham](/places/places\gb-basilica-of-our-lady-of-walsingham) </v>
      </c>
      <c r="CL139" s="13" t="str">
        <f>"| "&amp;IF(AS139,GetTagPage(C139,VLOOKUP(C139,'Country Tags'!C:E,3,)),C139)&amp; " "</f>
        <v xml:space="preserve">| [United Kingdom](/tags/gb) </v>
      </c>
      <c r="CM139" s="13" t="str">
        <f t="shared" si="183"/>
        <v xml:space="preserve">| 11th Century </v>
      </c>
      <c r="CN139" s="13" t="str">
        <f t="shared" si="184"/>
        <v xml:space="preserve">| [Link](/places/places\gb-basilica-of-our-lady-of-walsingham) </v>
      </c>
      <c r="CO139" s="12" t="str">
        <f t="shared" si="185"/>
        <v xml:space="preserve">
| [Walsingham](/places/places\gb-basilica-of-our-lady-of-walsingham) | [United Kingdom](/tags/gb) | 11th Century | [Link](/places/places\gb-basilica-of-our-lady-of-walsingham) [Official site](https://www.walsingham.org.uk/)[Link](http://www.therealpresence.org/eucharst/misc/BVM/153_WALSINGHAM_60x96.pdf)[Link](https://www.miraclehunter.com/marian_apparitions/approved_apparitions/walsingham/index.html)[Link](https://www.marypages.com/our-lady-of-walsingham-en.html)| |</v>
      </c>
    </row>
    <row r="140" spans="1:93" x14ac:dyDescent="0.25">
      <c r="G140" s="15"/>
      <c r="H140" s="37"/>
      <c r="I140" s="15"/>
      <c r="J140" s="23"/>
      <c r="M140" s="28"/>
      <c r="O140" s="103"/>
      <c r="AJ140" s="104"/>
      <c r="AK140" s="105"/>
      <c r="AL140" s="103"/>
      <c r="AM140" s="103"/>
      <c r="AN140" s="103"/>
      <c r="AO140" s="103"/>
      <c r="AP140" s="103"/>
      <c r="AQ140" s="106"/>
      <c r="BM140" s="120"/>
      <c r="BN140" s="120"/>
      <c r="BO140" s="120"/>
      <c r="BP140" s="120"/>
      <c r="BQ140" s="120"/>
      <c r="BR140" s="120"/>
      <c r="BS140" s="120"/>
      <c r="BT140" s="120"/>
      <c r="BU140" s="120"/>
      <c r="CB140" s="6"/>
      <c r="CC140" s="6"/>
      <c r="CG140" s="13"/>
      <c r="CH140" s="13"/>
      <c r="CI140" s="13"/>
      <c r="CJ140" s="13"/>
      <c r="CK140" s="13"/>
      <c r="CL140" s="13"/>
      <c r="CM140" s="13"/>
      <c r="CN140" s="13"/>
    </row>
    <row r="141" spans="1:93" x14ac:dyDescent="0.25">
      <c r="CB141" s="6"/>
      <c r="CC141" s="6"/>
    </row>
  </sheetData>
  <autoFilter ref="A5:CP141" xr:uid="{1F42FE33-8E3C-4CCA-BACD-45C80E7F4A0D}"/>
  <conditionalFormatting sqref="AJ1:AQ1048576">
    <cfRule type="expression" dxfId="17" priority="108">
      <formula>IF(AND($A1&lt;&gt;0,$K1=0),TRUE,FALSE)</formula>
    </cfRule>
  </conditionalFormatting>
  <conditionalFormatting sqref="A1:AQ1048576">
    <cfRule type="expression" dxfId="16" priority="102" stopIfTrue="1">
      <formula>IF($A1="New (change to Done when complete)",TRUE,FALSE)</formula>
    </cfRule>
    <cfRule type="expression" dxfId="15" priority="103" stopIfTrue="1">
      <formula>IF($A1="Blocked",TRUE,FALSE)</formula>
    </cfRule>
    <cfRule type="expression" dxfId="14" priority="104">
      <formula>IF(AND(LEN($A1)&gt;0,$A1&lt;&gt;"Done",$A1&lt;&gt;"Status"),TRUE,FALSE)</formula>
    </cfRule>
  </conditionalFormatting>
  <conditionalFormatting sqref="B1:AQ1048576">
    <cfRule type="expression" dxfId="13" priority="1">
      <formula>IF(B1=B$1,TRUE,FALSE)</formula>
    </cfRule>
  </conditionalFormatting>
  <dataValidations count="1">
    <dataValidation type="list" allowBlank="1" showInputMessage="1" showErrorMessage="1" sqref="C1:C1048576" xr:uid="{FDC2CDB7-970C-41B0-825B-FE221D5E63BF}">
      <formula1>#REF!</formula1>
    </dataValidation>
  </dataValidations>
  <hyperlinks>
    <hyperlink ref="AJ56" r:id="rId1" display="http://www.therealpresence.org/eucharst/misc/BVM/09_ZARAGOZA_60x96.pdf" xr:uid="{C32278E4-7B7A-4954-906D-9C47B409BA2E}"/>
    <hyperlink ref="AJ12" r:id="rId2" display="http://www.therealpresence.org/eucharst/misc/BVM/68_LE_PUY_60x96.pdf" xr:uid="{CA03B079-2CAD-492C-9E3F-618DC97F1315}"/>
    <hyperlink ref="AJ28" r:id="rId3" display="http://www.therealpresence.org/eucharst/misc/BVM/117_ROMA_60x96.pdf" xr:uid="{19903BBD-2E0B-4FC0-B12B-17CA17D1BEAD}"/>
    <hyperlink ref="AJ134" r:id="rId4" display="http://www.therealpresence.org/eucharst/misc/BVM/90_TINDARI_60x96.pdf" xr:uid="{5DEB3489-2F6D-49A0-874C-5F62C2659263}"/>
    <hyperlink ref="AJ139" r:id="rId5" display="http://www.therealpresence.org/eucharst/misc/BVM/153_WALSINGHAM_60x96.pdf" xr:uid="{F08A0A36-1EB4-43EE-82AF-E0260EA92604}"/>
    <hyperlink ref="AJ46" r:id="rId6" display="http://www.therealpresence.org/eucharst/misc/BVM/138_SWIETA_LIPKA_60x96.pdf" xr:uid="{A5DE945D-29BF-4310-B2D2-A673B5065271}"/>
    <hyperlink ref="AJ29" r:id="rId7" display="http://www.therealpresence.org/eucharst/misc/BVM/13_VALVERDE_60x96.pdf" xr:uid="{7BCA5074-E5ED-4665-ABB7-0692B0D6A186}"/>
    <hyperlink ref="AJ25" r:id="rId8" display="http://www.therealpresence.org/eucharst/misc/BVM/32_VAILANKANNI_60x96.pdf" xr:uid="{489E131A-8E14-46B5-BB24-7DDA799C38FB}"/>
    <hyperlink ref="AJ41" r:id="rId9" display="http://www.therealpresence.org/eucharst/misc/BVM/70_GUADALUPE_96x96.pdf" xr:uid="{B1B8B53E-5BAF-460A-AABE-EF5672BC9ACC}"/>
    <hyperlink ref="AJ55" r:id="rId10" display="http://www.therealpresence.org/eucharst/misc/BVM/137_SVETA_GORA_60x96.pdf" xr:uid="{DF9F5ACF-66C9-4DC5-971D-5E7894EEDBED}"/>
    <hyperlink ref="AJ135" r:id="rId11" display="http://www.therealpresence.org/eucharst/misc/BVM/140_GOZO_60x96.pdf" xr:uid="{12021650-E5C0-4596-B9DA-B5910F446D73}"/>
    <hyperlink ref="AJ137" r:id="rId12" display="http://www.therealpresence.org/eucharst/misc/BVM/94_CAYSASAY_60x96.pdf" xr:uid="{E30EF88F-2468-4403-A13B-FC90525FB784}"/>
    <hyperlink ref="AJ54" r:id="rId13" display="http://www.therealpresence.org/eucharst/misc/BVM/104_DOROSZLO_60x96.pdf" xr:uid="{D355AD30-56C2-4752-AF84-7613A746082C}"/>
    <hyperlink ref="AJ40" r:id="rId14" display="http://www.therealpresence.org/eucharst/misc/BVM/57_SILUVA_96x96.pdf" xr:uid="{57CA58CD-A9F6-41BA-9AFE-3EF68EFC1E97}"/>
    <hyperlink ref="AJ45" r:id="rId15" display="http://www.therealpresence.org/eucharst/misc/BVM/88_MANAOAG_60x96.pdf" xr:uid="{9B5AE47B-71F0-4951-BA0C-73F35609D322}"/>
    <hyperlink ref="AJ130" r:id="rId16" display="http://www.therealpresence.org/eucharst/misc/BVM/102_CUBA_96x96.pdf" xr:uid="{AE52E191-4C08-4325-AAC1-F431733684EE}"/>
    <hyperlink ref="AJ13" r:id="rId17" display="http://www.therealpresence.org/eucharst/misc/BVM/69_LAUS_140x96.pdf" xr:uid="{47EBC17E-3022-4B54-8C06-F6E30985CF34}"/>
    <hyperlink ref="AJ9" r:id="rId18" display="http://www.therealpresence.org/eucharst/misc/BVM/109_LAJAS_96x96.pdf" xr:uid="{5E55BC1B-CDB5-4035-B57A-F4F9C4615022}"/>
    <hyperlink ref="AJ128" r:id="rId19" display="http://www.therealpresence.org/eucharst/misc/BVM/21_LAVANG_60x96.pdf" xr:uid="{E25E80BB-D05A-4AE7-A237-C4CE83C48226}"/>
    <hyperlink ref="AJ49" r:id="rId20" display="http://www.therealpresence.org/eucharst/misc/BVM/110_LICHEN_96x96.pdf" xr:uid="{C3DA243D-69BB-40E7-B6C2-682AC414D5CF}"/>
    <hyperlink ref="AJ14" r:id="rId21" display="http://www.therealpresence.org/eucharst/misc/BVM/06_PARIGI_60x96.pdf" xr:uid="{B55806A6-B198-4A9F-8B4E-C8B236010F2F}"/>
    <hyperlink ref="AJ30" r:id="rId22" display="http://www.therealpresence.org/eucharst/misc/BVM/23_ROMA_60x96.pdf" xr:uid="{04873456-C162-4CCF-A15B-B99C615CE702}"/>
    <hyperlink ref="AJ15" r:id="rId23" display="http://www.therealpresence.org/eucharst/misc/BVM/30_LA_SALETTE_96x96.pdf" xr:uid="{196A5320-6676-4EF1-8332-90C055C3F324}"/>
    <hyperlink ref="AJ16" r:id="rId24" display="http://www.therealpresence.org/eucharst/misc/BVM/40_LOURDES_140x96.pdf" xr:uid="{0E442E49-F47F-4E39-B0F8-7BD5EE632E6A}"/>
    <hyperlink ref="AJ10" r:id="rId25" display="http://www.therealpresence.org/eucharst/misc/BVM/89_FILIPOV_96x96.pdf" xr:uid="{487ABD3A-F8BB-4BE0-ACFC-033D0C037295}"/>
    <hyperlink ref="AJ17" r:id="rId26" display="http://www.therealpresence.org/eucharst/misc/BVM/26_PONTMAIN_60x96.pdf" xr:uid="{1C4295E7-38F2-4746-9EA4-3167D315BC85}"/>
    <hyperlink ref="AJ131" r:id="rId27" display="http://www.therealpresence.org/eucharst/misc/BVM/07_PELLEVOISIN_60x96.pdf" xr:uid="{D2B26C3B-937B-4D07-805A-79B71B01D389}"/>
    <hyperlink ref="AJ50" r:id="rId28" display="http://www.therealpresence.org/eucharst/misc/BVM/85_GIETRZALD_96x96.pdf" xr:uid="{2E378F3D-BCCF-40CC-B461-739D7CE2DB36}"/>
    <hyperlink ref="AJ27" r:id="rId29" display="http://www.therealpresence.org/eucharst/misc/BVM/63_KNOCK_60x96.pdf" xr:uid="{7AEA5702-3D74-45DC-BBA5-772B410C7ABB}"/>
    <hyperlink ref="AJ52" r:id="rId30" display="http://www.therealpresence.org/eucharst/misc/BVM/154_FATIMA_96x96_1.pdf" xr:uid="{BBE3D2C4-1E15-438E-874E-7C013CE9F038}"/>
    <hyperlink ref="AJ133" r:id="rId31" display="http://www.therealpresence.org/eucharst/misc/BVM/128_KALLIKULAM_60x96.pdf" xr:uid="{EC20155A-4D8F-4B9A-8BC9-AD53DDAA3B2D}"/>
    <hyperlink ref="AJ138" r:id="rId32" display="http://www.therealpresence.org/eucharst/misc/BVM/124_NGOME_140x96.pdf" xr:uid="{4235EB2E-6994-48B8-B2B9-BD0AF0481CF3}"/>
    <hyperlink ref="AJ11" r:id="rId33" display="http://www.therealpresence.org/eucharst/misc/BVM/144_ZEITUN_96x96.pdf" xr:uid="{0EDD73A9-5A3C-4483-A3C8-1A95818F3C4B}"/>
    <hyperlink ref="AJ39" r:id="rId34" display="http://www.therealpresence.org/eucharst/misc/BVM/01_AKITA_60x96.pdf" xr:uid="{FA8314A8-A194-4DAE-9A7E-65EECB2DC573}"/>
    <hyperlink ref="AJ136" r:id="rId35" display="http://www.therealpresence.org/eucharst/misc/BVM/16_CUAPA_60x96.pdf" xr:uid="{71244677-A467-4D01-B899-925B6A0E0158}"/>
    <hyperlink ref="AJ53" r:id="rId36" display="http://www.therealpresence.org/eucharst/misc/BVM/20_KIBEHO_96x96.pdf" xr:uid="{FF0B29AE-9B16-4798-BF10-3705A44A3613}"/>
  </hyperlinks>
  <pageMargins left="0.7" right="0.7" top="0.75" bottom="0.75" header="0.3" footer="0.3"/>
  <pageSetup orientation="portrait" r:id="rId37"/>
  <drawing r:id="rId38"/>
  <legacyDrawing r:id="rId39"/>
  <mc:AlternateContent xmlns:mc="http://schemas.openxmlformats.org/markup-compatibility/2006">
    <mc:Choice Requires="x14">
      <controls>
        <mc:AlternateContent xmlns:mc="http://schemas.openxmlformats.org/markup-compatibility/2006">
          <mc:Choice Requires="x14">
            <control shapeId="1029" r:id="rId40" name="Button 5">
              <controlPr defaultSize="0" print="0" autoFill="0" autoPict="0" macro="[0]!CopyRowAfterLastRow">
                <anchor moveWithCells="1">
                  <from>
                    <xdr:col>0</xdr:col>
                    <xdr:colOff>47625</xdr:colOff>
                    <xdr:row>1</xdr:row>
                    <xdr:rowOff>28575</xdr:rowOff>
                  </from>
                  <to>
                    <xdr:col>1</xdr:col>
                    <xdr:colOff>466725</xdr:colOff>
                    <xdr:row>2</xdr:row>
                    <xdr:rowOff>133350</xdr:rowOff>
                  </to>
                </anchor>
              </controlPr>
            </control>
          </mc:Choice>
        </mc:AlternateContent>
        <mc:AlternateContent xmlns:mc="http://schemas.openxmlformats.org/markup-compatibility/2006">
          <mc:Choice Requires="x14">
            <control shapeId="1032" r:id="rId41" name="Button 8">
              <controlPr defaultSize="0" print="0" autoFill="0" autoPict="0" macro="[0]!WriteToFile">
                <anchor moveWithCells="1">
                  <from>
                    <xdr:col>2</xdr:col>
                    <xdr:colOff>47625</xdr:colOff>
                    <xdr:row>1</xdr:row>
                    <xdr:rowOff>28575</xdr:rowOff>
                  </from>
                  <to>
                    <xdr:col>3</xdr:col>
                    <xdr:colOff>666750</xdr:colOff>
                    <xdr:row>2</xdr:row>
                    <xdr:rowOff>133350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1" id="{1BCE7D4C-278A-4156-90B9-020449CA49D6}">
            <xm:f>IF(AND(LEN(Z1)&lt;&gt;0,ROW(Z1)&gt;1,ISNA(VLOOKUP(Z1,Tags!$C:$D,2,))),TRUE,FALSE)</xm:f>
            <x14:dxf>
              <font>
                <b val="0"/>
                <i/>
                <color rgb="FFFF0000"/>
              </font>
            </x14:dxf>
          </x14:cfRule>
          <xm:sqref>Z1:AI1048576</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4D7BA9E5-C59A-4982-8ECD-C721C2B91B0B}">
          <x14:formula1>
            <xm:f>Tags!$C:$C</xm:f>
          </x14:formula1>
          <xm:sqref>Z1:AI1048576</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41B56D-0D62-4756-B34B-44729214C449}">
  <sheetPr codeName="Sheet9"/>
  <dimension ref="A1:CB141"/>
  <sheetViews>
    <sheetView zoomScale="80" zoomScaleNormal="80" workbookViewId="0">
      <pane xSplit="4" ySplit="5" topLeftCell="E6" activePane="bottomRight" state="frozen"/>
      <selection pane="topRight" activeCell="G1" sqref="G1"/>
      <selection pane="bottomLeft" activeCell="A2" sqref="A2"/>
      <selection pane="bottomRight" activeCell="A2" sqref="A2"/>
    </sheetView>
  </sheetViews>
  <sheetFormatPr defaultColWidth="9.140625" defaultRowHeight="12.75" x14ac:dyDescent="0.25"/>
  <cols>
    <col min="1" max="1" width="12.85546875" style="129" bestFit="1" customWidth="1"/>
    <col min="2" max="2" width="7.85546875" style="7" customWidth="1"/>
    <col min="3" max="3" width="25.7109375" style="33" bestFit="1" customWidth="1"/>
    <col min="4" max="4" width="48.140625" style="7" bestFit="1" customWidth="1"/>
    <col min="5" max="5" width="20.85546875" style="33" bestFit="1" customWidth="1"/>
    <col min="6" max="6" width="69" style="7" customWidth="1"/>
    <col min="7" max="7" width="45.5703125" style="7" customWidth="1"/>
    <col min="8" max="8" width="45.5703125" style="33" customWidth="1"/>
    <col min="9" max="9" width="11.5703125" style="1" bestFit="1" customWidth="1"/>
    <col min="10" max="10" width="10.28515625" style="1" bestFit="1" customWidth="1"/>
    <col min="11" max="11" width="14.85546875" style="44" bestFit="1" customWidth="1"/>
    <col min="12" max="12" width="11.5703125" style="40" bestFit="1" customWidth="1"/>
    <col min="13" max="13" width="10.28515625" style="1" bestFit="1" customWidth="1"/>
    <col min="14" max="14" width="14.85546875" style="44" bestFit="1" customWidth="1"/>
    <col min="15" max="15" width="11.5703125" style="1" bestFit="1" customWidth="1"/>
    <col min="16" max="16" width="10.28515625" style="1" bestFit="1" customWidth="1"/>
    <col min="17" max="17" width="14.85546875" style="30" bestFit="1" customWidth="1"/>
    <col min="18" max="18" width="4.5703125" style="121" bestFit="1" customWidth="1"/>
    <col min="19" max="19" width="9" style="116" bestFit="1" customWidth="1"/>
    <col min="20" max="20" width="10.28515625" style="117" bestFit="1" customWidth="1"/>
    <col min="21" max="24" width="7.140625" style="117" customWidth="1"/>
    <col min="25" max="78" width="9.140625" style="117"/>
    <col min="79" max="79" width="38.7109375" style="6" customWidth="1"/>
    <col min="80" max="80" width="38.7109375" style="14" customWidth="1"/>
    <col min="81" max="16384" width="9.140625" style="1"/>
  </cols>
  <sheetData>
    <row r="1" spans="1:80" ht="51" hidden="1" x14ac:dyDescent="0.25">
      <c r="A1" s="129" t="s">
        <v>1651</v>
      </c>
      <c r="B1" s="130" t="s">
        <v>1652</v>
      </c>
      <c r="C1" s="139" t="s">
        <v>1721</v>
      </c>
      <c r="D1" s="126" t="s">
        <v>1636</v>
      </c>
      <c r="E1" s="139" t="s">
        <v>1723</v>
      </c>
      <c r="F1" s="130" t="s">
        <v>1727</v>
      </c>
      <c r="G1" s="130" t="s">
        <v>1724</v>
      </c>
      <c r="H1" s="152" t="s">
        <v>1805</v>
      </c>
      <c r="I1" s="132" t="s">
        <v>1658</v>
      </c>
      <c r="J1" s="132" t="s">
        <v>1659</v>
      </c>
      <c r="K1" s="133" t="s">
        <v>1660</v>
      </c>
      <c r="L1" s="134" t="s">
        <v>53</v>
      </c>
      <c r="M1" s="135" t="s">
        <v>53</v>
      </c>
      <c r="N1" s="136" t="s">
        <v>53</v>
      </c>
      <c r="O1" s="135" t="s">
        <v>53</v>
      </c>
      <c r="P1" s="135" t="s">
        <v>53</v>
      </c>
      <c r="Q1" s="137" t="s">
        <v>53</v>
      </c>
      <c r="R1" s="142" t="s">
        <v>53</v>
      </c>
      <c r="S1" s="116" t="b">
        <f t="shared" ref="S1" si="0">IF(OR(A1="Done",A1="In Progress"),TRUE)</f>
        <v>0</v>
      </c>
      <c r="T1" s="117" t="str">
        <f t="shared" ref="T1" si="1">"title: """&amp;D1&amp;""""</f>
        <v>title: "Page Title (what will display on website)"</v>
      </c>
      <c r="U1" s="117" t="str">
        <f>IF(LEN(J1)&gt;0,TRIM(CONCATENATE("["&amp;I1&amp;"](",J1,") ",IF(LEN(K1)&gt;0,"- "&amp;K1,K1))),"")</f>
        <v>[Link Name](Link URL) - Link Comment</v>
      </c>
      <c r="V1" s="117" t="str">
        <f>IF(LEN(M1)&gt;0,TRIM(CONCATENATE("["&amp;L1&amp;"](",M1,") ",IF(LEN(N1)&gt;0,"- "&amp;N1,N1))),"")</f>
        <v/>
      </c>
      <c r="W1" s="117" t="str">
        <f>IF(LEN(P1)&gt;0,TRIM(CONCATENATE("["&amp;O1&amp;"](",P1,") ",IF(LEN(Q1)&gt;0,"- "&amp;Q1,Q1))),"")</f>
        <v/>
      </c>
      <c r="X1" s="117" t="str">
        <f t="shared" ref="X1" si="2">IF(LEN(U1)&gt;0,"* "&amp;U1&amp;CHAR(10),"")&amp;
IF(LEN(V1)&gt;0,"* "&amp;V1&amp;CHAR(10),"")&amp;
IF(LEN(W1)&gt;0,"* "&amp;W1&amp;CHAR(10),"")</f>
        <v xml:space="preserve">* [Link Name](Link URL) - Link Comment
</v>
      </c>
      <c r="Y1" s="117" t="str">
        <f>IF(LEN(X1)&gt;0,concatl("#### More Information",X1),"")</f>
        <v xml:space="preserve">#### More Information_x000D_
* [Link Name](Link URL) - Link Comment
_x000D_
</v>
      </c>
      <c r="Z1" s="117" t="str">
        <f>IF(LEN(G1)&gt;1,concatll("#### Author's Note",G1,"-"&amp;$B1),"")</f>
        <v xml:space="preserve">#### Author's Note_x000D_
_x000D_
Non-referenceable information which you've found, or any other opinions/preferences (optional)_x000D_
_x000D_
-Your Initials_x000D_
_x000D_
</v>
      </c>
      <c r="AA1" s="117" t="str">
        <f>IF(LEN(H1)&gt;1,concatll("#### Dedication",H1,"-"&amp;$B1),"")</f>
        <v xml:space="preserve">#### Dedication_x000D_
_x000D_
You can dedicate the time you spent researching the topic here (optional)_x000D_
_x000D_
-Your Initials_x000D_
_x000D_
</v>
      </c>
      <c r="CA1" s="6" t="str">
        <f>IF(S1,concatll(concatl("---",T1,"---"),"*A collection of sites associated with this topic.*","#### Background",F1,Y1,Z1,AA1),"")</f>
        <v/>
      </c>
      <c r="CB1" s="14" t="str">
        <f t="shared" ref="CB1" si="3">IF(S1,"tags\"&amp;C1&amp;"\_index.md","")</f>
        <v/>
      </c>
    </row>
    <row r="2" spans="1:80" x14ac:dyDescent="0.25">
      <c r="Q2" s="125"/>
    </row>
    <row r="5" spans="1:80" s="47" customFormat="1" ht="26.25" thickBot="1" x14ac:dyDescent="0.3">
      <c r="A5" s="108" t="s">
        <v>787</v>
      </c>
      <c r="B5" s="108" t="s">
        <v>1656</v>
      </c>
      <c r="C5" s="110" t="s">
        <v>883</v>
      </c>
      <c r="D5" s="108" t="s">
        <v>884</v>
      </c>
      <c r="E5" s="110" t="s">
        <v>1281</v>
      </c>
      <c r="F5" s="108" t="s">
        <v>1726</v>
      </c>
      <c r="G5" s="108" t="s">
        <v>84</v>
      </c>
      <c r="H5" s="110" t="s">
        <v>1804</v>
      </c>
      <c r="I5" s="107" t="s">
        <v>957</v>
      </c>
      <c r="J5" s="107" t="s">
        <v>958</v>
      </c>
      <c r="K5" s="112" t="s">
        <v>1647</v>
      </c>
      <c r="L5" s="111" t="s">
        <v>960</v>
      </c>
      <c r="M5" s="107" t="s">
        <v>961</v>
      </c>
      <c r="N5" s="112" t="s">
        <v>1648</v>
      </c>
      <c r="O5" s="107" t="s">
        <v>962</v>
      </c>
      <c r="P5" s="107" t="s">
        <v>963</v>
      </c>
      <c r="Q5" s="109" t="s">
        <v>1649</v>
      </c>
      <c r="R5" s="122" t="s">
        <v>53</v>
      </c>
      <c r="S5" s="118" t="s">
        <v>903</v>
      </c>
      <c r="T5" s="119" t="s">
        <v>706</v>
      </c>
      <c r="U5" s="119" t="s">
        <v>983</v>
      </c>
      <c r="V5" s="119" t="s">
        <v>984</v>
      </c>
      <c r="W5" s="119" t="s">
        <v>985</v>
      </c>
      <c r="X5" s="119" t="s">
        <v>990</v>
      </c>
      <c r="Y5" s="119" t="s">
        <v>1428</v>
      </c>
      <c r="Z5" s="119" t="s">
        <v>980</v>
      </c>
      <c r="AA5" s="119" t="s">
        <v>1806</v>
      </c>
      <c r="AB5" s="119"/>
      <c r="AC5" s="119"/>
      <c r="AD5" s="119"/>
      <c r="AE5" s="119"/>
      <c r="AF5" s="119"/>
      <c r="AG5" s="119"/>
      <c r="AH5" s="119"/>
      <c r="AI5" s="119"/>
      <c r="AJ5" s="119"/>
      <c r="AK5" s="119"/>
      <c r="AL5" s="119"/>
      <c r="AM5" s="119"/>
      <c r="AN5" s="119"/>
      <c r="AO5" s="119"/>
      <c r="AP5" s="119"/>
      <c r="AQ5" s="119"/>
      <c r="AR5" s="119"/>
      <c r="AS5" s="119"/>
      <c r="AT5" s="119"/>
      <c r="AU5" s="119"/>
      <c r="AV5" s="119"/>
      <c r="AW5" s="119"/>
      <c r="AX5" s="119"/>
      <c r="AY5" s="119"/>
      <c r="AZ5" s="119"/>
      <c r="BA5" s="119"/>
      <c r="BB5" s="119"/>
      <c r="BC5" s="119"/>
      <c r="BD5" s="119"/>
      <c r="BE5" s="119"/>
      <c r="BF5" s="119"/>
      <c r="BG5" s="119"/>
      <c r="BH5" s="119"/>
      <c r="BI5" s="119"/>
      <c r="BJ5" s="119"/>
      <c r="BK5" s="119"/>
      <c r="BL5" s="119"/>
      <c r="BM5" s="119"/>
      <c r="BN5" s="119"/>
      <c r="BO5" s="119"/>
      <c r="BP5" s="119"/>
      <c r="BQ5" s="119"/>
      <c r="BR5" s="119"/>
      <c r="BS5" s="119"/>
      <c r="BT5" s="119"/>
      <c r="BU5" s="119"/>
      <c r="BV5" s="119"/>
      <c r="BW5" s="119"/>
      <c r="BX5" s="119"/>
      <c r="BY5" s="119"/>
      <c r="BZ5" s="119"/>
      <c r="CA5" s="50" t="s">
        <v>987</v>
      </c>
      <c r="CB5" s="49" t="s">
        <v>699</v>
      </c>
    </row>
    <row r="6" spans="1:80" ht="76.5" x14ac:dyDescent="0.25">
      <c r="A6" s="129" t="s">
        <v>786</v>
      </c>
      <c r="B6" s="130" t="s">
        <v>1653</v>
      </c>
      <c r="C6" s="139" t="s">
        <v>1708</v>
      </c>
      <c r="D6" s="130" t="s">
        <v>1707</v>
      </c>
      <c r="E6" s="33" t="s">
        <v>1283</v>
      </c>
      <c r="F6" s="130" t="s">
        <v>1709</v>
      </c>
      <c r="G6" s="130"/>
      <c r="H6" s="139"/>
      <c r="I6" s="132" t="s">
        <v>1713</v>
      </c>
      <c r="J6" s="1" t="s">
        <v>1714</v>
      </c>
      <c r="K6" s="44" t="s">
        <v>53</v>
      </c>
      <c r="L6" s="40" t="s">
        <v>53</v>
      </c>
      <c r="M6" s="1" t="s">
        <v>53</v>
      </c>
      <c r="N6" s="44" t="s">
        <v>53</v>
      </c>
      <c r="O6" s="1" t="s">
        <v>53</v>
      </c>
      <c r="P6" s="1" t="s">
        <v>53</v>
      </c>
      <c r="Q6" s="30" t="s">
        <v>53</v>
      </c>
      <c r="S6" s="116" t="b">
        <f t="shared" ref="S6:S37" si="4">IF(OR(A6="Done",A6="In Progress"),TRUE)</f>
        <v>1</v>
      </c>
      <c r="T6" s="117" t="str">
        <f t="shared" ref="T6:T37" si="5">"title: """&amp;D6&amp;""""</f>
        <v>title: "Major Basilicas"</v>
      </c>
      <c r="U6" s="120" t="str">
        <f t="shared" ref="U6:U37" si="6">IF(LEN(J6)&gt;0,TRIM(CONCATENATE("["&amp;I6&amp;"](",J6,") ",IF(LEN(K6)&gt;0,"- "&amp;K6,K6))),"")</f>
        <v>[Vatican List of Major Basilicas](https://www.vatican.va/various/basiliche/index_en.html)</v>
      </c>
      <c r="V6" s="120" t="str">
        <f t="shared" ref="V6:V37" si="7">IF(LEN(M6)&gt;0,TRIM(CONCATENATE("["&amp;L6&amp;"](",M6,") ",IF(LEN(N6)&gt;0,"- "&amp;N6,N6))),"")</f>
        <v/>
      </c>
      <c r="W6" s="120" t="str">
        <f t="shared" ref="W6:W37" si="8">IF(LEN(P6)&gt;0,TRIM(CONCATENATE("["&amp;O6&amp;"](",P6,") ",IF(LEN(Q6)&gt;0,"- "&amp;Q6,Q6))),"")</f>
        <v/>
      </c>
      <c r="X6" s="120" t="str">
        <f t="shared" ref="X6:X37" si="9">IF(LEN(U6)&gt;0,"* "&amp;U6&amp;CHAR(10),"")&amp;
IF(LEN(V6)&gt;0,"* "&amp;V6&amp;CHAR(10),"")&amp;
IF(LEN(W6)&gt;0,"* "&amp;W6&amp;CHAR(10),"")</f>
        <v xml:space="preserve">* [Vatican List of Major Basilicas](https://www.vatican.va/various/basiliche/index_en.html)
</v>
      </c>
      <c r="Y6" s="117" t="str">
        <f t="shared" ref="Y6:Y37" si="10">IF(LEN(X6)&gt;0,concatl("#### More Information",X6),"")</f>
        <v xml:space="preserve">#### More Information_x000D_
* [Vatican List of Major Basilicas](https://www.vatican.va/various/basiliche/index_en.html)
_x000D_
</v>
      </c>
      <c r="Z6" s="117" t="str">
        <f>IF(LEN(G6)&gt;1,concatll("#### Author's Note",G6,"-"&amp;$B6),"")</f>
        <v/>
      </c>
      <c r="AA6" s="117" t="str">
        <f>IF(LEN(H6)&gt;1,concatll("#### Dedication",H6,"-"&amp;$B6),"")</f>
        <v/>
      </c>
      <c r="CA6" s="6" t="str">
        <f>IF(S6,concatll(concatl("---",T6,"---"),"*A collection of sites associated with this topic.*","#### Background",F6,Y6,Z6,AA6),"")</f>
        <v xml:space="preserve">---_x000D_
title: "Major Basilicas"_x000D_
---_x000D_
_x000D_
_x000D_
*A collection of sites associated with this topic.*_x000D_
_x000D_
#### Background_x000D_
_x000D_
The four major basilicas in the Roman Catholic Church:
* St. John Lateran (seat of the Pope, Bishop of Rome)
* St. Peter
* St. Mary Major
* St. Paul Outside the Walls_x000D_
_x000D_
#### More Information_x000D_
* [Vatican List of Major Basilicas](https://www.vatican.va/various/basiliche/index_en.html)
_x000D_
_x000D_
_x000D_
</v>
      </c>
      <c r="CB6" s="6" t="str">
        <f t="shared" ref="CB6:CB37" si="11">IF(S6,"tags\"&amp;C6&amp;"\_index.md","")</f>
        <v>tags\major-basilicas\_index.md</v>
      </c>
    </row>
    <row r="7" spans="1:80" x14ac:dyDescent="0.25">
      <c r="A7" s="129" t="s">
        <v>1728</v>
      </c>
      <c r="C7" s="140" t="s">
        <v>880</v>
      </c>
      <c r="D7" s="7" t="s">
        <v>891</v>
      </c>
      <c r="E7" s="33" t="s">
        <v>1283</v>
      </c>
      <c r="I7" s="2" t="s">
        <v>53</v>
      </c>
      <c r="J7" s="2" t="s">
        <v>53</v>
      </c>
      <c r="K7" s="43" t="s">
        <v>53</v>
      </c>
      <c r="L7" s="39" t="s">
        <v>53</v>
      </c>
      <c r="M7" s="2" t="s">
        <v>53</v>
      </c>
      <c r="N7" s="43" t="s">
        <v>53</v>
      </c>
      <c r="O7" s="2" t="s">
        <v>53</v>
      </c>
      <c r="P7" s="2" t="s">
        <v>53</v>
      </c>
      <c r="Q7" s="31" t="s">
        <v>53</v>
      </c>
      <c r="S7" s="116" t="b">
        <f t="shared" si="4"/>
        <v>0</v>
      </c>
      <c r="T7" s="117" t="str">
        <f t="shared" si="5"/>
        <v>title: "Religious Communities"</v>
      </c>
      <c r="U7" s="120" t="str">
        <f t="shared" si="6"/>
        <v/>
      </c>
      <c r="V7" s="120" t="str">
        <f t="shared" si="7"/>
        <v/>
      </c>
      <c r="W7" s="120" t="str">
        <f t="shared" si="8"/>
        <v/>
      </c>
      <c r="X7" s="120" t="str">
        <f t="shared" si="9"/>
        <v/>
      </c>
      <c r="Y7" s="117" t="str">
        <f t="shared" si="10"/>
        <v/>
      </c>
      <c r="Z7" s="117" t="str">
        <f>IF(LEN(G7)&gt;1,concatll("#### Author's Note",G7,"-"&amp;$B7),"")</f>
        <v/>
      </c>
      <c r="AA7" s="117" t="str">
        <f>IF(LEN(H7)&gt;1,concatll("#### Dedication",H7,"-"&amp;$B7),"")</f>
        <v/>
      </c>
      <c r="CA7" s="6" t="str">
        <f>IF(S7,concatll(concatl("---",T7,"---"),"*A collection of sites associated with this topic.*","#### Background",F7,Y7,Z7,AA7),"")</f>
        <v/>
      </c>
      <c r="CB7" s="6" t="str">
        <f t="shared" si="11"/>
        <v/>
      </c>
    </row>
    <row r="8" spans="1:80" x14ac:dyDescent="0.25">
      <c r="A8" s="129" t="s">
        <v>1728</v>
      </c>
      <c r="B8" s="130"/>
      <c r="C8" s="33" t="s">
        <v>1029</v>
      </c>
      <c r="D8" s="26" t="s">
        <v>1030</v>
      </c>
      <c r="E8" s="38" t="s">
        <v>1283</v>
      </c>
      <c r="F8" s="26"/>
      <c r="I8" s="1" t="s">
        <v>53</v>
      </c>
      <c r="J8" s="1" t="s">
        <v>53</v>
      </c>
      <c r="K8" s="44" t="s">
        <v>53</v>
      </c>
      <c r="L8" s="40" t="s">
        <v>53</v>
      </c>
      <c r="M8" s="1" t="s">
        <v>53</v>
      </c>
      <c r="N8" s="44" t="s">
        <v>53</v>
      </c>
      <c r="O8" s="1" t="s">
        <v>53</v>
      </c>
      <c r="P8" s="1" t="s">
        <v>53</v>
      </c>
      <c r="Q8" s="30" t="s">
        <v>53</v>
      </c>
      <c r="S8" s="116" t="b">
        <f t="shared" si="4"/>
        <v>0</v>
      </c>
      <c r="T8" s="117" t="str">
        <f t="shared" si="5"/>
        <v>title: "Protestant Reformation"</v>
      </c>
      <c r="U8" s="120" t="str">
        <f t="shared" si="6"/>
        <v/>
      </c>
      <c r="V8" s="120" t="str">
        <f t="shared" si="7"/>
        <v/>
      </c>
      <c r="W8" s="120" t="str">
        <f t="shared" si="8"/>
        <v/>
      </c>
      <c r="X8" s="120" t="str">
        <f t="shared" si="9"/>
        <v/>
      </c>
      <c r="Y8" s="117" t="str">
        <f t="shared" si="10"/>
        <v/>
      </c>
      <c r="Z8" s="117" t="str">
        <f>IF(LEN(G8)&gt;1,concatll("#### Author's Note",G8,"-"&amp;$B8),"")</f>
        <v/>
      </c>
      <c r="AA8" s="117" t="str">
        <f>IF(LEN(H8)&gt;1,concatll("#### Dedication",H8,"-"&amp;$B8),"")</f>
        <v/>
      </c>
      <c r="CA8" s="6" t="str">
        <f>IF(S8,concatll(concatl("---",T8,"---"),"*A collection of sites associated with this topic.*","#### Background",F8,Y8,Z8,AA8),"")</f>
        <v/>
      </c>
      <c r="CB8" s="6" t="str">
        <f t="shared" si="11"/>
        <v/>
      </c>
    </row>
    <row r="9" spans="1:80" x14ac:dyDescent="0.25">
      <c r="A9" s="129" t="s">
        <v>1728</v>
      </c>
      <c r="C9" s="33" t="s">
        <v>1279</v>
      </c>
      <c r="D9" s="55" t="s">
        <v>1280</v>
      </c>
      <c r="E9" s="61" t="s">
        <v>1283</v>
      </c>
      <c r="F9" s="55"/>
      <c r="G9" s="130"/>
      <c r="H9" s="139"/>
      <c r="I9" s="1" t="s">
        <v>53</v>
      </c>
      <c r="J9" s="1" t="s">
        <v>53</v>
      </c>
      <c r="K9" s="44" t="s">
        <v>53</v>
      </c>
      <c r="L9" s="40" t="s">
        <v>53</v>
      </c>
      <c r="M9" s="1" t="s">
        <v>53</v>
      </c>
      <c r="N9" s="44" t="s">
        <v>53</v>
      </c>
      <c r="O9" s="1" t="s">
        <v>53</v>
      </c>
      <c r="P9" s="1" t="s">
        <v>53</v>
      </c>
      <c r="Q9" s="30" t="s">
        <v>53</v>
      </c>
      <c r="S9" s="116" t="b">
        <f t="shared" si="4"/>
        <v>0</v>
      </c>
      <c r="T9" s="117" t="str">
        <f t="shared" si="5"/>
        <v>title: "Closed or Deconsecrated Sites"</v>
      </c>
      <c r="U9" s="120" t="str">
        <f t="shared" si="6"/>
        <v/>
      </c>
      <c r="V9" s="120" t="str">
        <f t="shared" si="7"/>
        <v/>
      </c>
      <c r="W9" s="120" t="str">
        <f t="shared" si="8"/>
        <v/>
      </c>
      <c r="X9" s="117" t="str">
        <f t="shared" si="9"/>
        <v/>
      </c>
      <c r="Y9" s="117" t="str">
        <f t="shared" si="10"/>
        <v/>
      </c>
      <c r="Z9" s="117" t="str">
        <f>IF(LEN(G9)&gt;1,concatll("#### Author's Note",G9,"-"&amp;$B9),"")</f>
        <v/>
      </c>
      <c r="AA9" s="117" t="str">
        <f>IF(LEN(H9)&gt;1,concatll("#### Dedication",H9,"-"&amp;$B9),"")</f>
        <v/>
      </c>
      <c r="CA9" s="6" t="str">
        <f>IF(S9,concatll(concatl("---",T9,"---"),"*A collection of sites associated with this topic.*","#### Background",F9,Y9,Z9,AA9),"")</f>
        <v/>
      </c>
      <c r="CB9" s="6" t="str">
        <f t="shared" si="11"/>
        <v/>
      </c>
    </row>
    <row r="10" spans="1:80" x14ac:dyDescent="0.25">
      <c r="A10" s="129" t="s">
        <v>1728</v>
      </c>
      <c r="C10" s="33" t="s">
        <v>1444</v>
      </c>
      <c r="D10" s="24" t="s">
        <v>1445</v>
      </c>
      <c r="E10" s="36" t="s">
        <v>1283</v>
      </c>
      <c r="G10" s="130"/>
      <c r="H10" s="139"/>
      <c r="I10" s="29" t="s">
        <v>53</v>
      </c>
      <c r="J10" s="17" t="s">
        <v>53</v>
      </c>
      <c r="K10" s="83" t="s">
        <v>53</v>
      </c>
      <c r="L10" s="41" t="s">
        <v>53</v>
      </c>
      <c r="M10" s="17" t="s">
        <v>53</v>
      </c>
      <c r="N10" s="45" t="s">
        <v>53</v>
      </c>
      <c r="O10" s="17" t="s">
        <v>53</v>
      </c>
      <c r="P10" s="17" t="s">
        <v>53</v>
      </c>
      <c r="Q10" s="68" t="s">
        <v>53</v>
      </c>
      <c r="S10" s="116" t="b">
        <f t="shared" si="4"/>
        <v>0</v>
      </c>
      <c r="T10" s="117" t="str">
        <f t="shared" si="5"/>
        <v>title: "English Martyrs"</v>
      </c>
      <c r="U10" s="120" t="str">
        <f t="shared" si="6"/>
        <v/>
      </c>
      <c r="V10" s="120" t="str">
        <f t="shared" si="7"/>
        <v/>
      </c>
      <c r="W10" s="120" t="str">
        <f t="shared" si="8"/>
        <v/>
      </c>
      <c r="X10" s="120" t="str">
        <f t="shared" si="9"/>
        <v/>
      </c>
      <c r="Y10" s="117" t="str">
        <f t="shared" si="10"/>
        <v/>
      </c>
      <c r="Z10" s="117" t="str">
        <f>IF(LEN(G10)&gt;1,concatll("#### Author's Note",G10,"-"&amp;$B10),"")</f>
        <v/>
      </c>
      <c r="AA10" s="117" t="str">
        <f>IF(LEN(H10)&gt;1,concatll("#### Dedication",H10,"-"&amp;$B10),"")</f>
        <v/>
      </c>
      <c r="CA10" s="6" t="str">
        <f>IF(S10,concatll(concatl("---",T10,"---"),"*A collection of sites associated with this topic.*","#### Background",F10,Y10,Z10,AA10),"")</f>
        <v/>
      </c>
      <c r="CB10" s="6" t="str">
        <f t="shared" si="11"/>
        <v/>
      </c>
    </row>
    <row r="11" spans="1:80" x14ac:dyDescent="0.25">
      <c r="A11" s="129" t="s">
        <v>1728</v>
      </c>
      <c r="C11" s="33" t="s">
        <v>1564</v>
      </c>
      <c r="D11" s="24" t="s">
        <v>1565</v>
      </c>
      <c r="E11" s="33" t="s">
        <v>1283</v>
      </c>
      <c r="F11" s="24"/>
      <c r="I11" s="1" t="s">
        <v>53</v>
      </c>
      <c r="J11" s="1" t="s">
        <v>53</v>
      </c>
      <c r="K11" s="44" t="s">
        <v>53</v>
      </c>
      <c r="L11" s="40" t="s">
        <v>53</v>
      </c>
      <c r="M11" s="1" t="s">
        <v>53</v>
      </c>
      <c r="N11" s="44" t="s">
        <v>53</v>
      </c>
      <c r="O11" s="1" t="s">
        <v>53</v>
      </c>
      <c r="P11" s="1" t="s">
        <v>53</v>
      </c>
      <c r="Q11" s="30" t="s">
        <v>53</v>
      </c>
      <c r="S11" s="116" t="b">
        <f t="shared" si="4"/>
        <v>0</v>
      </c>
      <c r="T11" s="117" t="str">
        <f t="shared" si="5"/>
        <v>title: "Sites Related to Educational Institutions"</v>
      </c>
      <c r="U11" s="120" t="str">
        <f t="shared" si="6"/>
        <v/>
      </c>
      <c r="V11" s="120" t="str">
        <f t="shared" si="7"/>
        <v/>
      </c>
      <c r="W11" s="120" t="str">
        <f t="shared" si="8"/>
        <v/>
      </c>
      <c r="X11" s="120" t="str">
        <f t="shared" si="9"/>
        <v/>
      </c>
      <c r="Y11" s="117" t="str">
        <f t="shared" si="10"/>
        <v/>
      </c>
      <c r="Z11" s="117" t="str">
        <f>IF(LEN(G11)&gt;1,concatll("#### Author's Note",G11,"-"&amp;$B11),"")</f>
        <v/>
      </c>
      <c r="AA11" s="117" t="str">
        <f>IF(LEN(H11)&gt;1,concatll("#### Dedication",H11,"-"&amp;$B11),"")</f>
        <v/>
      </c>
      <c r="CA11" s="6" t="str">
        <f>IF(S11,concatll(concatl("---",T11,"---"),"*A collection of sites associated with this topic.*","#### Background",F11,Y11,Z11,AA11),"")</f>
        <v/>
      </c>
      <c r="CB11" s="6" t="str">
        <f t="shared" si="11"/>
        <v/>
      </c>
    </row>
    <row r="12" spans="1:80" x14ac:dyDescent="0.25">
      <c r="A12" s="129" t="s">
        <v>1728</v>
      </c>
      <c r="B12" s="130"/>
      <c r="C12" s="73" t="s">
        <v>1567</v>
      </c>
      <c r="D12" s="71" t="s">
        <v>1568</v>
      </c>
      <c r="E12" s="73" t="s">
        <v>1283</v>
      </c>
      <c r="F12" s="71"/>
      <c r="I12" s="1" t="s">
        <v>53</v>
      </c>
      <c r="J12" s="1" t="s">
        <v>53</v>
      </c>
      <c r="K12" s="44" t="s">
        <v>53</v>
      </c>
      <c r="L12" s="40" t="s">
        <v>53</v>
      </c>
      <c r="M12" s="1" t="s">
        <v>53</v>
      </c>
      <c r="N12" s="44" t="s">
        <v>53</v>
      </c>
      <c r="O12" s="1" t="s">
        <v>53</v>
      </c>
      <c r="P12" s="1" t="s">
        <v>53</v>
      </c>
      <c r="Q12" s="30" t="s">
        <v>53</v>
      </c>
      <c r="S12" s="116" t="b">
        <f t="shared" si="4"/>
        <v>0</v>
      </c>
      <c r="T12" s="117" t="str">
        <f t="shared" si="5"/>
        <v>title: "Order of Friars Minor (Fransiscans)"</v>
      </c>
      <c r="U12" s="120" t="str">
        <f t="shared" si="6"/>
        <v/>
      </c>
      <c r="V12" s="120" t="str">
        <f t="shared" si="7"/>
        <v/>
      </c>
      <c r="W12" s="120" t="str">
        <f t="shared" si="8"/>
        <v/>
      </c>
      <c r="X12" s="117" t="str">
        <f t="shared" si="9"/>
        <v/>
      </c>
      <c r="Y12" s="117" t="str">
        <f t="shared" si="10"/>
        <v/>
      </c>
      <c r="Z12" s="117" t="str">
        <f>IF(LEN(G12)&gt;1,concatll("#### Author's Note",G12,"-"&amp;$B12),"")</f>
        <v/>
      </c>
      <c r="AA12" s="117" t="str">
        <f>IF(LEN(H12)&gt;1,concatll("#### Dedication",H12,"-"&amp;$B12),"")</f>
        <v/>
      </c>
      <c r="CA12" s="6" t="str">
        <f>IF(S12,concatll(concatl("---",T12,"---"),"*A collection of sites associated with this topic.*","#### Background",F12,Y12,Z12,AA12),"")</f>
        <v/>
      </c>
      <c r="CB12" s="6" t="str">
        <f t="shared" si="11"/>
        <v/>
      </c>
    </row>
    <row r="13" spans="1:80" x14ac:dyDescent="0.25">
      <c r="A13" s="129" t="s">
        <v>1728</v>
      </c>
      <c r="C13" s="33" t="s">
        <v>1573</v>
      </c>
      <c r="D13" s="71" t="s">
        <v>1574</v>
      </c>
      <c r="E13" s="73" t="s">
        <v>1283</v>
      </c>
      <c r="F13" s="71"/>
      <c r="I13" s="72" t="s">
        <v>53</v>
      </c>
      <c r="J13" s="1" t="s">
        <v>53</v>
      </c>
      <c r="K13" s="76" t="s">
        <v>53</v>
      </c>
      <c r="L13" s="40" t="s">
        <v>53</v>
      </c>
      <c r="M13" s="1" t="s">
        <v>53</v>
      </c>
      <c r="N13" s="44" t="s">
        <v>53</v>
      </c>
      <c r="O13" s="1" t="s">
        <v>53</v>
      </c>
      <c r="P13" s="1" t="s">
        <v>53</v>
      </c>
      <c r="Q13" s="30" t="s">
        <v>53</v>
      </c>
      <c r="S13" s="116" t="b">
        <f t="shared" si="4"/>
        <v>0</v>
      </c>
      <c r="T13" s="117" t="str">
        <f t="shared" si="5"/>
        <v>title: "Franciscian Missions in California"</v>
      </c>
      <c r="U13" s="120" t="str">
        <f t="shared" si="6"/>
        <v/>
      </c>
      <c r="V13" s="120" t="str">
        <f t="shared" si="7"/>
        <v/>
      </c>
      <c r="W13" s="120" t="str">
        <f t="shared" si="8"/>
        <v/>
      </c>
      <c r="X13" s="117" t="str">
        <f t="shared" si="9"/>
        <v/>
      </c>
      <c r="Y13" s="117" t="str">
        <f t="shared" si="10"/>
        <v/>
      </c>
      <c r="Z13" s="117" t="str">
        <f>IF(LEN(G13)&gt;1,concatll("#### Author's Note",G13,"-"&amp;$B13),"")</f>
        <v/>
      </c>
      <c r="AA13" s="117" t="str">
        <f>IF(LEN(H13)&gt;1,concatll("#### Dedication",H13,"-"&amp;$B13),"")</f>
        <v/>
      </c>
      <c r="CA13" s="6" t="str">
        <f>IF(S13,concatll(concatl("---",T13,"---"),"*A collection of sites associated with this topic.*","#### Background",F13,Y13,Z13,AA13),"")</f>
        <v/>
      </c>
      <c r="CB13" s="6" t="str">
        <f t="shared" si="11"/>
        <v/>
      </c>
    </row>
    <row r="14" spans="1:80" x14ac:dyDescent="0.25">
      <c r="A14" s="129" t="s">
        <v>1728</v>
      </c>
      <c r="C14" s="73" t="s">
        <v>1594</v>
      </c>
      <c r="D14" s="71" t="s">
        <v>1595</v>
      </c>
      <c r="E14" s="33" t="s">
        <v>1283</v>
      </c>
      <c r="F14" s="71"/>
      <c r="I14" s="1" t="s">
        <v>53</v>
      </c>
      <c r="J14" s="1" t="s">
        <v>53</v>
      </c>
      <c r="K14" s="44" t="s">
        <v>53</v>
      </c>
      <c r="L14" s="40" t="s">
        <v>53</v>
      </c>
      <c r="M14" s="1" t="s">
        <v>53</v>
      </c>
      <c r="N14" s="44" t="s">
        <v>53</v>
      </c>
      <c r="O14" s="1" t="s">
        <v>53</v>
      </c>
      <c r="P14" s="1" t="s">
        <v>53</v>
      </c>
      <c r="Q14" s="30" t="s">
        <v>53</v>
      </c>
      <c r="S14" s="116" t="b">
        <f t="shared" si="4"/>
        <v>0</v>
      </c>
      <c r="T14" s="117" t="str">
        <f t="shared" si="5"/>
        <v>title: "Sites Related to the Twelve Apostles"</v>
      </c>
      <c r="U14" s="120" t="str">
        <f t="shared" si="6"/>
        <v/>
      </c>
      <c r="V14" s="120" t="str">
        <f t="shared" si="7"/>
        <v/>
      </c>
      <c r="W14" s="120" t="str">
        <f t="shared" si="8"/>
        <v/>
      </c>
      <c r="X14" s="117" t="str">
        <f t="shared" si="9"/>
        <v/>
      </c>
      <c r="Y14" s="117" t="str">
        <f t="shared" si="10"/>
        <v/>
      </c>
      <c r="Z14" s="117" t="str">
        <f>IF(LEN(G14)&gt;1,concatll("#### Author's Note",G14,"-"&amp;$B14),"")</f>
        <v/>
      </c>
      <c r="AA14" s="117" t="str">
        <f>IF(LEN(H14)&gt;1,concatll("#### Dedication",H14,"-"&amp;$B14),"")</f>
        <v/>
      </c>
      <c r="CA14" s="6" t="str">
        <f>IF(S14,concatll(concatl("---",T14,"---"),"*A collection of sites associated with this topic.*","#### Background",F14,Y14,Z14,AA14),"")</f>
        <v/>
      </c>
      <c r="CB14" s="6" t="str">
        <f t="shared" si="11"/>
        <v/>
      </c>
    </row>
    <row r="15" spans="1:80" ht="25.5" x14ac:dyDescent="0.25">
      <c r="A15" s="129" t="s">
        <v>786</v>
      </c>
      <c r="B15" s="130" t="s">
        <v>1653</v>
      </c>
      <c r="C15" s="139" t="s">
        <v>1717</v>
      </c>
      <c r="D15" s="130" t="s">
        <v>1722</v>
      </c>
      <c r="E15" s="139" t="s">
        <v>1283</v>
      </c>
      <c r="F15" s="130" t="s">
        <v>1718</v>
      </c>
      <c r="I15" s="132" t="s">
        <v>1719</v>
      </c>
      <c r="J15" s="1" t="s">
        <v>1720</v>
      </c>
      <c r="K15" s="133" t="s">
        <v>1725</v>
      </c>
      <c r="L15" s="40" t="s">
        <v>53</v>
      </c>
      <c r="M15" s="1" t="s">
        <v>53</v>
      </c>
      <c r="N15" s="44" t="s">
        <v>53</v>
      </c>
      <c r="O15" s="1" t="s">
        <v>53</v>
      </c>
      <c r="P15" s="1" t="s">
        <v>53</v>
      </c>
      <c r="Q15" s="30" t="s">
        <v>53</v>
      </c>
      <c r="R15" s="121" t="s">
        <v>53</v>
      </c>
      <c r="S15" s="116" t="b">
        <f t="shared" si="4"/>
        <v>1</v>
      </c>
      <c r="T15" s="117" t="str">
        <f t="shared" si="5"/>
        <v>title: "Active Churches"</v>
      </c>
      <c r="U15" s="120" t="str">
        <f t="shared" si="6"/>
        <v>[MassTimes.org](https://masstimes.org/) - Database of known service times for actively-operating churches</v>
      </c>
      <c r="V15" s="120" t="str">
        <f t="shared" si="7"/>
        <v/>
      </c>
      <c r="W15" s="120" t="str">
        <f t="shared" si="8"/>
        <v/>
      </c>
      <c r="X15" s="117" t="str">
        <f t="shared" si="9"/>
        <v xml:space="preserve">* [MassTimes.org](https://masstimes.org/) - Database of known service times for actively-operating churches
</v>
      </c>
      <c r="Y15" s="117" t="str">
        <f t="shared" si="10"/>
        <v xml:space="preserve">#### More Information_x000D_
* [MassTimes.org](https://masstimes.org/) - Database of known service times for actively-operating churches
_x000D_
</v>
      </c>
      <c r="Z15" s="117" t="str">
        <f>IF(LEN(G15)&gt;1,concatll("#### Author's Note",G15,"-"&amp;$B15),"")</f>
        <v/>
      </c>
      <c r="AA15" s="117" t="str">
        <f>IF(LEN(H15)&gt;1,concatll("#### Dedication",H15,"-"&amp;$B15),"")</f>
        <v/>
      </c>
      <c r="CA15" s="6" t="str">
        <f>IF(S15,concatll(concatl("---",T15,"---"),"*A collection of sites associated with this topic.*","#### Background",F15,Y15,Z15,AA15),"")</f>
        <v xml:space="preserve">---_x000D_
title: "Active Churches"_x000D_
---_x000D_
_x000D_
_x000D_
*A collection of sites associated with this topic.*_x000D_
_x000D_
#### Background_x000D_
_x000D_
Actively-operating churches, basilicas and other places of worship which have particular significance in Catholic church history._x000D_
_x000D_
#### More Information_x000D_
* [MassTimes.org](https://masstimes.org/) - Database of known service times for actively-operating churches
_x000D_
_x000D_
_x000D_
</v>
      </c>
      <c r="CB15" s="6" t="str">
        <f t="shared" si="11"/>
        <v>tags\churches\_index.md</v>
      </c>
    </row>
    <row r="16" spans="1:80" x14ac:dyDescent="0.25">
      <c r="A16" s="129" t="s">
        <v>1728</v>
      </c>
      <c r="B16" s="130"/>
      <c r="C16" s="139" t="s">
        <v>1695</v>
      </c>
      <c r="D16" s="23" t="s">
        <v>939</v>
      </c>
      <c r="E16" s="139" t="s">
        <v>1697</v>
      </c>
      <c r="F16" s="23"/>
      <c r="G16" s="130"/>
      <c r="H16" s="139"/>
      <c r="I16" s="1" t="s">
        <v>53</v>
      </c>
      <c r="J16" s="1" t="s">
        <v>53</v>
      </c>
      <c r="K16" s="44" t="s">
        <v>53</v>
      </c>
      <c r="L16" s="40" t="s">
        <v>53</v>
      </c>
      <c r="M16" s="1" t="s">
        <v>53</v>
      </c>
      <c r="N16" s="44" t="s">
        <v>53</v>
      </c>
      <c r="O16" s="1" t="s">
        <v>53</v>
      </c>
      <c r="P16" s="1" t="s">
        <v>53</v>
      </c>
      <c r="Q16" s="30" t="s">
        <v>53</v>
      </c>
      <c r="S16" s="116" t="b">
        <f t="shared" si="4"/>
        <v>0</v>
      </c>
      <c r="T16" s="117" t="str">
        <f t="shared" si="5"/>
        <v>title: "Our Lady of Grace"</v>
      </c>
      <c r="U16" s="120" t="str">
        <f t="shared" si="6"/>
        <v/>
      </c>
      <c r="V16" s="120" t="str">
        <f t="shared" si="7"/>
        <v/>
      </c>
      <c r="W16" s="120" t="str">
        <f t="shared" si="8"/>
        <v/>
      </c>
      <c r="X16" s="120" t="str">
        <f t="shared" si="9"/>
        <v/>
      </c>
      <c r="Y16" s="117" t="str">
        <f t="shared" si="10"/>
        <v/>
      </c>
      <c r="Z16" s="117" t="str">
        <f>IF(LEN(G16)&gt;1,concatll("#### Author's Note",G16,"-"&amp;$B16),"")</f>
        <v/>
      </c>
      <c r="AA16" s="117" t="str">
        <f>IF(LEN(H16)&gt;1,concatll("#### Dedication",H16,"-"&amp;$B16),"")</f>
        <v/>
      </c>
      <c r="CA16" s="6" t="str">
        <f>IF(S16,concatll(concatl("---",T16,"---"),"*A collection of sites associated with this topic.*","#### Background",F16,Y16,Z16,AA16),"")</f>
        <v/>
      </c>
      <c r="CB16" s="6" t="str">
        <f t="shared" si="11"/>
        <v/>
      </c>
    </row>
    <row r="17" spans="1:80" x14ac:dyDescent="0.25">
      <c r="A17" s="129" t="s">
        <v>1728</v>
      </c>
      <c r="B17" s="130"/>
      <c r="C17" s="139" t="s">
        <v>1696</v>
      </c>
      <c r="D17" s="7" t="s">
        <v>940</v>
      </c>
      <c r="E17" s="33" t="s">
        <v>1697</v>
      </c>
      <c r="F17" s="84"/>
      <c r="I17" s="1" t="s">
        <v>53</v>
      </c>
      <c r="J17" s="1" t="s">
        <v>53</v>
      </c>
      <c r="K17" s="44" t="s">
        <v>53</v>
      </c>
      <c r="L17" s="40" t="s">
        <v>53</v>
      </c>
      <c r="M17" s="1" t="s">
        <v>53</v>
      </c>
      <c r="N17" s="44" t="s">
        <v>53</v>
      </c>
      <c r="O17" s="1" t="s">
        <v>53</v>
      </c>
      <c r="P17" s="1" t="s">
        <v>53</v>
      </c>
      <c r="Q17" s="30" t="s">
        <v>53</v>
      </c>
      <c r="S17" s="116" t="b">
        <f t="shared" si="4"/>
        <v>0</v>
      </c>
      <c r="T17" s="117" t="str">
        <f t="shared" si="5"/>
        <v>title: "Our Lady of Ipswich"</v>
      </c>
      <c r="U17" s="120" t="str">
        <f t="shared" si="6"/>
        <v/>
      </c>
      <c r="V17" s="120" t="str">
        <f t="shared" si="7"/>
        <v/>
      </c>
      <c r="W17" s="120" t="str">
        <f t="shared" si="8"/>
        <v/>
      </c>
      <c r="X17" s="117" t="str">
        <f t="shared" si="9"/>
        <v/>
      </c>
      <c r="Y17" s="117" t="str">
        <f t="shared" si="10"/>
        <v/>
      </c>
      <c r="Z17" s="117" t="str">
        <f>IF(LEN(G17)&gt;1,concatll("#### Author's Note",G17,"-"&amp;$B17),"")</f>
        <v/>
      </c>
      <c r="AA17" s="117" t="str">
        <f>IF(LEN(H17)&gt;1,concatll("#### Dedication",H17,"-"&amp;$B17),"")</f>
        <v/>
      </c>
      <c r="CA17" s="6" t="str">
        <f>IF(S17,concatll(concatl("---",T17,"---"),"*A collection of sites associated with this topic.*","#### Background",F17,Y17,Z17,AA17),"")</f>
        <v/>
      </c>
      <c r="CB17" s="6" t="str">
        <f t="shared" si="11"/>
        <v/>
      </c>
    </row>
    <row r="18" spans="1:80" x14ac:dyDescent="0.25">
      <c r="A18" s="129" t="s">
        <v>786</v>
      </c>
      <c r="B18" s="130" t="s">
        <v>1653</v>
      </c>
      <c r="C18" s="139" t="s">
        <v>1701</v>
      </c>
      <c r="D18" s="130" t="s">
        <v>1702</v>
      </c>
      <c r="E18" s="37" t="s">
        <v>938</v>
      </c>
      <c r="F18" s="130" t="s">
        <v>1703</v>
      </c>
      <c r="I18" s="135" t="s">
        <v>53</v>
      </c>
      <c r="J18" s="135" t="s">
        <v>53</v>
      </c>
      <c r="K18" s="136" t="s">
        <v>53</v>
      </c>
      <c r="L18" s="134" t="s">
        <v>53</v>
      </c>
      <c r="M18" s="135" t="s">
        <v>53</v>
      </c>
      <c r="N18" s="136" t="s">
        <v>53</v>
      </c>
      <c r="O18" s="135" t="s">
        <v>53</v>
      </c>
      <c r="P18" s="135" t="s">
        <v>53</v>
      </c>
      <c r="Q18" s="137" t="s">
        <v>53</v>
      </c>
      <c r="S18" s="116" t="b">
        <f t="shared" si="4"/>
        <v>1</v>
      </c>
      <c r="T18" s="117" t="str">
        <f t="shared" si="5"/>
        <v>title: "St. James the Great"</v>
      </c>
      <c r="U18" s="120" t="str">
        <f t="shared" si="6"/>
        <v/>
      </c>
      <c r="V18" s="120" t="str">
        <f t="shared" si="7"/>
        <v/>
      </c>
      <c r="W18" s="120" t="str">
        <f t="shared" si="8"/>
        <v/>
      </c>
      <c r="X18" s="120" t="str">
        <f t="shared" si="9"/>
        <v/>
      </c>
      <c r="Y18" s="117" t="str">
        <f t="shared" si="10"/>
        <v/>
      </c>
      <c r="Z18" s="117" t="str">
        <f>IF(LEN(G18)&gt;1,concatll("#### Author's Note",G18,"-"&amp;$B18),"")</f>
        <v/>
      </c>
      <c r="AA18" s="117" t="str">
        <f>IF(LEN(H18)&gt;1,concatll("#### Dedication",H18,"-"&amp;$B18),"")</f>
        <v/>
      </c>
      <c r="CA18" s="6" t="str">
        <f>IF(S18,concatll(concatl("---",T18,"---"),"*A collection of sites associated with this topic.*","#### Background",F18,Y18,Z18,AA18),"")</f>
        <v xml:space="preserve">---_x000D_
title: "St. James the Great"_x000D_
---_x000D_
_x000D_
_x000D_
*A collection of sites associated with this topic.*_x000D_
_x000D_
#### Background_x000D_
_x000D_
One of the Twelve Apostles, and the patron Saint of Spain._x000D_
_x000D_
</v>
      </c>
      <c r="CB18" s="6" t="str">
        <f t="shared" si="11"/>
        <v>tags\james-great\_index.md</v>
      </c>
    </row>
    <row r="19" spans="1:80" ht="63.75" x14ac:dyDescent="0.25">
      <c r="A19" s="129" t="s">
        <v>786</v>
      </c>
      <c r="B19" s="130" t="s">
        <v>1653</v>
      </c>
      <c r="C19" s="33" t="s">
        <v>873</v>
      </c>
      <c r="D19" s="7" t="s">
        <v>888</v>
      </c>
      <c r="E19" s="33" t="s">
        <v>938</v>
      </c>
      <c r="F19" s="130" t="s">
        <v>1715</v>
      </c>
      <c r="G19" s="130"/>
      <c r="H19" s="139"/>
      <c r="I19" s="29" t="s">
        <v>53</v>
      </c>
      <c r="J19" s="1" t="s">
        <v>53</v>
      </c>
      <c r="K19" s="44" t="s">
        <v>53</v>
      </c>
      <c r="L19" s="40" t="s">
        <v>53</v>
      </c>
      <c r="M19" s="1" t="s">
        <v>53</v>
      </c>
      <c r="N19" s="44" t="s">
        <v>53</v>
      </c>
      <c r="O19" s="1" t="s">
        <v>53</v>
      </c>
      <c r="P19" s="1" t="s">
        <v>53</v>
      </c>
      <c r="Q19" s="30" t="s">
        <v>53</v>
      </c>
      <c r="S19" s="116" t="b">
        <f t="shared" si="4"/>
        <v>1</v>
      </c>
      <c r="T19" s="117" t="str">
        <f t="shared" si="5"/>
        <v>title: "Pope St. John Paul II"</v>
      </c>
      <c r="U19" s="120" t="str">
        <f t="shared" si="6"/>
        <v/>
      </c>
      <c r="V19" s="120" t="str">
        <f t="shared" si="7"/>
        <v/>
      </c>
      <c r="W19" s="120" t="str">
        <f t="shared" si="8"/>
        <v/>
      </c>
      <c r="X19" s="120" t="str">
        <f t="shared" si="9"/>
        <v/>
      </c>
      <c r="Y19" s="117" t="str">
        <f t="shared" si="10"/>
        <v/>
      </c>
      <c r="Z19" s="117" t="str">
        <f>IF(LEN(G19)&gt;1,concatll("#### Author's Note",G19,"-"&amp;$B19),"")</f>
        <v/>
      </c>
      <c r="AA19" s="117" t="str">
        <f>IF(LEN(H19)&gt;1,concatll("#### Dedication",H19,"-"&amp;$B19),"")</f>
        <v/>
      </c>
      <c r="CA19" s="6" t="str">
        <f>IF(S19,concatll(concatl("---",T19,"---"),"*A collection of sites associated with this topic.*","#### Background",F19,Y19,Z19,AA19),"")</f>
        <v xml:space="preserve">---_x000D_
title: "Pope St. John Paul II"_x000D_
---_x000D_
_x000D_
_x000D_
*A collection of sites associated with this topic.*_x000D_
_x000D_
#### Background_x000D_
_x000D_
The former Cardinal Karol Jozef Wojtyla from Poland was Pope from 1978 to 2005.  He was known for his global travels, advocating for peace and religious freedom, and contributing to the fall of communism in Europe.  He was canonized as a saint in 2014, with the initial five-year waiting period for beatification waived by Pope Benedict XVI._x000D_
_x000D_
</v>
      </c>
      <c r="CB19" s="6" t="str">
        <f t="shared" si="11"/>
        <v>tags\john-paul-ii\_index.md</v>
      </c>
    </row>
    <row r="20" spans="1:80" ht="51" x14ac:dyDescent="0.25">
      <c r="A20" s="129" t="s">
        <v>786</v>
      </c>
      <c r="B20" s="130" t="s">
        <v>1653</v>
      </c>
      <c r="C20" s="33" t="s">
        <v>201</v>
      </c>
      <c r="D20" s="7" t="s">
        <v>889</v>
      </c>
      <c r="E20" s="33" t="s">
        <v>938</v>
      </c>
      <c r="F20" s="130" t="s">
        <v>1716</v>
      </c>
      <c r="G20" s="130"/>
      <c r="H20" s="139"/>
      <c r="I20" s="1" t="s">
        <v>53</v>
      </c>
      <c r="J20" s="1" t="s">
        <v>53</v>
      </c>
      <c r="K20" s="44" t="s">
        <v>53</v>
      </c>
      <c r="L20" s="40" t="s">
        <v>53</v>
      </c>
      <c r="M20" s="1" t="s">
        <v>53</v>
      </c>
      <c r="N20" s="44" t="s">
        <v>53</v>
      </c>
      <c r="O20" s="1" t="s">
        <v>53</v>
      </c>
      <c r="P20" s="1" t="s">
        <v>53</v>
      </c>
      <c r="Q20" s="30" t="s">
        <v>53</v>
      </c>
      <c r="S20" s="116" t="b">
        <f t="shared" si="4"/>
        <v>1</v>
      </c>
      <c r="T20" s="117" t="str">
        <f t="shared" si="5"/>
        <v>title: "St. Juan Diego"</v>
      </c>
      <c r="U20" s="120" t="str">
        <f t="shared" si="6"/>
        <v/>
      </c>
      <c r="V20" s="120" t="str">
        <f t="shared" si="7"/>
        <v/>
      </c>
      <c r="W20" s="120" t="str">
        <f t="shared" si="8"/>
        <v/>
      </c>
      <c r="X20" s="120" t="str">
        <f t="shared" si="9"/>
        <v/>
      </c>
      <c r="Y20" s="117" t="str">
        <f t="shared" si="10"/>
        <v/>
      </c>
      <c r="Z20" s="117" t="str">
        <f>IF(LEN(G20)&gt;1,concatll("#### Author's Note",G20,"-"&amp;$B20),"")</f>
        <v/>
      </c>
      <c r="AA20" s="117" t="str">
        <f>IF(LEN(H20)&gt;1,concatll("#### Dedication",H20,"-"&amp;$B20),"")</f>
        <v/>
      </c>
      <c r="CA20" s="6" t="str">
        <f>IF(S20,concatll(concatl("---",T20,"---"),"*A collection of sites associated with this topic.*","#### Background",F20,Y20,Z20,AA20),"")</f>
        <v xml:space="preserve">---_x000D_
title: "St. Juan Diego"_x000D_
---_x000D_
_x000D_
_x000D_
*A collection of sites associated with this topic.*_x000D_
_x000D_
#### Background_x000D_
_x000D_
A 16th-century Native American convert who was granted apparitions of the Virgin Mary in modern-day Mexico City, now venerated as Our Lady of Guadalupe.  The story and miracles associated with Our Lady of Guadalupe were the impetus for the conversion of millions of Native Americans._x000D_
_x000D_
</v>
      </c>
      <c r="CB20" s="6" t="str">
        <f t="shared" si="11"/>
        <v>tags\juan-diego\_index.md</v>
      </c>
    </row>
    <row r="21" spans="1:80" x14ac:dyDescent="0.25">
      <c r="A21" s="129" t="s">
        <v>1728</v>
      </c>
      <c r="C21" s="33" t="s">
        <v>202</v>
      </c>
      <c r="D21" s="7" t="s">
        <v>1284</v>
      </c>
      <c r="E21" s="33" t="s">
        <v>938</v>
      </c>
      <c r="G21" s="130"/>
      <c r="H21" s="139"/>
      <c r="I21" s="1" t="s">
        <v>53</v>
      </c>
      <c r="J21" s="1" t="s">
        <v>53</v>
      </c>
      <c r="K21" s="44" t="s">
        <v>53</v>
      </c>
      <c r="L21" s="40" t="s">
        <v>53</v>
      </c>
      <c r="M21" s="1" t="s">
        <v>53</v>
      </c>
      <c r="N21" s="44" t="s">
        <v>53</v>
      </c>
      <c r="O21" s="1" t="s">
        <v>53</v>
      </c>
      <c r="P21" s="1" t="s">
        <v>53</v>
      </c>
      <c r="Q21" s="30" t="s">
        <v>53</v>
      </c>
      <c r="S21" s="116" t="b">
        <f t="shared" si="4"/>
        <v>0</v>
      </c>
      <c r="T21" s="117" t="str">
        <f t="shared" si="5"/>
        <v>title: "Ven. Benoite Rencurel"</v>
      </c>
      <c r="U21" s="120" t="str">
        <f t="shared" si="6"/>
        <v/>
      </c>
      <c r="V21" s="120" t="str">
        <f t="shared" si="7"/>
        <v/>
      </c>
      <c r="W21" s="120" t="str">
        <f t="shared" si="8"/>
        <v/>
      </c>
      <c r="X21" s="120" t="str">
        <f t="shared" si="9"/>
        <v/>
      </c>
      <c r="Y21" s="117" t="str">
        <f t="shared" si="10"/>
        <v/>
      </c>
      <c r="Z21" s="117" t="str">
        <f>IF(LEN(G21)&gt;1,concatll("#### Author's Note",G21,"-"&amp;$B21),"")</f>
        <v/>
      </c>
      <c r="AA21" s="117" t="str">
        <f>IF(LEN(H21)&gt;1,concatll("#### Dedication",H21,"-"&amp;$B21),"")</f>
        <v/>
      </c>
      <c r="CA21" s="6" t="str">
        <f>IF(S21,concatll(concatl("---",T21,"---"),"*A collection of sites associated with this topic.*","#### Background",F21,Y21,Z21,AA21),"")</f>
        <v/>
      </c>
      <c r="CB21" s="6" t="str">
        <f t="shared" si="11"/>
        <v/>
      </c>
    </row>
    <row r="22" spans="1:80" x14ac:dyDescent="0.25">
      <c r="A22" s="129" t="s">
        <v>1728</v>
      </c>
      <c r="B22" s="10"/>
      <c r="C22" s="38" t="s">
        <v>203</v>
      </c>
      <c r="D22" s="7" t="s">
        <v>890</v>
      </c>
      <c r="E22" s="33" t="s">
        <v>938</v>
      </c>
      <c r="F22" s="26"/>
      <c r="G22" s="130"/>
      <c r="H22" s="139"/>
      <c r="I22" s="1" t="s">
        <v>53</v>
      </c>
      <c r="J22" s="1" t="s">
        <v>53</v>
      </c>
      <c r="K22" s="44" t="s">
        <v>53</v>
      </c>
      <c r="L22" s="40" t="s">
        <v>53</v>
      </c>
      <c r="M22" s="1" t="s">
        <v>53</v>
      </c>
      <c r="N22" s="44" t="s">
        <v>53</v>
      </c>
      <c r="O22" s="1" t="s">
        <v>53</v>
      </c>
      <c r="P22" s="1" t="s">
        <v>53</v>
      </c>
      <c r="Q22" s="30" t="s">
        <v>53</v>
      </c>
      <c r="S22" s="116" t="b">
        <f t="shared" si="4"/>
        <v>0</v>
      </c>
      <c r="T22" s="117" t="str">
        <f t="shared" si="5"/>
        <v>title: "St. Catherine Laboure"</v>
      </c>
      <c r="U22" s="120" t="str">
        <f t="shared" si="6"/>
        <v/>
      </c>
      <c r="V22" s="120" t="str">
        <f t="shared" si="7"/>
        <v/>
      </c>
      <c r="W22" s="120" t="str">
        <f t="shared" si="8"/>
        <v/>
      </c>
      <c r="X22" s="120" t="str">
        <f t="shared" si="9"/>
        <v/>
      </c>
      <c r="Y22" s="117" t="str">
        <f t="shared" si="10"/>
        <v/>
      </c>
      <c r="Z22" s="117" t="str">
        <f>IF(LEN(G22)&gt;1,concatll("#### Author's Note",G22,"-"&amp;$B22),"")</f>
        <v/>
      </c>
      <c r="AA22" s="117" t="str">
        <f>IF(LEN(H22)&gt;1,concatll("#### Dedication",H22,"-"&amp;$B22),"")</f>
        <v/>
      </c>
      <c r="CA22" s="6" t="str">
        <f>IF(S22,concatll(concatl("---",T22,"---"),"*A collection of sites associated with this topic.*","#### Background",F22,Y22,Z22,AA22),"")</f>
        <v/>
      </c>
      <c r="CB22" s="6" t="str">
        <f t="shared" si="11"/>
        <v/>
      </c>
    </row>
    <row r="23" spans="1:80" x14ac:dyDescent="0.25">
      <c r="A23" s="129" t="s">
        <v>1728</v>
      </c>
      <c r="C23" s="33" t="s">
        <v>204</v>
      </c>
      <c r="D23" s="7" t="s">
        <v>1586</v>
      </c>
      <c r="E23" s="33" t="s">
        <v>938</v>
      </c>
      <c r="I23" s="1" t="s">
        <v>53</v>
      </c>
      <c r="J23" s="1" t="s">
        <v>53</v>
      </c>
      <c r="K23" s="44" t="s">
        <v>53</v>
      </c>
      <c r="L23" s="40" t="s">
        <v>53</v>
      </c>
      <c r="M23" s="1" t="s">
        <v>53</v>
      </c>
      <c r="N23" s="44" t="s">
        <v>53</v>
      </c>
      <c r="O23" s="1" t="s">
        <v>53</v>
      </c>
      <c r="P23" s="1" t="s">
        <v>53</v>
      </c>
      <c r="Q23" s="30" t="s">
        <v>53</v>
      </c>
      <c r="S23" s="116" t="b">
        <f t="shared" si="4"/>
        <v>0</v>
      </c>
      <c r="T23" s="117" t="str">
        <f t="shared" si="5"/>
        <v>title: "Fr. Marie-Alphonse Ratisbonne, NDS"</v>
      </c>
      <c r="U23" s="120" t="str">
        <f t="shared" si="6"/>
        <v/>
      </c>
      <c r="V23" s="120" t="str">
        <f t="shared" si="7"/>
        <v/>
      </c>
      <c r="W23" s="120" t="str">
        <f t="shared" si="8"/>
        <v/>
      </c>
      <c r="X23" s="120" t="str">
        <f t="shared" si="9"/>
        <v/>
      </c>
      <c r="Y23" s="117" t="str">
        <f t="shared" si="10"/>
        <v/>
      </c>
      <c r="Z23" s="117" t="str">
        <f>IF(LEN(G23)&gt;1,concatll("#### Author's Note",G23,"-"&amp;$B23),"")</f>
        <v/>
      </c>
      <c r="AA23" s="117" t="str">
        <f>IF(LEN(H23)&gt;1,concatll("#### Dedication",H23,"-"&amp;$B23),"")</f>
        <v/>
      </c>
      <c r="CA23" s="6" t="str">
        <f>IF(S23,concatll(concatl("---",T23,"---"),"*A collection of sites associated with this topic.*","#### Background",F23,Y23,Z23,AA23),"")</f>
        <v/>
      </c>
      <c r="CB23" s="6" t="str">
        <f t="shared" si="11"/>
        <v/>
      </c>
    </row>
    <row r="24" spans="1:80" x14ac:dyDescent="0.25">
      <c r="A24" s="129" t="s">
        <v>1728</v>
      </c>
      <c r="C24" s="33" t="s">
        <v>205</v>
      </c>
      <c r="D24" s="7" t="s">
        <v>892</v>
      </c>
      <c r="E24" s="33" t="s">
        <v>938</v>
      </c>
      <c r="I24" s="1" t="s">
        <v>53</v>
      </c>
      <c r="J24" s="1" t="s">
        <v>53</v>
      </c>
      <c r="K24" s="44" t="s">
        <v>53</v>
      </c>
      <c r="L24" s="40" t="s">
        <v>53</v>
      </c>
      <c r="M24" s="1" t="s">
        <v>53</v>
      </c>
      <c r="N24" s="44" t="s">
        <v>53</v>
      </c>
      <c r="O24" s="1" t="s">
        <v>53</v>
      </c>
      <c r="P24" s="1" t="s">
        <v>53</v>
      </c>
      <c r="Q24" s="30" t="s">
        <v>53</v>
      </c>
      <c r="S24" s="116" t="b">
        <f t="shared" si="4"/>
        <v>0</v>
      </c>
      <c r="T24" s="117" t="str">
        <f t="shared" si="5"/>
        <v>title: "St. Bernadette of Lourdes"</v>
      </c>
      <c r="U24" s="120" t="str">
        <f t="shared" si="6"/>
        <v/>
      </c>
      <c r="V24" s="120" t="str">
        <f t="shared" si="7"/>
        <v/>
      </c>
      <c r="W24" s="120" t="str">
        <f t="shared" si="8"/>
        <v/>
      </c>
      <c r="X24" s="120" t="str">
        <f t="shared" si="9"/>
        <v/>
      </c>
      <c r="Y24" s="117" t="str">
        <f t="shared" si="10"/>
        <v/>
      </c>
      <c r="Z24" s="117" t="str">
        <f>IF(LEN(G24)&gt;1,concatll("#### Author's Note",G24,"-"&amp;$B24),"")</f>
        <v/>
      </c>
      <c r="AA24" s="117" t="str">
        <f>IF(LEN(H24)&gt;1,concatll("#### Dedication",H24,"-"&amp;$B24),"")</f>
        <v/>
      </c>
      <c r="CA24" s="6" t="str">
        <f>IF(S24,concatll(concatl("---",T24,"---"),"*A collection of sites associated with this topic.*","#### Background",F24,Y24,Z24,AA24),"")</f>
        <v/>
      </c>
      <c r="CB24" s="6" t="str">
        <f t="shared" si="11"/>
        <v/>
      </c>
    </row>
    <row r="25" spans="1:80" x14ac:dyDescent="0.25">
      <c r="A25" s="129" t="s">
        <v>1728</v>
      </c>
      <c r="C25" s="33" t="s">
        <v>881</v>
      </c>
      <c r="D25" s="7" t="s">
        <v>893</v>
      </c>
      <c r="E25" s="33" t="s">
        <v>938</v>
      </c>
      <c r="I25" s="1" t="s">
        <v>53</v>
      </c>
      <c r="J25" s="1" t="s">
        <v>53</v>
      </c>
      <c r="K25" s="44" t="s">
        <v>53</v>
      </c>
      <c r="L25" s="40" t="s">
        <v>53</v>
      </c>
      <c r="M25" s="1" t="s">
        <v>53</v>
      </c>
      <c r="N25" s="44" t="s">
        <v>53</v>
      </c>
      <c r="O25" s="1" t="s">
        <v>53</v>
      </c>
      <c r="P25" s="1" t="s">
        <v>53</v>
      </c>
      <c r="Q25" s="30" t="s">
        <v>53</v>
      </c>
      <c r="S25" s="116" t="b">
        <f t="shared" si="4"/>
        <v>0</v>
      </c>
      <c r="T25" s="117" t="str">
        <f t="shared" si="5"/>
        <v>title: "Bl. Lucia dos Santos"</v>
      </c>
      <c r="U25" s="120" t="str">
        <f t="shared" si="6"/>
        <v/>
      </c>
      <c r="V25" s="120" t="str">
        <f t="shared" si="7"/>
        <v/>
      </c>
      <c r="W25" s="120" t="str">
        <f t="shared" si="8"/>
        <v/>
      </c>
      <c r="X25" s="120" t="str">
        <f t="shared" si="9"/>
        <v/>
      </c>
      <c r="Y25" s="117" t="str">
        <f t="shared" si="10"/>
        <v/>
      </c>
      <c r="Z25" s="117" t="str">
        <f>IF(LEN(G25)&gt;1,concatll("#### Author's Note",G25,"-"&amp;$B25),"")</f>
        <v/>
      </c>
      <c r="AA25" s="117" t="str">
        <f>IF(LEN(H25)&gt;1,concatll("#### Dedication",H25,"-"&amp;$B25),"")</f>
        <v/>
      </c>
      <c r="CA25" s="6" t="str">
        <f>IF(S25,concatll(concatl("---",T25,"---"),"*A collection of sites associated with this topic.*","#### Background",F25,Y25,Z25,AA25),"")</f>
        <v/>
      </c>
      <c r="CB25" s="6" t="str">
        <f t="shared" si="11"/>
        <v/>
      </c>
    </row>
    <row r="26" spans="1:80" x14ac:dyDescent="0.25">
      <c r="A26" s="129" t="s">
        <v>1728</v>
      </c>
      <c r="B26" s="130"/>
      <c r="C26" s="61" t="s">
        <v>785</v>
      </c>
      <c r="D26" s="7" t="s">
        <v>1285</v>
      </c>
      <c r="E26" s="61" t="s">
        <v>938</v>
      </c>
      <c r="F26" s="55"/>
      <c r="G26" s="130"/>
      <c r="H26" s="139"/>
      <c r="I26" s="1" t="s">
        <v>53</v>
      </c>
      <c r="J26" s="1" t="s">
        <v>53</v>
      </c>
      <c r="K26" s="44" t="s">
        <v>53</v>
      </c>
      <c r="L26" s="40" t="s">
        <v>53</v>
      </c>
      <c r="M26" s="1" t="s">
        <v>53</v>
      </c>
      <c r="N26" s="44" t="s">
        <v>53</v>
      </c>
      <c r="O26" s="1" t="s">
        <v>53</v>
      </c>
      <c r="P26" s="1" t="s">
        <v>53</v>
      </c>
      <c r="Q26" s="30" t="s">
        <v>53</v>
      </c>
      <c r="S26" s="116" t="b">
        <f t="shared" si="4"/>
        <v>0</v>
      </c>
      <c r="T26" s="117" t="str">
        <f t="shared" si="5"/>
        <v>title: "S.D. Reinolda May, OSB"</v>
      </c>
      <c r="U26" s="120" t="str">
        <f t="shared" si="6"/>
        <v/>
      </c>
      <c r="V26" s="120" t="str">
        <f t="shared" si="7"/>
        <v/>
      </c>
      <c r="W26" s="120" t="str">
        <f t="shared" si="8"/>
        <v/>
      </c>
      <c r="X26" s="120" t="str">
        <f t="shared" si="9"/>
        <v/>
      </c>
      <c r="Y26" s="117" t="str">
        <f t="shared" si="10"/>
        <v/>
      </c>
      <c r="Z26" s="117" t="str">
        <f>IF(LEN(G26)&gt;1,concatll("#### Author's Note",G26,"-"&amp;$B26),"")</f>
        <v/>
      </c>
      <c r="AA26" s="117" t="str">
        <f>IF(LEN(H26)&gt;1,concatll("#### Dedication",H26,"-"&amp;$B26),"")</f>
        <v/>
      </c>
      <c r="CA26" s="6" t="str">
        <f>IF(S26,concatll(concatl("---",T26,"---"),"*A collection of sites associated with this topic.*","#### Background",F26,Y26,Z26,AA26),"")</f>
        <v/>
      </c>
      <c r="CB26" s="6" t="str">
        <f t="shared" si="11"/>
        <v/>
      </c>
    </row>
    <row r="27" spans="1:80" x14ac:dyDescent="0.25">
      <c r="A27" s="129" t="s">
        <v>1728</v>
      </c>
      <c r="B27" s="130"/>
      <c r="C27" s="33" t="s">
        <v>882</v>
      </c>
      <c r="D27" s="55" t="s">
        <v>894</v>
      </c>
      <c r="E27" s="61" t="s">
        <v>938</v>
      </c>
      <c r="F27" s="55"/>
      <c r="I27" s="1" t="s">
        <v>53</v>
      </c>
      <c r="J27" s="1" t="s">
        <v>53</v>
      </c>
      <c r="K27" s="44" t="s">
        <v>53</v>
      </c>
      <c r="L27" s="40" t="s">
        <v>53</v>
      </c>
      <c r="M27" s="1" t="s">
        <v>53</v>
      </c>
      <c r="N27" s="44" t="s">
        <v>53</v>
      </c>
      <c r="O27" s="1" t="s">
        <v>53</v>
      </c>
      <c r="P27" s="1" t="s">
        <v>53</v>
      </c>
      <c r="Q27" s="30" t="s">
        <v>53</v>
      </c>
      <c r="S27" s="116" t="b">
        <f t="shared" si="4"/>
        <v>0</v>
      </c>
      <c r="T27" s="117" t="str">
        <f t="shared" si="5"/>
        <v>title: "Sts. Francisco and Jacinta Marto"</v>
      </c>
      <c r="U27" s="120" t="str">
        <f t="shared" si="6"/>
        <v/>
      </c>
      <c r="V27" s="120" t="str">
        <f t="shared" si="7"/>
        <v/>
      </c>
      <c r="W27" s="120" t="str">
        <f t="shared" si="8"/>
        <v/>
      </c>
      <c r="X27" s="120" t="str">
        <f t="shared" si="9"/>
        <v/>
      </c>
      <c r="Y27" s="117" t="str">
        <f t="shared" si="10"/>
        <v/>
      </c>
      <c r="Z27" s="117" t="str">
        <f>IF(LEN(G27)&gt;1,concatll("#### Author's Note",G27,"-"&amp;$B27),"")</f>
        <v/>
      </c>
      <c r="AA27" s="117" t="str">
        <f>IF(LEN(H27)&gt;1,concatll("#### Dedication",H27,"-"&amp;$B27),"")</f>
        <v/>
      </c>
      <c r="CA27" s="6" t="str">
        <f>IF(S27,concatll(concatl("---",T27,"---"),"*A collection of sites associated with this topic.*","#### Background",F27,Y27,Z27,AA27),"")</f>
        <v/>
      </c>
      <c r="CB27" s="6" t="str">
        <f t="shared" si="11"/>
        <v/>
      </c>
    </row>
    <row r="28" spans="1:80" x14ac:dyDescent="0.25">
      <c r="A28" s="129" t="s">
        <v>1728</v>
      </c>
      <c r="C28" s="33" t="s">
        <v>910</v>
      </c>
      <c r="D28" s="7" t="s">
        <v>1587</v>
      </c>
      <c r="E28" s="61" t="s">
        <v>938</v>
      </c>
      <c r="G28" s="130"/>
      <c r="H28" s="139"/>
      <c r="I28" s="1" t="s">
        <v>53</v>
      </c>
      <c r="J28" s="1" t="s">
        <v>53</v>
      </c>
      <c r="K28" s="44" t="s">
        <v>53</v>
      </c>
      <c r="L28" s="40" t="s">
        <v>53</v>
      </c>
      <c r="M28" s="1" t="s">
        <v>53</v>
      </c>
      <c r="N28" s="44" t="s">
        <v>53</v>
      </c>
      <c r="O28" s="1" t="s">
        <v>53</v>
      </c>
      <c r="P28" s="1" t="s">
        <v>53</v>
      </c>
      <c r="Q28" s="30" t="s">
        <v>53</v>
      </c>
      <c r="S28" s="116" t="b">
        <f t="shared" si="4"/>
        <v>0</v>
      </c>
      <c r="T28" s="117" t="str">
        <f t="shared" si="5"/>
        <v>title: "St. Vincent de Paul, CM"</v>
      </c>
      <c r="U28" s="120" t="str">
        <f t="shared" si="6"/>
        <v/>
      </c>
      <c r="V28" s="120" t="str">
        <f t="shared" si="7"/>
        <v/>
      </c>
      <c r="W28" s="120" t="str">
        <f t="shared" si="8"/>
        <v/>
      </c>
      <c r="X28" s="120" t="str">
        <f t="shared" si="9"/>
        <v/>
      </c>
      <c r="Y28" s="117" t="str">
        <f t="shared" si="10"/>
        <v/>
      </c>
      <c r="Z28" s="117" t="str">
        <f>IF(LEN(G28)&gt;1,concatll("#### Author's Note",G28,"-"&amp;$B28),"")</f>
        <v/>
      </c>
      <c r="AA28" s="117" t="str">
        <f>IF(LEN(H28)&gt;1,concatll("#### Dedication",H28,"-"&amp;$B28),"")</f>
        <v/>
      </c>
      <c r="CA28" s="6" t="str">
        <f>IF(S28,concatll(concatl("---",T28,"---"),"*A collection of sites associated with this topic.*","#### Background",F28,Y28,Z28,AA28),"")</f>
        <v/>
      </c>
      <c r="CB28" s="6" t="str">
        <f t="shared" si="11"/>
        <v/>
      </c>
    </row>
    <row r="29" spans="1:80" x14ac:dyDescent="0.25">
      <c r="A29" s="129" t="s">
        <v>1728</v>
      </c>
      <c r="C29" s="33" t="s">
        <v>924</v>
      </c>
      <c r="D29" s="7" t="s">
        <v>1588</v>
      </c>
      <c r="E29" s="61" t="s">
        <v>938</v>
      </c>
      <c r="F29" s="55"/>
      <c r="G29" s="130"/>
      <c r="H29" s="139"/>
      <c r="I29" s="1" t="s">
        <v>53</v>
      </c>
      <c r="J29" s="1" t="s">
        <v>53</v>
      </c>
      <c r="K29" s="44" t="s">
        <v>53</v>
      </c>
      <c r="L29" s="40" t="s">
        <v>53</v>
      </c>
      <c r="M29" s="1" t="s">
        <v>53</v>
      </c>
      <c r="N29" s="44" t="s">
        <v>53</v>
      </c>
      <c r="O29" s="1" t="s">
        <v>53</v>
      </c>
      <c r="P29" s="1" t="s">
        <v>53</v>
      </c>
      <c r="Q29" s="30" t="s">
        <v>53</v>
      </c>
      <c r="S29" s="116" t="b">
        <f t="shared" si="4"/>
        <v>0</v>
      </c>
      <c r="T29" s="117" t="str">
        <f t="shared" si="5"/>
        <v>title: "St. Louise de Marillac, DC"</v>
      </c>
      <c r="U29" s="120" t="str">
        <f t="shared" si="6"/>
        <v/>
      </c>
      <c r="V29" s="120" t="str">
        <f t="shared" si="7"/>
        <v/>
      </c>
      <c r="W29" s="120" t="str">
        <f t="shared" si="8"/>
        <v/>
      </c>
      <c r="X29" s="120" t="str">
        <f t="shared" si="9"/>
        <v/>
      </c>
      <c r="Y29" s="117" t="str">
        <f t="shared" si="10"/>
        <v/>
      </c>
      <c r="Z29" s="117" t="str">
        <f>IF(LEN(G29)&gt;1,concatll("#### Author's Note",G29,"-"&amp;$B29),"")</f>
        <v/>
      </c>
      <c r="AA29" s="117" t="str">
        <f>IF(LEN(H29)&gt;1,concatll("#### Dedication",H29,"-"&amp;$B29),"")</f>
        <v/>
      </c>
      <c r="CA29" s="6" t="str">
        <f>IF(S29,concatll(concatl("---",T29,"---"),"*A collection of sites associated with this topic.*","#### Background",F29,Y29,Z29,AA29),"")</f>
        <v/>
      </c>
      <c r="CB29" s="6" t="str">
        <f t="shared" si="11"/>
        <v/>
      </c>
    </row>
    <row r="30" spans="1:80" x14ac:dyDescent="0.25">
      <c r="A30" s="129" t="s">
        <v>1728</v>
      </c>
      <c r="B30" s="130"/>
      <c r="C30" s="61" t="s">
        <v>925</v>
      </c>
      <c r="D30" s="55" t="s">
        <v>1589</v>
      </c>
      <c r="E30" s="61" t="s">
        <v>938</v>
      </c>
      <c r="F30" s="55"/>
      <c r="I30" s="1" t="s">
        <v>53</v>
      </c>
      <c r="J30" s="1" t="s">
        <v>53</v>
      </c>
      <c r="K30" s="44" t="s">
        <v>53</v>
      </c>
      <c r="L30" s="40" t="s">
        <v>53</v>
      </c>
      <c r="M30" s="1" t="s">
        <v>53</v>
      </c>
      <c r="N30" s="44" t="s">
        <v>53</v>
      </c>
      <c r="O30" s="1" t="s">
        <v>53</v>
      </c>
      <c r="P30" s="1" t="s">
        <v>53</v>
      </c>
      <c r="Q30" s="30" t="s">
        <v>53</v>
      </c>
      <c r="S30" s="116" t="b">
        <f t="shared" si="4"/>
        <v>0</v>
      </c>
      <c r="T30" s="117" t="str">
        <f t="shared" si="5"/>
        <v>title: "St. Jean-Gabriel Perboyre, CM"</v>
      </c>
      <c r="U30" s="120" t="str">
        <f t="shared" si="6"/>
        <v/>
      </c>
      <c r="V30" s="120" t="str">
        <f t="shared" si="7"/>
        <v/>
      </c>
      <c r="W30" s="120" t="str">
        <f t="shared" si="8"/>
        <v/>
      </c>
      <c r="X30" s="120" t="str">
        <f t="shared" si="9"/>
        <v/>
      </c>
      <c r="Y30" s="117" t="str">
        <f t="shared" si="10"/>
        <v/>
      </c>
      <c r="Z30" s="117" t="str">
        <f>IF(LEN(G30)&gt;1,concatll("#### Author's Note",G30,"-"&amp;$B30),"")</f>
        <v/>
      </c>
      <c r="AA30" s="117" t="str">
        <f>IF(LEN(H30)&gt;1,concatll("#### Dedication",H30,"-"&amp;$B30),"")</f>
        <v/>
      </c>
      <c r="CA30" s="6" t="str">
        <f>IF(S30,concatll(concatl("---",T30,"---"),"*A collection of sites associated with this topic.*","#### Background",F30,Y30,Z30,AA30),"")</f>
        <v/>
      </c>
      <c r="CB30" s="6" t="str">
        <f t="shared" si="11"/>
        <v/>
      </c>
    </row>
    <row r="31" spans="1:80" ht="76.5" x14ac:dyDescent="0.25">
      <c r="A31" s="129" t="s">
        <v>786</v>
      </c>
      <c r="B31" s="130" t="s">
        <v>1654</v>
      </c>
      <c r="C31" s="141" t="s">
        <v>936</v>
      </c>
      <c r="D31" s="15" t="s">
        <v>937</v>
      </c>
      <c r="E31" s="37" t="s">
        <v>938</v>
      </c>
      <c r="F31" s="130" t="s">
        <v>1729</v>
      </c>
      <c r="I31" s="135" t="s">
        <v>1732</v>
      </c>
      <c r="J31" s="2" t="s">
        <v>1730</v>
      </c>
      <c r="K31" s="136" t="s">
        <v>1731</v>
      </c>
      <c r="L31" s="39" t="s">
        <v>53</v>
      </c>
      <c r="M31" s="2" t="s">
        <v>53</v>
      </c>
      <c r="N31" s="43" t="s">
        <v>53</v>
      </c>
      <c r="O31" s="2" t="s">
        <v>53</v>
      </c>
      <c r="P31" s="2" t="s">
        <v>53</v>
      </c>
      <c r="Q31" s="31" t="s">
        <v>53</v>
      </c>
      <c r="S31" s="116" t="b">
        <f t="shared" si="4"/>
        <v>1</v>
      </c>
      <c r="T31" s="117" t="str">
        <f t="shared" si="5"/>
        <v>title: "St. Maria Goretti"</v>
      </c>
      <c r="U31" s="120" t="str">
        <f t="shared" si="6"/>
        <v>[National Catholic Register Article](https://www.ncregister.com/blog/in-the-footsteps-of-st-maria-goretti) - An article about St. Maria Goretti's life and pilgrimage sites</v>
      </c>
      <c r="V31" s="120" t="str">
        <f t="shared" si="7"/>
        <v/>
      </c>
      <c r="W31" s="120" t="str">
        <f t="shared" si="8"/>
        <v/>
      </c>
      <c r="X31" s="120" t="str">
        <f t="shared" si="9"/>
        <v xml:space="preserve">* [National Catholic Register Article](https://www.ncregister.com/blog/in-the-footsteps-of-st-maria-goretti) - An article about St. Maria Goretti's life and pilgrimage sites
</v>
      </c>
      <c r="Y31" s="117" t="str">
        <f t="shared" si="10"/>
        <v xml:space="preserve">#### More Information_x000D_
* [National Catholic Register Article](https://www.ncregister.com/blog/in-the-footsteps-of-st-maria-goretti) - An article about St. Maria Goretti's life and pilgrimage sites
_x000D_
</v>
      </c>
      <c r="Z31" s="117" t="str">
        <f>IF(LEN(G31)&gt;1,concatll("#### Author's Note",G31,"-"&amp;$B31),"")</f>
        <v/>
      </c>
      <c r="AA31" s="117" t="str">
        <f>IF(LEN(H31)&gt;1,concatll("#### Dedication",H31,"-"&amp;$B31),"")</f>
        <v/>
      </c>
      <c r="CA31" s="6" t="str">
        <f>IF(S31,concatll(concatl("---",T31,"---"),"*A collection of sites associated with this topic.*","#### Background",F31,Y31,Z31,AA31),"")</f>
        <v xml:space="preserve">---_x000D_
title: "St. Maria Goretti"_x000D_
---_x000D_
_x000D_
_x000D_
*A collection of sites associated with this topic.*_x000D_
_x000D_
#### Background_x000D_
_x000D_
At 11 years old, St. Maria Goretti fought off her would-be rapist, Alessandro Serenelli, who in his anger stabbed her 14 times.  She died a martyr of chastity, forgiving Serenelli on her deathbed.  In prison, she appeared to Alessandro, effecting his conversion.  Upon his release, he begged her mother for forgiveness and lived out his days working as a gardener at a Capucin monastery, eventually being accepted as a lay brother._x000D_
_x000D_
#### More Information_x000D_
* [National Catholic Register Article](https://www.ncregister.com/blog/in-the-footsteps-of-st-maria-goretti) - An article about St. Maria Goretti's life and pilgrimage sites
_x000D_
_x000D_
_x000D_
</v>
      </c>
      <c r="CB31" s="6" t="str">
        <f t="shared" si="11"/>
        <v>tags\maria-goretti\_index.md</v>
      </c>
    </row>
    <row r="32" spans="1:80" x14ac:dyDescent="0.25">
      <c r="A32" s="129" t="s">
        <v>1728</v>
      </c>
      <c r="B32" s="130" t="s">
        <v>1654</v>
      </c>
      <c r="C32" s="33" t="s">
        <v>946</v>
      </c>
      <c r="D32" s="7" t="s">
        <v>1590</v>
      </c>
      <c r="E32" s="33" t="s">
        <v>938</v>
      </c>
      <c r="G32" s="130"/>
      <c r="H32" s="139"/>
      <c r="I32" s="132" t="s">
        <v>1736</v>
      </c>
      <c r="J32" s="132" t="s">
        <v>1735</v>
      </c>
      <c r="K32" s="133" t="s">
        <v>1737</v>
      </c>
      <c r="L32" s="40" t="s">
        <v>53</v>
      </c>
      <c r="M32" s="1" t="s">
        <v>53</v>
      </c>
      <c r="N32" s="44" t="s">
        <v>53</v>
      </c>
      <c r="O32" s="1" t="s">
        <v>53</v>
      </c>
      <c r="P32" s="1" t="s">
        <v>53</v>
      </c>
      <c r="Q32" s="30" t="s">
        <v>53</v>
      </c>
      <c r="S32" s="116" t="b">
        <f t="shared" si="4"/>
        <v>0</v>
      </c>
      <c r="T32" s="117" t="str">
        <f t="shared" si="5"/>
        <v>title: "Bl. Pier Giorgio Frassati, TOSD"</v>
      </c>
      <c r="U32" s="120" t="str">
        <f t="shared" si="6"/>
        <v>[FrassatiUSA Travel Guide](https://frassatiusa.org/visit-italy) - A good guide for following in the footsteps of Bl. Pier Giorgio Frassati</v>
      </c>
      <c r="V32" s="120" t="str">
        <f t="shared" si="7"/>
        <v/>
      </c>
      <c r="W32" s="120" t="str">
        <f t="shared" si="8"/>
        <v/>
      </c>
      <c r="X32" s="120" t="str">
        <f t="shared" si="9"/>
        <v xml:space="preserve">* [FrassatiUSA Travel Guide](https://frassatiusa.org/visit-italy) - A good guide for following in the footsteps of Bl. Pier Giorgio Frassati
</v>
      </c>
      <c r="Y32" s="117" t="str">
        <f t="shared" si="10"/>
        <v xml:space="preserve">#### More Information_x000D_
* [FrassatiUSA Travel Guide](https://frassatiusa.org/visit-italy) - A good guide for following in the footsteps of Bl. Pier Giorgio Frassati
_x000D_
</v>
      </c>
      <c r="Z32" s="117" t="str">
        <f>IF(LEN(G32)&gt;1,concatll("#### Author's Note",G32,"-"&amp;$B32),"")</f>
        <v/>
      </c>
      <c r="AA32" s="117" t="str">
        <f>IF(LEN(H32)&gt;1,concatll("#### Dedication",H32,"-"&amp;$B32),"")</f>
        <v/>
      </c>
      <c r="CA32" s="6" t="str">
        <f>IF(S32,concatll(concatl("---",T32,"---"),"*A collection of sites associated with this topic.*","#### Background",F32,Y32,Z32,AA32),"")</f>
        <v/>
      </c>
      <c r="CB32" s="6" t="str">
        <f t="shared" si="11"/>
        <v/>
      </c>
    </row>
    <row r="33" spans="1:80" x14ac:dyDescent="0.25">
      <c r="A33" s="129" t="s">
        <v>1728</v>
      </c>
      <c r="B33" s="10"/>
      <c r="C33" s="38" t="s">
        <v>1009</v>
      </c>
      <c r="D33" s="7" t="s">
        <v>1011</v>
      </c>
      <c r="E33" s="33" t="s">
        <v>938</v>
      </c>
      <c r="I33" s="1" t="s">
        <v>53</v>
      </c>
      <c r="J33" s="1" t="s">
        <v>53</v>
      </c>
      <c r="K33" s="44" t="s">
        <v>53</v>
      </c>
      <c r="L33" s="40" t="s">
        <v>53</v>
      </c>
      <c r="M33" s="1" t="s">
        <v>53</v>
      </c>
      <c r="N33" s="44" t="s">
        <v>53</v>
      </c>
      <c r="O33" s="1" t="s">
        <v>53</v>
      </c>
      <c r="P33" s="1" t="s">
        <v>53</v>
      </c>
      <c r="Q33" s="30" t="s">
        <v>53</v>
      </c>
      <c r="S33" s="116" t="b">
        <f t="shared" si="4"/>
        <v>0</v>
      </c>
      <c r="T33" s="117" t="str">
        <f t="shared" si="5"/>
        <v>title: "St. Ulrich"</v>
      </c>
      <c r="U33" s="120" t="str">
        <f t="shared" si="6"/>
        <v/>
      </c>
      <c r="V33" s="120" t="str">
        <f t="shared" si="7"/>
        <v/>
      </c>
      <c r="W33" s="120" t="str">
        <f t="shared" si="8"/>
        <v/>
      </c>
      <c r="X33" s="120" t="str">
        <f t="shared" si="9"/>
        <v/>
      </c>
      <c r="Y33" s="117" t="str">
        <f t="shared" si="10"/>
        <v/>
      </c>
      <c r="Z33" s="117" t="str">
        <f>IF(LEN(G33)&gt;1,concatll("#### Author's Note",G33,"-"&amp;$B33),"")</f>
        <v/>
      </c>
      <c r="AA33" s="117" t="str">
        <f>IF(LEN(H33)&gt;1,concatll("#### Dedication",H33,"-"&amp;$B33),"")</f>
        <v/>
      </c>
      <c r="CA33" s="6" t="str">
        <f>IF(S33,concatll(concatl("---",T33,"---"),"*A collection of sites associated with this topic.*","#### Background",F33,Y33,Z33,AA33),"")</f>
        <v/>
      </c>
      <c r="CB33" s="6" t="str">
        <f t="shared" si="11"/>
        <v/>
      </c>
    </row>
    <row r="34" spans="1:80" x14ac:dyDescent="0.25">
      <c r="A34" s="129" t="s">
        <v>1728</v>
      </c>
      <c r="C34" s="33" t="s">
        <v>1010</v>
      </c>
      <c r="D34" s="55" t="s">
        <v>1012</v>
      </c>
      <c r="E34" s="33" t="s">
        <v>938</v>
      </c>
      <c r="I34" s="1" t="s">
        <v>53</v>
      </c>
      <c r="J34" s="1" t="s">
        <v>53</v>
      </c>
      <c r="K34" s="44" t="s">
        <v>53</v>
      </c>
      <c r="L34" s="40" t="s">
        <v>53</v>
      </c>
      <c r="M34" s="1" t="s">
        <v>53</v>
      </c>
      <c r="N34" s="44" t="s">
        <v>53</v>
      </c>
      <c r="O34" s="1" t="s">
        <v>53</v>
      </c>
      <c r="P34" s="1" t="s">
        <v>53</v>
      </c>
      <c r="Q34" s="30" t="s">
        <v>53</v>
      </c>
      <c r="S34" s="116" t="b">
        <f t="shared" si="4"/>
        <v>0</v>
      </c>
      <c r="T34" s="117" t="str">
        <f t="shared" si="5"/>
        <v>title: "St. Afra"</v>
      </c>
      <c r="U34" s="120" t="str">
        <f t="shared" si="6"/>
        <v/>
      </c>
      <c r="V34" s="120" t="str">
        <f t="shared" si="7"/>
        <v/>
      </c>
      <c r="W34" s="120" t="str">
        <f t="shared" si="8"/>
        <v/>
      </c>
      <c r="X34" s="120" t="str">
        <f t="shared" si="9"/>
        <v/>
      </c>
      <c r="Y34" s="117" t="str">
        <f t="shared" si="10"/>
        <v/>
      </c>
      <c r="Z34" s="117" t="str">
        <f>IF(LEN(G34)&gt;1,concatll("#### Author's Note",G34,"-"&amp;$B34),"")</f>
        <v/>
      </c>
      <c r="AA34" s="117" t="str">
        <f>IF(LEN(H34)&gt;1,concatll("#### Dedication",H34,"-"&amp;$B34),"")</f>
        <v/>
      </c>
      <c r="CA34" s="6" t="str">
        <f>IF(S34,concatll(concatl("---",T34,"---"),"*A collection of sites associated with this topic.*","#### Background",F34,Y34,Z34,AA34),"")</f>
        <v/>
      </c>
      <c r="CB34" s="6" t="str">
        <f t="shared" si="11"/>
        <v/>
      </c>
    </row>
    <row r="35" spans="1:80" x14ac:dyDescent="0.25">
      <c r="A35" s="129" t="s">
        <v>1728</v>
      </c>
      <c r="C35" s="38" t="s">
        <v>1013</v>
      </c>
      <c r="D35" s="7" t="s">
        <v>1014</v>
      </c>
      <c r="E35" s="33" t="s">
        <v>938</v>
      </c>
      <c r="F35" s="26"/>
      <c r="I35" s="1" t="s">
        <v>53</v>
      </c>
      <c r="J35" s="1" t="s">
        <v>53</v>
      </c>
      <c r="K35" s="44" t="s">
        <v>53</v>
      </c>
      <c r="L35" s="40" t="s">
        <v>53</v>
      </c>
      <c r="M35" s="1" t="s">
        <v>53</v>
      </c>
      <c r="N35" s="44" t="s">
        <v>53</v>
      </c>
      <c r="O35" s="1" t="s">
        <v>53</v>
      </c>
      <c r="P35" s="1" t="s">
        <v>53</v>
      </c>
      <c r="Q35" s="30" t="s">
        <v>53</v>
      </c>
      <c r="S35" s="116" t="b">
        <f t="shared" si="4"/>
        <v>0</v>
      </c>
      <c r="T35" s="117" t="str">
        <f t="shared" si="5"/>
        <v>title: "St. Simpert"</v>
      </c>
      <c r="U35" s="120" t="str">
        <f t="shared" si="6"/>
        <v/>
      </c>
      <c r="V35" s="120" t="str">
        <f t="shared" si="7"/>
        <v/>
      </c>
      <c r="W35" s="120" t="str">
        <f t="shared" si="8"/>
        <v/>
      </c>
      <c r="X35" s="120" t="str">
        <f t="shared" si="9"/>
        <v/>
      </c>
      <c r="Y35" s="117" t="str">
        <f t="shared" si="10"/>
        <v/>
      </c>
      <c r="Z35" s="117" t="str">
        <f>IF(LEN(G35)&gt;1,concatll("#### Author's Note",G35,"-"&amp;$B35),"")</f>
        <v/>
      </c>
      <c r="AA35" s="117" t="str">
        <f>IF(LEN(H35)&gt;1,concatll("#### Dedication",H35,"-"&amp;$B35),"")</f>
        <v/>
      </c>
      <c r="CA35" s="6" t="str">
        <f>IF(S35,concatll(concatl("---",T35,"---"),"*A collection of sites associated with this topic.*","#### Background",F35,Y35,Z35,AA35),"")</f>
        <v/>
      </c>
      <c r="CB35" s="6" t="str">
        <f t="shared" si="11"/>
        <v/>
      </c>
    </row>
    <row r="36" spans="1:80" x14ac:dyDescent="0.25">
      <c r="A36" s="129" t="s">
        <v>1728</v>
      </c>
      <c r="B36" s="130"/>
      <c r="C36" s="61" t="s">
        <v>1019</v>
      </c>
      <c r="D36" s="55" t="s">
        <v>1020</v>
      </c>
      <c r="E36" s="61" t="s">
        <v>938</v>
      </c>
      <c r="F36" s="26"/>
      <c r="G36" s="130"/>
      <c r="H36" s="139"/>
      <c r="I36" s="29" t="s">
        <v>53</v>
      </c>
      <c r="J36" s="18" t="s">
        <v>53</v>
      </c>
      <c r="K36" s="63" t="s">
        <v>53</v>
      </c>
      <c r="L36" s="42" t="s">
        <v>53</v>
      </c>
      <c r="M36" s="18" t="s">
        <v>53</v>
      </c>
      <c r="N36" s="46" t="s">
        <v>53</v>
      </c>
      <c r="O36" s="18" t="s">
        <v>53</v>
      </c>
      <c r="P36" s="18" t="s">
        <v>53</v>
      </c>
      <c r="Q36" s="69" t="s">
        <v>53</v>
      </c>
      <c r="S36" s="116" t="b">
        <f t="shared" si="4"/>
        <v>0</v>
      </c>
      <c r="T36" s="117" t="str">
        <f t="shared" si="5"/>
        <v>title: "St. Peter Canisius"</v>
      </c>
      <c r="U36" s="120" t="str">
        <f t="shared" si="6"/>
        <v/>
      </c>
      <c r="V36" s="120" t="str">
        <f t="shared" si="7"/>
        <v/>
      </c>
      <c r="W36" s="120" t="str">
        <f t="shared" si="8"/>
        <v/>
      </c>
      <c r="X36" s="120" t="str">
        <f t="shared" si="9"/>
        <v/>
      </c>
      <c r="Y36" s="117" t="str">
        <f t="shared" si="10"/>
        <v/>
      </c>
      <c r="Z36" s="117" t="str">
        <f>IF(LEN(G36)&gt;1,concatll("#### Author's Note",G36,"-"&amp;$B36),"")</f>
        <v/>
      </c>
      <c r="AA36" s="117" t="str">
        <f>IF(LEN(H36)&gt;1,concatll("#### Dedication",H36,"-"&amp;$B36),"")</f>
        <v/>
      </c>
      <c r="CA36" s="6" t="str">
        <f>IF(S36,concatll(concatl("---",T36,"---"),"*A collection of sites associated with this topic.*","#### Background",F36,Y36,Z36,AA36),"")</f>
        <v/>
      </c>
      <c r="CB36" s="6" t="str">
        <f t="shared" si="11"/>
        <v/>
      </c>
    </row>
    <row r="37" spans="1:80" ht="76.5" x14ac:dyDescent="0.25">
      <c r="A37" s="129" t="s">
        <v>786</v>
      </c>
      <c r="B37" s="130" t="s">
        <v>1653</v>
      </c>
      <c r="C37" s="61" t="s">
        <v>1036</v>
      </c>
      <c r="D37" s="55" t="s">
        <v>1037</v>
      </c>
      <c r="E37" s="61" t="s">
        <v>938</v>
      </c>
      <c r="F37" s="130" t="s">
        <v>1744</v>
      </c>
      <c r="G37" s="55"/>
      <c r="H37" s="152" t="s">
        <v>1807</v>
      </c>
      <c r="I37" s="132" t="s">
        <v>1738</v>
      </c>
      <c r="J37" s="1" t="s">
        <v>1739</v>
      </c>
      <c r="K37" s="44" t="s">
        <v>53</v>
      </c>
      <c r="L37" s="40" t="s">
        <v>53</v>
      </c>
      <c r="M37" s="1" t="s">
        <v>53</v>
      </c>
      <c r="N37" s="44" t="s">
        <v>53</v>
      </c>
      <c r="O37" s="1" t="s">
        <v>53</v>
      </c>
      <c r="P37" s="1" t="s">
        <v>53</v>
      </c>
      <c r="Q37" s="30" t="s">
        <v>53</v>
      </c>
      <c r="S37" s="116" t="b">
        <f t="shared" si="4"/>
        <v>1</v>
      </c>
      <c r="T37" s="117" t="str">
        <f t="shared" si="5"/>
        <v>title: "Bl. Stanley Rother"</v>
      </c>
      <c r="U37" s="120" t="str">
        <f t="shared" si="6"/>
        <v>[Archdiocese of Oklahoma City's page on Bl. Stanley Rother](https://archokc.org/stanleyrother)</v>
      </c>
      <c r="V37" s="120" t="str">
        <f t="shared" si="7"/>
        <v/>
      </c>
      <c r="W37" s="120" t="str">
        <f t="shared" si="8"/>
        <v/>
      </c>
      <c r="X37" s="120" t="str">
        <f t="shared" si="9"/>
        <v xml:space="preserve">* [Archdiocese of Oklahoma City's page on Bl. Stanley Rother](https://archokc.org/stanleyrother)
</v>
      </c>
      <c r="Y37" s="117" t="str">
        <f t="shared" si="10"/>
        <v xml:space="preserve">#### More Information_x000D_
* [Archdiocese of Oklahoma City's page on Bl. Stanley Rother](https://archokc.org/stanleyrother)
_x000D_
</v>
      </c>
      <c r="Z37" s="117" t="str">
        <f>IF(LEN(G37)&gt;1,concatll("#### Author's Note",G37,"-"&amp;$B37),"")</f>
        <v/>
      </c>
      <c r="AA37" s="117" t="str">
        <f>IF(LEN(H37)&gt;1,concatll("#### Dedication",H37,"-"&amp;$B37),"")</f>
        <v xml:space="preserve">#### Dedication_x000D_
_x000D_
To the Hesse families and the town of Muenster, Texas._x000D_
_x000D_
-JMM_x000D_
_x000D_
</v>
      </c>
      <c r="CA37" s="6" t="str">
        <f>IF(S37,concatll(concatl("---",T37,"---"),"*A collection of sites associated with this topic.*","#### Background",F37,Y37,Z37,AA37),"")</f>
        <v xml:space="preserve">---_x000D_
title: "Bl. Stanley Rother"_x000D_
---_x000D_
_x000D_
_x000D_
*A collection of sites associated with this topic.*_x000D_
_x000D_
#### Background_x000D_
_x000D_
Blessed Stanley Rother was the church's first American-born martyr.  At the risk of his life, Bl. Stanley willingly persisted in his mission to the Tz'utujil people of Guatemala, saying "the shepherd does not run at the first sign of danger."  On December 1, 2016, Pope Francis confirmed that Rother had died a martyr, murdered for his faith, and Rother was beatified on September 23, 2017, in his home state of Oklahoma._x000D_
_x000D_
#### More Information_x000D_
* [Archdiocese of Oklahoma City's page on Bl. Stanley Rother](https://archokc.org/stanleyrother)
_x000D_
_x000D_
_x000D_
#### Dedication_x000D_
_x000D_
To the Hesse families and the town of Muenster, Texas._x000D_
_x000D_
-JMM_x000D_
_x000D_
_x000D_
_x000D_
</v>
      </c>
      <c r="CB37" s="6" t="str">
        <f t="shared" si="11"/>
        <v>tags\stanley-rother\_index.md</v>
      </c>
    </row>
    <row r="38" spans="1:80" ht="38.25" x14ac:dyDescent="0.25">
      <c r="A38" s="129" t="s">
        <v>786</v>
      </c>
      <c r="B38" s="130" t="s">
        <v>1654</v>
      </c>
      <c r="C38" s="33" t="s">
        <v>1060</v>
      </c>
      <c r="D38" s="7" t="s">
        <v>1061</v>
      </c>
      <c r="E38" s="61" t="s">
        <v>938</v>
      </c>
      <c r="F38" s="130" t="s">
        <v>1733</v>
      </c>
      <c r="G38" s="130" t="s">
        <v>1734</v>
      </c>
      <c r="H38" s="139"/>
      <c r="I38" s="1" t="s">
        <v>53</v>
      </c>
      <c r="J38" s="1" t="s">
        <v>53</v>
      </c>
      <c r="K38" s="44" t="s">
        <v>53</v>
      </c>
      <c r="L38" s="40" t="s">
        <v>53</v>
      </c>
      <c r="M38" s="1" t="s">
        <v>53</v>
      </c>
      <c r="N38" s="44" t="s">
        <v>53</v>
      </c>
      <c r="O38" s="1" t="s">
        <v>53</v>
      </c>
      <c r="P38" s="1" t="s">
        <v>53</v>
      </c>
      <c r="Q38" s="30" t="s">
        <v>53</v>
      </c>
      <c r="S38" s="116" t="b">
        <f t="shared" ref="S38:S68" si="12">IF(OR(A38="Done",A38="In Progress"),TRUE)</f>
        <v>1</v>
      </c>
      <c r="T38" s="117" t="str">
        <f t="shared" ref="T38:T68" si="13">"title: """&amp;D38&amp;""""</f>
        <v>title: "Bl. Miguel Pro, SJ"</v>
      </c>
      <c r="U38" s="120" t="str">
        <f t="shared" ref="U38:U67" si="14">IF(LEN(J38)&gt;0,TRIM(CONCATENATE("["&amp;I38&amp;"](",J38,") ",IF(LEN(K38)&gt;0,"- "&amp;K38,K38))),"")</f>
        <v/>
      </c>
      <c r="V38" s="120" t="str">
        <f t="shared" ref="V38:V67" si="15">IF(LEN(M38)&gt;0,TRIM(CONCATENATE("["&amp;L38&amp;"](",M38,") ",IF(LEN(N38)&gt;0,"- "&amp;N38,N38))),"")</f>
        <v/>
      </c>
      <c r="W38" s="120" t="str">
        <f t="shared" ref="W38:W67" si="16">IF(LEN(P38)&gt;0,TRIM(CONCATENATE("["&amp;O38&amp;"](",P38,") ",IF(LEN(Q38)&gt;0,"- "&amp;Q38,Q38))),"")</f>
        <v/>
      </c>
      <c r="X38" s="120" t="str">
        <f t="shared" ref="X38:X68" si="17">IF(LEN(U38)&gt;0,"* "&amp;U38&amp;CHAR(10),"")&amp;
IF(LEN(V38)&gt;0,"* "&amp;V38&amp;CHAR(10),"")&amp;
IF(LEN(W38)&gt;0,"* "&amp;W38&amp;CHAR(10),"")</f>
        <v/>
      </c>
      <c r="Y38" s="117" t="str">
        <f t="shared" ref="Y38:Y67" si="18">IF(LEN(X38)&gt;0,concatl("#### More Information",X38),"")</f>
        <v/>
      </c>
      <c r="Z38" s="117" t="str">
        <f>IF(LEN(G38)&gt;1,concatll("#### Author's Note",G38,"-"&amp;$B38),"")</f>
        <v xml:space="preserve">#### Author's Note_x000D_
_x000D_
A great book on his life is Fr. M.D. Forrest's Life of Father Pro._x000D_
_x000D_
-JPY_x000D_
_x000D_
</v>
      </c>
      <c r="AA38" s="117" t="str">
        <f>IF(LEN(H38)&gt;1,concatll("#### Dedication",H38,"-"&amp;$B38),"")</f>
        <v/>
      </c>
      <c r="CA38" s="6" t="str">
        <f>IF(S38,concatll(concatl("---",T38,"---"),"*A collection of sites associated with this topic.*","#### Background",F38,Y38,Z38,AA38),"")</f>
        <v xml:space="preserve">---_x000D_
title: "Bl. Miguel Pro, SJ"_x000D_
---_x000D_
_x000D_
_x000D_
*A collection of sites associated with this topic.*_x000D_
_x000D_
#### Background_x000D_
_x000D_
Blessed Miguel Pro was a Jesuit priest and martyr of the Cristero War.  He was executed by firing squad by the anti-Catholic government, his arms outstreched in the form of a cross, shouting "Viva Cristo Rey!" (Long live Christ the King)._x000D_
_x000D_
#### Author's Note_x000D_
_x000D_
A great book on his life is Fr. M.D. Forrest's Life of Father Pro._x000D_
_x000D_
-JPY_x000D_
_x000D_
_x000D_
_x000D_
</v>
      </c>
      <c r="CB38" s="6" t="str">
        <f t="shared" ref="CB38:CB68" si="19">IF(S38,"tags\"&amp;C38&amp;"\_index.md","")</f>
        <v>tags\miguel-pro\_index.md</v>
      </c>
    </row>
    <row r="39" spans="1:80" x14ac:dyDescent="0.25">
      <c r="A39" s="129" t="s">
        <v>1728</v>
      </c>
      <c r="C39" s="33" t="s">
        <v>1176</v>
      </c>
      <c r="D39" s="55" t="s">
        <v>1177</v>
      </c>
      <c r="E39" s="61" t="s">
        <v>938</v>
      </c>
      <c r="F39" s="55"/>
      <c r="I39" s="1" t="s">
        <v>53</v>
      </c>
      <c r="J39" s="1" t="s">
        <v>53</v>
      </c>
      <c r="K39" s="44" t="s">
        <v>53</v>
      </c>
      <c r="L39" s="40" t="s">
        <v>53</v>
      </c>
      <c r="M39" s="1" t="s">
        <v>53</v>
      </c>
      <c r="N39" s="44" t="s">
        <v>53</v>
      </c>
      <c r="O39" s="1" t="s">
        <v>53</v>
      </c>
      <c r="P39" s="1" t="s">
        <v>53</v>
      </c>
      <c r="Q39" s="30" t="s">
        <v>53</v>
      </c>
      <c r="S39" s="116" t="b">
        <f t="shared" si="12"/>
        <v>0</v>
      </c>
      <c r="T39" s="117" t="str">
        <f t="shared" si="13"/>
        <v>title: "Mother Agnes Hart"</v>
      </c>
      <c r="U39" s="120" t="str">
        <f t="shared" si="14"/>
        <v/>
      </c>
      <c r="V39" s="120" t="str">
        <f t="shared" si="15"/>
        <v/>
      </c>
      <c r="W39" s="120" t="str">
        <f t="shared" si="16"/>
        <v/>
      </c>
      <c r="X39" s="120" t="str">
        <f t="shared" si="17"/>
        <v/>
      </c>
      <c r="Y39" s="117" t="str">
        <f t="shared" si="18"/>
        <v/>
      </c>
      <c r="Z39" s="117" t="str">
        <f>IF(LEN(G39)&gt;1,concatll("#### Author's Note",G39,"-"&amp;$B39),"")</f>
        <v/>
      </c>
      <c r="AA39" s="117" t="str">
        <f>IF(LEN(H39)&gt;1,concatll("#### Dedication",H39,"-"&amp;$B39),"")</f>
        <v/>
      </c>
      <c r="CA39" s="6" t="str">
        <f>IF(S39,concatll(concatl("---",T39,"---"),"*A collection of sites associated with this topic.*","#### Background",F39,Y39,Z39,AA39),"")</f>
        <v/>
      </c>
      <c r="CB39" s="6" t="str">
        <f t="shared" si="19"/>
        <v/>
      </c>
    </row>
    <row r="40" spans="1:80" x14ac:dyDescent="0.25">
      <c r="A40" s="129" t="s">
        <v>1728</v>
      </c>
      <c r="B40" s="55"/>
      <c r="C40" s="61" t="s">
        <v>1191</v>
      </c>
      <c r="D40" s="55" t="s">
        <v>1192</v>
      </c>
      <c r="E40" s="33" t="s">
        <v>938</v>
      </c>
      <c r="F40" s="55"/>
      <c r="I40" s="1" t="s">
        <v>53</v>
      </c>
      <c r="J40" s="1" t="s">
        <v>53</v>
      </c>
      <c r="K40" s="44" t="s">
        <v>53</v>
      </c>
      <c r="L40" s="40" t="s">
        <v>53</v>
      </c>
      <c r="M40" s="1" t="s">
        <v>53</v>
      </c>
      <c r="N40" s="44" t="s">
        <v>53</v>
      </c>
      <c r="O40" s="1" t="s">
        <v>53</v>
      </c>
      <c r="P40" s="1" t="s">
        <v>53</v>
      </c>
      <c r="Q40" s="30" t="s">
        <v>53</v>
      </c>
      <c r="S40" s="116" t="b">
        <f t="shared" si="12"/>
        <v>0</v>
      </c>
      <c r="T40" s="117" t="str">
        <f t="shared" si="13"/>
        <v>title: "St. Joseph"</v>
      </c>
      <c r="U40" s="120" t="str">
        <f t="shared" si="14"/>
        <v/>
      </c>
      <c r="V40" s="120" t="str">
        <f t="shared" si="15"/>
        <v/>
      </c>
      <c r="W40" s="120" t="str">
        <f t="shared" si="16"/>
        <v/>
      </c>
      <c r="X40" s="120" t="str">
        <f t="shared" si="17"/>
        <v/>
      </c>
      <c r="Y40" s="117" t="str">
        <f t="shared" si="18"/>
        <v/>
      </c>
      <c r="Z40" s="117" t="str">
        <f>IF(LEN(G40)&gt;1,concatll("#### Author's Note",G40,"-"&amp;$B40),"")</f>
        <v/>
      </c>
      <c r="AA40" s="117" t="str">
        <f>IF(LEN(H40)&gt;1,concatll("#### Dedication",H40,"-"&amp;$B40),"")</f>
        <v/>
      </c>
      <c r="CA40" s="6" t="str">
        <f>IF(S40,concatll(concatl("---",T40,"---"),"*A collection of sites associated with this topic.*","#### Background",F40,Y40,Z40,AA40),"")</f>
        <v/>
      </c>
      <c r="CB40" s="6" t="str">
        <f t="shared" si="19"/>
        <v/>
      </c>
    </row>
    <row r="41" spans="1:80" x14ac:dyDescent="0.25">
      <c r="A41" s="129" t="s">
        <v>1728</v>
      </c>
      <c r="B41" s="55"/>
      <c r="C41" s="61" t="s">
        <v>1200</v>
      </c>
      <c r="D41" s="55" t="s">
        <v>1203</v>
      </c>
      <c r="E41" s="61" t="s">
        <v>938</v>
      </c>
      <c r="I41" s="1" t="s">
        <v>53</v>
      </c>
      <c r="J41" s="1" t="s">
        <v>53</v>
      </c>
      <c r="K41" s="44" t="s">
        <v>53</v>
      </c>
      <c r="L41" s="40" t="s">
        <v>53</v>
      </c>
      <c r="M41" s="1" t="s">
        <v>53</v>
      </c>
      <c r="N41" s="44" t="s">
        <v>53</v>
      </c>
      <c r="O41" s="1" t="s">
        <v>53</v>
      </c>
      <c r="P41" s="1" t="s">
        <v>53</v>
      </c>
      <c r="Q41" s="30" t="s">
        <v>53</v>
      </c>
      <c r="S41" s="116" t="b">
        <f t="shared" si="12"/>
        <v>0</v>
      </c>
      <c r="T41" s="117" t="str">
        <f t="shared" si="13"/>
        <v>title: "St. Kateri Tekakwitha"</v>
      </c>
      <c r="U41" s="120" t="str">
        <f t="shared" si="14"/>
        <v/>
      </c>
      <c r="V41" s="120" t="str">
        <f t="shared" si="15"/>
        <v/>
      </c>
      <c r="W41" s="120" t="str">
        <f t="shared" si="16"/>
        <v/>
      </c>
      <c r="X41" s="120" t="str">
        <f t="shared" si="17"/>
        <v/>
      </c>
      <c r="Y41" s="117" t="str">
        <f t="shared" si="18"/>
        <v/>
      </c>
      <c r="Z41" s="117" t="str">
        <f>IF(LEN(G41)&gt;1,concatll("#### Author's Note",G41,"-"&amp;$B41),"")</f>
        <v/>
      </c>
      <c r="AA41" s="117" t="str">
        <f>IF(LEN(H41)&gt;1,concatll("#### Dedication",H41,"-"&amp;$B41),"")</f>
        <v/>
      </c>
      <c r="CA41" s="6" t="str">
        <f>IF(S41,concatll(concatl("---",T41,"---"),"*A collection of sites associated with this topic.*","#### Background",F41,Y41,Z41,AA41),"")</f>
        <v/>
      </c>
      <c r="CB41" s="6" t="str">
        <f t="shared" si="19"/>
        <v/>
      </c>
    </row>
    <row r="42" spans="1:80" x14ac:dyDescent="0.25">
      <c r="A42" s="129" t="s">
        <v>1728</v>
      </c>
      <c r="B42" s="55"/>
      <c r="C42" s="61" t="s">
        <v>1201</v>
      </c>
      <c r="D42" s="55" t="s">
        <v>1204</v>
      </c>
      <c r="E42" s="61" t="s">
        <v>938</v>
      </c>
      <c r="F42" s="55"/>
      <c r="I42" s="1" t="s">
        <v>53</v>
      </c>
      <c r="J42" s="1" t="s">
        <v>53</v>
      </c>
      <c r="K42" s="44" t="s">
        <v>53</v>
      </c>
      <c r="L42" s="40" t="s">
        <v>53</v>
      </c>
      <c r="M42" s="1" t="s">
        <v>53</v>
      </c>
      <c r="N42" s="44" t="s">
        <v>53</v>
      </c>
      <c r="O42" s="1" t="s">
        <v>53</v>
      </c>
      <c r="P42" s="1" t="s">
        <v>53</v>
      </c>
      <c r="Q42" s="30" t="s">
        <v>53</v>
      </c>
      <c r="S42" s="116" t="b">
        <f t="shared" si="12"/>
        <v>0</v>
      </c>
      <c r="T42" s="117" t="str">
        <f t="shared" si="13"/>
        <v>title: "St. Isaac Jogues, SJ"</v>
      </c>
      <c r="U42" s="120" t="str">
        <f t="shared" si="14"/>
        <v/>
      </c>
      <c r="V42" s="120" t="str">
        <f t="shared" si="15"/>
        <v/>
      </c>
      <c r="W42" s="120" t="str">
        <f t="shared" si="16"/>
        <v/>
      </c>
      <c r="X42" s="120" t="str">
        <f t="shared" si="17"/>
        <v/>
      </c>
      <c r="Y42" s="117" t="str">
        <f t="shared" si="18"/>
        <v/>
      </c>
      <c r="Z42" s="117" t="str">
        <f>IF(LEN(G42)&gt;1,concatll("#### Author's Note",G42,"-"&amp;$B42),"")</f>
        <v/>
      </c>
      <c r="AA42" s="117" t="str">
        <f>IF(LEN(H42)&gt;1,concatll("#### Dedication",H42,"-"&amp;$B42),"")</f>
        <v/>
      </c>
      <c r="CA42" s="6" t="str">
        <f>IF(S42,concatll(concatl("---",T42,"---"),"*A collection of sites associated with this topic.*","#### Background",F42,Y42,Z42,AA42),"")</f>
        <v/>
      </c>
      <c r="CB42" s="6" t="str">
        <f t="shared" si="19"/>
        <v/>
      </c>
    </row>
    <row r="43" spans="1:80" x14ac:dyDescent="0.25">
      <c r="A43" s="129" t="s">
        <v>1728</v>
      </c>
      <c r="C43" s="33" t="s">
        <v>1202</v>
      </c>
      <c r="D43" s="7" t="s">
        <v>1207</v>
      </c>
      <c r="E43" s="33" t="s">
        <v>938</v>
      </c>
      <c r="I43" s="1" t="s">
        <v>53</v>
      </c>
      <c r="J43" s="1" t="s">
        <v>53</v>
      </c>
      <c r="K43" s="44" t="s">
        <v>53</v>
      </c>
      <c r="L43" s="40" t="s">
        <v>53</v>
      </c>
      <c r="M43" s="1" t="s">
        <v>53</v>
      </c>
      <c r="N43" s="44" t="s">
        <v>53</v>
      </c>
      <c r="O43" s="1" t="s">
        <v>53</v>
      </c>
      <c r="P43" s="1" t="s">
        <v>53</v>
      </c>
      <c r="Q43" s="30" t="s">
        <v>53</v>
      </c>
      <c r="S43" s="116" t="b">
        <f t="shared" si="12"/>
        <v>0</v>
      </c>
      <c r="T43" s="117" t="str">
        <f t="shared" si="13"/>
        <v>title: "St. Rene Goupil, SJ"</v>
      </c>
      <c r="U43" s="120" t="str">
        <f t="shared" si="14"/>
        <v/>
      </c>
      <c r="V43" s="120" t="str">
        <f t="shared" si="15"/>
        <v/>
      </c>
      <c r="W43" s="120" t="str">
        <f t="shared" si="16"/>
        <v/>
      </c>
      <c r="X43" s="120" t="str">
        <f t="shared" si="17"/>
        <v/>
      </c>
      <c r="Y43" s="117" t="str">
        <f t="shared" si="18"/>
        <v/>
      </c>
      <c r="Z43" s="117" t="str">
        <f>IF(LEN(G43)&gt;1,concatll("#### Author's Note",G43,"-"&amp;$B43),"")</f>
        <v/>
      </c>
      <c r="AA43" s="117" t="str">
        <f>IF(LEN(H43)&gt;1,concatll("#### Dedication",H43,"-"&amp;$B43),"")</f>
        <v/>
      </c>
      <c r="CA43" s="6" t="str">
        <f>IF(S43,concatll(concatl("---",T43,"---"),"*A collection of sites associated with this topic.*","#### Background",F43,Y43,Z43,AA43),"")</f>
        <v/>
      </c>
      <c r="CB43" s="6" t="str">
        <f t="shared" si="19"/>
        <v/>
      </c>
    </row>
    <row r="44" spans="1:80" x14ac:dyDescent="0.25">
      <c r="A44" s="129" t="s">
        <v>1728</v>
      </c>
      <c r="C44" s="33" t="s">
        <v>1210</v>
      </c>
      <c r="D44" s="7" t="s">
        <v>1208</v>
      </c>
      <c r="E44" s="33" t="s">
        <v>938</v>
      </c>
      <c r="G44" s="130"/>
      <c r="H44" s="139"/>
      <c r="I44" s="1" t="s">
        <v>53</v>
      </c>
      <c r="J44" s="1" t="s">
        <v>53</v>
      </c>
      <c r="K44" s="44" t="s">
        <v>53</v>
      </c>
      <c r="L44" s="40" t="s">
        <v>53</v>
      </c>
      <c r="M44" s="1" t="s">
        <v>53</v>
      </c>
      <c r="N44" s="44" t="s">
        <v>53</v>
      </c>
      <c r="O44" s="1" t="s">
        <v>53</v>
      </c>
      <c r="P44" s="1" t="s">
        <v>53</v>
      </c>
      <c r="Q44" s="30" t="s">
        <v>53</v>
      </c>
      <c r="S44" s="116" t="b">
        <f t="shared" si="12"/>
        <v>0</v>
      </c>
      <c r="T44" s="117" t="str">
        <f t="shared" si="13"/>
        <v>title: "St. Jean de Lalande, SJ"</v>
      </c>
      <c r="U44" s="120" t="str">
        <f t="shared" si="14"/>
        <v/>
      </c>
      <c r="V44" s="120" t="str">
        <f t="shared" si="15"/>
        <v/>
      </c>
      <c r="W44" s="120" t="str">
        <f t="shared" si="16"/>
        <v/>
      </c>
      <c r="X44" s="120" t="str">
        <f t="shared" si="17"/>
        <v/>
      </c>
      <c r="Y44" s="117" t="str">
        <f t="shared" si="18"/>
        <v/>
      </c>
      <c r="Z44" s="117" t="str">
        <f>IF(LEN(G44)&gt;1,concatll("#### Author's Note",G44,"-"&amp;$B44),"")</f>
        <v/>
      </c>
      <c r="AA44" s="117" t="str">
        <f>IF(LEN(H44)&gt;1,concatll("#### Dedication",H44,"-"&amp;$B44),"")</f>
        <v/>
      </c>
      <c r="CA44" s="6" t="str">
        <f>IF(S44,concatll(concatl("---",T44,"---"),"*A collection of sites associated with this topic.*","#### Background",F44,Y44,Z44,AA44),"")</f>
        <v/>
      </c>
      <c r="CB44" s="6" t="str">
        <f t="shared" si="19"/>
        <v/>
      </c>
    </row>
    <row r="45" spans="1:80" x14ac:dyDescent="0.25">
      <c r="A45" s="129" t="s">
        <v>1728</v>
      </c>
      <c r="C45" s="38" t="s">
        <v>1205</v>
      </c>
      <c r="D45" s="7" t="s">
        <v>1206</v>
      </c>
      <c r="E45" s="33" t="s">
        <v>938</v>
      </c>
      <c r="I45" s="1" t="s">
        <v>53</v>
      </c>
      <c r="J45" s="1" t="s">
        <v>53</v>
      </c>
      <c r="K45" s="44" t="s">
        <v>53</v>
      </c>
      <c r="L45" s="40" t="s">
        <v>53</v>
      </c>
      <c r="M45" s="1" t="s">
        <v>53</v>
      </c>
      <c r="N45" s="44" t="s">
        <v>53</v>
      </c>
      <c r="O45" s="1" t="s">
        <v>53</v>
      </c>
      <c r="P45" s="1" t="s">
        <v>53</v>
      </c>
      <c r="Q45" s="30" t="s">
        <v>53</v>
      </c>
      <c r="S45" s="116" t="b">
        <f t="shared" si="12"/>
        <v>0</v>
      </c>
      <c r="T45" s="117" t="str">
        <f t="shared" si="13"/>
        <v>title: "Canadian Martyrs"</v>
      </c>
      <c r="U45" s="120" t="str">
        <f t="shared" si="14"/>
        <v/>
      </c>
      <c r="V45" s="120" t="str">
        <f t="shared" si="15"/>
        <v/>
      </c>
      <c r="W45" s="120" t="str">
        <f t="shared" si="16"/>
        <v/>
      </c>
      <c r="X45" s="120" t="str">
        <f t="shared" si="17"/>
        <v/>
      </c>
      <c r="Y45" s="117" t="str">
        <f t="shared" si="18"/>
        <v/>
      </c>
      <c r="Z45" s="117" t="str">
        <f>IF(LEN(G45)&gt;1,concatll("#### Author's Note",G45,"-"&amp;$B45),"")</f>
        <v/>
      </c>
      <c r="AA45" s="117" t="str">
        <f>IF(LEN(H45)&gt;1,concatll("#### Dedication",H45,"-"&amp;$B45),"")</f>
        <v/>
      </c>
      <c r="CA45" s="6" t="str">
        <f>IF(S45,concatll(concatl("---",T45,"---"),"*A collection of sites associated with this topic.*","#### Background",F45,Y45,Z45,AA45),"")</f>
        <v/>
      </c>
      <c r="CB45" s="6" t="str">
        <f t="shared" si="19"/>
        <v/>
      </c>
    </row>
    <row r="46" spans="1:80" x14ac:dyDescent="0.25">
      <c r="A46" s="129" t="s">
        <v>1728</v>
      </c>
      <c r="B46" s="10"/>
      <c r="C46" s="33" t="s">
        <v>1297</v>
      </c>
      <c r="D46" s="10" t="s">
        <v>1298</v>
      </c>
      <c r="E46" s="33" t="s">
        <v>938</v>
      </c>
      <c r="F46" s="10"/>
      <c r="G46" s="130"/>
      <c r="H46" s="139"/>
      <c r="I46" s="1" t="s">
        <v>53</v>
      </c>
      <c r="J46" s="1" t="s">
        <v>53</v>
      </c>
      <c r="K46" s="44" t="s">
        <v>53</v>
      </c>
      <c r="L46" s="40" t="s">
        <v>53</v>
      </c>
      <c r="M46" s="1" t="s">
        <v>53</v>
      </c>
      <c r="N46" s="44" t="s">
        <v>53</v>
      </c>
      <c r="O46" s="1" t="s">
        <v>53</v>
      </c>
      <c r="P46" s="1" t="s">
        <v>53</v>
      </c>
      <c r="Q46" s="30" t="s">
        <v>53</v>
      </c>
      <c r="S46" s="116" t="b">
        <f t="shared" si="12"/>
        <v>0</v>
      </c>
      <c r="T46" s="117" t="str">
        <f t="shared" si="13"/>
        <v>title: "St. Teresa of Avila, OCD"</v>
      </c>
      <c r="U46" s="120" t="str">
        <f t="shared" si="14"/>
        <v/>
      </c>
      <c r="V46" s="120" t="str">
        <f t="shared" si="15"/>
        <v/>
      </c>
      <c r="W46" s="120" t="str">
        <f t="shared" si="16"/>
        <v/>
      </c>
      <c r="X46" s="120" t="str">
        <f t="shared" si="17"/>
        <v/>
      </c>
      <c r="Y46" s="117" t="str">
        <f t="shared" si="18"/>
        <v/>
      </c>
      <c r="Z46" s="117" t="str">
        <f>IF(LEN(G46)&gt;1,concatll("#### Author's Note",G46,"-"&amp;$B46),"")</f>
        <v/>
      </c>
      <c r="AA46" s="117" t="str">
        <f>IF(LEN(H46)&gt;1,concatll("#### Dedication",H46,"-"&amp;$B46),"")</f>
        <v/>
      </c>
      <c r="CA46" s="6" t="str">
        <f>IF(S46,concatll(concatl("---",T46,"---"),"*A collection of sites associated with this topic.*","#### Background",F46,Y46,Z46,AA46),"")</f>
        <v/>
      </c>
      <c r="CB46" s="6" t="str">
        <f t="shared" si="19"/>
        <v/>
      </c>
    </row>
    <row r="47" spans="1:80" x14ac:dyDescent="0.25">
      <c r="A47" s="129" t="s">
        <v>1728</v>
      </c>
      <c r="C47" s="33" t="s">
        <v>1296</v>
      </c>
      <c r="D47" s="55" t="s">
        <v>1299</v>
      </c>
      <c r="E47" s="33" t="s">
        <v>938</v>
      </c>
      <c r="G47" s="130"/>
      <c r="H47" s="139"/>
      <c r="I47" s="1" t="s">
        <v>53</v>
      </c>
      <c r="J47" s="1" t="s">
        <v>53</v>
      </c>
      <c r="K47" s="44" t="s">
        <v>53</v>
      </c>
      <c r="L47" s="40" t="s">
        <v>53</v>
      </c>
      <c r="M47" s="1" t="s">
        <v>53</v>
      </c>
      <c r="N47" s="44" t="s">
        <v>53</v>
      </c>
      <c r="O47" s="1" t="s">
        <v>53</v>
      </c>
      <c r="P47" s="1" t="s">
        <v>53</v>
      </c>
      <c r="Q47" s="30" t="s">
        <v>53</v>
      </c>
      <c r="S47" s="116" t="b">
        <f t="shared" si="12"/>
        <v>0</v>
      </c>
      <c r="T47" s="117" t="str">
        <f t="shared" si="13"/>
        <v>title: "St. John of the Cross, OCD"</v>
      </c>
      <c r="U47" s="120" t="str">
        <f t="shared" si="14"/>
        <v/>
      </c>
      <c r="V47" s="120" t="str">
        <f t="shared" si="15"/>
        <v/>
      </c>
      <c r="W47" s="120" t="str">
        <f t="shared" si="16"/>
        <v/>
      </c>
      <c r="X47" s="120" t="str">
        <f t="shared" si="17"/>
        <v/>
      </c>
      <c r="Y47" s="117" t="str">
        <f t="shared" si="18"/>
        <v/>
      </c>
      <c r="Z47" s="117" t="str">
        <f>IF(LEN(G47)&gt;1,concatll("#### Author's Note",G47,"-"&amp;$B47),"")</f>
        <v/>
      </c>
      <c r="AA47" s="117" t="str">
        <f>IF(LEN(H47)&gt;1,concatll("#### Dedication",H47,"-"&amp;$B47),"")</f>
        <v/>
      </c>
      <c r="CA47" s="6" t="str">
        <f>IF(S47,concatll(concatl("---",T47,"---"),"*A collection of sites associated with this topic.*","#### Background",F47,Y47,Z47,AA47),"")</f>
        <v/>
      </c>
      <c r="CB47" s="6" t="str">
        <f t="shared" si="19"/>
        <v/>
      </c>
    </row>
    <row r="48" spans="1:80" x14ac:dyDescent="0.25">
      <c r="A48" s="129" t="s">
        <v>1728</v>
      </c>
      <c r="C48" s="33" t="s">
        <v>1397</v>
      </c>
      <c r="D48" s="7" t="s">
        <v>1398</v>
      </c>
      <c r="E48" s="33" t="s">
        <v>938</v>
      </c>
      <c r="I48" s="1" t="s">
        <v>53</v>
      </c>
      <c r="J48" s="1" t="s">
        <v>53</v>
      </c>
      <c r="K48" s="44" t="s">
        <v>53</v>
      </c>
      <c r="L48" s="40" t="s">
        <v>53</v>
      </c>
      <c r="M48" s="1" t="s">
        <v>53</v>
      </c>
      <c r="N48" s="44" t="s">
        <v>53</v>
      </c>
      <c r="O48" s="1" t="s">
        <v>53</v>
      </c>
      <c r="P48" s="1" t="s">
        <v>53</v>
      </c>
      <c r="Q48" s="30" t="s">
        <v>53</v>
      </c>
      <c r="S48" s="116" t="b">
        <f t="shared" si="12"/>
        <v>0</v>
      </c>
      <c r="T48" s="117" t="str">
        <f t="shared" si="13"/>
        <v>title: "St. Vincent"</v>
      </c>
      <c r="U48" s="120" t="str">
        <f t="shared" si="14"/>
        <v/>
      </c>
      <c r="V48" s="120" t="str">
        <f t="shared" si="15"/>
        <v/>
      </c>
      <c r="W48" s="120" t="str">
        <f t="shared" si="16"/>
        <v/>
      </c>
      <c r="X48" s="120" t="str">
        <f t="shared" si="17"/>
        <v/>
      </c>
      <c r="Y48" s="117" t="str">
        <f t="shared" si="18"/>
        <v/>
      </c>
      <c r="Z48" s="117" t="str">
        <f>IF(LEN(G48)&gt;1,concatll("#### Author's Note",G48,"-"&amp;$B48),"")</f>
        <v/>
      </c>
      <c r="AA48" s="117" t="str">
        <f>IF(LEN(H48)&gt;1,concatll("#### Dedication",H48,"-"&amp;$B48),"")</f>
        <v/>
      </c>
      <c r="CA48" s="6" t="str">
        <f>IF(S48,concatll(concatl("---",T48,"---"),"*A collection of sites associated with this topic.*","#### Background",F48,Y48,Z48,AA48),"")</f>
        <v/>
      </c>
      <c r="CB48" s="6" t="str">
        <f t="shared" si="19"/>
        <v/>
      </c>
    </row>
    <row r="49" spans="1:80" x14ac:dyDescent="0.25">
      <c r="A49" s="129" t="s">
        <v>1728</v>
      </c>
      <c r="C49" s="33" t="s">
        <v>1399</v>
      </c>
      <c r="D49" s="10" t="s">
        <v>1400</v>
      </c>
      <c r="E49" s="33" t="s">
        <v>938</v>
      </c>
      <c r="F49" s="10"/>
      <c r="I49" s="1" t="s">
        <v>53</v>
      </c>
      <c r="J49" s="1" t="s">
        <v>53</v>
      </c>
      <c r="K49" s="44" t="s">
        <v>53</v>
      </c>
      <c r="L49" s="40" t="s">
        <v>53</v>
      </c>
      <c r="M49" s="1" t="s">
        <v>53</v>
      </c>
      <c r="N49" s="44" t="s">
        <v>53</v>
      </c>
      <c r="O49" s="1" t="s">
        <v>53</v>
      </c>
      <c r="P49" s="1" t="s">
        <v>53</v>
      </c>
      <c r="Q49" s="30" t="s">
        <v>53</v>
      </c>
      <c r="S49" s="116" t="b">
        <f t="shared" si="12"/>
        <v>0</v>
      </c>
      <c r="T49" s="117" t="str">
        <f t="shared" si="13"/>
        <v>title: "St. Sabina"</v>
      </c>
      <c r="U49" s="120" t="str">
        <f t="shared" si="14"/>
        <v/>
      </c>
      <c r="V49" s="120" t="str">
        <f t="shared" si="15"/>
        <v/>
      </c>
      <c r="W49" s="120" t="str">
        <f t="shared" si="16"/>
        <v/>
      </c>
      <c r="X49" s="120" t="str">
        <f t="shared" si="17"/>
        <v/>
      </c>
      <c r="Y49" s="117" t="str">
        <f t="shared" si="18"/>
        <v/>
      </c>
      <c r="Z49" s="117" t="str">
        <f>IF(LEN(G49)&gt;1,concatll("#### Author's Note",G49,"-"&amp;$B49),"")</f>
        <v/>
      </c>
      <c r="AA49" s="117" t="str">
        <f>IF(LEN(H49)&gt;1,concatll("#### Dedication",H49,"-"&amp;$B49),"")</f>
        <v/>
      </c>
      <c r="CA49" s="6" t="str">
        <f>IF(S49,concatll(concatl("---",T49,"---"),"*A collection of sites associated with this topic.*","#### Background",F49,Y49,Z49,AA49),"")</f>
        <v/>
      </c>
      <c r="CB49" s="6" t="str">
        <f t="shared" si="19"/>
        <v/>
      </c>
    </row>
    <row r="50" spans="1:80" x14ac:dyDescent="0.25">
      <c r="A50" s="129" t="s">
        <v>1728</v>
      </c>
      <c r="C50" s="33" t="s">
        <v>1401</v>
      </c>
      <c r="D50" s="7" t="s">
        <v>1402</v>
      </c>
      <c r="E50" s="33" t="s">
        <v>938</v>
      </c>
      <c r="I50" s="1" t="s">
        <v>53</v>
      </c>
      <c r="J50" s="1" t="s">
        <v>53</v>
      </c>
      <c r="K50" s="44" t="s">
        <v>53</v>
      </c>
      <c r="L50" s="40" t="s">
        <v>53</v>
      </c>
      <c r="M50" s="1" t="s">
        <v>53</v>
      </c>
      <c r="N50" s="44" t="s">
        <v>53</v>
      </c>
      <c r="O50" s="1" t="s">
        <v>53</v>
      </c>
      <c r="P50" s="1" t="s">
        <v>53</v>
      </c>
      <c r="Q50" s="30" t="s">
        <v>53</v>
      </c>
      <c r="S50" s="116" t="b">
        <f t="shared" si="12"/>
        <v>0</v>
      </c>
      <c r="T50" s="117" t="str">
        <f t="shared" si="13"/>
        <v>title: "St. Cristeta"</v>
      </c>
      <c r="U50" s="120" t="str">
        <f t="shared" si="14"/>
        <v/>
      </c>
      <c r="V50" s="120" t="str">
        <f t="shared" si="15"/>
        <v/>
      </c>
      <c r="W50" s="120" t="str">
        <f t="shared" si="16"/>
        <v/>
      </c>
      <c r="X50" s="120" t="str">
        <f t="shared" si="17"/>
        <v/>
      </c>
      <c r="Y50" s="117" t="str">
        <f t="shared" si="18"/>
        <v/>
      </c>
      <c r="Z50" s="117" t="str">
        <f>IF(LEN(G50)&gt;1,concatll("#### Author's Note",G50,"-"&amp;$B50),"")</f>
        <v/>
      </c>
      <c r="AA50" s="117" t="str">
        <f>IF(LEN(H50)&gt;1,concatll("#### Dedication",H50,"-"&amp;$B50),"")</f>
        <v/>
      </c>
      <c r="CA50" s="6" t="str">
        <f>IF(S50,concatll(concatl("---",T50,"---"),"*A collection of sites associated with this topic.*","#### Background",F50,Y50,Z50,AA50),"")</f>
        <v/>
      </c>
      <c r="CB50" s="6" t="str">
        <f t="shared" si="19"/>
        <v/>
      </c>
    </row>
    <row r="51" spans="1:80" x14ac:dyDescent="0.25">
      <c r="A51" s="129" t="s">
        <v>1728</v>
      </c>
      <c r="C51" s="33" t="s">
        <v>1433</v>
      </c>
      <c r="D51" s="7" t="s">
        <v>1434</v>
      </c>
      <c r="E51" s="33" t="s">
        <v>938</v>
      </c>
      <c r="I51" s="1" t="s">
        <v>53</v>
      </c>
      <c r="J51" s="1" t="s">
        <v>53</v>
      </c>
      <c r="K51" s="44" t="s">
        <v>53</v>
      </c>
      <c r="L51" s="40" t="s">
        <v>53</v>
      </c>
      <c r="M51" s="1" t="s">
        <v>53</v>
      </c>
      <c r="N51" s="44" t="s">
        <v>53</v>
      </c>
      <c r="O51" s="1" t="s">
        <v>53</v>
      </c>
      <c r="P51" s="1" t="s">
        <v>53</v>
      </c>
      <c r="Q51" s="30" t="s">
        <v>53</v>
      </c>
      <c r="S51" s="116" t="b">
        <f t="shared" si="12"/>
        <v>0</v>
      </c>
      <c r="T51" s="117" t="str">
        <f t="shared" si="13"/>
        <v>title: "St. Pelagius the Hermit"</v>
      </c>
      <c r="U51" s="120" t="str">
        <f t="shared" si="14"/>
        <v/>
      </c>
      <c r="V51" s="120" t="str">
        <f t="shared" si="15"/>
        <v/>
      </c>
      <c r="W51" s="120" t="str">
        <f t="shared" si="16"/>
        <v/>
      </c>
      <c r="X51" s="120" t="str">
        <f t="shared" si="17"/>
        <v/>
      </c>
      <c r="Y51" s="117" t="str">
        <f t="shared" si="18"/>
        <v/>
      </c>
      <c r="Z51" s="117" t="str">
        <f>IF(LEN(G51)&gt;1,concatll("#### Author's Note",G51,"-"&amp;$B51),"")</f>
        <v/>
      </c>
      <c r="AA51" s="117" t="str">
        <f>IF(LEN(H51)&gt;1,concatll("#### Dedication",H51,"-"&amp;$B51),"")</f>
        <v/>
      </c>
      <c r="CA51" s="6" t="str">
        <f>IF(S51,concatll(concatl("---",T51,"---"),"*A collection of sites associated with this topic.*","#### Background",F51,Y51,Z51,AA51),"")</f>
        <v/>
      </c>
      <c r="CB51" s="6" t="str">
        <f t="shared" si="19"/>
        <v/>
      </c>
    </row>
    <row r="52" spans="1:80" x14ac:dyDescent="0.25">
      <c r="A52" s="129" t="s">
        <v>1728</v>
      </c>
      <c r="C52" s="92" t="s">
        <v>1566</v>
      </c>
      <c r="D52" s="7" t="s">
        <v>1585</v>
      </c>
      <c r="E52" s="33" t="s">
        <v>938</v>
      </c>
      <c r="F52" s="28"/>
      <c r="G52" s="130"/>
      <c r="H52" s="139"/>
      <c r="I52" s="51" t="s">
        <v>53</v>
      </c>
      <c r="J52" s="51" t="s">
        <v>53</v>
      </c>
      <c r="K52" s="53" t="s">
        <v>53</v>
      </c>
      <c r="L52" s="39" t="s">
        <v>53</v>
      </c>
      <c r="M52" s="2" t="s">
        <v>53</v>
      </c>
      <c r="N52" s="43" t="s">
        <v>53</v>
      </c>
      <c r="O52" s="2" t="s">
        <v>53</v>
      </c>
      <c r="P52" s="2" t="s">
        <v>53</v>
      </c>
      <c r="Q52" s="31" t="s">
        <v>53</v>
      </c>
      <c r="R52" s="123"/>
      <c r="S52" s="116" t="b">
        <f t="shared" si="12"/>
        <v>0</v>
      </c>
      <c r="T52" s="117" t="str">
        <f t="shared" si="13"/>
        <v>title: "St. Junipero Serra, OFM"</v>
      </c>
      <c r="U52" s="120" t="str">
        <f t="shared" si="14"/>
        <v/>
      </c>
      <c r="V52" s="120" t="str">
        <f t="shared" si="15"/>
        <v/>
      </c>
      <c r="W52" s="120" t="str">
        <f t="shared" si="16"/>
        <v/>
      </c>
      <c r="X52" s="120" t="str">
        <f t="shared" si="17"/>
        <v/>
      </c>
      <c r="Y52" s="117" t="str">
        <f t="shared" si="18"/>
        <v/>
      </c>
      <c r="Z52" s="117" t="str">
        <f>IF(LEN(G52)&gt;1,concatll("#### Author's Note",G52,"-"&amp;$B52),"")</f>
        <v/>
      </c>
      <c r="AA52" s="117" t="str">
        <f>IF(LEN(H52)&gt;1,concatll("#### Dedication",H52,"-"&amp;$B52),"")</f>
        <v/>
      </c>
      <c r="CA52" s="6" t="str">
        <f>IF(S52,concatll(concatl("---",T52,"---"),"*A collection of sites associated with this topic.*","#### Background",F52,Y52,Z52,AA52),"")</f>
        <v/>
      </c>
      <c r="CB52" s="6" t="str">
        <f t="shared" si="19"/>
        <v/>
      </c>
    </row>
    <row r="53" spans="1:80" x14ac:dyDescent="0.25">
      <c r="A53" s="129" t="s">
        <v>1728</v>
      </c>
      <c r="C53" s="33" t="s">
        <v>1578</v>
      </c>
      <c r="D53" s="71" t="s">
        <v>1584</v>
      </c>
      <c r="E53" s="33" t="s">
        <v>938</v>
      </c>
      <c r="F53" s="71"/>
      <c r="I53" s="1" t="s">
        <v>53</v>
      </c>
      <c r="J53" s="1" t="s">
        <v>53</v>
      </c>
      <c r="K53" s="44" t="s">
        <v>53</v>
      </c>
      <c r="L53" s="40" t="s">
        <v>53</v>
      </c>
      <c r="M53" s="1" t="s">
        <v>53</v>
      </c>
      <c r="N53" s="44" t="s">
        <v>53</v>
      </c>
      <c r="O53" s="1" t="s">
        <v>53</v>
      </c>
      <c r="P53" s="1" t="s">
        <v>53</v>
      </c>
      <c r="Q53" s="30" t="s">
        <v>53</v>
      </c>
      <c r="S53" s="116" t="b">
        <f t="shared" si="12"/>
        <v>0</v>
      </c>
      <c r="T53" s="117" t="str">
        <f t="shared" si="13"/>
        <v>title: "St. Joseph Vaz, CO"</v>
      </c>
      <c r="U53" s="120" t="str">
        <f t="shared" si="14"/>
        <v/>
      </c>
      <c r="V53" s="120" t="str">
        <f t="shared" si="15"/>
        <v/>
      </c>
      <c r="W53" s="120" t="str">
        <f t="shared" si="16"/>
        <v/>
      </c>
      <c r="X53" s="120" t="str">
        <f t="shared" si="17"/>
        <v/>
      </c>
      <c r="Y53" s="117" t="str">
        <f t="shared" si="18"/>
        <v/>
      </c>
      <c r="Z53" s="117" t="str">
        <f>IF(LEN(G53)&gt;1,concatll("#### Author's Note",G53,"-"&amp;$B53),"")</f>
        <v/>
      </c>
      <c r="AA53" s="117" t="str">
        <f>IF(LEN(H53)&gt;1,concatll("#### Dedication",H53,"-"&amp;$B53),"")</f>
        <v/>
      </c>
      <c r="CA53" s="6" t="str">
        <f>IF(S53,concatll(concatl("---",T53,"---"),"*A collection of sites associated with this topic.*","#### Background",F53,Y53,Z53,AA53),"")</f>
        <v/>
      </c>
      <c r="CB53" s="6" t="str">
        <f t="shared" si="19"/>
        <v/>
      </c>
    </row>
    <row r="54" spans="1:80" x14ac:dyDescent="0.25">
      <c r="A54" s="129" t="s">
        <v>1728</v>
      </c>
      <c r="C54" s="81" t="s">
        <v>1596</v>
      </c>
      <c r="D54" s="80" t="s">
        <v>1597</v>
      </c>
      <c r="E54" s="33" t="s">
        <v>938</v>
      </c>
      <c r="F54" s="71"/>
      <c r="I54" s="1" t="s">
        <v>53</v>
      </c>
      <c r="J54" s="1" t="s">
        <v>53</v>
      </c>
      <c r="K54" s="44" t="s">
        <v>53</v>
      </c>
      <c r="L54" s="40" t="s">
        <v>53</v>
      </c>
      <c r="M54" s="1" t="s">
        <v>53</v>
      </c>
      <c r="N54" s="44" t="s">
        <v>53</v>
      </c>
      <c r="O54" s="1" t="s">
        <v>53</v>
      </c>
      <c r="P54" s="1" t="s">
        <v>53</v>
      </c>
      <c r="Q54" s="30" t="s">
        <v>53</v>
      </c>
      <c r="S54" s="116" t="b">
        <f t="shared" si="12"/>
        <v>0</v>
      </c>
      <c r="T54" s="117" t="str">
        <f t="shared" si="13"/>
        <v>title: "St. John the Apostle"</v>
      </c>
      <c r="U54" s="120" t="str">
        <f t="shared" si="14"/>
        <v/>
      </c>
      <c r="V54" s="120" t="str">
        <f t="shared" si="15"/>
        <v/>
      </c>
      <c r="W54" s="120" t="str">
        <f t="shared" si="16"/>
        <v/>
      </c>
      <c r="X54" s="120" t="str">
        <f t="shared" si="17"/>
        <v/>
      </c>
      <c r="Y54" s="117" t="str">
        <f t="shared" si="18"/>
        <v/>
      </c>
      <c r="Z54" s="117" t="str">
        <f>IF(LEN(G54)&gt;1,concatll("#### Author's Note",G54,"-"&amp;$B54),"")</f>
        <v/>
      </c>
      <c r="AA54" s="117" t="str">
        <f>IF(LEN(H54)&gt;1,concatll("#### Dedication",H54,"-"&amp;$B54),"")</f>
        <v/>
      </c>
      <c r="CA54" s="6" t="str">
        <f>IF(S54,concatll(concatl("---",T54,"---"),"*A collection of sites associated with this topic.*","#### Background",F54,Y54,Z54,AA54),"")</f>
        <v/>
      </c>
      <c r="CB54" s="6" t="str">
        <f t="shared" si="19"/>
        <v/>
      </c>
    </row>
    <row r="55" spans="1:80" x14ac:dyDescent="0.25">
      <c r="A55" s="129" t="s">
        <v>1728</v>
      </c>
      <c r="C55" s="73" t="s">
        <v>1599</v>
      </c>
      <c r="D55" s="71" t="s">
        <v>1600</v>
      </c>
      <c r="E55" s="33" t="s">
        <v>938</v>
      </c>
      <c r="F55" s="71"/>
      <c r="I55" s="1" t="s">
        <v>53</v>
      </c>
      <c r="J55" s="1" t="s">
        <v>53</v>
      </c>
      <c r="K55" s="44" t="s">
        <v>53</v>
      </c>
      <c r="L55" s="40" t="s">
        <v>53</v>
      </c>
      <c r="M55" s="1" t="s">
        <v>53</v>
      </c>
      <c r="N55" s="44" t="s">
        <v>53</v>
      </c>
      <c r="O55" s="1" t="s">
        <v>53</v>
      </c>
      <c r="P55" s="1" t="s">
        <v>53</v>
      </c>
      <c r="Q55" s="30" t="s">
        <v>53</v>
      </c>
      <c r="S55" s="116" t="b">
        <f t="shared" si="12"/>
        <v>0</v>
      </c>
      <c r="T55" s="117" t="str">
        <f t="shared" si="13"/>
        <v>title: "Bl. Anne Catherine Emmerich"</v>
      </c>
      <c r="U55" s="120" t="str">
        <f t="shared" si="14"/>
        <v/>
      </c>
      <c r="V55" s="120" t="str">
        <f t="shared" si="15"/>
        <v/>
      </c>
      <c r="W55" s="120" t="str">
        <f t="shared" si="16"/>
        <v/>
      </c>
      <c r="X55" s="120" t="str">
        <f t="shared" si="17"/>
        <v/>
      </c>
      <c r="Y55" s="117" t="str">
        <f t="shared" si="18"/>
        <v/>
      </c>
      <c r="Z55" s="117" t="str">
        <f>IF(LEN(G55)&gt;1,concatll("#### Author's Note",G55,"-"&amp;$B55),"")</f>
        <v/>
      </c>
      <c r="AA55" s="117" t="str">
        <f>IF(LEN(H55)&gt;1,concatll("#### Dedication",H55,"-"&amp;$B55),"")</f>
        <v/>
      </c>
      <c r="CA55" s="6" t="str">
        <f>IF(S55,concatll(concatl("---",T55,"---"),"*A collection of sites associated with this topic.*","#### Background",F55,Y55,Z55,AA55),"")</f>
        <v/>
      </c>
      <c r="CB55" s="6" t="str">
        <f t="shared" si="19"/>
        <v/>
      </c>
    </row>
    <row r="56" spans="1:80" x14ac:dyDescent="0.25">
      <c r="A56" s="129" t="s">
        <v>1728</v>
      </c>
      <c r="C56" s="73" t="s">
        <v>1607</v>
      </c>
      <c r="D56" s="71" t="s">
        <v>1608</v>
      </c>
      <c r="E56" s="73" t="s">
        <v>938</v>
      </c>
      <c r="F56" s="71"/>
      <c r="I56" s="72" t="s">
        <v>53</v>
      </c>
      <c r="J56" s="1" t="s">
        <v>53</v>
      </c>
      <c r="K56" s="76" t="s">
        <v>53</v>
      </c>
      <c r="L56" s="40" t="s">
        <v>53</v>
      </c>
      <c r="M56" s="1" t="s">
        <v>53</v>
      </c>
      <c r="N56" s="44" t="s">
        <v>53</v>
      </c>
      <c r="O56" s="1" t="s">
        <v>53</v>
      </c>
      <c r="P56" s="1" t="s">
        <v>53</v>
      </c>
      <c r="Q56" s="30" t="s">
        <v>53</v>
      </c>
      <c r="S56" s="116" t="b">
        <f t="shared" si="12"/>
        <v>0</v>
      </c>
      <c r="T56" s="117" t="str">
        <f t="shared" si="13"/>
        <v>title: "St. Peter"</v>
      </c>
      <c r="U56" s="120" t="str">
        <f t="shared" si="14"/>
        <v/>
      </c>
      <c r="V56" s="120" t="str">
        <f t="shared" si="15"/>
        <v/>
      </c>
      <c r="W56" s="120" t="str">
        <f t="shared" si="16"/>
        <v/>
      </c>
      <c r="X56" s="120" t="str">
        <f t="shared" si="17"/>
        <v/>
      </c>
      <c r="Y56" s="117" t="str">
        <f t="shared" si="18"/>
        <v/>
      </c>
      <c r="Z56" s="117" t="str">
        <f>IF(LEN(G56)&gt;1,concatll("#### Author's Note",G56,"-"&amp;$B56),"")</f>
        <v/>
      </c>
      <c r="AA56" s="117" t="str">
        <f>IF(LEN(H56)&gt;1,concatll("#### Dedication",H56,"-"&amp;$B56),"")</f>
        <v/>
      </c>
      <c r="CA56" s="6" t="str">
        <f>IF(S56,concatll(concatl("---",T56,"---"),"*A collection of sites associated with this topic.*","#### Background",F56,Y56,Z56,AA56),"")</f>
        <v/>
      </c>
      <c r="CB56" s="6" t="str">
        <f t="shared" si="19"/>
        <v/>
      </c>
    </row>
    <row r="57" spans="1:80" x14ac:dyDescent="0.25">
      <c r="A57" s="129" t="s">
        <v>1728</v>
      </c>
      <c r="B57" s="7" t="s">
        <v>1657</v>
      </c>
      <c r="C57" s="73" t="s">
        <v>1613</v>
      </c>
      <c r="D57" s="71" t="s">
        <v>1615</v>
      </c>
      <c r="E57" s="139" t="s">
        <v>938</v>
      </c>
      <c r="F57" s="71"/>
      <c r="I57" s="1" t="s">
        <v>53</v>
      </c>
      <c r="J57" s="1" t="s">
        <v>53</v>
      </c>
      <c r="K57" s="44" t="s">
        <v>53</v>
      </c>
      <c r="L57" s="40" t="s">
        <v>53</v>
      </c>
      <c r="M57" s="1" t="s">
        <v>53</v>
      </c>
      <c r="N57" s="44" t="s">
        <v>53</v>
      </c>
      <c r="O57" s="1" t="s">
        <v>53</v>
      </c>
      <c r="P57" s="1" t="s">
        <v>53</v>
      </c>
      <c r="Q57" s="30" t="s">
        <v>53</v>
      </c>
      <c r="S57" s="116" t="b">
        <f t="shared" si="12"/>
        <v>0</v>
      </c>
      <c r="T57" s="117" t="str">
        <f t="shared" si="13"/>
        <v>title: "Vietnamese Martyrs"</v>
      </c>
      <c r="U57" s="120" t="str">
        <f t="shared" si="14"/>
        <v/>
      </c>
      <c r="V57" s="120" t="str">
        <f t="shared" si="15"/>
        <v/>
      </c>
      <c r="W57" s="120" t="str">
        <f t="shared" si="16"/>
        <v/>
      </c>
      <c r="X57" s="120" t="str">
        <f t="shared" si="17"/>
        <v/>
      </c>
      <c r="Y57" s="117" t="str">
        <f t="shared" si="18"/>
        <v/>
      </c>
      <c r="Z57" s="117" t="str">
        <f>IF(LEN(G57)&gt;1,concatll("#### Author's Note",G57,"-"&amp;$B57),"")</f>
        <v/>
      </c>
      <c r="AA57" s="117" t="str">
        <f>IF(LEN(H57)&gt;1,concatll("#### Dedication",H57,"-"&amp;$B57),"")</f>
        <v/>
      </c>
      <c r="CA57" s="6" t="str">
        <f>IF(S57,concatll(concatl("---",T57,"---"),"*A collection of sites associated with this topic.*","#### Background",F57,Y57,Z57,AA57),"")</f>
        <v/>
      </c>
      <c r="CB57" s="6" t="str">
        <f t="shared" si="19"/>
        <v/>
      </c>
    </row>
    <row r="58" spans="1:80" x14ac:dyDescent="0.25">
      <c r="A58" s="129" t="s">
        <v>1728</v>
      </c>
      <c r="B58" s="130" t="s">
        <v>1657</v>
      </c>
      <c r="C58" s="73" t="s">
        <v>1614</v>
      </c>
      <c r="D58" s="80" t="s">
        <v>1616</v>
      </c>
      <c r="E58" s="73" t="s">
        <v>938</v>
      </c>
      <c r="F58" s="71"/>
      <c r="I58" s="72" t="s">
        <v>53</v>
      </c>
      <c r="J58" s="1" t="s">
        <v>53</v>
      </c>
      <c r="K58" s="44" t="s">
        <v>53</v>
      </c>
      <c r="L58" s="40" t="s">
        <v>53</v>
      </c>
      <c r="M58" s="1" t="s">
        <v>53</v>
      </c>
      <c r="N58" s="44" t="s">
        <v>53</v>
      </c>
      <c r="O58" s="1" t="s">
        <v>53</v>
      </c>
      <c r="P58" s="1" t="s">
        <v>53</v>
      </c>
      <c r="Q58" s="30" t="s">
        <v>53</v>
      </c>
      <c r="S58" s="116" t="b">
        <f t="shared" si="12"/>
        <v>0</v>
      </c>
      <c r="T58" s="117" t="str">
        <f t="shared" si="13"/>
        <v>title: "St. Andrew Dung-Lac and Companions"</v>
      </c>
      <c r="U58" s="120" t="str">
        <f t="shared" si="14"/>
        <v/>
      </c>
      <c r="V58" s="120" t="str">
        <f t="shared" si="15"/>
        <v/>
      </c>
      <c r="W58" s="120" t="str">
        <f t="shared" si="16"/>
        <v/>
      </c>
      <c r="X58" s="120" t="str">
        <f t="shared" si="17"/>
        <v/>
      </c>
      <c r="Y58" s="117" t="str">
        <f t="shared" si="18"/>
        <v/>
      </c>
      <c r="Z58" s="117" t="str">
        <f>IF(LEN(G58)&gt;1,concatll("#### Author's Note",G58,"-"&amp;$B58),"")</f>
        <v/>
      </c>
      <c r="AA58" s="117" t="str">
        <f>IF(LEN(H58)&gt;1,concatll("#### Dedication",H58,"-"&amp;$B58),"")</f>
        <v/>
      </c>
      <c r="CA58" s="6" t="str">
        <f>IF(S58,concatll(concatl("---",T58,"---"),"*A collection of sites associated with this topic.*","#### Background",F58,Y58,Z58,AA58),"")</f>
        <v/>
      </c>
      <c r="CB58" s="6" t="str">
        <f t="shared" si="19"/>
        <v/>
      </c>
    </row>
    <row r="59" spans="1:80" x14ac:dyDescent="0.25">
      <c r="A59" s="129" t="s">
        <v>1728</v>
      </c>
      <c r="C59" s="33" t="s">
        <v>1228</v>
      </c>
      <c r="D59" s="7" t="s">
        <v>1229</v>
      </c>
      <c r="E59" s="61" t="s">
        <v>1286</v>
      </c>
      <c r="F59" s="55"/>
      <c r="I59" s="1" t="s">
        <v>53</v>
      </c>
      <c r="J59" s="1" t="s">
        <v>53</v>
      </c>
      <c r="K59" s="44" t="s">
        <v>53</v>
      </c>
      <c r="L59" s="40" t="s">
        <v>53</v>
      </c>
      <c r="M59" s="1" t="s">
        <v>53</v>
      </c>
      <c r="N59" s="44" t="s">
        <v>53</v>
      </c>
      <c r="O59" s="1" t="s">
        <v>53</v>
      </c>
      <c r="P59" s="1" t="s">
        <v>53</v>
      </c>
      <c r="Q59" s="30" t="s">
        <v>53</v>
      </c>
      <c r="S59" s="116" t="b">
        <f t="shared" si="12"/>
        <v>0</v>
      </c>
      <c r="T59" s="117" t="str">
        <f t="shared" si="13"/>
        <v>title: "Congregation of the Mission (Vincentians)"</v>
      </c>
      <c r="U59" s="120" t="str">
        <f t="shared" si="14"/>
        <v/>
      </c>
      <c r="V59" s="120" t="str">
        <f t="shared" si="15"/>
        <v/>
      </c>
      <c r="W59" s="120" t="str">
        <f t="shared" si="16"/>
        <v/>
      </c>
      <c r="X59" s="120" t="str">
        <f t="shared" si="17"/>
        <v/>
      </c>
      <c r="Y59" s="117" t="str">
        <f t="shared" si="18"/>
        <v/>
      </c>
      <c r="Z59" s="117" t="str">
        <f>IF(LEN(G59)&gt;1,concatll("#### Author's Note",G59,"-"&amp;$B59),"")</f>
        <v/>
      </c>
      <c r="AA59" s="117" t="str">
        <f>IF(LEN(H59)&gt;1,concatll("#### Dedication",H59,"-"&amp;$B59),"")</f>
        <v/>
      </c>
      <c r="CA59" s="6" t="str">
        <f>IF(S59,concatll(concatl("---",T59,"---"),"*A collection of sites associated with this topic.*","#### Background",F59,Y59,Z59,AA59),"")</f>
        <v/>
      </c>
      <c r="CB59" s="6" t="str">
        <f t="shared" si="19"/>
        <v/>
      </c>
    </row>
    <row r="60" spans="1:80" x14ac:dyDescent="0.25">
      <c r="A60" s="129" t="s">
        <v>1728</v>
      </c>
      <c r="C60" s="33" t="s">
        <v>1230</v>
      </c>
      <c r="D60" s="55" t="s">
        <v>1231</v>
      </c>
      <c r="E60" s="61" t="s">
        <v>1286</v>
      </c>
      <c r="F60" s="55"/>
      <c r="G60" s="130"/>
      <c r="H60" s="139"/>
      <c r="I60" s="1" t="s">
        <v>53</v>
      </c>
      <c r="J60" s="1" t="s">
        <v>53</v>
      </c>
      <c r="K60" s="44" t="s">
        <v>53</v>
      </c>
      <c r="L60" s="40" t="s">
        <v>53</v>
      </c>
      <c r="M60" s="1" t="s">
        <v>53</v>
      </c>
      <c r="N60" s="44" t="s">
        <v>53</v>
      </c>
      <c r="O60" s="1" t="s">
        <v>53</v>
      </c>
      <c r="P60" s="1" t="s">
        <v>53</v>
      </c>
      <c r="Q60" s="30" t="s">
        <v>53</v>
      </c>
      <c r="S60" s="116" t="b">
        <f t="shared" si="12"/>
        <v>0</v>
      </c>
      <c r="T60" s="117" t="str">
        <f t="shared" si="13"/>
        <v>title: "Society of Jesus (Jesuits)"</v>
      </c>
      <c r="U60" s="120" t="str">
        <f t="shared" si="14"/>
        <v/>
      </c>
      <c r="V60" s="120" t="str">
        <f t="shared" si="15"/>
        <v/>
      </c>
      <c r="W60" s="120" t="str">
        <f t="shared" si="16"/>
        <v/>
      </c>
      <c r="X60" s="120" t="str">
        <f t="shared" si="17"/>
        <v/>
      </c>
      <c r="Y60" s="117" t="str">
        <f t="shared" si="18"/>
        <v/>
      </c>
      <c r="Z60" s="117" t="str">
        <f>IF(LEN(G60)&gt;1,concatll("#### Author's Note",G60,"-"&amp;$B60),"")</f>
        <v/>
      </c>
      <c r="AA60" s="117" t="str">
        <f>IF(LEN(H60)&gt;1,concatll("#### Dedication",H60,"-"&amp;$B60),"")</f>
        <v/>
      </c>
      <c r="CA60" s="6" t="str">
        <f>IF(S60,concatll(concatl("---",T60,"---"),"*A collection of sites associated with this topic.*","#### Background",F60,Y60,Z60,AA60),"")</f>
        <v/>
      </c>
      <c r="CB60" s="6" t="str">
        <f t="shared" si="19"/>
        <v/>
      </c>
    </row>
    <row r="61" spans="1:80" x14ac:dyDescent="0.25">
      <c r="A61" s="129" t="s">
        <v>1728</v>
      </c>
      <c r="C61" s="33" t="s">
        <v>1293</v>
      </c>
      <c r="D61" s="7" t="s">
        <v>1294</v>
      </c>
      <c r="E61" s="33" t="s">
        <v>1286</v>
      </c>
      <c r="I61" s="1" t="s">
        <v>53</v>
      </c>
      <c r="J61" s="1" t="s">
        <v>53</v>
      </c>
      <c r="K61" s="44" t="s">
        <v>53</v>
      </c>
      <c r="L61" s="40" t="s">
        <v>53</v>
      </c>
      <c r="M61" s="1" t="s">
        <v>53</v>
      </c>
      <c r="N61" s="44" t="s">
        <v>53</v>
      </c>
      <c r="O61" s="1" t="s">
        <v>53</v>
      </c>
      <c r="P61" s="1" t="s">
        <v>53</v>
      </c>
      <c r="Q61" s="30" t="s">
        <v>53</v>
      </c>
      <c r="S61" s="116" t="b">
        <f t="shared" si="12"/>
        <v>0</v>
      </c>
      <c r="T61" s="117" t="str">
        <f t="shared" si="13"/>
        <v>title: "Discalced Carmelites (Order of Discalced Carmelites)"</v>
      </c>
      <c r="U61" s="120" t="str">
        <f t="shared" si="14"/>
        <v/>
      </c>
      <c r="V61" s="120" t="str">
        <f t="shared" si="15"/>
        <v/>
      </c>
      <c r="W61" s="120" t="str">
        <f t="shared" si="16"/>
        <v/>
      </c>
      <c r="X61" s="120" t="str">
        <f t="shared" si="17"/>
        <v/>
      </c>
      <c r="Y61" s="117" t="str">
        <f t="shared" si="18"/>
        <v/>
      </c>
      <c r="Z61" s="117" t="str">
        <f>IF(LEN(G61)&gt;1,concatll("#### Author's Note",G61,"-"&amp;$B61),"")</f>
        <v/>
      </c>
      <c r="AA61" s="117" t="str">
        <f>IF(LEN(H61)&gt;1,concatll("#### Dedication",H61,"-"&amp;$B61),"")</f>
        <v/>
      </c>
      <c r="CA61" s="6" t="str">
        <f>IF(S61,concatll(concatl("---",T61,"---"),"*A collection of sites associated with this topic.*","#### Background",F61,Y61,Z61,AA61),"")</f>
        <v/>
      </c>
      <c r="CB61" s="6" t="str">
        <f t="shared" si="19"/>
        <v/>
      </c>
    </row>
    <row r="62" spans="1:80" x14ac:dyDescent="0.25">
      <c r="A62" s="129" t="s">
        <v>1728</v>
      </c>
      <c r="C62" s="33" t="s">
        <v>1292</v>
      </c>
      <c r="D62" s="7" t="s">
        <v>1295</v>
      </c>
      <c r="E62" s="33" t="s">
        <v>1286</v>
      </c>
      <c r="F62" s="23"/>
      <c r="G62" s="130"/>
      <c r="H62" s="139"/>
      <c r="I62" s="1" t="s">
        <v>53</v>
      </c>
      <c r="J62" s="1" t="s">
        <v>53</v>
      </c>
      <c r="K62" s="44" t="s">
        <v>53</v>
      </c>
      <c r="L62" s="40" t="s">
        <v>53</v>
      </c>
      <c r="M62" s="1" t="s">
        <v>53</v>
      </c>
      <c r="N62" s="44" t="s">
        <v>53</v>
      </c>
      <c r="O62" s="1" t="s">
        <v>53</v>
      </c>
      <c r="P62" s="1" t="s">
        <v>53</v>
      </c>
      <c r="Q62" s="30" t="s">
        <v>53</v>
      </c>
      <c r="S62" s="116" t="b">
        <f t="shared" si="12"/>
        <v>0</v>
      </c>
      <c r="T62" s="117" t="str">
        <f t="shared" si="13"/>
        <v>title: "Carmelites (Carmelites of the Ancient Observance)"</v>
      </c>
      <c r="U62" s="120" t="str">
        <f t="shared" si="14"/>
        <v/>
      </c>
      <c r="V62" s="120" t="str">
        <f t="shared" si="15"/>
        <v/>
      </c>
      <c r="W62" s="120" t="str">
        <f t="shared" si="16"/>
        <v/>
      </c>
      <c r="X62" s="120" t="str">
        <f t="shared" si="17"/>
        <v/>
      </c>
      <c r="Y62" s="117" t="str">
        <f t="shared" si="18"/>
        <v/>
      </c>
      <c r="Z62" s="117" t="str">
        <f>IF(LEN(G62)&gt;1,concatll("#### Author's Note",G62,"-"&amp;$B62),"")</f>
        <v/>
      </c>
      <c r="AA62" s="117" t="str">
        <f>IF(LEN(H62)&gt;1,concatll("#### Dedication",H62,"-"&amp;$B62),"")</f>
        <v/>
      </c>
      <c r="CA62" s="6" t="str">
        <f>IF(S62,concatll(concatl("---",T62,"---"),"*A collection of sites associated with this topic.*","#### Background",F62,Y62,Z62,AA62),"")</f>
        <v/>
      </c>
      <c r="CB62" s="6" t="str">
        <f t="shared" si="19"/>
        <v/>
      </c>
    </row>
    <row r="63" spans="1:80" x14ac:dyDescent="0.25">
      <c r="A63" s="129" t="s">
        <v>1728</v>
      </c>
      <c r="C63" s="33" t="s">
        <v>1330</v>
      </c>
      <c r="D63" s="7" t="s">
        <v>1331</v>
      </c>
      <c r="E63" s="33" t="s">
        <v>1286</v>
      </c>
      <c r="I63" s="1" t="s">
        <v>53</v>
      </c>
      <c r="J63" s="1" t="s">
        <v>53</v>
      </c>
      <c r="K63" s="44" t="s">
        <v>53</v>
      </c>
      <c r="L63" s="40" t="s">
        <v>53</v>
      </c>
      <c r="M63" s="1" t="s">
        <v>53</v>
      </c>
      <c r="N63" s="44" t="s">
        <v>53</v>
      </c>
      <c r="O63" s="1" t="s">
        <v>53</v>
      </c>
      <c r="P63" s="1" t="s">
        <v>53</v>
      </c>
      <c r="Q63" s="30" t="s">
        <v>53</v>
      </c>
      <c r="S63" s="116" t="b">
        <f t="shared" si="12"/>
        <v>0</v>
      </c>
      <c r="T63" s="117" t="str">
        <f t="shared" si="13"/>
        <v>title: "Order of the Immaculate Conception (Conceptionists)"</v>
      </c>
      <c r="U63" s="120" t="str">
        <f t="shared" si="14"/>
        <v/>
      </c>
      <c r="V63" s="120" t="str">
        <f t="shared" si="15"/>
        <v/>
      </c>
      <c r="W63" s="120" t="str">
        <f t="shared" si="16"/>
        <v/>
      </c>
      <c r="X63" s="120" t="str">
        <f t="shared" si="17"/>
        <v/>
      </c>
      <c r="Y63" s="117" t="str">
        <f t="shared" si="18"/>
        <v/>
      </c>
      <c r="Z63" s="117" t="str">
        <f>IF(LEN(G63)&gt;1,concatll("#### Author's Note",G63,"-"&amp;$B63),"")</f>
        <v/>
      </c>
      <c r="AA63" s="117" t="str">
        <f>IF(LEN(H63)&gt;1,concatll("#### Dedication",H63,"-"&amp;$B63),"")</f>
        <v/>
      </c>
      <c r="CA63" s="6" t="str">
        <f>IF(S63,concatll(concatl("---",T63,"---"),"*A collection of sites associated with this topic.*","#### Background",F63,Y63,Z63,AA63),"")</f>
        <v/>
      </c>
      <c r="CB63" s="6" t="str">
        <f t="shared" si="19"/>
        <v/>
      </c>
    </row>
    <row r="64" spans="1:80" x14ac:dyDescent="0.25">
      <c r="A64" s="129" t="s">
        <v>1728</v>
      </c>
      <c r="C64" s="73" t="s">
        <v>1582</v>
      </c>
      <c r="D64" s="71" t="s">
        <v>1583</v>
      </c>
      <c r="E64" s="33" t="s">
        <v>1286</v>
      </c>
      <c r="F64" s="71"/>
      <c r="I64" s="72" t="s">
        <v>53</v>
      </c>
      <c r="J64" s="1" t="s">
        <v>53</v>
      </c>
      <c r="K64" s="76" t="s">
        <v>53</v>
      </c>
      <c r="L64" s="75" t="s">
        <v>53</v>
      </c>
      <c r="M64" s="1" t="s">
        <v>53</v>
      </c>
      <c r="N64" s="44" t="s">
        <v>53</v>
      </c>
      <c r="O64" s="74" t="s">
        <v>53</v>
      </c>
      <c r="P64" s="1" t="s">
        <v>53</v>
      </c>
      <c r="Q64" s="30" t="s">
        <v>53</v>
      </c>
      <c r="S64" s="116" t="b">
        <f t="shared" si="12"/>
        <v>0</v>
      </c>
      <c r="T64" s="117" t="str">
        <f t="shared" si="13"/>
        <v>title: "Oratory of St. Philip Neri (Oratorians)"</v>
      </c>
      <c r="U64" s="120" t="str">
        <f t="shared" si="14"/>
        <v/>
      </c>
      <c r="V64" s="120" t="str">
        <f t="shared" si="15"/>
        <v/>
      </c>
      <c r="W64" s="120" t="str">
        <f t="shared" si="16"/>
        <v/>
      </c>
      <c r="X64" s="120" t="str">
        <f t="shared" si="17"/>
        <v/>
      </c>
      <c r="Y64" s="117" t="str">
        <f t="shared" si="18"/>
        <v/>
      </c>
      <c r="Z64" s="117" t="str">
        <f>IF(LEN(G64)&gt;1,concatll("#### Author's Note",G64,"-"&amp;$B64),"")</f>
        <v/>
      </c>
      <c r="AA64" s="117" t="str">
        <f>IF(LEN(H64)&gt;1,concatll("#### Dedication",H64,"-"&amp;$B64),"")</f>
        <v/>
      </c>
      <c r="CA64" s="6" t="str">
        <f>IF(S64,concatll(concatl("---",T64,"---"),"*A collection of sites associated with this topic.*","#### Background",F64,Y64,Z64,AA64),"")</f>
        <v/>
      </c>
      <c r="CB64" s="6" t="str">
        <f t="shared" si="19"/>
        <v/>
      </c>
    </row>
    <row r="65" spans="1:80" ht="51" x14ac:dyDescent="0.25">
      <c r="A65" s="129" t="s">
        <v>786</v>
      </c>
      <c r="B65" s="130" t="s">
        <v>1653</v>
      </c>
      <c r="C65" s="61" t="s">
        <v>1282</v>
      </c>
      <c r="D65" s="55" t="s">
        <v>885</v>
      </c>
      <c r="E65" s="139" t="s">
        <v>1694</v>
      </c>
      <c r="F65" s="130" t="s">
        <v>1698</v>
      </c>
      <c r="G65" s="130"/>
      <c r="H65" s="139"/>
      <c r="I65" s="132" t="s">
        <v>1699</v>
      </c>
      <c r="J65" s="1" t="s">
        <v>1700</v>
      </c>
      <c r="K65" s="151" t="s">
        <v>53</v>
      </c>
      <c r="L65" s="40" t="s">
        <v>53</v>
      </c>
      <c r="M65" s="1" t="s">
        <v>53</v>
      </c>
      <c r="N65" s="44" t="s">
        <v>53</v>
      </c>
      <c r="O65" s="1" t="s">
        <v>53</v>
      </c>
      <c r="P65" s="1" t="s">
        <v>53</v>
      </c>
      <c r="Q65" s="30" t="s">
        <v>53</v>
      </c>
      <c r="S65" s="116" t="b">
        <f t="shared" si="12"/>
        <v>1</v>
      </c>
      <c r="T65" s="117" t="str">
        <f t="shared" si="13"/>
        <v>title: "Camino de Santiago"</v>
      </c>
      <c r="U65" s="120" t="str">
        <f t="shared" si="14"/>
        <v>[UNESCO World Heritage List Entry](https://whc.unesco.org/en/list/669/)</v>
      </c>
      <c r="V65" s="120" t="str">
        <f t="shared" si="15"/>
        <v/>
      </c>
      <c r="W65" s="120" t="str">
        <f t="shared" si="16"/>
        <v/>
      </c>
      <c r="X65" s="120" t="str">
        <f t="shared" si="17"/>
        <v xml:space="preserve">* [UNESCO World Heritage List Entry](https://whc.unesco.org/en/list/669/)
</v>
      </c>
      <c r="Y65" s="117" t="str">
        <f t="shared" si="18"/>
        <v xml:space="preserve">#### More Information_x000D_
* [UNESCO World Heritage List Entry](https://whc.unesco.org/en/list/669/)
_x000D_
</v>
      </c>
      <c r="Z65" s="117" t="str">
        <f>IF(LEN(G65)&gt;1,concatll("#### Author's Note",G65,"-"&amp;$B65),"")</f>
        <v/>
      </c>
      <c r="AA65" s="117" t="str">
        <f>IF(LEN(H65)&gt;1,concatll("#### Dedication",H65,"-"&amp;$B65),"")</f>
        <v/>
      </c>
      <c r="CA65" s="6" t="str">
        <f>IF(S65,concatll(concatl("---",T65,"---"),"*A collection of sites associated with this topic.*","#### Background",F65,Y65,Z65,AA65),"")</f>
        <v xml:space="preserve">---_x000D_
title: "Camino de Santiago"_x000D_
---_x000D_
_x000D_
_x000D_
*A collection of sites associated with this topic.*_x000D_
_x000D_
#### Background_x000D_
_x000D_
A network of pilgrimage routes leading to Santiago de Compostela in Spain, the traditional site of St. James' tomb.  This famous route has been traveled by dozens of saints and other famous persons dating back over 1000 years.  The route network was inscribed in the UNESCO World Heritage List in 1993._x000D_
_x000D_
#### More Information_x000D_
* [UNESCO World Heritage List Entry](https://whc.unesco.org/en/list/669/)
_x000D_
_x000D_
_x000D_
</v>
      </c>
      <c r="CB65" s="6" t="str">
        <f t="shared" si="19"/>
        <v>tags\camino\_index.md</v>
      </c>
    </row>
    <row r="66" spans="1:80" ht="38.25" x14ac:dyDescent="0.25">
      <c r="A66" s="129" t="s">
        <v>786</v>
      </c>
      <c r="B66" s="7" t="s">
        <v>1653</v>
      </c>
      <c r="C66" s="33" t="s">
        <v>861</v>
      </c>
      <c r="D66" s="55" t="s">
        <v>886</v>
      </c>
      <c r="E66" s="61" t="s">
        <v>1287</v>
      </c>
      <c r="F66" s="130" t="s">
        <v>1704</v>
      </c>
      <c r="G66" s="130"/>
      <c r="H66" s="139"/>
      <c r="I66" s="132" t="s">
        <v>1706</v>
      </c>
      <c r="J66" s="1" t="s">
        <v>1705</v>
      </c>
      <c r="K66" s="44" t="s">
        <v>53</v>
      </c>
      <c r="L66" s="40" t="s">
        <v>53</v>
      </c>
      <c r="M66" s="1" t="s">
        <v>53</v>
      </c>
      <c r="N66" s="44" t="s">
        <v>53</v>
      </c>
      <c r="O66" s="1" t="s">
        <v>53</v>
      </c>
      <c r="P66" s="1" t="s">
        <v>53</v>
      </c>
      <c r="Q66" s="30" t="s">
        <v>53</v>
      </c>
      <c r="S66" s="116" t="b">
        <f t="shared" si="12"/>
        <v>1</v>
      </c>
      <c r="T66" s="117" t="str">
        <f t="shared" si="13"/>
        <v>title: "Syro-Malabar Church"</v>
      </c>
      <c r="U66" s="120" t="str">
        <f t="shared" si="14"/>
        <v>[Official Site](https://syromalabarchurch.in/)</v>
      </c>
      <c r="V66" s="120" t="str">
        <f t="shared" si="15"/>
        <v/>
      </c>
      <c r="W66" s="120" t="str">
        <f t="shared" si="16"/>
        <v/>
      </c>
      <c r="X66" s="120" t="str">
        <f t="shared" si="17"/>
        <v xml:space="preserve">* [Official Site](https://syromalabarchurch.in/)
</v>
      </c>
      <c r="Y66" s="117" t="str">
        <f t="shared" si="18"/>
        <v xml:space="preserve">#### More Information_x000D_
* [Official Site](https://syromalabarchurch.in/)
_x000D_
</v>
      </c>
      <c r="Z66" s="117" t="str">
        <f>IF(LEN(G66)&gt;1,concatll("#### Author's Note",G66,"-"&amp;$B66),"")</f>
        <v/>
      </c>
      <c r="AA66" s="117" t="str">
        <f>IF(LEN(H66)&gt;1,concatll("#### Dedication",H66,"-"&amp;$B66),"")</f>
        <v/>
      </c>
      <c r="CA66" s="6" t="str">
        <f>IF(S66,concatll(concatl("---",T66,"---"),"*A collection of sites associated with this topic.*","#### Background",F66,Y66,Z66,AA66),"")</f>
        <v xml:space="preserve">---_x000D_
title: "Syro-Malabar Church"_x000D_
---_x000D_
_x000D_
_x000D_
*A collection of sites associated with this topic.*_x000D_
_x000D_
#### Background_x000D_
_x000D_
An Eastern Catholic Church based in India, practicing an East Syriac Rite and following the traditions of St. Thomas the Apostle. It is one of the 23 sui juris (self-governed) Eastern Catholic Churches in full communion with the Holy See._x000D_
_x000D_
#### More Information_x000D_
* [Official Site](https://syromalabarchurch.in/)
_x000D_
_x000D_
_x000D_
</v>
      </c>
      <c r="CB66" s="6" t="str">
        <f t="shared" si="19"/>
        <v>tags\syro-malabar\_index.md</v>
      </c>
    </row>
    <row r="67" spans="1:80" x14ac:dyDescent="0.25">
      <c r="A67" s="129" t="s">
        <v>1728</v>
      </c>
      <c r="B67" s="130" t="s">
        <v>1653</v>
      </c>
      <c r="C67" s="139" t="s">
        <v>725</v>
      </c>
      <c r="D67" s="130" t="s">
        <v>895</v>
      </c>
      <c r="E67" s="139" t="s">
        <v>1287</v>
      </c>
      <c r="F67" s="130"/>
      <c r="I67" s="132"/>
      <c r="K67" s="133"/>
      <c r="L67" s="40" t="s">
        <v>53</v>
      </c>
      <c r="M67" s="1" t="s">
        <v>53</v>
      </c>
      <c r="N67" s="44" t="s">
        <v>53</v>
      </c>
      <c r="O67" s="1" t="s">
        <v>53</v>
      </c>
      <c r="P67" s="1" t="s">
        <v>53</v>
      </c>
      <c r="Q67" s="30" t="s">
        <v>53</v>
      </c>
      <c r="R67" s="121" t="s">
        <v>53</v>
      </c>
      <c r="S67" s="116" t="b">
        <f t="shared" si="12"/>
        <v>0</v>
      </c>
      <c r="T67" s="117" t="str">
        <f t="shared" si="13"/>
        <v>title: "Coptic Church"</v>
      </c>
      <c r="U67" s="117" t="str">
        <f t="shared" si="14"/>
        <v/>
      </c>
      <c r="V67" s="117" t="str">
        <f t="shared" si="15"/>
        <v/>
      </c>
      <c r="W67" s="117" t="str">
        <f t="shared" si="16"/>
        <v/>
      </c>
      <c r="X67" s="117" t="str">
        <f t="shared" si="17"/>
        <v/>
      </c>
      <c r="Y67" s="117" t="str">
        <f t="shared" si="18"/>
        <v/>
      </c>
      <c r="Z67" s="117" t="str">
        <f>IF(LEN(G67)&gt;1,concatll("#### Author's Note",G67,"-"&amp;$B67),"")</f>
        <v/>
      </c>
      <c r="AA67" s="117" t="str">
        <f>IF(LEN(H67)&gt;1,concatll("#### Dedication",H67,"-"&amp;$B67),"")</f>
        <v/>
      </c>
      <c r="CA67" s="6" t="str">
        <f>IF(S67,concatll(concatl("---",T67,"---"),"*A collection of sites associated with this topic.*","#### Background",F67,Y67,Z67,AA67),"")</f>
        <v/>
      </c>
      <c r="CB67" s="6" t="str">
        <f t="shared" si="19"/>
        <v/>
      </c>
    </row>
    <row r="68" spans="1:80" x14ac:dyDescent="0.25">
      <c r="A68" s="129" t="s">
        <v>1728</v>
      </c>
      <c r="B68" s="148" t="s">
        <v>1653</v>
      </c>
      <c r="C68" s="146" t="s">
        <v>1753</v>
      </c>
      <c r="D68" s="148" t="s">
        <v>1752</v>
      </c>
      <c r="E68" s="146" t="s">
        <v>1286</v>
      </c>
      <c r="F68" s="71"/>
      <c r="I68" s="149" t="s">
        <v>1706</v>
      </c>
      <c r="J68" s="1" t="s">
        <v>1754</v>
      </c>
      <c r="K68" s="150" t="s">
        <v>53</v>
      </c>
      <c r="L68" s="75" t="s">
        <v>53</v>
      </c>
      <c r="M68" s="1" t="s">
        <v>53</v>
      </c>
      <c r="N68" s="77" t="s">
        <v>53</v>
      </c>
      <c r="O68" s="74" t="s">
        <v>53</v>
      </c>
      <c r="P68" s="1" t="s">
        <v>53</v>
      </c>
      <c r="Q68" s="30" t="s">
        <v>53</v>
      </c>
      <c r="R68" s="121" t="s">
        <v>53</v>
      </c>
      <c r="S68" s="116" t="b">
        <f t="shared" si="12"/>
        <v>0</v>
      </c>
      <c r="T68" s="117" t="str">
        <f t="shared" si="13"/>
        <v>title: "Order of Friars Minor Capuchin (Capuchins)"</v>
      </c>
      <c r="U68" s="117" t="str">
        <f>IF(LEN(J68)&gt;0,TRIM(CONCATENATE("["&amp;I68&amp;"](",J68,") ",IF(LEN(K68)&gt;0,"- "&amp;K68,K68))),"")</f>
        <v>[Official Site](https://www.ofmcap.org/en/)</v>
      </c>
      <c r="V68" s="117" t="str">
        <f>IF(LEN(M68)&gt;0,TRIM(CONCATENATE("["&amp;L68&amp;"](",M68,") ",IF(LEN(N68)&gt;0,"- "&amp;N68,N68))),"")</f>
        <v/>
      </c>
      <c r="W68" s="117" t="str">
        <f>IF(LEN(P68)&gt;0,TRIM(CONCATENATE("["&amp;O68&amp;"](",P68,") ",IF(LEN(Q68)&gt;0,"- "&amp;Q68,Q68))),"")</f>
        <v/>
      </c>
      <c r="X68" s="117" t="str">
        <f t="shared" si="17"/>
        <v xml:space="preserve">* [Official Site](https://www.ofmcap.org/en/)
</v>
      </c>
      <c r="Y68" s="117" t="str">
        <f>IF(LEN(X68)&gt;0,concatl("#### More Information",X68),"")</f>
        <v xml:space="preserve">#### More Information_x000D_
* [Official Site](https://www.ofmcap.org/en/)
_x000D_
</v>
      </c>
      <c r="Z68" s="117" t="str">
        <f>IF(LEN(G68)&gt;1,concatll("#### Author's Note",G68,"-"&amp;$B68),"")</f>
        <v/>
      </c>
      <c r="AA68" s="117" t="str">
        <f>IF(LEN(H68)&gt;1,concatll("#### Dedication",H68,"-"&amp;$B68),"")</f>
        <v/>
      </c>
      <c r="CA68" s="6" t="str">
        <f>IF(S68,concatll(concatl("---",T68,"---"),"*A collection of sites associated with this topic.*","#### Background",F68,Y68,Z68,AA68),"")</f>
        <v/>
      </c>
      <c r="CB68" s="6" t="str">
        <f t="shared" si="19"/>
        <v/>
      </c>
    </row>
    <row r="69" spans="1:80" x14ac:dyDescent="0.25">
      <c r="C69" s="73"/>
      <c r="D69" s="80"/>
      <c r="F69" s="71"/>
      <c r="I69" s="72"/>
      <c r="K69" s="76"/>
      <c r="CB69" s="6"/>
    </row>
    <row r="70" spans="1:80" x14ac:dyDescent="0.25">
      <c r="C70" s="73"/>
      <c r="D70" s="71"/>
      <c r="F70" s="71"/>
      <c r="I70" s="72"/>
      <c r="K70" s="76"/>
      <c r="L70" s="75"/>
      <c r="N70" s="76"/>
      <c r="CB70" s="6"/>
    </row>
    <row r="71" spans="1:80" x14ac:dyDescent="0.25">
      <c r="C71" s="81"/>
      <c r="D71" s="80"/>
      <c r="F71" s="71"/>
      <c r="I71" s="72"/>
      <c r="K71" s="76"/>
      <c r="CB71" s="6"/>
    </row>
    <row r="72" spans="1:80" x14ac:dyDescent="0.25">
      <c r="C72" s="73"/>
      <c r="D72" s="80"/>
      <c r="E72" s="73"/>
      <c r="F72" s="71"/>
      <c r="I72" s="72"/>
      <c r="CB72" s="6"/>
    </row>
    <row r="73" spans="1:80" x14ac:dyDescent="0.25">
      <c r="C73" s="73"/>
      <c r="D73" s="80"/>
      <c r="F73" s="71"/>
      <c r="G73" s="130"/>
      <c r="H73" s="139"/>
      <c r="I73" s="72"/>
      <c r="CB73" s="6"/>
    </row>
    <row r="74" spans="1:80" x14ac:dyDescent="0.25">
      <c r="C74" s="73"/>
      <c r="D74" s="71"/>
      <c r="F74" s="71"/>
      <c r="I74" s="72"/>
      <c r="CB74" s="6"/>
    </row>
    <row r="75" spans="1:80" x14ac:dyDescent="0.25">
      <c r="C75" s="73"/>
      <c r="D75" s="80"/>
      <c r="F75" s="71"/>
      <c r="G75" s="130"/>
      <c r="H75" s="139"/>
      <c r="I75" s="72"/>
      <c r="L75" s="78"/>
      <c r="CB75" s="6"/>
    </row>
    <row r="76" spans="1:80" x14ac:dyDescent="0.25">
      <c r="C76" s="73"/>
      <c r="D76" s="71"/>
      <c r="E76" s="73"/>
      <c r="F76" s="71"/>
      <c r="CB76" s="6"/>
    </row>
    <row r="77" spans="1:80" x14ac:dyDescent="0.25">
      <c r="D77" s="71"/>
      <c r="E77" s="73"/>
      <c r="F77" s="71"/>
      <c r="CB77" s="6"/>
    </row>
    <row r="78" spans="1:80" x14ac:dyDescent="0.25">
      <c r="F78" s="71"/>
      <c r="G78" s="130"/>
      <c r="H78" s="139"/>
      <c r="CB78" s="6"/>
    </row>
    <row r="79" spans="1:80" x14ac:dyDescent="0.25">
      <c r="C79" s="73"/>
      <c r="D79" s="71"/>
      <c r="E79" s="73"/>
      <c r="F79" s="71"/>
      <c r="CB79" s="6"/>
    </row>
    <row r="80" spans="1:80" x14ac:dyDescent="0.25">
      <c r="C80" s="73"/>
      <c r="D80" s="71"/>
      <c r="E80" s="73"/>
      <c r="F80" s="71"/>
      <c r="CB80" s="6"/>
    </row>
    <row r="81" spans="2:80" x14ac:dyDescent="0.25">
      <c r="C81" s="73"/>
      <c r="D81" s="71"/>
      <c r="E81" s="73"/>
      <c r="F81" s="71"/>
      <c r="I81" s="72"/>
      <c r="CB81" s="6"/>
    </row>
    <row r="82" spans="2:80" x14ac:dyDescent="0.25">
      <c r="C82" s="81"/>
      <c r="D82" s="80"/>
      <c r="E82" s="81"/>
      <c r="F82" s="115"/>
      <c r="CB82" s="6"/>
    </row>
    <row r="83" spans="2:80" x14ac:dyDescent="0.25">
      <c r="D83" s="90"/>
      <c r="F83" s="90"/>
      <c r="G83" s="130"/>
      <c r="H83" s="139"/>
      <c r="CB83" s="6"/>
    </row>
    <row r="84" spans="2:80" x14ac:dyDescent="0.25">
      <c r="D84" s="90"/>
      <c r="F84" s="90"/>
      <c r="CB84" s="6"/>
    </row>
    <row r="85" spans="2:80" x14ac:dyDescent="0.25">
      <c r="B85" s="90"/>
      <c r="C85" s="92"/>
      <c r="D85" s="90"/>
      <c r="E85" s="92"/>
      <c r="F85" s="115"/>
      <c r="CB85" s="6"/>
    </row>
    <row r="86" spans="2:80" x14ac:dyDescent="0.25">
      <c r="B86" s="130"/>
      <c r="C86" s="86"/>
      <c r="D86" s="84"/>
      <c r="F86" s="84"/>
      <c r="CB86" s="6"/>
    </row>
    <row r="87" spans="2:80" x14ac:dyDescent="0.25">
      <c r="B87" s="55"/>
      <c r="C87" s="61"/>
      <c r="E87" s="61"/>
      <c r="F87" s="55"/>
      <c r="I87" s="72"/>
      <c r="K87" s="63"/>
      <c r="CB87" s="6"/>
    </row>
    <row r="88" spans="2:80" x14ac:dyDescent="0.25">
      <c r="B88" s="130"/>
      <c r="E88" s="86"/>
      <c r="I88" s="85"/>
      <c r="L88" s="87"/>
      <c r="N88" s="88"/>
      <c r="CB88" s="6"/>
    </row>
    <row r="89" spans="2:80" x14ac:dyDescent="0.25">
      <c r="E89" s="86"/>
      <c r="F89" s="84"/>
      <c r="CB89" s="6"/>
    </row>
    <row r="90" spans="2:80" x14ac:dyDescent="0.25">
      <c r="E90" s="86"/>
      <c r="CB90" s="6"/>
    </row>
    <row r="91" spans="2:80" x14ac:dyDescent="0.25">
      <c r="E91" s="86"/>
      <c r="CB91" s="6"/>
    </row>
    <row r="92" spans="2:80" x14ac:dyDescent="0.25">
      <c r="E92" s="86"/>
      <c r="CB92" s="6"/>
    </row>
    <row r="93" spans="2:80" x14ac:dyDescent="0.25">
      <c r="E93" s="86"/>
      <c r="CB93" s="6"/>
    </row>
    <row r="94" spans="2:80" x14ac:dyDescent="0.25">
      <c r="CB94" s="6"/>
    </row>
    <row r="95" spans="2:80" x14ac:dyDescent="0.25">
      <c r="E95" s="86"/>
      <c r="CB95" s="6"/>
    </row>
    <row r="96" spans="2:80" x14ac:dyDescent="0.25">
      <c r="CB96" s="6"/>
    </row>
    <row r="97" spans="2:80" x14ac:dyDescent="0.25">
      <c r="CB97" s="6"/>
    </row>
    <row r="98" spans="2:80" x14ac:dyDescent="0.25">
      <c r="E98" s="86"/>
      <c r="F98" s="84"/>
      <c r="CB98" s="6"/>
    </row>
    <row r="99" spans="2:80" x14ac:dyDescent="0.25">
      <c r="CB99" s="6"/>
    </row>
    <row r="100" spans="2:80" x14ac:dyDescent="0.25">
      <c r="E100" s="86"/>
      <c r="CB100" s="6"/>
    </row>
    <row r="101" spans="2:80" x14ac:dyDescent="0.25">
      <c r="CB101" s="6"/>
    </row>
    <row r="102" spans="2:80" x14ac:dyDescent="0.25">
      <c r="CB102" s="6"/>
    </row>
    <row r="103" spans="2:80" x14ac:dyDescent="0.25">
      <c r="E103" s="86"/>
      <c r="CB103" s="6"/>
    </row>
    <row r="104" spans="2:80" x14ac:dyDescent="0.25">
      <c r="E104" s="86"/>
      <c r="CB104" s="6"/>
    </row>
    <row r="105" spans="2:80" x14ac:dyDescent="0.25">
      <c r="E105" s="86"/>
      <c r="F105" s="84"/>
      <c r="CB105" s="6"/>
    </row>
    <row r="106" spans="2:80" x14ac:dyDescent="0.25">
      <c r="CB106" s="6"/>
    </row>
    <row r="107" spans="2:80" x14ac:dyDescent="0.25">
      <c r="D107" s="84"/>
      <c r="E107" s="86"/>
      <c r="CB107" s="6"/>
    </row>
    <row r="108" spans="2:80" x14ac:dyDescent="0.25">
      <c r="F108" s="84"/>
      <c r="CB108" s="6"/>
    </row>
    <row r="109" spans="2:80" x14ac:dyDescent="0.25">
      <c r="B109" s="130"/>
      <c r="C109" s="61"/>
      <c r="E109" s="61"/>
      <c r="F109" s="55"/>
      <c r="CB109" s="6"/>
    </row>
    <row r="110" spans="2:80" x14ac:dyDescent="0.25">
      <c r="B110" s="130"/>
      <c r="C110" s="61"/>
      <c r="E110" s="61"/>
      <c r="F110" s="55"/>
      <c r="I110" s="72"/>
      <c r="K110" s="63"/>
      <c r="CB110" s="6"/>
    </row>
    <row r="111" spans="2:80" x14ac:dyDescent="0.25">
      <c r="B111" s="130"/>
      <c r="C111" s="61"/>
      <c r="E111" s="61"/>
      <c r="F111" s="55"/>
      <c r="I111" s="62"/>
      <c r="K111" s="63"/>
      <c r="L111" s="75"/>
      <c r="N111" s="63"/>
      <c r="CB111" s="6"/>
    </row>
    <row r="112" spans="2:80" x14ac:dyDescent="0.25">
      <c r="B112" s="130"/>
      <c r="D112" s="55"/>
      <c r="F112" s="55"/>
      <c r="L112" s="75"/>
      <c r="CB112" s="6"/>
    </row>
    <row r="113" spans="2:80" x14ac:dyDescent="0.25">
      <c r="B113" s="130"/>
      <c r="C113" s="61"/>
      <c r="D113" s="55"/>
      <c r="E113" s="61"/>
      <c r="CB113" s="6"/>
    </row>
    <row r="114" spans="2:80" x14ac:dyDescent="0.25">
      <c r="C114" s="61"/>
      <c r="E114" s="61"/>
      <c r="CB114" s="6"/>
    </row>
    <row r="115" spans="2:80" x14ac:dyDescent="0.25">
      <c r="B115" s="55"/>
      <c r="C115" s="61"/>
      <c r="D115" s="55"/>
      <c r="F115" s="55"/>
      <c r="CB115" s="6"/>
    </row>
    <row r="116" spans="2:80" x14ac:dyDescent="0.25">
      <c r="B116" s="130"/>
      <c r="C116" s="61"/>
      <c r="D116" s="55"/>
      <c r="E116" s="61"/>
      <c r="I116" s="62"/>
      <c r="K116" s="63"/>
      <c r="CB116" s="6"/>
    </row>
    <row r="117" spans="2:80" x14ac:dyDescent="0.25">
      <c r="D117" s="55"/>
      <c r="E117" s="61"/>
      <c r="F117" s="55"/>
      <c r="G117" s="130"/>
      <c r="H117" s="139"/>
      <c r="CB117" s="6"/>
    </row>
    <row r="118" spans="2:80" x14ac:dyDescent="0.25">
      <c r="E118" s="61"/>
      <c r="F118" s="55"/>
      <c r="I118" s="62"/>
      <c r="K118" s="63"/>
      <c r="CB118" s="6"/>
    </row>
    <row r="119" spans="2:80" x14ac:dyDescent="0.25">
      <c r="D119" s="55"/>
      <c r="E119" s="61"/>
      <c r="F119" s="55"/>
      <c r="I119" s="62"/>
      <c r="J119" s="62"/>
      <c r="K119" s="63"/>
      <c r="L119" s="65"/>
      <c r="N119" s="63"/>
      <c r="CB119" s="6"/>
    </row>
    <row r="120" spans="2:80" x14ac:dyDescent="0.25">
      <c r="E120" s="61"/>
      <c r="F120" s="55"/>
      <c r="I120" s="62"/>
      <c r="K120" s="63"/>
      <c r="CB120" s="6"/>
    </row>
    <row r="121" spans="2:80" x14ac:dyDescent="0.25">
      <c r="D121" s="55"/>
      <c r="E121" s="61"/>
      <c r="F121" s="55"/>
      <c r="I121" s="62"/>
      <c r="K121" s="66"/>
      <c r="L121" s="67"/>
      <c r="M121" s="62"/>
      <c r="N121" s="66"/>
      <c r="P121" s="62"/>
      <c r="Q121" s="70"/>
      <c r="CB121" s="6"/>
    </row>
    <row r="122" spans="2:80" x14ac:dyDescent="0.25">
      <c r="D122" s="55"/>
      <c r="E122" s="61"/>
      <c r="F122" s="55"/>
      <c r="I122" s="62"/>
      <c r="K122" s="63"/>
      <c r="L122" s="65"/>
      <c r="N122" s="63"/>
      <c r="O122" s="62"/>
      <c r="P122" s="64"/>
      <c r="Q122" s="70"/>
      <c r="CB122" s="6"/>
    </row>
    <row r="123" spans="2:80" x14ac:dyDescent="0.25">
      <c r="D123" s="55"/>
      <c r="E123" s="61"/>
      <c r="F123" s="55"/>
      <c r="K123" s="63"/>
      <c r="CB123" s="6"/>
    </row>
    <row r="124" spans="2:80" x14ac:dyDescent="0.25">
      <c r="D124" s="55"/>
      <c r="E124" s="61"/>
      <c r="F124" s="55"/>
      <c r="K124" s="63"/>
      <c r="N124" s="63"/>
      <c r="CB124" s="6"/>
    </row>
    <row r="125" spans="2:80" x14ac:dyDescent="0.25">
      <c r="E125" s="61"/>
      <c r="F125" s="55"/>
      <c r="I125" s="62"/>
      <c r="K125" s="63"/>
      <c r="CB125" s="6"/>
    </row>
    <row r="126" spans="2:80" x14ac:dyDescent="0.25">
      <c r="D126" s="55"/>
      <c r="E126" s="61"/>
      <c r="F126" s="55"/>
      <c r="K126" s="63"/>
      <c r="CB126" s="6"/>
    </row>
    <row r="127" spans="2:80" x14ac:dyDescent="0.25">
      <c r="B127" s="130"/>
      <c r="D127" s="94"/>
      <c r="E127" s="96"/>
      <c r="F127" s="98"/>
      <c r="CB127" s="6"/>
    </row>
    <row r="128" spans="2:80" x14ac:dyDescent="0.25">
      <c r="G128" s="130"/>
      <c r="H128" s="139"/>
      <c r="U128" s="120"/>
      <c r="V128" s="120"/>
      <c r="W128" s="120"/>
      <c r="X128" s="120"/>
      <c r="CB128" s="6"/>
    </row>
    <row r="129" spans="2:80" x14ac:dyDescent="0.25">
      <c r="B129" s="130"/>
      <c r="D129" s="94"/>
      <c r="E129" s="101"/>
      <c r="F129" s="102"/>
      <c r="G129" s="130"/>
      <c r="H129" s="139"/>
      <c r="K129" s="100"/>
      <c r="CB129" s="6"/>
    </row>
    <row r="130" spans="2:80" x14ac:dyDescent="0.25">
      <c r="U130" s="120"/>
      <c r="V130" s="120"/>
      <c r="W130" s="120"/>
      <c r="X130" s="120"/>
      <c r="CB130" s="6"/>
    </row>
    <row r="131" spans="2:80" x14ac:dyDescent="0.25">
      <c r="D131" s="10"/>
      <c r="F131" s="10"/>
      <c r="U131" s="120"/>
      <c r="V131" s="120"/>
      <c r="W131" s="120"/>
      <c r="X131" s="120"/>
      <c r="CB131" s="6"/>
    </row>
    <row r="132" spans="2:80" x14ac:dyDescent="0.25">
      <c r="B132" s="26"/>
      <c r="C132" s="61"/>
      <c r="D132" s="26"/>
      <c r="E132" s="38"/>
      <c r="F132" s="26"/>
      <c r="G132" s="130"/>
      <c r="H132" s="139"/>
      <c r="U132" s="120"/>
      <c r="V132" s="120"/>
      <c r="W132" s="120"/>
      <c r="X132" s="120"/>
      <c r="CB132" s="6"/>
    </row>
    <row r="133" spans="2:80" x14ac:dyDescent="0.25">
      <c r="D133" s="23"/>
      <c r="E133" s="34"/>
      <c r="F133" s="23"/>
      <c r="U133" s="120"/>
      <c r="V133" s="120"/>
      <c r="W133" s="120"/>
      <c r="X133" s="120"/>
      <c r="CB133" s="6"/>
    </row>
    <row r="134" spans="2:80" x14ac:dyDescent="0.25">
      <c r="C134" s="38"/>
      <c r="U134" s="120"/>
      <c r="V134" s="120"/>
      <c r="W134" s="120"/>
      <c r="X134" s="120"/>
      <c r="CB134" s="6"/>
    </row>
    <row r="135" spans="2:80" x14ac:dyDescent="0.25">
      <c r="E135" s="34"/>
      <c r="U135" s="120"/>
      <c r="V135" s="120"/>
      <c r="W135" s="120"/>
      <c r="X135" s="120"/>
      <c r="CB135" s="6"/>
    </row>
    <row r="136" spans="2:80" x14ac:dyDescent="0.25">
      <c r="G136" s="130"/>
      <c r="H136" s="139"/>
      <c r="U136" s="120"/>
      <c r="V136" s="120"/>
      <c r="W136" s="120"/>
      <c r="X136" s="120"/>
      <c r="CB136" s="6"/>
    </row>
    <row r="137" spans="2:80" x14ac:dyDescent="0.25">
      <c r="G137" s="130"/>
      <c r="H137" s="139"/>
      <c r="U137" s="120"/>
      <c r="V137" s="120"/>
      <c r="W137" s="120"/>
      <c r="X137" s="120"/>
      <c r="CB137" s="6"/>
    </row>
    <row r="138" spans="2:80" x14ac:dyDescent="0.25">
      <c r="G138" s="10"/>
      <c r="H138" s="35"/>
      <c r="U138" s="120"/>
      <c r="V138" s="120"/>
      <c r="W138" s="120"/>
      <c r="X138" s="120"/>
      <c r="CB138" s="6"/>
    </row>
    <row r="139" spans="2:80" x14ac:dyDescent="0.25">
      <c r="U139" s="120"/>
      <c r="V139" s="120"/>
      <c r="W139" s="120"/>
      <c r="X139" s="120"/>
      <c r="CB139" s="6"/>
    </row>
    <row r="140" spans="2:80" x14ac:dyDescent="0.25">
      <c r="D140" s="15"/>
      <c r="E140" s="37"/>
      <c r="F140" s="28"/>
      <c r="U140" s="120"/>
      <c r="V140" s="120"/>
      <c r="W140" s="120"/>
      <c r="X140" s="120"/>
      <c r="CB140" s="6"/>
    </row>
    <row r="141" spans="2:80" x14ac:dyDescent="0.25">
      <c r="CB141" s="6"/>
    </row>
  </sheetData>
  <autoFilter ref="A5:CB140" xr:uid="{A598B8B3-DE60-41C5-96BA-7CC5FA9AD3BE}">
    <sortState xmlns:xlrd2="http://schemas.microsoft.com/office/spreadsheetml/2017/richdata2" ref="A6:CB140">
      <sortCondition ref="E5:E140"/>
    </sortState>
  </autoFilter>
  <conditionalFormatting sqref="A1:Q1048576">
    <cfRule type="expression" dxfId="11" priority="3" stopIfTrue="1">
      <formula>IF($A1="New (change to Done when complete)",TRUE,FALSE)</formula>
    </cfRule>
    <cfRule type="expression" dxfId="10" priority="4" stopIfTrue="1">
      <formula>IF($A1="Blocked",TRUE,FALSE)</formula>
    </cfRule>
    <cfRule type="expression" dxfId="9" priority="5">
      <formula>IF(AND(LEN($A1)&gt;0,$A1&lt;&gt;"Done",$A1&lt;&gt;"Status"),TRUE,FALSE)</formula>
    </cfRule>
  </conditionalFormatting>
  <conditionalFormatting sqref="B1:Q1048576">
    <cfRule type="expression" dxfId="8" priority="1">
      <formula>IF(B1=B$1,TRUE,FALSE)</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CopyRowAfterLastRow">
                <anchor moveWithCells="1">
                  <from>
                    <xdr:col>0</xdr:col>
                    <xdr:colOff>47625</xdr:colOff>
                    <xdr:row>1</xdr:row>
                    <xdr:rowOff>28575</xdr:rowOff>
                  </from>
                  <to>
                    <xdr:col>1</xdr:col>
                    <xdr:colOff>466725</xdr:colOff>
                    <xdr:row>2</xdr:row>
                    <xdr:rowOff>133350</xdr:rowOff>
                  </to>
                </anchor>
              </controlPr>
            </control>
          </mc:Choice>
        </mc:AlternateContent>
        <mc:AlternateContent xmlns:mc="http://schemas.openxmlformats.org/markup-compatibility/2006">
          <mc:Choice Requires="x14">
            <control shapeId="9218" r:id="rId5" name="Button 2">
              <controlPr defaultSize="0" print="0" autoFill="0" autoPict="0" macro="[0]!WriteToFile">
                <anchor moveWithCells="1">
                  <from>
                    <xdr:col>2</xdr:col>
                    <xdr:colOff>0</xdr:colOff>
                    <xdr:row>1</xdr:row>
                    <xdr:rowOff>28575</xdr:rowOff>
                  </from>
                  <to>
                    <xdr:col>2</xdr:col>
                    <xdr:colOff>1276350</xdr:colOff>
                    <xdr:row>2</xdr:row>
                    <xdr:rowOff>133350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7A2A1E-AEE0-49E3-B332-6FDD5A6D8665}">
  <sheetPr codeName="Sheet10"/>
  <dimension ref="A1:CB141"/>
  <sheetViews>
    <sheetView zoomScale="80" zoomScaleNormal="80" workbookViewId="0">
      <pane xSplit="4" ySplit="5" topLeftCell="E6" activePane="bottomRight" state="frozen"/>
      <selection pane="topRight" activeCell="G1" sqref="G1"/>
      <selection pane="bottomLeft" activeCell="A2" sqref="A2"/>
      <selection pane="bottomRight" activeCell="A2" sqref="A2"/>
    </sheetView>
  </sheetViews>
  <sheetFormatPr defaultColWidth="9.140625" defaultRowHeight="12.75" x14ac:dyDescent="0.25"/>
  <cols>
    <col min="1" max="1" width="12.85546875" style="129" bestFit="1" customWidth="1"/>
    <col min="2" max="2" width="7.85546875" style="7" customWidth="1"/>
    <col min="3" max="3" width="25.7109375" style="33" bestFit="1" customWidth="1"/>
    <col min="4" max="4" width="48.140625" style="7" bestFit="1" customWidth="1"/>
    <col min="5" max="5" width="20.85546875" style="33" bestFit="1" customWidth="1"/>
    <col min="6" max="6" width="69" style="7" customWidth="1"/>
    <col min="7" max="7" width="45.5703125" style="7" customWidth="1"/>
    <col min="8" max="8" width="45.5703125" style="33" customWidth="1"/>
    <col min="9" max="9" width="11.5703125" style="1" bestFit="1" customWidth="1"/>
    <col min="10" max="10" width="10.28515625" style="1" bestFit="1" customWidth="1"/>
    <col min="11" max="11" width="14.85546875" style="44" bestFit="1" customWidth="1"/>
    <col min="12" max="12" width="11.5703125" style="40" bestFit="1" customWidth="1"/>
    <col min="13" max="13" width="10.28515625" style="1" bestFit="1" customWidth="1"/>
    <col min="14" max="14" width="14.85546875" style="44" bestFit="1" customWidth="1"/>
    <col min="15" max="15" width="11.5703125" style="1" bestFit="1" customWidth="1"/>
    <col min="16" max="16" width="10.28515625" style="1" bestFit="1" customWidth="1"/>
    <col min="17" max="17" width="14.85546875" style="30" bestFit="1" customWidth="1"/>
    <col min="18" max="18" width="4.5703125" style="121" bestFit="1" customWidth="1"/>
    <col min="19" max="19" width="9" style="116" bestFit="1" customWidth="1"/>
    <col min="20" max="20" width="10.28515625" style="117" bestFit="1" customWidth="1"/>
    <col min="21" max="24" width="7.140625" style="117" customWidth="1"/>
    <col min="25" max="78" width="9.140625" style="117"/>
    <col min="79" max="79" width="38.7109375" style="6" customWidth="1"/>
    <col min="80" max="80" width="38.7109375" style="14" customWidth="1"/>
    <col min="81" max="16384" width="9.140625" style="1"/>
  </cols>
  <sheetData>
    <row r="1" spans="1:80" ht="51" hidden="1" x14ac:dyDescent="0.25">
      <c r="A1" s="129" t="s">
        <v>1651</v>
      </c>
      <c r="B1" s="130" t="s">
        <v>1652</v>
      </c>
      <c r="C1" s="152" t="s">
        <v>1830</v>
      </c>
      <c r="D1" s="126" t="s">
        <v>1636</v>
      </c>
      <c r="E1" s="139" t="s">
        <v>1723</v>
      </c>
      <c r="F1" s="130" t="s">
        <v>1727</v>
      </c>
      <c r="G1" s="130" t="s">
        <v>1724</v>
      </c>
      <c r="H1" s="139" t="s">
        <v>1805</v>
      </c>
      <c r="I1" s="154" t="s">
        <v>53</v>
      </c>
      <c r="J1" s="154" t="s">
        <v>53</v>
      </c>
      <c r="K1" s="151" t="s">
        <v>53</v>
      </c>
      <c r="L1" s="134" t="s">
        <v>53</v>
      </c>
      <c r="M1" s="135" t="s">
        <v>53</v>
      </c>
      <c r="N1" s="136" t="s">
        <v>53</v>
      </c>
      <c r="O1" s="135" t="s">
        <v>53</v>
      </c>
      <c r="P1" s="135" t="s">
        <v>53</v>
      </c>
      <c r="Q1" s="137" t="s">
        <v>53</v>
      </c>
      <c r="R1" s="142" t="s">
        <v>53</v>
      </c>
      <c r="S1" s="116" t="b">
        <f t="shared" ref="S1" si="0">IF(OR(A1="Done",A1="In Progress"),TRUE)</f>
        <v>0</v>
      </c>
      <c r="T1" s="117" t="str">
        <f t="shared" ref="T1" si="1">"title: """&amp;D1&amp;""""</f>
        <v>title: "Page Title (what will display on website)"</v>
      </c>
      <c r="U1" s="117" t="str">
        <f>IF(LEN(J1)&gt;0,TRIM(CONCATENATE("["&amp;I1&amp;"](",J1,") ",IF(LEN(K1)&gt;0,"- "&amp;K1,K1))),"")</f>
        <v/>
      </c>
      <c r="V1" s="117" t="str">
        <f>IF(LEN(M1)&gt;0,TRIM(CONCATENATE("["&amp;L1&amp;"](",M1,") ",IF(LEN(N1)&gt;0,"- "&amp;N1,N1))),"")</f>
        <v/>
      </c>
      <c r="W1" s="117" t="str">
        <f>IF(LEN(P1)&gt;0,TRIM(CONCATENATE("["&amp;O1&amp;"](",P1,") ",IF(LEN(Q1)&gt;0,"- "&amp;Q1,Q1))),"")</f>
        <v/>
      </c>
      <c r="X1" s="117" t="str">
        <f t="shared" ref="X1" si="2">IF(LEN(U1)&gt;0,"* "&amp;U1&amp;CHAR(10),"")&amp;
IF(LEN(V1)&gt;0,"* "&amp;V1&amp;CHAR(10),"")&amp;
IF(LEN(W1)&gt;0,"* "&amp;W1&amp;CHAR(10),"")</f>
        <v/>
      </c>
      <c r="Y1" s="117" t="str">
        <f>IF(LEN(X1)&gt;0,concatl("#### More Information",X1),"")</f>
        <v/>
      </c>
      <c r="Z1" s="117" t="str">
        <f>IF(LEN(G1)&gt;1,concatll("#### Author's Note",G1,"-"&amp;B1),"")</f>
        <v xml:space="preserve">#### Author's Note_x000D_
_x000D_
Non-referenceable information which you've found, or any other opinions/preferences (optional)_x000D_
_x000D_
-Your Initials_x000D_
_x000D_
</v>
      </c>
      <c r="AA1" s="117" t="str">
        <f>IF(LEN(H1)&gt;1,concatll("#### Dedication",H1,"-"&amp;$B1),"")</f>
        <v xml:space="preserve">#### Dedication_x000D_
_x000D_
You can dedicate the time you spent researching the topic here (optional)_x000D_
_x000D_
-Your Initials_x000D_
_x000D_
</v>
      </c>
      <c r="CA1" s="6" t="str">
        <f>IF(S1,concatll(concatl("---",T1,"---"),"*A collection of sites associated with this topic.*","#### Background",F1,Y1,Z1,AA1),"")</f>
        <v/>
      </c>
      <c r="CB1" s="14" t="str">
        <f t="shared" ref="CB1" si="3">IF(S1,"tags\"&amp;C1&amp;"\_index.md","")</f>
        <v/>
      </c>
    </row>
    <row r="2" spans="1:80" x14ac:dyDescent="0.25">
      <c r="Q2" s="125"/>
    </row>
    <row r="5" spans="1:80" s="47" customFormat="1" ht="26.25" thickBot="1" x14ac:dyDescent="0.3">
      <c r="A5" s="108" t="s">
        <v>787</v>
      </c>
      <c r="B5" s="108" t="s">
        <v>1656</v>
      </c>
      <c r="C5" s="110" t="s">
        <v>1828</v>
      </c>
      <c r="D5" s="108" t="s">
        <v>884</v>
      </c>
      <c r="E5" s="110" t="s">
        <v>1281</v>
      </c>
      <c r="F5" s="108" t="s">
        <v>1726</v>
      </c>
      <c r="G5" s="108" t="s">
        <v>84</v>
      </c>
      <c r="H5" s="110" t="s">
        <v>1804</v>
      </c>
      <c r="I5" s="107" t="s">
        <v>957</v>
      </c>
      <c r="J5" s="107" t="s">
        <v>958</v>
      </c>
      <c r="K5" s="112" t="s">
        <v>1647</v>
      </c>
      <c r="L5" s="111" t="s">
        <v>960</v>
      </c>
      <c r="M5" s="107" t="s">
        <v>961</v>
      </c>
      <c r="N5" s="112" t="s">
        <v>1648</v>
      </c>
      <c r="O5" s="107" t="s">
        <v>962</v>
      </c>
      <c r="P5" s="107" t="s">
        <v>963</v>
      </c>
      <c r="Q5" s="109" t="s">
        <v>1649</v>
      </c>
      <c r="R5" s="122" t="s">
        <v>53</v>
      </c>
      <c r="S5" s="118" t="s">
        <v>903</v>
      </c>
      <c r="T5" s="119" t="s">
        <v>706</v>
      </c>
      <c r="U5" s="119" t="s">
        <v>983</v>
      </c>
      <c r="V5" s="119" t="s">
        <v>984</v>
      </c>
      <c r="W5" s="119" t="s">
        <v>985</v>
      </c>
      <c r="X5" s="119" t="s">
        <v>990</v>
      </c>
      <c r="Y5" s="119" t="s">
        <v>1428</v>
      </c>
      <c r="Z5" s="119" t="s">
        <v>980</v>
      </c>
      <c r="AA5" s="119" t="s">
        <v>1806</v>
      </c>
      <c r="AB5" s="119"/>
      <c r="AC5" s="119"/>
      <c r="AD5" s="119"/>
      <c r="AE5" s="119"/>
      <c r="AF5" s="119"/>
      <c r="AG5" s="119"/>
      <c r="AH5" s="119"/>
      <c r="AI5" s="119"/>
      <c r="AJ5" s="119"/>
      <c r="AK5" s="119"/>
      <c r="AL5" s="119"/>
      <c r="AM5" s="119"/>
      <c r="AN5" s="119"/>
      <c r="AO5" s="119"/>
      <c r="AP5" s="119"/>
      <c r="AQ5" s="119"/>
      <c r="AR5" s="119"/>
      <c r="AS5" s="119"/>
      <c r="AT5" s="119"/>
      <c r="AU5" s="119"/>
      <c r="AV5" s="119"/>
      <c r="AW5" s="119"/>
      <c r="AX5" s="119"/>
      <c r="AY5" s="119"/>
      <c r="AZ5" s="119"/>
      <c r="BA5" s="119"/>
      <c r="BB5" s="119"/>
      <c r="BC5" s="119"/>
      <c r="BD5" s="119"/>
      <c r="BE5" s="119"/>
      <c r="BF5" s="119"/>
      <c r="BG5" s="119"/>
      <c r="BH5" s="119"/>
      <c r="BI5" s="119"/>
      <c r="BJ5" s="119"/>
      <c r="BK5" s="119"/>
      <c r="BL5" s="119"/>
      <c r="BM5" s="119"/>
      <c r="BN5" s="119"/>
      <c r="BO5" s="119"/>
      <c r="BP5" s="119"/>
      <c r="BQ5" s="119"/>
      <c r="BR5" s="119"/>
      <c r="BS5" s="119"/>
      <c r="BT5" s="119"/>
      <c r="BU5" s="119"/>
      <c r="BV5" s="119"/>
      <c r="BW5" s="119"/>
      <c r="BX5" s="119"/>
      <c r="BY5" s="119"/>
      <c r="BZ5" s="119"/>
      <c r="CA5" s="50" t="s">
        <v>987</v>
      </c>
      <c r="CB5" s="49" t="s">
        <v>699</v>
      </c>
    </row>
    <row r="6" spans="1:80" x14ac:dyDescent="0.25">
      <c r="A6" s="129" t="s">
        <v>786</v>
      </c>
      <c r="B6" s="153" t="s">
        <v>1654</v>
      </c>
      <c r="C6" s="146" t="s">
        <v>1758</v>
      </c>
      <c r="D6" s="153" t="s">
        <v>1000</v>
      </c>
      <c r="E6" s="152" t="s">
        <v>1808</v>
      </c>
      <c r="F6" s="153" t="s">
        <v>1810</v>
      </c>
      <c r="G6" s="130"/>
      <c r="H6" s="139"/>
      <c r="I6" s="147"/>
      <c r="J6" s="147"/>
      <c r="L6" s="40" t="s">
        <v>53</v>
      </c>
      <c r="M6" s="1" t="s">
        <v>53</v>
      </c>
      <c r="N6" s="44" t="s">
        <v>53</v>
      </c>
      <c r="O6" s="1" t="s">
        <v>53</v>
      </c>
      <c r="P6" s="1" t="s">
        <v>53</v>
      </c>
      <c r="Q6" s="30" t="s">
        <v>53</v>
      </c>
      <c r="R6" s="121" t="s">
        <v>53</v>
      </c>
      <c r="S6" s="116" t="b">
        <f t="shared" ref="S6:S37" si="4">IF(OR(A6="Done",A6="In Progress"),TRUE)</f>
        <v>1</v>
      </c>
      <c r="T6" s="117" t="str">
        <f t="shared" ref="T6:T37" si="5">"title: """&amp;D6&amp;""""</f>
        <v>title: "Brussels"</v>
      </c>
      <c r="U6" s="120" t="str">
        <f t="shared" ref="U6:U37" si="6">IF(LEN(J6)&gt;0,TRIM(CONCATENATE("["&amp;I6&amp;"](",J6,") ",IF(LEN(K6)&gt;0,"- "&amp;K6,K6))),"")</f>
        <v/>
      </c>
      <c r="V6" s="120" t="str">
        <f t="shared" ref="V6:V37" si="7">IF(LEN(M6)&gt;0,TRIM(CONCATENATE("["&amp;L6&amp;"](",M6,") ",IF(LEN(N6)&gt;0,"- "&amp;N6,N6))),"")</f>
        <v/>
      </c>
      <c r="W6" s="120" t="str">
        <f t="shared" ref="W6:W37" si="8">IF(LEN(P6)&gt;0,TRIM(CONCATENATE("["&amp;O6&amp;"](",P6,") ",IF(LEN(Q6)&gt;0,"- "&amp;Q6,Q6))),"")</f>
        <v/>
      </c>
      <c r="X6" s="120" t="str">
        <f t="shared" ref="X6:X37" si="9">IF(LEN(U6)&gt;0,"* "&amp;U6&amp;CHAR(10),"")&amp;
IF(LEN(V6)&gt;0,"* "&amp;V6&amp;CHAR(10),"")&amp;
IF(LEN(W6)&gt;0,"* "&amp;W6&amp;CHAR(10),"")</f>
        <v/>
      </c>
      <c r="Y6" s="117" t="str">
        <f t="shared" ref="Y6:Y37" si="10">IF(LEN(X6)&gt;0,concatl("#### More Information",X6),"")</f>
        <v/>
      </c>
      <c r="Z6" s="117" t="str">
        <f>IF(LEN(G6)&gt;1,concatll("#### Author's Note",G6,"-"&amp;B6),"")</f>
        <v/>
      </c>
      <c r="AA6" s="117" t="str">
        <f>IF(LEN(H6)&gt;1,concatll("#### Dedication",H6,"-"&amp;$B6),"")</f>
        <v/>
      </c>
      <c r="CA6" s="6" t="str">
        <f>IF(S6,concatll(concatl("---",T6,"---"),"*A collection of sites associated with this topic.*","#### Background",F6,Y6,Z6,AA6),"")</f>
        <v xml:space="preserve">---_x000D_
title: "Brussels"_x000D_
---_x000D_
_x000D_
_x000D_
*A collection of sites associated with this topic.*_x000D_
_x000D_
#### Background_x000D_
_x000D_
Catholic places of interest in the city of Brussels and its surroundings_x000D_
_x000D_
</v>
      </c>
      <c r="CB6" s="6" t="str">
        <f t="shared" ref="CB6:CB37" si="11">IF(S6,"tags\"&amp;C6&amp;"\_index.md","")</f>
        <v>tags\brussels\_index.md</v>
      </c>
    </row>
    <row r="7" spans="1:80" x14ac:dyDescent="0.25">
      <c r="A7" s="129" t="s">
        <v>786</v>
      </c>
      <c r="B7" s="153" t="s">
        <v>1653</v>
      </c>
      <c r="C7" s="140" t="s">
        <v>1759</v>
      </c>
      <c r="D7" s="153" t="s">
        <v>730</v>
      </c>
      <c r="E7" s="152" t="s">
        <v>1808</v>
      </c>
      <c r="F7" s="153" t="s">
        <v>1809</v>
      </c>
      <c r="I7" s="2"/>
      <c r="J7" s="2"/>
      <c r="K7" s="43"/>
      <c r="L7" s="39" t="s">
        <v>53</v>
      </c>
      <c r="M7" s="2" t="s">
        <v>53</v>
      </c>
      <c r="N7" s="43" t="s">
        <v>53</v>
      </c>
      <c r="O7" s="2" t="s">
        <v>53</v>
      </c>
      <c r="P7" s="2" t="s">
        <v>53</v>
      </c>
      <c r="Q7" s="31" t="s">
        <v>53</v>
      </c>
      <c r="R7" s="121" t="s">
        <v>53</v>
      </c>
      <c r="S7" s="116" t="b">
        <f t="shared" si="4"/>
        <v>1</v>
      </c>
      <c r="T7" s="117" t="str">
        <f t="shared" si="5"/>
        <v>title: "Paris"</v>
      </c>
      <c r="U7" s="120" t="str">
        <f t="shared" si="6"/>
        <v/>
      </c>
      <c r="V7" s="120" t="str">
        <f t="shared" si="7"/>
        <v/>
      </c>
      <c r="W7" s="120" t="str">
        <f t="shared" si="8"/>
        <v/>
      </c>
      <c r="X7" s="120" t="str">
        <f t="shared" si="9"/>
        <v/>
      </c>
      <c r="Y7" s="117" t="str">
        <f t="shared" si="10"/>
        <v/>
      </c>
      <c r="Z7" s="117" t="str">
        <f>IF(LEN(G7)&gt;1,concatll("#### Author's Note",G7,"-"&amp;B7),"")</f>
        <v/>
      </c>
      <c r="AA7" s="117" t="str">
        <f>IF(LEN(H7)&gt;1,concatll("#### Dedication",H7,"-"&amp;$B7),"")</f>
        <v/>
      </c>
      <c r="CA7" s="6" t="str">
        <f>IF(S7,concatll(concatl("---",T7,"---"),"*A collection of sites associated with this topic.*","#### Background",F7,Y7,Z7,AA7),"")</f>
        <v xml:space="preserve">---_x000D_
title: "Paris"_x000D_
---_x000D_
_x000D_
_x000D_
*A collection of sites associated with this topic.*_x000D_
_x000D_
#### Background_x000D_
_x000D_
Catholic places of interest in the city of Paris and its surroundings_x000D_
_x000D_
</v>
      </c>
      <c r="CB7" s="6" t="str">
        <f t="shared" si="11"/>
        <v>tags\paris\_index.md</v>
      </c>
    </row>
    <row r="8" spans="1:80" x14ac:dyDescent="0.25">
      <c r="A8" s="129" t="s">
        <v>786</v>
      </c>
      <c r="B8" s="153" t="s">
        <v>1654</v>
      </c>
      <c r="C8" s="33" t="s">
        <v>1760</v>
      </c>
      <c r="D8" s="153" t="s">
        <v>1844</v>
      </c>
      <c r="E8" s="152" t="s">
        <v>1755</v>
      </c>
      <c r="F8" s="153" t="s">
        <v>1841</v>
      </c>
      <c r="L8" s="40" t="s">
        <v>53</v>
      </c>
      <c r="M8" s="1" t="s">
        <v>53</v>
      </c>
      <c r="N8" s="44" t="s">
        <v>53</v>
      </c>
      <c r="O8" s="1" t="s">
        <v>53</v>
      </c>
      <c r="P8" s="1" t="s">
        <v>53</v>
      </c>
      <c r="Q8" s="30" t="s">
        <v>53</v>
      </c>
      <c r="R8" s="121" t="s">
        <v>53</v>
      </c>
      <c r="S8" s="116" t="b">
        <f t="shared" si="4"/>
        <v>1</v>
      </c>
      <c r="T8" s="117" t="str">
        <f t="shared" si="5"/>
        <v>title: "Diocese of Augsburg"</v>
      </c>
      <c r="U8" s="120" t="str">
        <f t="shared" si="6"/>
        <v/>
      </c>
      <c r="V8" s="120" t="str">
        <f t="shared" si="7"/>
        <v/>
      </c>
      <c r="W8" s="120" t="str">
        <f t="shared" si="8"/>
        <v/>
      </c>
      <c r="X8" s="120" t="str">
        <f t="shared" si="9"/>
        <v/>
      </c>
      <c r="Y8" s="117" t="str">
        <f t="shared" si="10"/>
        <v/>
      </c>
      <c r="Z8" s="117" t="str">
        <f>IF(LEN(G8)&gt;1,concatll("#### Author's Note",G8,"-"&amp;B8),"")</f>
        <v/>
      </c>
      <c r="AA8" s="117" t="str">
        <f>IF(LEN(H8)&gt;1,concatll("#### Dedication",H8,"-"&amp;$B8),"")</f>
        <v/>
      </c>
      <c r="CA8" s="6" t="str">
        <f>IF(S8,concatll(concatl("---",T8,"---"),"*A collection of sites associated with this topic.*","#### Background",F8,Y8,Z8,AA8),"")</f>
        <v xml:space="preserve">---_x000D_
title: "Diocese of Augsburg"_x000D_
---_x000D_
_x000D_
_x000D_
*A collection of sites associated with this topic.*_x000D_
_x000D_
#### Background_x000D_
_x000D_
Catholic places of interest in the Diocese of Augsburg, the largest in Germany_x000D_
_x000D_
</v>
      </c>
      <c r="CB8" s="6" t="str">
        <f t="shared" si="11"/>
        <v>tags\augsburg\_index.md</v>
      </c>
    </row>
    <row r="9" spans="1:80" x14ac:dyDescent="0.25">
      <c r="A9" s="129" t="s">
        <v>786</v>
      </c>
      <c r="B9" s="153" t="s">
        <v>1657</v>
      </c>
      <c r="C9" s="33" t="s">
        <v>1762</v>
      </c>
      <c r="D9" s="153" t="s">
        <v>1575</v>
      </c>
      <c r="E9" s="152" t="s">
        <v>1808</v>
      </c>
      <c r="F9" s="153" t="s">
        <v>1811</v>
      </c>
      <c r="G9" s="130"/>
      <c r="H9" s="139"/>
      <c r="I9" s="29"/>
      <c r="J9" s="17"/>
      <c r="K9" s="83"/>
      <c r="L9" s="41" t="s">
        <v>53</v>
      </c>
      <c r="M9" s="17" t="s">
        <v>53</v>
      </c>
      <c r="N9" s="45" t="s">
        <v>53</v>
      </c>
      <c r="O9" s="17" t="s">
        <v>53</v>
      </c>
      <c r="P9" s="17" t="s">
        <v>53</v>
      </c>
      <c r="Q9" s="68" t="s">
        <v>53</v>
      </c>
      <c r="R9" s="121" t="s">
        <v>53</v>
      </c>
      <c r="S9" s="116" t="b">
        <f t="shared" si="4"/>
        <v>1</v>
      </c>
      <c r="T9" s="117" t="str">
        <f t="shared" si="5"/>
        <v>title: "Goa"</v>
      </c>
      <c r="U9" s="120" t="str">
        <f t="shared" si="6"/>
        <v/>
      </c>
      <c r="V9" s="120" t="str">
        <f t="shared" si="7"/>
        <v/>
      </c>
      <c r="W9" s="120" t="str">
        <f t="shared" si="8"/>
        <v/>
      </c>
      <c r="X9" s="120" t="str">
        <f t="shared" si="9"/>
        <v/>
      </c>
      <c r="Y9" s="117" t="str">
        <f t="shared" si="10"/>
        <v/>
      </c>
      <c r="Z9" s="117" t="str">
        <f>IF(LEN(G9)&gt;1,concatll("#### Author's Note",G9,"-"&amp;B9),"")</f>
        <v/>
      </c>
      <c r="AA9" s="117" t="str">
        <f>IF(LEN(H9)&gt;1,concatll("#### Dedication",H9,"-"&amp;$B9),"")</f>
        <v/>
      </c>
      <c r="CA9" s="6" t="str">
        <f>IF(S9,concatll(concatl("---",T9,"---"),"*A collection of sites associated with this topic.*","#### Background",F9,Y9,Z9,AA9),"")</f>
        <v xml:space="preserve">---_x000D_
title: "Goa"_x000D_
---_x000D_
_x000D_
_x000D_
*A collection of sites associated with this topic.*_x000D_
_x000D_
#### Background_x000D_
_x000D_
Catholic places of interest in the city of Goa and its surroundings_x000D_
_x000D_
</v>
      </c>
      <c r="CB9" s="6" t="str">
        <f t="shared" si="11"/>
        <v>tags\goa\_index.md</v>
      </c>
    </row>
    <row r="10" spans="1:80" ht="25.5" x14ac:dyDescent="0.25">
      <c r="A10" s="129" t="s">
        <v>786</v>
      </c>
      <c r="B10" s="153" t="s">
        <v>1815</v>
      </c>
      <c r="C10" s="33" t="s">
        <v>1763</v>
      </c>
      <c r="D10" s="153" t="s">
        <v>709</v>
      </c>
      <c r="E10" s="152" t="s">
        <v>1808</v>
      </c>
      <c r="F10" s="153" t="s">
        <v>1814</v>
      </c>
      <c r="L10" s="40" t="s">
        <v>53</v>
      </c>
      <c r="M10" s="1" t="s">
        <v>53</v>
      </c>
      <c r="N10" s="44" t="s">
        <v>53</v>
      </c>
      <c r="O10" s="1" t="s">
        <v>53</v>
      </c>
      <c r="P10" s="1" t="s">
        <v>53</v>
      </c>
      <c r="Q10" s="30" t="s">
        <v>53</v>
      </c>
      <c r="R10" s="121" t="s">
        <v>53</v>
      </c>
      <c r="S10" s="116" t="b">
        <f t="shared" si="4"/>
        <v>1</v>
      </c>
      <c r="T10" s="117" t="str">
        <f t="shared" si="5"/>
        <v>title: "Rome"</v>
      </c>
      <c r="U10" s="120" t="str">
        <f t="shared" si="6"/>
        <v/>
      </c>
      <c r="V10" s="120" t="str">
        <f t="shared" si="7"/>
        <v/>
      </c>
      <c r="W10" s="120" t="str">
        <f t="shared" si="8"/>
        <v/>
      </c>
      <c r="X10" s="120" t="str">
        <f t="shared" si="9"/>
        <v/>
      </c>
      <c r="Y10" s="117" t="str">
        <f t="shared" si="10"/>
        <v/>
      </c>
      <c r="Z10" s="117" t="str">
        <f>IF(LEN(G10)&gt;1,concatll("#### Author's Note",G10,"-"&amp;B10),"")</f>
        <v/>
      </c>
      <c r="AA10" s="117" t="str">
        <f>IF(LEN(H10)&gt;1,concatll("#### Dedication",H10,"-"&amp;$B10),"")</f>
        <v/>
      </c>
      <c r="CA10" s="6" t="str">
        <f>IF(S10,concatll(concatl("---",T10,"---"),"*A collection of sites associated with this topic.*","#### Background",F10,Y10,Z10,AA10),"")</f>
        <v xml:space="preserve">---_x000D_
title: "Rome"_x000D_
---_x000D_
_x000D_
_x000D_
*A collection of sites associated with this topic.*_x000D_
_x000D_
#### Background_x000D_
_x000D_
Catholic places of interest in the city of Rome, including those in Vatican City_x000D_
_x000D_
</v>
      </c>
      <c r="CB10" s="6" t="str">
        <f t="shared" si="11"/>
        <v>tags\rome\_index.md</v>
      </c>
    </row>
    <row r="11" spans="1:80" ht="25.5" x14ac:dyDescent="0.25">
      <c r="A11" s="129" t="s">
        <v>786</v>
      </c>
      <c r="B11" s="153" t="s">
        <v>1815</v>
      </c>
      <c r="C11" s="139" t="s">
        <v>1767</v>
      </c>
      <c r="D11" s="153" t="s">
        <v>942</v>
      </c>
      <c r="E11" s="152" t="s">
        <v>1808</v>
      </c>
      <c r="F11" s="153" t="s">
        <v>1842</v>
      </c>
      <c r="I11" s="132"/>
      <c r="K11" s="133"/>
      <c r="L11" s="40" t="s">
        <v>53</v>
      </c>
      <c r="M11" s="1" t="s">
        <v>53</v>
      </c>
      <c r="N11" s="44" t="s">
        <v>53</v>
      </c>
      <c r="O11" s="1" t="s">
        <v>53</v>
      </c>
      <c r="P11" s="1" t="s">
        <v>53</v>
      </c>
      <c r="Q11" s="30" t="s">
        <v>53</v>
      </c>
      <c r="R11" s="121" t="s">
        <v>53</v>
      </c>
      <c r="S11" s="116" t="b">
        <f t="shared" si="4"/>
        <v>1</v>
      </c>
      <c r="T11" s="117" t="str">
        <f t="shared" si="5"/>
        <v>title: "Mexico City"</v>
      </c>
      <c r="U11" s="120" t="str">
        <f t="shared" si="6"/>
        <v/>
      </c>
      <c r="V11" s="120" t="str">
        <f t="shared" si="7"/>
        <v/>
      </c>
      <c r="W11" s="120" t="str">
        <f t="shared" si="8"/>
        <v/>
      </c>
      <c r="X11" s="117" t="str">
        <f t="shared" si="9"/>
        <v/>
      </c>
      <c r="Y11" s="117" t="str">
        <f t="shared" si="10"/>
        <v/>
      </c>
      <c r="Z11" s="117" t="str">
        <f>IF(LEN(G11)&gt;1,concatll("#### Author's Note",G11,"-"&amp;B11),"")</f>
        <v/>
      </c>
      <c r="AA11" s="117" t="str">
        <f>IF(LEN(H11)&gt;1,concatll("#### Dedication",H11,"-"&amp;$B11),"")</f>
        <v/>
      </c>
      <c r="CA11" s="6" t="str">
        <f>IF(S11,concatll(concatl("---",T11,"---"),"*A collection of sites associated with this topic.*","#### Background",F11,Y11,Z11,AA11),"")</f>
        <v xml:space="preserve">---_x000D_
title: "Mexico City"_x000D_
---_x000D_
_x000D_
_x000D_
*A collection of sites associated with this topic.*_x000D_
_x000D_
#### Background_x000D_
_x000D_
Catholic places of interest in Mexico City (Ciudad de Mexico) and its surroundings_x000D_
_x000D_
</v>
      </c>
      <c r="CB11" s="6" t="str">
        <f t="shared" si="11"/>
        <v>tags\mexico-city\_index.md</v>
      </c>
    </row>
    <row r="12" spans="1:80" x14ac:dyDescent="0.25">
      <c r="A12" s="129" t="s">
        <v>786</v>
      </c>
      <c r="B12" s="153" t="s">
        <v>1654</v>
      </c>
      <c r="C12" s="33" t="s">
        <v>1798</v>
      </c>
      <c r="D12" s="153" t="s">
        <v>1843</v>
      </c>
      <c r="E12" s="152" t="s">
        <v>1755</v>
      </c>
      <c r="F12" s="153" t="s">
        <v>1824</v>
      </c>
      <c r="L12" s="40" t="s">
        <v>53</v>
      </c>
      <c r="M12" s="1" t="s">
        <v>53</v>
      </c>
      <c r="N12" s="44" t="s">
        <v>53</v>
      </c>
      <c r="O12" s="1" t="s">
        <v>53</v>
      </c>
      <c r="P12" s="1" t="s">
        <v>53</v>
      </c>
      <c r="Q12" s="30" t="s">
        <v>53</v>
      </c>
      <c r="R12" s="121" t="s">
        <v>53</v>
      </c>
      <c r="S12" s="116" t="b">
        <f t="shared" si="4"/>
        <v>1</v>
      </c>
      <c r="T12" s="117" t="str">
        <f t="shared" si="5"/>
        <v>title: "Archdiocese of Santa Fe"</v>
      </c>
      <c r="U12" s="120" t="str">
        <f t="shared" si="6"/>
        <v/>
      </c>
      <c r="V12" s="120" t="str">
        <f t="shared" si="7"/>
        <v/>
      </c>
      <c r="W12" s="120" t="str">
        <f t="shared" si="8"/>
        <v/>
      </c>
      <c r="X12" s="120" t="str">
        <f t="shared" si="9"/>
        <v/>
      </c>
      <c r="Y12" s="117" t="str">
        <f t="shared" si="10"/>
        <v/>
      </c>
      <c r="Z12" s="117" t="str">
        <f>IF(LEN(G12)&gt;1,concatll("#### Author's Note",G12,"-"&amp;B12),"")</f>
        <v/>
      </c>
      <c r="AA12" s="117" t="str">
        <f>IF(LEN(H12)&gt;1,concatll("#### Dedication",H12,"-"&amp;$B12),"")</f>
        <v/>
      </c>
      <c r="CA12" s="6" t="str">
        <f>IF(S12,concatll(concatl("---",T12,"---"),"*A collection of sites associated with this topic.*","#### Background",F12,Y12,Z12,AA12),"")</f>
        <v xml:space="preserve">---_x000D_
title: "Archdiocese of Santa Fe"_x000D_
---_x000D_
_x000D_
_x000D_
*A collection of sites associated with this topic.*_x000D_
_x000D_
#### Background_x000D_
_x000D_
Catholic places of interest in the Archdiocese of Santa Fe_x000D_
_x000D_
</v>
      </c>
      <c r="CB12" s="6" t="str">
        <f t="shared" si="11"/>
        <v>tags\santa-fe\_index.md</v>
      </c>
    </row>
    <row r="13" spans="1:80" x14ac:dyDescent="0.25">
      <c r="A13" s="129" t="s">
        <v>786</v>
      </c>
      <c r="B13" s="153" t="s">
        <v>1653</v>
      </c>
      <c r="C13" s="33" t="s">
        <v>1799</v>
      </c>
      <c r="D13" s="153" t="s">
        <v>1845</v>
      </c>
      <c r="E13" s="33" t="s">
        <v>1755</v>
      </c>
      <c r="F13" s="153" t="s">
        <v>1827</v>
      </c>
      <c r="L13" s="40" t="s">
        <v>53</v>
      </c>
      <c r="M13" s="1" t="s">
        <v>53</v>
      </c>
      <c r="N13" s="44" t="s">
        <v>53</v>
      </c>
      <c r="O13" s="1" t="s">
        <v>53</v>
      </c>
      <c r="P13" s="1" t="s">
        <v>53</v>
      </c>
      <c r="Q13" s="30" t="s">
        <v>53</v>
      </c>
      <c r="R13" s="121" t="s">
        <v>53</v>
      </c>
      <c r="S13" s="116" t="b">
        <f t="shared" si="4"/>
        <v>1</v>
      </c>
      <c r="T13" s="117" t="str">
        <f t="shared" si="5"/>
        <v>title: "Archdiocese of Oklahoma City"</v>
      </c>
      <c r="U13" s="120" t="str">
        <f t="shared" si="6"/>
        <v/>
      </c>
      <c r="V13" s="120" t="str">
        <f t="shared" si="7"/>
        <v/>
      </c>
      <c r="W13" s="120" t="str">
        <f t="shared" si="8"/>
        <v/>
      </c>
      <c r="X13" s="120" t="str">
        <f t="shared" si="9"/>
        <v/>
      </c>
      <c r="Y13" s="117" t="str">
        <f t="shared" si="10"/>
        <v/>
      </c>
      <c r="Z13" s="117" t="str">
        <f>IF(LEN(G13)&gt;1,concatll("#### Author's Note",G13,"-"&amp;B13),"")</f>
        <v/>
      </c>
      <c r="AA13" s="117" t="str">
        <f>IF(LEN(H13)&gt;1,concatll("#### Dedication",H13,"-"&amp;$B13),"")</f>
        <v/>
      </c>
      <c r="CA13" s="6" t="str">
        <f>IF(S13,concatll(concatl("---",T13,"---"),"*A collection of sites associated with this topic.*","#### Background",F13,Y13,Z13,AA13),"")</f>
        <v xml:space="preserve">---_x000D_
title: "Archdiocese of Oklahoma City"_x000D_
---_x000D_
_x000D_
_x000D_
*A collection of sites associated with this topic.*_x000D_
_x000D_
#### Background_x000D_
_x000D_
Catholic places of interest in the Archdiocese of Oklahoma City_x000D_
_x000D_
</v>
      </c>
      <c r="CB13" s="6" t="str">
        <f t="shared" si="11"/>
        <v>tags\oklahoma-city\_index.md</v>
      </c>
    </row>
    <row r="14" spans="1:80" x14ac:dyDescent="0.25">
      <c r="A14" s="129" t="s">
        <v>786</v>
      </c>
      <c r="B14" s="153" t="s">
        <v>1653</v>
      </c>
      <c r="C14" s="92" t="s">
        <v>1800</v>
      </c>
      <c r="D14" s="153" t="s">
        <v>1846</v>
      </c>
      <c r="E14" s="152" t="s">
        <v>1755</v>
      </c>
      <c r="F14" s="153" t="s">
        <v>1826</v>
      </c>
      <c r="G14" s="130"/>
      <c r="H14" s="139"/>
      <c r="I14" s="51"/>
      <c r="J14" s="51"/>
      <c r="K14" s="53"/>
      <c r="L14" s="39" t="s">
        <v>53</v>
      </c>
      <c r="M14" s="2" t="s">
        <v>53</v>
      </c>
      <c r="N14" s="43" t="s">
        <v>53</v>
      </c>
      <c r="O14" s="2" t="s">
        <v>53</v>
      </c>
      <c r="P14" s="2" t="s">
        <v>53</v>
      </c>
      <c r="Q14" s="31" t="s">
        <v>53</v>
      </c>
      <c r="R14" s="123" t="s">
        <v>53</v>
      </c>
      <c r="S14" s="116" t="b">
        <f t="shared" si="4"/>
        <v>1</v>
      </c>
      <c r="T14" s="117" t="str">
        <f t="shared" si="5"/>
        <v>title: "Archdiocese of San Antonio"</v>
      </c>
      <c r="U14" s="120" t="str">
        <f t="shared" si="6"/>
        <v/>
      </c>
      <c r="V14" s="120" t="str">
        <f t="shared" si="7"/>
        <v/>
      </c>
      <c r="W14" s="120" t="str">
        <f t="shared" si="8"/>
        <v/>
      </c>
      <c r="X14" s="120" t="str">
        <f t="shared" si="9"/>
        <v/>
      </c>
      <c r="Y14" s="117" t="str">
        <f t="shared" si="10"/>
        <v/>
      </c>
      <c r="Z14" s="117" t="str">
        <f>IF(LEN(G14)&gt;1,concatll("#### Author's Note",G14,"-"&amp;B14),"")</f>
        <v/>
      </c>
      <c r="AA14" s="117" t="str">
        <f>IF(LEN(H14)&gt;1,concatll("#### Dedication",H14,"-"&amp;$B14),"")</f>
        <v/>
      </c>
      <c r="CA14" s="6" t="str">
        <f>IF(S14,concatll(concatl("---",T14,"---"),"*A collection of sites associated with this topic.*","#### Background",F14,Y14,Z14,AA14),"")</f>
        <v xml:space="preserve">---_x000D_
title: "Archdiocese of San Antonio"_x000D_
---_x000D_
_x000D_
_x000D_
*A collection of sites associated with this topic.*_x000D_
_x000D_
#### Background_x000D_
_x000D_
Catholic places of interest in the Archdiocese of San Antonio_x000D_
_x000D_
</v>
      </c>
      <c r="CB14" s="6" t="str">
        <f t="shared" si="11"/>
        <v>tags\san-antonio\_index.md</v>
      </c>
    </row>
    <row r="15" spans="1:80" x14ac:dyDescent="0.25">
      <c r="A15" s="129" t="s">
        <v>786</v>
      </c>
      <c r="B15" s="153" t="s">
        <v>1654</v>
      </c>
      <c r="C15" s="33" t="s">
        <v>1801</v>
      </c>
      <c r="D15" s="153" t="s">
        <v>1847</v>
      </c>
      <c r="E15" s="152" t="s">
        <v>1755</v>
      </c>
      <c r="F15" s="153" t="s">
        <v>1825</v>
      </c>
      <c r="I15" s="1" t="s">
        <v>1813</v>
      </c>
      <c r="J15" s="1" t="s">
        <v>1812</v>
      </c>
      <c r="K15" s="151" t="s">
        <v>53</v>
      </c>
      <c r="L15" s="40" t="s">
        <v>53</v>
      </c>
      <c r="M15" s="1" t="s">
        <v>53</v>
      </c>
      <c r="N15" s="44" t="s">
        <v>53</v>
      </c>
      <c r="O15" s="1" t="s">
        <v>53</v>
      </c>
      <c r="P15" s="1" t="s">
        <v>53</v>
      </c>
      <c r="Q15" s="30" t="s">
        <v>53</v>
      </c>
      <c r="R15" s="121" t="s">
        <v>53</v>
      </c>
      <c r="S15" s="116" t="b">
        <f t="shared" si="4"/>
        <v>1</v>
      </c>
      <c r="T15" s="117" t="str">
        <f t="shared" si="5"/>
        <v>title: "Diocese of Dallas"</v>
      </c>
      <c r="U15" s="120" t="str">
        <f t="shared" si="6"/>
        <v>[History of the church in Dallas, specifically the cathedral](https://dallaspioneer.org/sacred-heart-guadalupe-cathedral/))</v>
      </c>
      <c r="V15" s="120" t="str">
        <f t="shared" si="7"/>
        <v/>
      </c>
      <c r="W15" s="120" t="str">
        <f t="shared" si="8"/>
        <v/>
      </c>
      <c r="X15" s="120" t="str">
        <f t="shared" si="9"/>
        <v xml:space="preserve">* [History of the church in Dallas, specifically the cathedral](https://dallaspioneer.org/sacred-heart-guadalupe-cathedral/))
</v>
      </c>
      <c r="Y15" s="117" t="str">
        <f t="shared" si="10"/>
        <v xml:space="preserve">#### More Information_x000D_
* [History of the church in Dallas, specifically the cathedral](https://dallaspioneer.org/sacred-heart-guadalupe-cathedral/))
_x000D_
</v>
      </c>
      <c r="Z15" s="117" t="str">
        <f>IF(LEN(G15)&gt;1,concatll("#### Author's Note",G15,"-"&amp;B15),"")</f>
        <v/>
      </c>
      <c r="AA15" s="117" t="str">
        <f>IF(LEN(H15)&gt;1,concatll("#### Dedication",H15,"-"&amp;$B15),"")</f>
        <v/>
      </c>
      <c r="CA15" s="6" t="str">
        <f>IF(S15,concatll(concatl("---",T15,"---"),"*A collection of sites associated with this topic.*","#### Background",F15,Y15,Z15,AA15),"")</f>
        <v xml:space="preserve">---_x000D_
title: "Diocese of Dallas"_x000D_
---_x000D_
_x000D_
_x000D_
*A collection of sites associated with this topic.*_x000D_
_x000D_
#### Background_x000D_
_x000D_
Catholic places of interest in the Diocese of Dallas_x000D_
_x000D_
#### More Information_x000D_
* [History of the church in Dallas, specifically the cathedral](https://dallaspioneer.org/sacred-heart-guadalupe-cathedral/))
_x000D_
_x000D_
_x000D_
</v>
      </c>
      <c r="CB15" s="6" t="str">
        <f t="shared" si="11"/>
        <v>tags\dallas\_index.md</v>
      </c>
    </row>
    <row r="16" spans="1:80" x14ac:dyDescent="0.25">
      <c r="A16" s="129" t="s">
        <v>786</v>
      </c>
      <c r="B16" s="153" t="s">
        <v>1653</v>
      </c>
      <c r="C16" s="61" t="s">
        <v>1791</v>
      </c>
      <c r="D16" s="153" t="s">
        <v>1848</v>
      </c>
      <c r="E16" s="33" t="s">
        <v>1755</v>
      </c>
      <c r="F16" s="153" t="s">
        <v>1816</v>
      </c>
      <c r="L16" s="40" t="s">
        <v>53</v>
      </c>
      <c r="M16" s="1" t="s">
        <v>53</v>
      </c>
      <c r="N16" s="44" t="s">
        <v>53</v>
      </c>
      <c r="O16" s="1" t="s">
        <v>53</v>
      </c>
      <c r="P16" s="1" t="s">
        <v>53</v>
      </c>
      <c r="Q16" s="30" t="s">
        <v>53</v>
      </c>
      <c r="R16" s="121" t="s">
        <v>53</v>
      </c>
      <c r="S16" s="116" t="b">
        <f t="shared" si="4"/>
        <v>1</v>
      </c>
      <c r="T16" s="117" t="str">
        <f t="shared" si="5"/>
        <v>title: "Diocese of San Diego"</v>
      </c>
      <c r="U16" s="120" t="str">
        <f t="shared" si="6"/>
        <v/>
      </c>
      <c r="V16" s="120" t="str">
        <f t="shared" si="7"/>
        <v/>
      </c>
      <c r="W16" s="120" t="str">
        <f t="shared" si="8"/>
        <v/>
      </c>
      <c r="X16" s="120" t="str">
        <f t="shared" si="9"/>
        <v/>
      </c>
      <c r="Y16" s="117" t="str">
        <f t="shared" si="10"/>
        <v/>
      </c>
      <c r="Z16" s="117" t="str">
        <f>IF(LEN(G16)&gt;1,concatll("#### Author's Note",G16,"-"&amp;B16),"")</f>
        <v/>
      </c>
      <c r="AA16" s="117" t="str">
        <f>IF(LEN(H16)&gt;1,concatll("#### Dedication",H16,"-"&amp;$B16),"")</f>
        <v/>
      </c>
      <c r="CA16" s="6" t="str">
        <f>IF(S16,concatll(concatl("---",T16,"---"),"*A collection of sites associated with this topic.*","#### Background",F16,Y16,Z16,AA16),"")</f>
        <v xml:space="preserve">---_x000D_
title: "Diocese of San Diego"_x000D_
---_x000D_
_x000D_
_x000D_
*A collection of sites associated with this topic.*_x000D_
_x000D_
#### Background_x000D_
_x000D_
Catholic places of interest in the Diocese of San Diego_x000D_
_x000D_
</v>
      </c>
      <c r="CB16" s="6" t="str">
        <f t="shared" si="11"/>
        <v>tags\san-diego\_index.md</v>
      </c>
    </row>
    <row r="17" spans="1:80" x14ac:dyDescent="0.25">
      <c r="A17" s="129" t="s">
        <v>786</v>
      </c>
      <c r="B17" s="55" t="s">
        <v>1653</v>
      </c>
      <c r="C17" s="61" t="s">
        <v>1792</v>
      </c>
      <c r="D17" s="153" t="s">
        <v>1849</v>
      </c>
      <c r="E17" s="61" t="s">
        <v>1755</v>
      </c>
      <c r="F17" s="153" t="s">
        <v>1817</v>
      </c>
      <c r="L17" s="40" t="s">
        <v>53</v>
      </c>
      <c r="M17" s="1" t="s">
        <v>53</v>
      </c>
      <c r="N17" s="44" t="s">
        <v>53</v>
      </c>
      <c r="O17" s="1" t="s">
        <v>53</v>
      </c>
      <c r="P17" s="1" t="s">
        <v>53</v>
      </c>
      <c r="Q17" s="30" t="s">
        <v>53</v>
      </c>
      <c r="R17" s="121" t="s">
        <v>53</v>
      </c>
      <c r="S17" s="116" t="b">
        <f t="shared" si="4"/>
        <v>1</v>
      </c>
      <c r="T17" s="117" t="str">
        <f t="shared" si="5"/>
        <v>title: "Diocese of Monterey"</v>
      </c>
      <c r="U17" s="120" t="str">
        <f t="shared" si="6"/>
        <v/>
      </c>
      <c r="V17" s="120" t="str">
        <f t="shared" si="7"/>
        <v/>
      </c>
      <c r="W17" s="120" t="str">
        <f t="shared" si="8"/>
        <v/>
      </c>
      <c r="X17" s="120" t="str">
        <f t="shared" si="9"/>
        <v/>
      </c>
      <c r="Y17" s="117" t="str">
        <f t="shared" si="10"/>
        <v/>
      </c>
      <c r="Z17" s="117" t="str">
        <f>IF(LEN(G17)&gt;1,concatll("#### Author's Note",G17,"-"&amp;B17),"")</f>
        <v/>
      </c>
      <c r="AA17" s="117" t="str">
        <f>IF(LEN(H17)&gt;1,concatll("#### Dedication",H17,"-"&amp;$B17),"")</f>
        <v/>
      </c>
      <c r="CA17" s="6" t="str">
        <f>IF(S17,concatll(concatl("---",T17,"---"),"*A collection of sites associated with this topic.*","#### Background",F17,Y17,Z17,AA17),"")</f>
        <v xml:space="preserve">---_x000D_
title: "Diocese of Monterey"_x000D_
---_x000D_
_x000D_
_x000D_
*A collection of sites associated with this topic.*_x000D_
_x000D_
#### Background_x000D_
_x000D_
Catholic places of interest in the Diocese of Monterey_x000D_
_x000D_
</v>
      </c>
      <c r="CB17" s="6" t="str">
        <f t="shared" si="11"/>
        <v>tags\monterey\_index.md</v>
      </c>
    </row>
    <row r="18" spans="1:80" x14ac:dyDescent="0.25">
      <c r="A18" s="129" t="s">
        <v>786</v>
      </c>
      <c r="B18" s="55" t="s">
        <v>1653</v>
      </c>
      <c r="C18" s="61" t="s">
        <v>1793</v>
      </c>
      <c r="D18" s="153" t="s">
        <v>1850</v>
      </c>
      <c r="E18" s="61" t="s">
        <v>1755</v>
      </c>
      <c r="F18" s="55" t="s">
        <v>1818</v>
      </c>
      <c r="L18" s="40" t="s">
        <v>53</v>
      </c>
      <c r="M18" s="1" t="s">
        <v>53</v>
      </c>
      <c r="N18" s="44" t="s">
        <v>53</v>
      </c>
      <c r="O18" s="1" t="s">
        <v>53</v>
      </c>
      <c r="P18" s="1" t="s">
        <v>53</v>
      </c>
      <c r="Q18" s="30" t="s">
        <v>53</v>
      </c>
      <c r="R18" s="121" t="s">
        <v>53</v>
      </c>
      <c r="S18" s="116" t="b">
        <f t="shared" si="4"/>
        <v>1</v>
      </c>
      <c r="T18" s="117" t="str">
        <f t="shared" si="5"/>
        <v>title: "Archdiocese of Los Angeles"</v>
      </c>
      <c r="U18" s="120" t="str">
        <f t="shared" si="6"/>
        <v/>
      </c>
      <c r="V18" s="120" t="str">
        <f t="shared" si="7"/>
        <v/>
      </c>
      <c r="W18" s="120" t="str">
        <f t="shared" si="8"/>
        <v/>
      </c>
      <c r="X18" s="120" t="str">
        <f t="shared" si="9"/>
        <v/>
      </c>
      <c r="Y18" s="117" t="str">
        <f t="shared" si="10"/>
        <v/>
      </c>
      <c r="Z18" s="117" t="str">
        <f>IF(LEN(G18)&gt;1,concatll("#### Author's Note",G18,"-"&amp;B18),"")</f>
        <v/>
      </c>
      <c r="AA18" s="117" t="str">
        <f>IF(LEN(H18)&gt;1,concatll("#### Dedication",H18,"-"&amp;$B18),"")</f>
        <v/>
      </c>
      <c r="CA18" s="6" t="str">
        <f>IF(S18,concatll(concatl("---",T18,"---"),"*A collection of sites associated with this topic.*","#### Background",F18,Y18,Z18,AA18),"")</f>
        <v xml:space="preserve">---_x000D_
title: "Archdiocese of Los Angeles"_x000D_
---_x000D_
_x000D_
_x000D_
*A collection of sites associated with this topic.*_x000D_
_x000D_
#### Background_x000D_
_x000D_
Catholic places of interest in the Archdiocese of Los Angeles_x000D_
_x000D_
</v>
      </c>
      <c r="CB18" s="6" t="str">
        <f t="shared" si="11"/>
        <v>tags\los-angeles\_index.md</v>
      </c>
    </row>
    <row r="19" spans="1:80" x14ac:dyDescent="0.25">
      <c r="A19" s="129" t="s">
        <v>786</v>
      </c>
      <c r="B19" s="7" t="s">
        <v>1653</v>
      </c>
      <c r="C19" s="33" t="s">
        <v>1794</v>
      </c>
      <c r="D19" s="153" t="s">
        <v>1851</v>
      </c>
      <c r="E19" s="33" t="s">
        <v>1755</v>
      </c>
      <c r="F19" s="7" t="s">
        <v>1819</v>
      </c>
      <c r="L19" s="40" t="s">
        <v>53</v>
      </c>
      <c r="M19" s="1" t="s">
        <v>53</v>
      </c>
      <c r="N19" s="44" t="s">
        <v>53</v>
      </c>
      <c r="O19" s="1" t="s">
        <v>53</v>
      </c>
      <c r="P19" s="1" t="s">
        <v>53</v>
      </c>
      <c r="Q19" s="30" t="s">
        <v>53</v>
      </c>
      <c r="R19" s="121" t="s">
        <v>53</v>
      </c>
      <c r="S19" s="116" t="b">
        <f t="shared" si="4"/>
        <v>1</v>
      </c>
      <c r="T19" s="117" t="str">
        <f t="shared" si="5"/>
        <v>title: "Archdiocese of San Francisco"</v>
      </c>
      <c r="U19" s="120" t="str">
        <f t="shared" si="6"/>
        <v/>
      </c>
      <c r="V19" s="120" t="str">
        <f t="shared" si="7"/>
        <v/>
      </c>
      <c r="W19" s="120" t="str">
        <f t="shared" si="8"/>
        <v/>
      </c>
      <c r="X19" s="120" t="str">
        <f t="shared" si="9"/>
        <v/>
      </c>
      <c r="Y19" s="117" t="str">
        <f t="shared" si="10"/>
        <v/>
      </c>
      <c r="Z19" s="117" t="str">
        <f>IF(LEN(G19)&gt;1,concatll("#### Author's Note",G19,"-"&amp;B19),"")</f>
        <v/>
      </c>
      <c r="AA19" s="117" t="str">
        <f>IF(LEN(H19)&gt;1,concatll("#### Dedication",H19,"-"&amp;$B19),"")</f>
        <v/>
      </c>
      <c r="CA19" s="6" t="str">
        <f>IF(S19,concatll(concatl("---",T19,"---"),"*A collection of sites associated with this topic.*","#### Background",F19,Y19,Z19,AA19),"")</f>
        <v xml:space="preserve">---_x000D_
title: "Archdiocese of San Francisco"_x000D_
---_x000D_
_x000D_
_x000D_
*A collection of sites associated with this topic.*_x000D_
_x000D_
#### Background_x000D_
_x000D_
Catholic places of interest in the Archdiocese of San Francisco_x000D_
_x000D_
</v>
      </c>
      <c r="CB19" s="6" t="str">
        <f t="shared" si="11"/>
        <v>tags\san-francisco\_index.md</v>
      </c>
    </row>
    <row r="20" spans="1:80" x14ac:dyDescent="0.25">
      <c r="A20" s="129" t="s">
        <v>786</v>
      </c>
      <c r="B20" s="7" t="s">
        <v>1653</v>
      </c>
      <c r="C20" s="33" t="s">
        <v>1795</v>
      </c>
      <c r="D20" s="153" t="s">
        <v>1852</v>
      </c>
      <c r="E20" s="33" t="s">
        <v>1755</v>
      </c>
      <c r="F20" s="7" t="s">
        <v>1820</v>
      </c>
      <c r="G20" s="130"/>
      <c r="H20" s="139"/>
      <c r="L20" s="40" t="s">
        <v>53</v>
      </c>
      <c r="M20" s="1" t="s">
        <v>53</v>
      </c>
      <c r="N20" s="44" t="s">
        <v>53</v>
      </c>
      <c r="O20" s="1" t="s">
        <v>53</v>
      </c>
      <c r="P20" s="1" t="s">
        <v>53</v>
      </c>
      <c r="Q20" s="30" t="s">
        <v>53</v>
      </c>
      <c r="R20" s="121" t="s">
        <v>53</v>
      </c>
      <c r="S20" s="116" t="b">
        <f t="shared" si="4"/>
        <v>1</v>
      </c>
      <c r="T20" s="117" t="str">
        <f t="shared" si="5"/>
        <v>title: "Diocese of Orange"</v>
      </c>
      <c r="U20" s="120" t="str">
        <f t="shared" si="6"/>
        <v/>
      </c>
      <c r="V20" s="120" t="str">
        <f t="shared" si="7"/>
        <v/>
      </c>
      <c r="W20" s="120" t="str">
        <f t="shared" si="8"/>
        <v/>
      </c>
      <c r="X20" s="120" t="str">
        <f t="shared" si="9"/>
        <v/>
      </c>
      <c r="Y20" s="117" t="str">
        <f t="shared" si="10"/>
        <v/>
      </c>
      <c r="Z20" s="117" t="str">
        <f>IF(LEN(G20)&gt;1,concatll("#### Author's Note",G20,"-"&amp;B20),"")</f>
        <v/>
      </c>
      <c r="AA20" s="117" t="str">
        <f>IF(LEN(H20)&gt;1,concatll("#### Dedication",H20,"-"&amp;$B20),"")</f>
        <v/>
      </c>
      <c r="CA20" s="6" t="str">
        <f>IF(S20,concatll(concatl("---",T20,"---"),"*A collection of sites associated with this topic.*","#### Background",F20,Y20,Z20,AA20),"")</f>
        <v xml:space="preserve">---_x000D_
title: "Diocese of Orange"_x000D_
---_x000D_
_x000D_
_x000D_
*A collection of sites associated with this topic.*_x000D_
_x000D_
#### Background_x000D_
_x000D_
Catholic places of interest in the Diocese of Orange_x000D_
_x000D_
</v>
      </c>
      <c r="CB20" s="6" t="str">
        <f t="shared" si="11"/>
        <v>tags\orange\_index.md</v>
      </c>
    </row>
    <row r="21" spans="1:80" x14ac:dyDescent="0.25">
      <c r="A21" s="129" t="s">
        <v>786</v>
      </c>
      <c r="B21" s="7" t="s">
        <v>1653</v>
      </c>
      <c r="C21" s="38" t="s">
        <v>1796</v>
      </c>
      <c r="D21" s="153" t="s">
        <v>1853</v>
      </c>
      <c r="E21" s="33" t="s">
        <v>1755</v>
      </c>
      <c r="F21" s="7" t="s">
        <v>1821</v>
      </c>
      <c r="L21" s="40" t="s">
        <v>53</v>
      </c>
      <c r="M21" s="1" t="s">
        <v>53</v>
      </c>
      <c r="N21" s="44" t="s">
        <v>53</v>
      </c>
      <c r="O21" s="1" t="s">
        <v>53</v>
      </c>
      <c r="P21" s="1" t="s">
        <v>53</v>
      </c>
      <c r="Q21" s="30" t="s">
        <v>53</v>
      </c>
      <c r="R21" s="121" t="s">
        <v>53</v>
      </c>
      <c r="S21" s="116" t="b">
        <f t="shared" si="4"/>
        <v>1</v>
      </c>
      <c r="T21" s="117" t="str">
        <f t="shared" si="5"/>
        <v>title: "Diocese of San Jose"</v>
      </c>
      <c r="U21" s="120" t="str">
        <f t="shared" si="6"/>
        <v/>
      </c>
      <c r="V21" s="120" t="str">
        <f t="shared" si="7"/>
        <v/>
      </c>
      <c r="W21" s="120" t="str">
        <f t="shared" si="8"/>
        <v/>
      </c>
      <c r="X21" s="120" t="str">
        <f t="shared" si="9"/>
        <v/>
      </c>
      <c r="Y21" s="117" t="str">
        <f t="shared" si="10"/>
        <v/>
      </c>
      <c r="Z21" s="117" t="str">
        <f>IF(LEN(G21)&gt;1,concatll("#### Author's Note",G21,"-"&amp;B21),"")</f>
        <v/>
      </c>
      <c r="AA21" s="117" t="str">
        <f>IF(LEN(H21)&gt;1,concatll("#### Dedication",H21,"-"&amp;$B21),"")</f>
        <v/>
      </c>
      <c r="CA21" s="6" t="str">
        <f>IF(S21,concatll(concatl("---",T21,"---"),"*A collection of sites associated with this topic.*","#### Background",F21,Y21,Z21,AA21),"")</f>
        <v xml:space="preserve">---_x000D_
title: "Diocese of San Jose"_x000D_
---_x000D_
_x000D_
_x000D_
*A collection of sites associated with this topic.*_x000D_
_x000D_
#### Background_x000D_
_x000D_
Catholic places of interest in the Diocese of San Jose_x000D_
_x000D_
</v>
      </c>
      <c r="CB21" s="6" t="str">
        <f t="shared" si="11"/>
        <v>tags\san-jose\_index.md</v>
      </c>
    </row>
    <row r="22" spans="1:80" x14ac:dyDescent="0.25">
      <c r="A22" s="129" t="s">
        <v>786</v>
      </c>
      <c r="B22" s="10" t="s">
        <v>1653</v>
      </c>
      <c r="C22" s="33" t="s">
        <v>1797</v>
      </c>
      <c r="D22" s="153" t="s">
        <v>1854</v>
      </c>
      <c r="E22" s="33" t="s">
        <v>1755</v>
      </c>
      <c r="F22" s="10" t="s">
        <v>1822</v>
      </c>
      <c r="G22" s="130"/>
      <c r="H22" s="139"/>
      <c r="L22" s="40" t="s">
        <v>53</v>
      </c>
      <c r="M22" s="1" t="s">
        <v>53</v>
      </c>
      <c r="N22" s="44" t="s">
        <v>53</v>
      </c>
      <c r="O22" s="1" t="s">
        <v>53</v>
      </c>
      <c r="P22" s="1" t="s">
        <v>53</v>
      </c>
      <c r="Q22" s="30" t="s">
        <v>53</v>
      </c>
      <c r="R22" s="121" t="s">
        <v>53</v>
      </c>
      <c r="S22" s="116" t="b">
        <f t="shared" si="4"/>
        <v>1</v>
      </c>
      <c r="T22" s="117" t="str">
        <f t="shared" si="5"/>
        <v>title: "Diocese of Ventura"</v>
      </c>
      <c r="U22" s="120" t="str">
        <f t="shared" si="6"/>
        <v/>
      </c>
      <c r="V22" s="120" t="str">
        <f t="shared" si="7"/>
        <v/>
      </c>
      <c r="W22" s="120" t="str">
        <f t="shared" si="8"/>
        <v/>
      </c>
      <c r="X22" s="120" t="str">
        <f t="shared" si="9"/>
        <v/>
      </c>
      <c r="Y22" s="117" t="str">
        <f t="shared" si="10"/>
        <v/>
      </c>
      <c r="Z22" s="117" t="str">
        <f>IF(LEN(G22)&gt;1,concatll("#### Author's Note",G22,"-"&amp;B22),"")</f>
        <v/>
      </c>
      <c r="AA22" s="117" t="str">
        <f>IF(LEN(H22)&gt;1,concatll("#### Dedication",H22,"-"&amp;$B22),"")</f>
        <v/>
      </c>
      <c r="CA22" s="6" t="str">
        <f>IF(S22,concatll(concatl("---",T22,"---"),"*A collection of sites associated with this topic.*","#### Background",F22,Y22,Z22,AA22),"")</f>
        <v xml:space="preserve">---_x000D_
title: "Diocese of Ventura"_x000D_
---_x000D_
_x000D_
_x000D_
*A collection of sites associated with this topic.*_x000D_
_x000D_
#### Background_x000D_
_x000D_
Catholic places of interest in the Diocese of Ventura_x000D_
_x000D_
</v>
      </c>
      <c r="CB22" s="6" t="str">
        <f t="shared" si="11"/>
        <v>tags\ventura\_index.md</v>
      </c>
    </row>
    <row r="23" spans="1:80" x14ac:dyDescent="0.25">
      <c r="A23" s="129" t="s">
        <v>786</v>
      </c>
      <c r="B23" s="7" t="s">
        <v>1653</v>
      </c>
      <c r="C23" s="33" t="s">
        <v>1757</v>
      </c>
      <c r="D23" s="153" t="s">
        <v>1855</v>
      </c>
      <c r="E23" s="152" t="s">
        <v>1755</v>
      </c>
      <c r="F23" s="7" t="s">
        <v>1823</v>
      </c>
      <c r="G23" s="130"/>
      <c r="H23" s="139"/>
      <c r="L23" s="40" t="s">
        <v>53</v>
      </c>
      <c r="M23" s="1" t="s">
        <v>53</v>
      </c>
      <c r="N23" s="44" t="s">
        <v>53</v>
      </c>
      <c r="O23" s="1" t="s">
        <v>53</v>
      </c>
      <c r="P23" s="1" t="s">
        <v>53</v>
      </c>
      <c r="Q23" s="30" t="s">
        <v>53</v>
      </c>
      <c r="R23" s="121" t="s">
        <v>53</v>
      </c>
      <c r="S23" s="116" t="b">
        <f t="shared" si="4"/>
        <v>1</v>
      </c>
      <c r="T23" s="117" t="str">
        <f t="shared" si="5"/>
        <v>title: "Diocese of Oakland"</v>
      </c>
      <c r="U23" s="120" t="str">
        <f t="shared" si="6"/>
        <v/>
      </c>
      <c r="V23" s="120" t="str">
        <f t="shared" si="7"/>
        <v/>
      </c>
      <c r="W23" s="120" t="str">
        <f t="shared" si="8"/>
        <v/>
      </c>
      <c r="X23" s="120" t="str">
        <f t="shared" si="9"/>
        <v/>
      </c>
      <c r="Y23" s="117" t="str">
        <f t="shared" si="10"/>
        <v/>
      </c>
      <c r="Z23" s="117" t="str">
        <f>IF(LEN(G23)&gt;1,concatll("#### Author's Note",G23,"-"&amp;B23),"")</f>
        <v/>
      </c>
      <c r="AA23" s="117" t="str">
        <f>IF(LEN(H23)&gt;1,concatll("#### Dedication",H23,"-"&amp;$B23),"")</f>
        <v/>
      </c>
      <c r="CA23" s="6" t="str">
        <f>IF(S23,concatll(concatl("---",T23,"---"),"*A collection of sites associated with this topic.*","#### Background",F23,Y23,Z23,AA23),"")</f>
        <v xml:space="preserve">---_x000D_
title: "Diocese of Oakland"_x000D_
---_x000D_
_x000D_
_x000D_
*A collection of sites associated with this topic.*_x000D_
_x000D_
#### Background_x000D_
_x000D_
Catholic places of interest in the Diocese of Oakland_x000D_
_x000D_
</v>
      </c>
      <c r="CB23" s="6" t="str">
        <f t="shared" si="11"/>
        <v>tags\oakland\_index.md</v>
      </c>
    </row>
    <row r="24" spans="1:80" x14ac:dyDescent="0.25">
      <c r="A24" s="129" t="s">
        <v>786</v>
      </c>
      <c r="B24" s="153" t="s">
        <v>1653</v>
      </c>
      <c r="C24" s="81" t="s">
        <v>1832</v>
      </c>
      <c r="D24" s="153" t="s">
        <v>1856</v>
      </c>
      <c r="E24" s="152" t="s">
        <v>1755</v>
      </c>
      <c r="F24" s="153" t="s">
        <v>1833</v>
      </c>
      <c r="I24" s="1" t="s">
        <v>53</v>
      </c>
      <c r="J24" s="1" t="s">
        <v>53</v>
      </c>
      <c r="K24" s="44" t="s">
        <v>53</v>
      </c>
      <c r="L24" s="40" t="s">
        <v>53</v>
      </c>
      <c r="M24" s="1" t="s">
        <v>53</v>
      </c>
      <c r="N24" s="44" t="s">
        <v>53</v>
      </c>
      <c r="O24" s="1" t="s">
        <v>53</v>
      </c>
      <c r="P24" s="1" t="s">
        <v>53</v>
      </c>
      <c r="Q24" s="30" t="s">
        <v>53</v>
      </c>
      <c r="R24" s="121" t="s">
        <v>53</v>
      </c>
      <c r="S24" s="116" t="b">
        <f t="shared" si="4"/>
        <v>1</v>
      </c>
      <c r="T24" s="117" t="str">
        <f t="shared" si="5"/>
        <v>title: "Archdiocese of Baltimore"</v>
      </c>
      <c r="U24" s="120" t="str">
        <f t="shared" si="6"/>
        <v/>
      </c>
      <c r="V24" s="120" t="str">
        <f t="shared" si="7"/>
        <v/>
      </c>
      <c r="W24" s="120" t="str">
        <f t="shared" si="8"/>
        <v/>
      </c>
      <c r="X24" s="120" t="str">
        <f t="shared" si="9"/>
        <v/>
      </c>
      <c r="Y24" s="117" t="str">
        <f t="shared" si="10"/>
        <v/>
      </c>
      <c r="Z24" s="117" t="str">
        <f>IF(LEN(G24)&gt;1,concatll("#### Author's Note",G24,"-"&amp;B24),"")</f>
        <v/>
      </c>
      <c r="AA24" s="117" t="str">
        <f>IF(LEN(H24)&gt;1,concatll("#### Dedication",H24,"-"&amp;$B24),"")</f>
        <v/>
      </c>
      <c r="CA24" s="6" t="str">
        <f>IF(S24,concatll(concatl("---",T24,"---"),"*A collection of sites associated with this topic.*","#### Background",F24,Y24,Z24,AA24),"")</f>
        <v xml:space="preserve">---_x000D_
title: "Archdiocese of Baltimore"_x000D_
---_x000D_
_x000D_
_x000D_
*A collection of sites associated with this topic.*_x000D_
_x000D_
#### Background_x000D_
_x000D_
Catholic places of interest in the Archdiocese of Baltimore_x000D_
_x000D_
</v>
      </c>
      <c r="CB24" s="6" t="str">
        <f t="shared" si="11"/>
        <v>tags\baltimore\_index.md</v>
      </c>
    </row>
    <row r="25" spans="1:80" ht="25.5" x14ac:dyDescent="0.25">
      <c r="A25" s="129" t="s">
        <v>786</v>
      </c>
      <c r="B25" s="153" t="s">
        <v>1654</v>
      </c>
      <c r="C25" s="33" t="s">
        <v>1837</v>
      </c>
      <c r="D25" s="153" t="s">
        <v>1857</v>
      </c>
      <c r="E25" s="152" t="s">
        <v>1755</v>
      </c>
      <c r="F25" s="153" t="s">
        <v>1838</v>
      </c>
      <c r="I25" s="155" t="s">
        <v>1839</v>
      </c>
      <c r="J25" s="1" t="s">
        <v>1840</v>
      </c>
      <c r="K25" s="44" t="s">
        <v>53</v>
      </c>
      <c r="L25" s="40" t="s">
        <v>53</v>
      </c>
      <c r="M25" s="1" t="s">
        <v>53</v>
      </c>
      <c r="N25" s="44" t="s">
        <v>53</v>
      </c>
      <c r="O25" s="1" t="s">
        <v>53</v>
      </c>
      <c r="P25" s="1" t="s">
        <v>53</v>
      </c>
      <c r="Q25" s="30" t="s">
        <v>53</v>
      </c>
      <c r="R25" s="121" t="s">
        <v>53</v>
      </c>
      <c r="S25" s="116" t="b">
        <f t="shared" si="4"/>
        <v>1</v>
      </c>
      <c r="T25" s="117" t="str">
        <f t="shared" si="5"/>
        <v>title: "Archdiocese of Westminster (London)"</v>
      </c>
      <c r="U25" s="120" t="str">
        <f t="shared" si="6"/>
        <v>[Official site](https://rcdow.org.uk/)</v>
      </c>
      <c r="V25" s="120" t="str">
        <f t="shared" si="7"/>
        <v/>
      </c>
      <c r="W25" s="120" t="str">
        <f t="shared" si="8"/>
        <v/>
      </c>
      <c r="X25" s="120" t="str">
        <f t="shared" si="9"/>
        <v xml:space="preserve">* [Official site](https://rcdow.org.uk/)
</v>
      </c>
      <c r="Y25" s="117" t="str">
        <f t="shared" si="10"/>
        <v xml:space="preserve">#### More Information_x000D_
* [Official site](https://rcdow.org.uk/)
_x000D_
</v>
      </c>
      <c r="Z25" s="117" t="str">
        <f>IF(LEN(G25)&gt;1,concatll("#### Author's Note",G25,"-"&amp;B25),"")</f>
        <v/>
      </c>
      <c r="AA25" s="117" t="str">
        <f>IF(LEN(H25)&gt;1,concatll("#### Dedication",H25,"-"&amp;$B25),"")</f>
        <v/>
      </c>
      <c r="CA25" s="6" t="str">
        <f>IF(S25,concatll(concatl("---",T25,"---"),"*A collection of sites associated with this topic.*","#### Background",F25,Y25,Z25,AA25),"")</f>
        <v xml:space="preserve">---_x000D_
title: "Archdiocese of Westminster (London)"_x000D_
---_x000D_
_x000D_
_x000D_
*A collection of sites associated with this topic.*_x000D_
_x000D_
#### Background_x000D_
_x000D_
Catholic places of interest in the Archdiocese of Westminster, which includes the city of London and its surroundings_x000D_
_x000D_
#### More Information_x000D_
* [Official site](https://rcdow.org.uk/)
_x000D_
_x000D_
_x000D_
</v>
      </c>
      <c r="CB25" s="6" t="str">
        <f t="shared" si="11"/>
        <v>tags\london\_index.md</v>
      </c>
    </row>
    <row r="26" spans="1:80" x14ac:dyDescent="0.25">
      <c r="A26" s="129" t="s">
        <v>786</v>
      </c>
      <c r="B26" s="153" t="s">
        <v>1653</v>
      </c>
      <c r="C26" s="33" t="s">
        <v>1761</v>
      </c>
      <c r="D26" s="153" t="s">
        <v>1858</v>
      </c>
      <c r="E26" s="152" t="s">
        <v>1829</v>
      </c>
      <c r="F26" s="153" t="s">
        <v>1835</v>
      </c>
      <c r="G26" s="130"/>
      <c r="H26" s="139"/>
      <c r="L26" s="40" t="s">
        <v>53</v>
      </c>
      <c r="M26" s="1" t="s">
        <v>53</v>
      </c>
      <c r="N26" s="44" t="s">
        <v>53</v>
      </c>
      <c r="O26" s="1" t="s">
        <v>53</v>
      </c>
      <c r="P26" s="1" t="s">
        <v>53</v>
      </c>
      <c r="Q26" s="30" t="s">
        <v>53</v>
      </c>
      <c r="R26" s="121" t="s">
        <v>53</v>
      </c>
      <c r="S26" s="116" t="b">
        <f t="shared" si="4"/>
        <v>1</v>
      </c>
      <c r="T26" s="117" t="str">
        <f t="shared" si="5"/>
        <v>title: "Lake Atitlan"</v>
      </c>
      <c r="U26" s="120" t="str">
        <f t="shared" si="6"/>
        <v/>
      </c>
      <c r="V26" s="120" t="str">
        <f t="shared" si="7"/>
        <v/>
      </c>
      <c r="W26" s="120" t="str">
        <f t="shared" si="8"/>
        <v/>
      </c>
      <c r="X26" s="117" t="str">
        <f t="shared" si="9"/>
        <v/>
      </c>
      <c r="Y26" s="117" t="str">
        <f t="shared" si="10"/>
        <v/>
      </c>
      <c r="Z26" s="117" t="str">
        <f>IF(LEN(G26)&gt;1,concatll("#### Author's Note",G26,"-"&amp;B26),"")</f>
        <v/>
      </c>
      <c r="AA26" s="117" t="str">
        <f>IF(LEN(H26)&gt;1,concatll("#### Dedication",H26,"-"&amp;$B26),"")</f>
        <v/>
      </c>
      <c r="CA26" s="6" t="str">
        <f>IF(S26,concatll(concatl("---",T26,"---"),"*A collection of sites associated with this topic.*","#### Background",F26,Y26,Z26,AA26),"")</f>
        <v xml:space="preserve">---_x000D_
title: "Lake Atitlan"_x000D_
---_x000D_
_x000D_
_x000D_
*A collection of sites associated with this topic.*_x000D_
_x000D_
#### Background_x000D_
_x000D_
Catholic places of interest in the Lake Atitlan region of Guatemala_x000D_
_x000D_
</v>
      </c>
      <c r="CB26" s="6" t="str">
        <f t="shared" si="11"/>
        <v>tags\atitlan\_index.md</v>
      </c>
    </row>
    <row r="27" spans="1:80" x14ac:dyDescent="0.25">
      <c r="A27" s="129" t="s">
        <v>786</v>
      </c>
      <c r="B27" s="7" t="s">
        <v>1653</v>
      </c>
      <c r="C27" s="33" t="s">
        <v>1803</v>
      </c>
      <c r="D27" s="55" t="s">
        <v>887</v>
      </c>
      <c r="E27" s="61" t="s">
        <v>1829</v>
      </c>
      <c r="F27" s="55" t="s">
        <v>1834</v>
      </c>
      <c r="L27" s="40" t="s">
        <v>53</v>
      </c>
      <c r="M27" s="1" t="s">
        <v>53</v>
      </c>
      <c r="N27" s="44" t="s">
        <v>53</v>
      </c>
      <c r="O27" s="1" t="s">
        <v>53</v>
      </c>
      <c r="P27" s="1" t="s">
        <v>53</v>
      </c>
      <c r="Q27" s="30" t="s">
        <v>53</v>
      </c>
      <c r="R27" s="121" t="s">
        <v>53</v>
      </c>
      <c r="S27" s="116" t="b">
        <f t="shared" si="4"/>
        <v>1</v>
      </c>
      <c r="T27" s="117" t="str">
        <f t="shared" si="5"/>
        <v>title: "Sicily"</v>
      </c>
      <c r="U27" s="120" t="str">
        <f t="shared" si="6"/>
        <v/>
      </c>
      <c r="V27" s="120" t="str">
        <f t="shared" si="7"/>
        <v/>
      </c>
      <c r="W27" s="120" t="str">
        <f t="shared" si="8"/>
        <v/>
      </c>
      <c r="X27" s="120" t="str">
        <f t="shared" si="9"/>
        <v/>
      </c>
      <c r="Y27" s="117" t="str">
        <f t="shared" si="10"/>
        <v/>
      </c>
      <c r="Z27" s="117" t="str">
        <f>IF(LEN(G27)&gt;1,concatll("#### Author's Note",G27,"-"&amp;B27),"")</f>
        <v/>
      </c>
      <c r="AA27" s="117" t="str">
        <f>IF(LEN(H27)&gt;1,concatll("#### Dedication",H27,"-"&amp;$B27),"")</f>
        <v/>
      </c>
      <c r="CA27" s="6" t="str">
        <f>IF(S27,concatll(concatl("---",T27,"---"),"*A collection of sites associated with this topic.*","#### Background",F27,Y27,Z27,AA27),"")</f>
        <v xml:space="preserve">---_x000D_
title: "Sicily"_x000D_
---_x000D_
_x000D_
_x000D_
*A collection of sites associated with this topic.*_x000D_
_x000D_
#### Background_x000D_
_x000D_
Catholic places of interest on the island of Sicily_x000D_
_x000D_
</v>
      </c>
      <c r="CB27" s="6" t="str">
        <f t="shared" si="11"/>
        <v>tags\sicily\_index.md</v>
      </c>
    </row>
    <row r="28" spans="1:80" ht="51" x14ac:dyDescent="0.25">
      <c r="A28" s="129" t="s">
        <v>1651</v>
      </c>
      <c r="B28" s="130" t="s">
        <v>1652</v>
      </c>
      <c r="C28" s="73" t="s">
        <v>1764</v>
      </c>
      <c r="D28" s="71" t="s">
        <v>1636</v>
      </c>
      <c r="E28" s="73" t="s">
        <v>1723</v>
      </c>
      <c r="F28" s="71" t="s">
        <v>1727</v>
      </c>
      <c r="L28" s="40" t="s">
        <v>53</v>
      </c>
      <c r="M28" s="1" t="s">
        <v>53</v>
      </c>
      <c r="N28" s="44" t="s">
        <v>53</v>
      </c>
      <c r="O28" s="1" t="s">
        <v>53</v>
      </c>
      <c r="P28" s="1" t="s">
        <v>53</v>
      </c>
      <c r="Q28" s="30" t="s">
        <v>53</v>
      </c>
      <c r="R28" s="121" t="s">
        <v>53</v>
      </c>
      <c r="S28" s="116" t="b">
        <f t="shared" si="4"/>
        <v>0</v>
      </c>
      <c r="T28" s="117" t="str">
        <f t="shared" si="5"/>
        <v>title: "Page Title (what will display on website)"</v>
      </c>
      <c r="U28" s="120" t="str">
        <f t="shared" si="6"/>
        <v/>
      </c>
      <c r="V28" s="120" t="str">
        <f t="shared" si="7"/>
        <v/>
      </c>
      <c r="W28" s="120" t="str">
        <f t="shared" si="8"/>
        <v/>
      </c>
      <c r="X28" s="117" t="str">
        <f t="shared" si="9"/>
        <v/>
      </c>
      <c r="Y28" s="117" t="str">
        <f t="shared" si="10"/>
        <v/>
      </c>
      <c r="Z28" s="117" t="str">
        <f>IF(LEN(G28)&gt;1,concatll("#### Author's Note",G28,"-"&amp;B28),"")</f>
        <v/>
      </c>
      <c r="AA28" s="117" t="str">
        <f>IF(LEN(H28)&gt;1,concatll("#### Dedication",H28,"-"&amp;$B28),"")</f>
        <v/>
      </c>
      <c r="CA28" s="6" t="str">
        <f>IF(S28,concatll(concatl("---",T28,"---"),"*A collection of sites associated with this topic.*","#### Background",F28,Y28,Z28,AA28),"")</f>
        <v/>
      </c>
      <c r="CB28" s="6" t="str">
        <f t="shared" si="11"/>
        <v/>
      </c>
    </row>
    <row r="29" spans="1:80" ht="51" x14ac:dyDescent="0.25">
      <c r="A29" s="129" t="s">
        <v>1651</v>
      </c>
      <c r="B29" s="7" t="s">
        <v>1652</v>
      </c>
      <c r="C29" s="33" t="s">
        <v>1765</v>
      </c>
      <c r="D29" s="71" t="s">
        <v>1636</v>
      </c>
      <c r="E29" s="73" t="s">
        <v>1723</v>
      </c>
      <c r="F29" s="71" t="s">
        <v>1727</v>
      </c>
      <c r="I29" s="72"/>
      <c r="K29" s="76"/>
      <c r="L29" s="40" t="s">
        <v>53</v>
      </c>
      <c r="M29" s="1" t="s">
        <v>53</v>
      </c>
      <c r="N29" s="44" t="s">
        <v>53</v>
      </c>
      <c r="O29" s="1" t="s">
        <v>53</v>
      </c>
      <c r="P29" s="1" t="s">
        <v>53</v>
      </c>
      <c r="Q29" s="30" t="s">
        <v>53</v>
      </c>
      <c r="R29" s="121" t="s">
        <v>53</v>
      </c>
      <c r="S29" s="116" t="b">
        <f t="shared" si="4"/>
        <v>0</v>
      </c>
      <c r="T29" s="117" t="str">
        <f t="shared" si="5"/>
        <v>title: "Page Title (what will display on website)"</v>
      </c>
      <c r="U29" s="120" t="str">
        <f t="shared" si="6"/>
        <v/>
      </c>
      <c r="V29" s="120" t="str">
        <f t="shared" si="7"/>
        <v/>
      </c>
      <c r="W29" s="120" t="str">
        <f t="shared" si="8"/>
        <v/>
      </c>
      <c r="X29" s="117" t="str">
        <f t="shared" si="9"/>
        <v/>
      </c>
      <c r="Y29" s="117" t="str">
        <f t="shared" si="10"/>
        <v/>
      </c>
      <c r="Z29" s="117" t="str">
        <f>IF(LEN(G29)&gt;1,concatll("#### Author's Note",G29,"-"&amp;B29),"")</f>
        <v/>
      </c>
      <c r="AA29" s="117" t="str">
        <f>IF(LEN(H29)&gt;1,concatll("#### Dedication",H29,"-"&amp;$B29),"")</f>
        <v/>
      </c>
      <c r="CA29" s="6" t="str">
        <f>IF(S29,concatll(concatl("---",T29,"---"),"*A collection of sites associated with this topic.*","#### Background",F29,Y29,Z29,AA29),"")</f>
        <v/>
      </c>
      <c r="CB29" s="6" t="str">
        <f t="shared" si="11"/>
        <v/>
      </c>
    </row>
    <row r="30" spans="1:80" ht="51" x14ac:dyDescent="0.25">
      <c r="A30" s="129" t="s">
        <v>1651</v>
      </c>
      <c r="B30" s="7" t="s">
        <v>1652</v>
      </c>
      <c r="C30" s="73" t="s">
        <v>1766</v>
      </c>
      <c r="D30" s="71" t="s">
        <v>1636</v>
      </c>
      <c r="E30" s="33" t="s">
        <v>1723</v>
      </c>
      <c r="F30" s="71" t="s">
        <v>1727</v>
      </c>
      <c r="L30" s="40" t="s">
        <v>53</v>
      </c>
      <c r="M30" s="1" t="s">
        <v>53</v>
      </c>
      <c r="N30" s="44" t="s">
        <v>53</v>
      </c>
      <c r="O30" s="1" t="s">
        <v>53</v>
      </c>
      <c r="P30" s="1" t="s">
        <v>53</v>
      </c>
      <c r="Q30" s="30" t="s">
        <v>53</v>
      </c>
      <c r="R30" s="121" t="s">
        <v>53</v>
      </c>
      <c r="S30" s="116" t="b">
        <f t="shared" si="4"/>
        <v>0</v>
      </c>
      <c r="T30" s="117" t="str">
        <f t="shared" si="5"/>
        <v>title: "Page Title (what will display on website)"</v>
      </c>
      <c r="U30" s="120" t="str">
        <f t="shared" si="6"/>
        <v/>
      </c>
      <c r="V30" s="120" t="str">
        <f t="shared" si="7"/>
        <v/>
      </c>
      <c r="W30" s="120" t="str">
        <f t="shared" si="8"/>
        <v/>
      </c>
      <c r="X30" s="117" t="str">
        <f t="shared" si="9"/>
        <v/>
      </c>
      <c r="Y30" s="117" t="str">
        <f t="shared" si="10"/>
        <v/>
      </c>
      <c r="Z30" s="117" t="str">
        <f>IF(LEN(G30)&gt;1,concatll("#### Author's Note",G30,"-"&amp;B30),"")</f>
        <v/>
      </c>
      <c r="AA30" s="117" t="str">
        <f>IF(LEN(H30)&gt;1,concatll("#### Dedication",H30,"-"&amp;$B30),"")</f>
        <v/>
      </c>
      <c r="CA30" s="6" t="str">
        <f>IF(S30,concatll(concatl("---",T30,"---"),"*A collection of sites associated with this topic.*","#### Background",F30,Y30,Z30,AA30),"")</f>
        <v/>
      </c>
      <c r="CB30" s="6" t="str">
        <f t="shared" si="11"/>
        <v/>
      </c>
    </row>
    <row r="31" spans="1:80" ht="51" x14ac:dyDescent="0.25">
      <c r="A31" s="129" t="s">
        <v>1651</v>
      </c>
      <c r="B31" s="130" t="s">
        <v>1652</v>
      </c>
      <c r="C31" s="139" t="s">
        <v>1768</v>
      </c>
      <c r="D31" s="23" t="s">
        <v>1636</v>
      </c>
      <c r="E31" s="139" t="s">
        <v>1723</v>
      </c>
      <c r="F31" s="23" t="s">
        <v>1727</v>
      </c>
      <c r="G31" s="130"/>
      <c r="H31" s="139"/>
      <c r="L31" s="40" t="s">
        <v>53</v>
      </c>
      <c r="M31" s="1" t="s">
        <v>53</v>
      </c>
      <c r="N31" s="44" t="s">
        <v>53</v>
      </c>
      <c r="O31" s="1" t="s">
        <v>53</v>
      </c>
      <c r="P31" s="1" t="s">
        <v>53</v>
      </c>
      <c r="Q31" s="30" t="s">
        <v>53</v>
      </c>
      <c r="R31" s="121" t="s">
        <v>53</v>
      </c>
      <c r="S31" s="116" t="b">
        <f t="shared" si="4"/>
        <v>0</v>
      </c>
      <c r="T31" s="117" t="str">
        <f t="shared" si="5"/>
        <v>title: "Page Title (what will display on website)"</v>
      </c>
      <c r="U31" s="120" t="str">
        <f t="shared" si="6"/>
        <v/>
      </c>
      <c r="V31" s="120" t="str">
        <f t="shared" si="7"/>
        <v/>
      </c>
      <c r="W31" s="120" t="str">
        <f t="shared" si="8"/>
        <v/>
      </c>
      <c r="X31" s="120" t="str">
        <f t="shared" si="9"/>
        <v/>
      </c>
      <c r="Y31" s="117" t="str">
        <f t="shared" si="10"/>
        <v/>
      </c>
      <c r="Z31" s="117" t="str">
        <f>IF(LEN(G31)&gt;1,concatll("#### Author's Note",G31,"-"&amp;B31),"")</f>
        <v/>
      </c>
      <c r="AA31" s="117" t="str">
        <f>IF(LEN(H31)&gt;1,concatll("#### Dedication",H31,"-"&amp;$B31),"")</f>
        <v/>
      </c>
      <c r="CA31" s="6" t="str">
        <f>IF(S31,concatll(concatl("---",T31,"---"),"*A collection of sites associated with this topic.*","#### Background",F31,Y31,Z31,AA31),"")</f>
        <v/>
      </c>
      <c r="CB31" s="6" t="str">
        <f t="shared" si="11"/>
        <v/>
      </c>
    </row>
    <row r="32" spans="1:80" ht="51" x14ac:dyDescent="0.25">
      <c r="A32" s="129" t="s">
        <v>1651</v>
      </c>
      <c r="B32" s="130" t="s">
        <v>1652</v>
      </c>
      <c r="C32" s="139" t="s">
        <v>1769</v>
      </c>
      <c r="D32" s="7" t="s">
        <v>1636</v>
      </c>
      <c r="E32" s="33" t="s">
        <v>1723</v>
      </c>
      <c r="F32" s="84" t="s">
        <v>1727</v>
      </c>
      <c r="L32" s="40" t="s">
        <v>53</v>
      </c>
      <c r="M32" s="1" t="s">
        <v>53</v>
      </c>
      <c r="N32" s="44" t="s">
        <v>53</v>
      </c>
      <c r="O32" s="1" t="s">
        <v>53</v>
      </c>
      <c r="P32" s="1" t="s">
        <v>53</v>
      </c>
      <c r="Q32" s="30" t="s">
        <v>53</v>
      </c>
      <c r="R32" s="121" t="s">
        <v>53</v>
      </c>
      <c r="S32" s="116" t="b">
        <f t="shared" si="4"/>
        <v>0</v>
      </c>
      <c r="T32" s="117" t="str">
        <f t="shared" si="5"/>
        <v>title: "Page Title (what will display on website)"</v>
      </c>
      <c r="U32" s="120" t="str">
        <f t="shared" si="6"/>
        <v/>
      </c>
      <c r="V32" s="120" t="str">
        <f t="shared" si="7"/>
        <v/>
      </c>
      <c r="W32" s="120" t="str">
        <f t="shared" si="8"/>
        <v/>
      </c>
      <c r="X32" s="117" t="str">
        <f t="shared" si="9"/>
        <v/>
      </c>
      <c r="Y32" s="117" t="str">
        <f t="shared" si="10"/>
        <v/>
      </c>
      <c r="Z32" s="117" t="str">
        <f>IF(LEN(G32)&gt;1,concatll("#### Author's Note",G32,"-"&amp;B32),"")</f>
        <v/>
      </c>
      <c r="AA32" s="117" t="str">
        <f>IF(LEN(H32)&gt;1,concatll("#### Dedication",H32,"-"&amp;$B32),"")</f>
        <v/>
      </c>
      <c r="CA32" s="6" t="str">
        <f>IF(S32,concatll(concatl("---",T32,"---"),"*A collection of sites associated with this topic.*","#### Background",F32,Y32,Z32,AA32),"")</f>
        <v/>
      </c>
      <c r="CB32" s="6" t="str">
        <f t="shared" si="11"/>
        <v/>
      </c>
    </row>
    <row r="33" spans="1:80" ht="51" x14ac:dyDescent="0.25">
      <c r="A33" s="129" t="s">
        <v>1651</v>
      </c>
      <c r="B33" s="130" t="s">
        <v>1652</v>
      </c>
      <c r="C33" s="139" t="s">
        <v>1770</v>
      </c>
      <c r="D33" s="130" t="s">
        <v>1636</v>
      </c>
      <c r="E33" s="37" t="s">
        <v>1723</v>
      </c>
      <c r="F33" s="130" t="s">
        <v>1727</v>
      </c>
      <c r="I33" s="135"/>
      <c r="J33" s="135"/>
      <c r="K33" s="136"/>
      <c r="L33" s="134" t="s">
        <v>53</v>
      </c>
      <c r="M33" s="135" t="s">
        <v>53</v>
      </c>
      <c r="N33" s="136" t="s">
        <v>53</v>
      </c>
      <c r="O33" s="135" t="s">
        <v>53</v>
      </c>
      <c r="P33" s="135" t="s">
        <v>53</v>
      </c>
      <c r="Q33" s="137" t="s">
        <v>53</v>
      </c>
      <c r="R33" s="121" t="s">
        <v>53</v>
      </c>
      <c r="S33" s="116" t="b">
        <f t="shared" si="4"/>
        <v>0</v>
      </c>
      <c r="T33" s="117" t="str">
        <f t="shared" si="5"/>
        <v>title: "Page Title (what will display on website)"</v>
      </c>
      <c r="U33" s="120" t="str">
        <f t="shared" si="6"/>
        <v/>
      </c>
      <c r="V33" s="120" t="str">
        <f t="shared" si="7"/>
        <v/>
      </c>
      <c r="W33" s="120" t="str">
        <f t="shared" si="8"/>
        <v/>
      </c>
      <c r="X33" s="120" t="str">
        <f t="shared" si="9"/>
        <v/>
      </c>
      <c r="Y33" s="117" t="str">
        <f t="shared" si="10"/>
        <v/>
      </c>
      <c r="Z33" s="117" t="str">
        <f>IF(LEN(G33)&gt;1,concatll("#### Author's Note",G33,"-"&amp;B33),"")</f>
        <v/>
      </c>
      <c r="AA33" s="117" t="str">
        <f>IF(LEN(H33)&gt;1,concatll("#### Dedication",H33,"-"&amp;$B33),"")</f>
        <v/>
      </c>
      <c r="CA33" s="6" t="str">
        <f>IF(S33,concatll(concatl("---",T33,"---"),"*A collection of sites associated with this topic.*","#### Background",F33,Y33,Z33,AA33),"")</f>
        <v/>
      </c>
      <c r="CB33" s="6" t="str">
        <f t="shared" si="11"/>
        <v/>
      </c>
    </row>
    <row r="34" spans="1:80" ht="51" x14ac:dyDescent="0.25">
      <c r="A34" s="129" t="s">
        <v>1651</v>
      </c>
      <c r="B34" s="130" t="s">
        <v>1652</v>
      </c>
      <c r="C34" s="33" t="s">
        <v>1771</v>
      </c>
      <c r="D34" s="7" t="s">
        <v>1636</v>
      </c>
      <c r="E34" s="33" t="s">
        <v>1723</v>
      </c>
      <c r="F34" s="130" t="s">
        <v>1727</v>
      </c>
      <c r="G34" s="130"/>
      <c r="H34" s="139"/>
      <c r="I34" s="29"/>
      <c r="L34" s="40" t="s">
        <v>53</v>
      </c>
      <c r="M34" s="1" t="s">
        <v>53</v>
      </c>
      <c r="N34" s="44" t="s">
        <v>53</v>
      </c>
      <c r="O34" s="1" t="s">
        <v>53</v>
      </c>
      <c r="P34" s="1" t="s">
        <v>53</v>
      </c>
      <c r="Q34" s="30" t="s">
        <v>53</v>
      </c>
      <c r="R34" s="121" t="s">
        <v>53</v>
      </c>
      <c r="S34" s="116" t="b">
        <f t="shared" si="4"/>
        <v>0</v>
      </c>
      <c r="T34" s="117" t="str">
        <f t="shared" si="5"/>
        <v>title: "Page Title (what will display on website)"</v>
      </c>
      <c r="U34" s="120" t="str">
        <f t="shared" si="6"/>
        <v/>
      </c>
      <c r="V34" s="120" t="str">
        <f t="shared" si="7"/>
        <v/>
      </c>
      <c r="W34" s="120" t="str">
        <f t="shared" si="8"/>
        <v/>
      </c>
      <c r="X34" s="120" t="str">
        <f t="shared" si="9"/>
        <v/>
      </c>
      <c r="Y34" s="117" t="str">
        <f t="shared" si="10"/>
        <v/>
      </c>
      <c r="Z34" s="117" t="str">
        <f>IF(LEN(G34)&gt;1,concatll("#### Author's Note",G34,"-"&amp;B34),"")</f>
        <v/>
      </c>
      <c r="AA34" s="117" t="str">
        <f>IF(LEN(H34)&gt;1,concatll("#### Dedication",H34,"-"&amp;$B34),"")</f>
        <v/>
      </c>
      <c r="CA34" s="6" t="str">
        <f>IF(S34,concatll(concatl("---",T34,"---"),"*A collection of sites associated with this topic.*","#### Background",F34,Y34,Z34,AA34),"")</f>
        <v/>
      </c>
      <c r="CB34" s="6" t="str">
        <f t="shared" si="11"/>
        <v/>
      </c>
    </row>
    <row r="35" spans="1:80" ht="51" x14ac:dyDescent="0.25">
      <c r="A35" s="129" t="s">
        <v>1651</v>
      </c>
      <c r="B35" s="130" t="s">
        <v>1652</v>
      </c>
      <c r="C35" s="33" t="s">
        <v>1772</v>
      </c>
      <c r="D35" s="7" t="s">
        <v>1636</v>
      </c>
      <c r="E35" s="33" t="s">
        <v>1723</v>
      </c>
      <c r="F35" s="130" t="s">
        <v>1727</v>
      </c>
      <c r="G35" s="130"/>
      <c r="H35" s="139"/>
      <c r="L35" s="40" t="s">
        <v>53</v>
      </c>
      <c r="M35" s="1" t="s">
        <v>53</v>
      </c>
      <c r="N35" s="44" t="s">
        <v>53</v>
      </c>
      <c r="O35" s="1" t="s">
        <v>53</v>
      </c>
      <c r="P35" s="1" t="s">
        <v>53</v>
      </c>
      <c r="Q35" s="30" t="s">
        <v>53</v>
      </c>
      <c r="R35" s="121" t="s">
        <v>53</v>
      </c>
      <c r="S35" s="116" t="b">
        <f t="shared" si="4"/>
        <v>0</v>
      </c>
      <c r="T35" s="117" t="str">
        <f t="shared" si="5"/>
        <v>title: "Page Title (what will display on website)"</v>
      </c>
      <c r="U35" s="120" t="str">
        <f t="shared" si="6"/>
        <v/>
      </c>
      <c r="V35" s="120" t="str">
        <f t="shared" si="7"/>
        <v/>
      </c>
      <c r="W35" s="120" t="str">
        <f t="shared" si="8"/>
        <v/>
      </c>
      <c r="X35" s="120" t="str">
        <f t="shared" si="9"/>
        <v/>
      </c>
      <c r="Y35" s="117" t="str">
        <f t="shared" si="10"/>
        <v/>
      </c>
      <c r="Z35" s="117" t="str">
        <f>IF(LEN(G35)&gt;1,concatll("#### Author's Note",G35,"-"&amp;B35),"")</f>
        <v/>
      </c>
      <c r="AA35" s="117" t="str">
        <f>IF(LEN(H35)&gt;1,concatll("#### Dedication",H35,"-"&amp;$B35),"")</f>
        <v/>
      </c>
      <c r="CA35" s="6" t="str">
        <f>IF(S35,concatll(concatl("---",T35,"---"),"*A collection of sites associated with this topic.*","#### Background",F35,Y35,Z35,AA35),"")</f>
        <v/>
      </c>
      <c r="CB35" s="6" t="str">
        <f t="shared" si="11"/>
        <v/>
      </c>
    </row>
    <row r="36" spans="1:80" ht="51" x14ac:dyDescent="0.25">
      <c r="A36" s="129" t="s">
        <v>1651</v>
      </c>
      <c r="B36" s="7" t="s">
        <v>1652</v>
      </c>
      <c r="C36" s="33" t="s">
        <v>1773</v>
      </c>
      <c r="D36" s="7" t="s">
        <v>1636</v>
      </c>
      <c r="E36" s="33" t="s">
        <v>1723</v>
      </c>
      <c r="F36" s="7" t="s">
        <v>1727</v>
      </c>
      <c r="G36" s="130"/>
      <c r="H36" s="139"/>
      <c r="L36" s="40" t="s">
        <v>53</v>
      </c>
      <c r="M36" s="1" t="s">
        <v>53</v>
      </c>
      <c r="N36" s="44" t="s">
        <v>53</v>
      </c>
      <c r="O36" s="1" t="s">
        <v>53</v>
      </c>
      <c r="P36" s="1" t="s">
        <v>53</v>
      </c>
      <c r="Q36" s="30" t="s">
        <v>53</v>
      </c>
      <c r="R36" s="121" t="s">
        <v>53</v>
      </c>
      <c r="S36" s="116" t="b">
        <f t="shared" si="4"/>
        <v>0</v>
      </c>
      <c r="T36" s="117" t="str">
        <f t="shared" si="5"/>
        <v>title: "Page Title (what will display on website)"</v>
      </c>
      <c r="U36" s="120" t="str">
        <f t="shared" si="6"/>
        <v/>
      </c>
      <c r="V36" s="120" t="str">
        <f t="shared" si="7"/>
        <v/>
      </c>
      <c r="W36" s="120" t="str">
        <f t="shared" si="8"/>
        <v/>
      </c>
      <c r="X36" s="120" t="str">
        <f t="shared" si="9"/>
        <v/>
      </c>
      <c r="Y36" s="117" t="str">
        <f t="shared" si="10"/>
        <v/>
      </c>
      <c r="Z36" s="117" t="str">
        <f>IF(LEN(G36)&gt;1,concatll("#### Author's Note",G36,"-"&amp;B36),"")</f>
        <v/>
      </c>
      <c r="AA36" s="117" t="str">
        <f>IF(LEN(H36)&gt;1,concatll("#### Dedication",H36,"-"&amp;$B36),"")</f>
        <v/>
      </c>
      <c r="CA36" s="6" t="str">
        <f>IF(S36,concatll(concatl("---",T36,"---"),"*A collection of sites associated with this topic.*","#### Background",F36,Y36,Z36,AA36),"")</f>
        <v/>
      </c>
      <c r="CB36" s="6" t="str">
        <f t="shared" si="11"/>
        <v/>
      </c>
    </row>
    <row r="37" spans="1:80" ht="51" x14ac:dyDescent="0.25">
      <c r="A37" s="129" t="s">
        <v>1651</v>
      </c>
      <c r="B37" s="10" t="s">
        <v>1652</v>
      </c>
      <c r="C37" s="38" t="s">
        <v>1774</v>
      </c>
      <c r="D37" s="7" t="s">
        <v>1636</v>
      </c>
      <c r="E37" s="33" t="s">
        <v>1723</v>
      </c>
      <c r="F37" s="26" t="s">
        <v>1727</v>
      </c>
      <c r="G37" s="130"/>
      <c r="H37" s="139"/>
      <c r="L37" s="40" t="s">
        <v>53</v>
      </c>
      <c r="M37" s="1" t="s">
        <v>53</v>
      </c>
      <c r="N37" s="44" t="s">
        <v>53</v>
      </c>
      <c r="O37" s="1" t="s">
        <v>53</v>
      </c>
      <c r="P37" s="1" t="s">
        <v>53</v>
      </c>
      <c r="Q37" s="30" t="s">
        <v>53</v>
      </c>
      <c r="R37" s="121" t="s">
        <v>53</v>
      </c>
      <c r="S37" s="116" t="b">
        <f t="shared" si="4"/>
        <v>0</v>
      </c>
      <c r="T37" s="117" t="str">
        <f t="shared" si="5"/>
        <v>title: "Page Title (what will display on website)"</v>
      </c>
      <c r="U37" s="120" t="str">
        <f t="shared" si="6"/>
        <v/>
      </c>
      <c r="V37" s="120" t="str">
        <f t="shared" si="7"/>
        <v/>
      </c>
      <c r="W37" s="120" t="str">
        <f t="shared" si="8"/>
        <v/>
      </c>
      <c r="X37" s="120" t="str">
        <f t="shared" si="9"/>
        <v/>
      </c>
      <c r="Y37" s="117" t="str">
        <f t="shared" si="10"/>
        <v/>
      </c>
      <c r="Z37" s="117" t="str">
        <f>IF(LEN(G37)&gt;1,concatll("#### Author's Note",G37,"-"&amp;B37),"")</f>
        <v/>
      </c>
      <c r="AA37" s="117" t="str">
        <f>IF(LEN(H37)&gt;1,concatll("#### Dedication",H37,"-"&amp;$B37),"")</f>
        <v/>
      </c>
      <c r="CA37" s="6" t="str">
        <f>IF(S37,concatll(concatl("---",T37,"---"),"*A collection of sites associated with this topic.*","#### Background",F37,Y37,Z37,AA37),"")</f>
        <v/>
      </c>
      <c r="CB37" s="6" t="str">
        <f t="shared" si="11"/>
        <v/>
      </c>
    </row>
    <row r="38" spans="1:80" ht="51" x14ac:dyDescent="0.25">
      <c r="A38" s="129" t="s">
        <v>1651</v>
      </c>
      <c r="B38" s="7" t="s">
        <v>1652</v>
      </c>
      <c r="C38" s="33" t="s">
        <v>1775</v>
      </c>
      <c r="D38" s="7" t="s">
        <v>1636</v>
      </c>
      <c r="E38" s="33" t="s">
        <v>1723</v>
      </c>
      <c r="F38" s="7" t="s">
        <v>1727</v>
      </c>
      <c r="L38" s="40" t="s">
        <v>53</v>
      </c>
      <c r="M38" s="1" t="s">
        <v>53</v>
      </c>
      <c r="N38" s="44" t="s">
        <v>53</v>
      </c>
      <c r="O38" s="1" t="s">
        <v>53</v>
      </c>
      <c r="P38" s="1" t="s">
        <v>53</v>
      </c>
      <c r="Q38" s="30" t="s">
        <v>53</v>
      </c>
      <c r="R38" s="121" t="s">
        <v>53</v>
      </c>
      <c r="S38" s="116" t="b">
        <f t="shared" ref="S38:S54" si="12">IF(OR(A38="Done",A38="In Progress"),TRUE)</f>
        <v>0</v>
      </c>
      <c r="T38" s="117" t="str">
        <f t="shared" ref="T38:T54" si="13">"title: """&amp;D38&amp;""""</f>
        <v>title: "Page Title (what will display on website)"</v>
      </c>
      <c r="U38" s="120" t="str">
        <f t="shared" ref="U38:U54" si="14">IF(LEN(J38)&gt;0,TRIM(CONCATENATE("["&amp;I38&amp;"](",J38,") ",IF(LEN(K38)&gt;0,"- "&amp;K38,K38))),"")</f>
        <v/>
      </c>
      <c r="V38" s="120" t="str">
        <f t="shared" ref="V38:V54" si="15">IF(LEN(M38)&gt;0,TRIM(CONCATENATE("["&amp;L38&amp;"](",M38,") ",IF(LEN(N38)&gt;0,"- "&amp;N38,N38))),"")</f>
        <v/>
      </c>
      <c r="W38" s="120" t="str">
        <f t="shared" ref="W38:W54" si="16">IF(LEN(P38)&gt;0,TRIM(CONCATENATE("["&amp;O38&amp;"](",P38,") ",IF(LEN(Q38)&gt;0,"- "&amp;Q38,Q38))),"")</f>
        <v/>
      </c>
      <c r="X38" s="120" t="str">
        <f t="shared" ref="X38:X54" si="17">IF(LEN(U38)&gt;0,"* "&amp;U38&amp;CHAR(10),"")&amp;
IF(LEN(V38)&gt;0,"* "&amp;V38&amp;CHAR(10),"")&amp;
IF(LEN(W38)&gt;0,"* "&amp;W38&amp;CHAR(10),"")</f>
        <v/>
      </c>
      <c r="Y38" s="117" t="str">
        <f t="shared" ref="Y38:Y54" si="18">IF(LEN(X38)&gt;0,concatl("#### More Information",X38),"")</f>
        <v/>
      </c>
      <c r="Z38" s="117" t="str">
        <f>IF(LEN(G38)&gt;1,concatll("#### Author's Note",G38,"-"&amp;B38),"")</f>
        <v/>
      </c>
      <c r="AA38" s="117" t="str">
        <f>IF(LEN(H38)&gt;1,concatll("#### Dedication",H38,"-"&amp;$B38),"")</f>
        <v/>
      </c>
      <c r="CA38" s="6" t="str">
        <f>IF(S38,concatll(concatl("---",T38,"---"),"*A collection of sites associated with this topic.*","#### Background",F38,Y38,Z38,AA38),"")</f>
        <v/>
      </c>
      <c r="CB38" s="6" t="str">
        <f t="shared" ref="CB38:CB54" si="19">IF(S38,"tags\"&amp;C38&amp;"\_index.md","")</f>
        <v/>
      </c>
    </row>
    <row r="39" spans="1:80" ht="51" x14ac:dyDescent="0.25">
      <c r="A39" s="129" t="s">
        <v>1651</v>
      </c>
      <c r="B39" s="7" t="s">
        <v>1652</v>
      </c>
      <c r="C39" s="33" t="s">
        <v>1776</v>
      </c>
      <c r="D39" s="7" t="s">
        <v>1636</v>
      </c>
      <c r="E39" s="33" t="s">
        <v>1723</v>
      </c>
      <c r="F39" s="7" t="s">
        <v>1727</v>
      </c>
      <c r="L39" s="40" t="s">
        <v>53</v>
      </c>
      <c r="M39" s="1" t="s">
        <v>53</v>
      </c>
      <c r="N39" s="44" t="s">
        <v>53</v>
      </c>
      <c r="O39" s="1" t="s">
        <v>53</v>
      </c>
      <c r="P39" s="1" t="s">
        <v>53</v>
      </c>
      <c r="Q39" s="30" t="s">
        <v>53</v>
      </c>
      <c r="R39" s="121" t="s">
        <v>53</v>
      </c>
      <c r="S39" s="116" t="b">
        <f t="shared" si="12"/>
        <v>0</v>
      </c>
      <c r="T39" s="117" t="str">
        <f t="shared" si="13"/>
        <v>title: "Page Title (what will display on website)"</v>
      </c>
      <c r="U39" s="120" t="str">
        <f t="shared" si="14"/>
        <v/>
      </c>
      <c r="V39" s="120" t="str">
        <f t="shared" si="15"/>
        <v/>
      </c>
      <c r="W39" s="120" t="str">
        <f t="shared" si="16"/>
        <v/>
      </c>
      <c r="X39" s="120" t="str">
        <f t="shared" si="17"/>
        <v/>
      </c>
      <c r="Y39" s="117" t="str">
        <f t="shared" si="18"/>
        <v/>
      </c>
      <c r="Z39" s="117" t="str">
        <f>IF(LEN(G39)&gt;1,concatll("#### Author's Note",G39,"-"&amp;B39),"")</f>
        <v/>
      </c>
      <c r="AA39" s="117" t="str">
        <f>IF(LEN(H39)&gt;1,concatll("#### Dedication",H39,"-"&amp;$B39),"")</f>
        <v/>
      </c>
      <c r="CA39" s="6" t="str">
        <f>IF(S39,concatll(concatl("---",T39,"---"),"*A collection of sites associated with this topic.*","#### Background",F39,Y39,Z39,AA39),"")</f>
        <v/>
      </c>
      <c r="CB39" s="6" t="str">
        <f t="shared" si="19"/>
        <v/>
      </c>
    </row>
    <row r="40" spans="1:80" ht="51" x14ac:dyDescent="0.25">
      <c r="A40" s="129" t="s">
        <v>1651</v>
      </c>
      <c r="B40" s="7" t="s">
        <v>1652</v>
      </c>
      <c r="C40" s="33" t="s">
        <v>1777</v>
      </c>
      <c r="D40" s="7" t="s">
        <v>1636</v>
      </c>
      <c r="E40" s="33" t="s">
        <v>1723</v>
      </c>
      <c r="F40" s="7" t="s">
        <v>1727</v>
      </c>
      <c r="L40" s="40" t="s">
        <v>53</v>
      </c>
      <c r="M40" s="1" t="s">
        <v>53</v>
      </c>
      <c r="N40" s="44" t="s">
        <v>53</v>
      </c>
      <c r="O40" s="1" t="s">
        <v>53</v>
      </c>
      <c r="P40" s="1" t="s">
        <v>53</v>
      </c>
      <c r="Q40" s="30" t="s">
        <v>53</v>
      </c>
      <c r="R40" s="121" t="s">
        <v>53</v>
      </c>
      <c r="S40" s="116" t="b">
        <f t="shared" si="12"/>
        <v>0</v>
      </c>
      <c r="T40" s="117" t="str">
        <f t="shared" si="13"/>
        <v>title: "Page Title (what will display on website)"</v>
      </c>
      <c r="U40" s="120" t="str">
        <f t="shared" si="14"/>
        <v/>
      </c>
      <c r="V40" s="120" t="str">
        <f t="shared" si="15"/>
        <v/>
      </c>
      <c r="W40" s="120" t="str">
        <f t="shared" si="16"/>
        <v/>
      </c>
      <c r="X40" s="120" t="str">
        <f t="shared" si="17"/>
        <v/>
      </c>
      <c r="Y40" s="117" t="str">
        <f t="shared" si="18"/>
        <v/>
      </c>
      <c r="Z40" s="117" t="str">
        <f>IF(LEN(G40)&gt;1,concatll("#### Author's Note",G40,"-"&amp;B40),"")</f>
        <v/>
      </c>
      <c r="AA40" s="117" t="str">
        <f>IF(LEN(H40)&gt;1,concatll("#### Dedication",H40,"-"&amp;$B40),"")</f>
        <v/>
      </c>
      <c r="CA40" s="6" t="str">
        <f>IF(S40,concatll(concatl("---",T40,"---"),"*A collection of sites associated with this topic.*","#### Background",F40,Y40,Z40,AA40),"")</f>
        <v/>
      </c>
      <c r="CB40" s="6" t="str">
        <f t="shared" si="19"/>
        <v/>
      </c>
    </row>
    <row r="41" spans="1:80" ht="51" x14ac:dyDescent="0.25">
      <c r="A41" s="129" t="s">
        <v>1651</v>
      </c>
      <c r="B41" s="130" t="s">
        <v>1652</v>
      </c>
      <c r="C41" s="61" t="s">
        <v>1778</v>
      </c>
      <c r="D41" s="7" t="s">
        <v>1636</v>
      </c>
      <c r="E41" s="61" t="s">
        <v>1723</v>
      </c>
      <c r="F41" s="55" t="s">
        <v>1727</v>
      </c>
      <c r="G41" s="130"/>
      <c r="H41" s="139"/>
      <c r="L41" s="40" t="s">
        <v>53</v>
      </c>
      <c r="M41" s="1" t="s">
        <v>53</v>
      </c>
      <c r="N41" s="44" t="s">
        <v>53</v>
      </c>
      <c r="O41" s="1" t="s">
        <v>53</v>
      </c>
      <c r="P41" s="1" t="s">
        <v>53</v>
      </c>
      <c r="Q41" s="30" t="s">
        <v>53</v>
      </c>
      <c r="R41" s="121" t="s">
        <v>53</v>
      </c>
      <c r="S41" s="116" t="b">
        <f t="shared" si="12"/>
        <v>0</v>
      </c>
      <c r="T41" s="117" t="str">
        <f t="shared" si="13"/>
        <v>title: "Page Title (what will display on website)"</v>
      </c>
      <c r="U41" s="120" t="str">
        <f t="shared" si="14"/>
        <v/>
      </c>
      <c r="V41" s="120" t="str">
        <f t="shared" si="15"/>
        <v/>
      </c>
      <c r="W41" s="120" t="str">
        <f t="shared" si="16"/>
        <v/>
      </c>
      <c r="X41" s="120" t="str">
        <f t="shared" si="17"/>
        <v/>
      </c>
      <c r="Y41" s="117" t="str">
        <f t="shared" si="18"/>
        <v/>
      </c>
      <c r="Z41" s="117" t="str">
        <f>IF(LEN(G41)&gt;1,concatll("#### Author's Note",G41,"-"&amp;B41),"")</f>
        <v/>
      </c>
      <c r="AA41" s="117" t="str">
        <f>IF(LEN(H41)&gt;1,concatll("#### Dedication",H41,"-"&amp;$B41),"")</f>
        <v/>
      </c>
      <c r="CA41" s="6" t="str">
        <f>IF(S41,concatll(concatl("---",T41,"---"),"*A collection of sites associated with this topic.*","#### Background",F41,Y41,Z41,AA41),"")</f>
        <v/>
      </c>
      <c r="CB41" s="6" t="str">
        <f t="shared" si="19"/>
        <v/>
      </c>
    </row>
    <row r="42" spans="1:80" ht="51" x14ac:dyDescent="0.25">
      <c r="A42" s="129" t="s">
        <v>1651</v>
      </c>
      <c r="B42" s="130" t="s">
        <v>1652</v>
      </c>
      <c r="C42" s="33" t="s">
        <v>1779</v>
      </c>
      <c r="D42" s="55" t="s">
        <v>1636</v>
      </c>
      <c r="E42" s="61" t="s">
        <v>1723</v>
      </c>
      <c r="F42" s="55" t="s">
        <v>1727</v>
      </c>
      <c r="L42" s="40" t="s">
        <v>53</v>
      </c>
      <c r="M42" s="1" t="s">
        <v>53</v>
      </c>
      <c r="N42" s="44" t="s">
        <v>53</v>
      </c>
      <c r="O42" s="1" t="s">
        <v>53</v>
      </c>
      <c r="P42" s="1" t="s">
        <v>53</v>
      </c>
      <c r="Q42" s="30" t="s">
        <v>53</v>
      </c>
      <c r="R42" s="121" t="s">
        <v>53</v>
      </c>
      <c r="S42" s="116" t="b">
        <f t="shared" si="12"/>
        <v>0</v>
      </c>
      <c r="T42" s="117" t="str">
        <f t="shared" si="13"/>
        <v>title: "Page Title (what will display on website)"</v>
      </c>
      <c r="U42" s="120" t="str">
        <f t="shared" si="14"/>
        <v/>
      </c>
      <c r="V42" s="120" t="str">
        <f t="shared" si="15"/>
        <v/>
      </c>
      <c r="W42" s="120" t="str">
        <f t="shared" si="16"/>
        <v/>
      </c>
      <c r="X42" s="120" t="str">
        <f t="shared" si="17"/>
        <v/>
      </c>
      <c r="Y42" s="117" t="str">
        <f t="shared" si="18"/>
        <v/>
      </c>
      <c r="Z42" s="117" t="str">
        <f>IF(LEN(G42)&gt;1,concatll("#### Author's Note",G42,"-"&amp;B42),"")</f>
        <v/>
      </c>
      <c r="AA42" s="117" t="str">
        <f>IF(LEN(H42)&gt;1,concatll("#### Dedication",H42,"-"&amp;$B42),"")</f>
        <v/>
      </c>
      <c r="CA42" s="6" t="str">
        <f>IF(S42,concatll(concatl("---",T42,"---"),"*A collection of sites associated with this topic.*","#### Background",F42,Y42,Z42,AA42),"")</f>
        <v/>
      </c>
      <c r="CB42" s="6" t="str">
        <f t="shared" si="19"/>
        <v/>
      </c>
    </row>
    <row r="43" spans="1:80" ht="51" x14ac:dyDescent="0.25">
      <c r="A43" s="129" t="s">
        <v>1651</v>
      </c>
      <c r="B43" s="7" t="s">
        <v>1652</v>
      </c>
      <c r="C43" s="33" t="s">
        <v>1780</v>
      </c>
      <c r="D43" s="7" t="s">
        <v>1636</v>
      </c>
      <c r="E43" s="61" t="s">
        <v>1723</v>
      </c>
      <c r="F43" s="7" t="s">
        <v>1727</v>
      </c>
      <c r="G43" s="130"/>
      <c r="H43" s="139"/>
      <c r="L43" s="40" t="s">
        <v>53</v>
      </c>
      <c r="M43" s="1" t="s">
        <v>53</v>
      </c>
      <c r="N43" s="44" t="s">
        <v>53</v>
      </c>
      <c r="O43" s="1" t="s">
        <v>53</v>
      </c>
      <c r="P43" s="1" t="s">
        <v>53</v>
      </c>
      <c r="Q43" s="30" t="s">
        <v>53</v>
      </c>
      <c r="R43" s="121" t="s">
        <v>53</v>
      </c>
      <c r="S43" s="116" t="b">
        <f t="shared" si="12"/>
        <v>0</v>
      </c>
      <c r="T43" s="117" t="str">
        <f t="shared" si="13"/>
        <v>title: "Page Title (what will display on website)"</v>
      </c>
      <c r="U43" s="120" t="str">
        <f t="shared" si="14"/>
        <v/>
      </c>
      <c r="V43" s="120" t="str">
        <f t="shared" si="15"/>
        <v/>
      </c>
      <c r="W43" s="120" t="str">
        <f t="shared" si="16"/>
        <v/>
      </c>
      <c r="X43" s="120" t="str">
        <f t="shared" si="17"/>
        <v/>
      </c>
      <c r="Y43" s="117" t="str">
        <f t="shared" si="18"/>
        <v/>
      </c>
      <c r="Z43" s="117" t="str">
        <f>IF(LEN(G43)&gt;1,concatll("#### Author's Note",G43,"-"&amp;B43),"")</f>
        <v/>
      </c>
      <c r="AA43" s="117" t="str">
        <f>IF(LEN(H43)&gt;1,concatll("#### Dedication",H43,"-"&amp;$B43),"")</f>
        <v/>
      </c>
      <c r="CA43" s="6" t="str">
        <f>IF(S43,concatll(concatl("---",T43,"---"),"*A collection of sites associated with this topic.*","#### Background",F43,Y43,Z43,AA43),"")</f>
        <v/>
      </c>
      <c r="CB43" s="6" t="str">
        <f t="shared" si="19"/>
        <v/>
      </c>
    </row>
    <row r="44" spans="1:80" ht="51" x14ac:dyDescent="0.25">
      <c r="A44" s="129" t="s">
        <v>1651</v>
      </c>
      <c r="B44" s="7" t="s">
        <v>1652</v>
      </c>
      <c r="C44" s="33" t="s">
        <v>1781</v>
      </c>
      <c r="D44" s="7" t="s">
        <v>1636</v>
      </c>
      <c r="E44" s="61" t="s">
        <v>1723</v>
      </c>
      <c r="F44" s="55" t="s">
        <v>1727</v>
      </c>
      <c r="G44" s="130"/>
      <c r="H44" s="139"/>
      <c r="L44" s="40" t="s">
        <v>53</v>
      </c>
      <c r="M44" s="1" t="s">
        <v>53</v>
      </c>
      <c r="N44" s="44" t="s">
        <v>53</v>
      </c>
      <c r="O44" s="1" t="s">
        <v>53</v>
      </c>
      <c r="P44" s="1" t="s">
        <v>53</v>
      </c>
      <c r="Q44" s="30" t="s">
        <v>53</v>
      </c>
      <c r="R44" s="121" t="s">
        <v>53</v>
      </c>
      <c r="S44" s="116" t="b">
        <f t="shared" si="12"/>
        <v>0</v>
      </c>
      <c r="T44" s="117" t="str">
        <f t="shared" si="13"/>
        <v>title: "Page Title (what will display on website)"</v>
      </c>
      <c r="U44" s="120" t="str">
        <f t="shared" si="14"/>
        <v/>
      </c>
      <c r="V44" s="120" t="str">
        <f t="shared" si="15"/>
        <v/>
      </c>
      <c r="W44" s="120" t="str">
        <f t="shared" si="16"/>
        <v/>
      </c>
      <c r="X44" s="120" t="str">
        <f t="shared" si="17"/>
        <v/>
      </c>
      <c r="Y44" s="117" t="str">
        <f t="shared" si="18"/>
        <v/>
      </c>
      <c r="Z44" s="117" t="str">
        <f>IF(LEN(G44)&gt;1,concatll("#### Author's Note",G44,"-"&amp;B44),"")</f>
        <v/>
      </c>
      <c r="AA44" s="117" t="str">
        <f>IF(LEN(H44)&gt;1,concatll("#### Dedication",H44,"-"&amp;$B44),"")</f>
        <v/>
      </c>
      <c r="CA44" s="6" t="str">
        <f>IF(S44,concatll(concatl("---",T44,"---"),"*A collection of sites associated with this topic.*","#### Background",F44,Y44,Z44,AA44),"")</f>
        <v/>
      </c>
      <c r="CB44" s="6" t="str">
        <f t="shared" si="19"/>
        <v/>
      </c>
    </row>
    <row r="45" spans="1:80" ht="51" x14ac:dyDescent="0.25">
      <c r="A45" s="129" t="s">
        <v>1651</v>
      </c>
      <c r="B45" s="130" t="s">
        <v>1652</v>
      </c>
      <c r="C45" s="61" t="s">
        <v>1782</v>
      </c>
      <c r="D45" s="55" t="s">
        <v>1636</v>
      </c>
      <c r="E45" s="61" t="s">
        <v>1723</v>
      </c>
      <c r="F45" s="55" t="s">
        <v>1727</v>
      </c>
      <c r="L45" s="40" t="s">
        <v>53</v>
      </c>
      <c r="M45" s="1" t="s">
        <v>53</v>
      </c>
      <c r="N45" s="44" t="s">
        <v>53</v>
      </c>
      <c r="O45" s="1" t="s">
        <v>53</v>
      </c>
      <c r="P45" s="1" t="s">
        <v>53</v>
      </c>
      <c r="Q45" s="30" t="s">
        <v>53</v>
      </c>
      <c r="R45" s="121" t="s">
        <v>53</v>
      </c>
      <c r="S45" s="116" t="b">
        <f t="shared" si="12"/>
        <v>0</v>
      </c>
      <c r="T45" s="117" t="str">
        <f t="shared" si="13"/>
        <v>title: "Page Title (what will display on website)"</v>
      </c>
      <c r="U45" s="120" t="str">
        <f t="shared" si="14"/>
        <v/>
      </c>
      <c r="V45" s="120" t="str">
        <f t="shared" si="15"/>
        <v/>
      </c>
      <c r="W45" s="120" t="str">
        <f t="shared" si="16"/>
        <v/>
      </c>
      <c r="X45" s="120" t="str">
        <f t="shared" si="17"/>
        <v/>
      </c>
      <c r="Y45" s="117" t="str">
        <f t="shared" si="18"/>
        <v/>
      </c>
      <c r="Z45" s="117" t="str">
        <f>IF(LEN(G45)&gt;1,concatll("#### Author's Note",G45,"-"&amp;B45),"")</f>
        <v/>
      </c>
      <c r="AA45" s="117" t="str">
        <f>IF(LEN(H45)&gt;1,concatll("#### Dedication",H45,"-"&amp;$B45),"")</f>
        <v/>
      </c>
      <c r="CA45" s="6" t="str">
        <f>IF(S45,concatll(concatl("---",T45,"---"),"*A collection of sites associated with this topic.*","#### Background",F45,Y45,Z45,AA45),"")</f>
        <v/>
      </c>
      <c r="CB45" s="6" t="str">
        <f t="shared" si="19"/>
        <v/>
      </c>
    </row>
    <row r="46" spans="1:80" ht="51" x14ac:dyDescent="0.25">
      <c r="A46" s="129" t="s">
        <v>1651</v>
      </c>
      <c r="B46" s="130" t="s">
        <v>1652</v>
      </c>
      <c r="C46" s="141" t="s">
        <v>1783</v>
      </c>
      <c r="D46" s="15" t="s">
        <v>1636</v>
      </c>
      <c r="E46" s="37" t="s">
        <v>1723</v>
      </c>
      <c r="F46" s="130" t="s">
        <v>1727</v>
      </c>
      <c r="I46" s="135"/>
      <c r="J46" s="2"/>
      <c r="K46" s="136"/>
      <c r="L46" s="39" t="s">
        <v>53</v>
      </c>
      <c r="M46" s="2" t="s">
        <v>53</v>
      </c>
      <c r="N46" s="43" t="s">
        <v>53</v>
      </c>
      <c r="O46" s="2" t="s">
        <v>53</v>
      </c>
      <c r="P46" s="2" t="s">
        <v>53</v>
      </c>
      <c r="Q46" s="31" t="s">
        <v>53</v>
      </c>
      <c r="R46" s="121" t="s">
        <v>53</v>
      </c>
      <c r="S46" s="116" t="b">
        <f t="shared" si="12"/>
        <v>0</v>
      </c>
      <c r="T46" s="117" t="str">
        <f t="shared" si="13"/>
        <v>title: "Page Title (what will display on website)"</v>
      </c>
      <c r="U46" s="120" t="str">
        <f t="shared" si="14"/>
        <v/>
      </c>
      <c r="V46" s="120" t="str">
        <f t="shared" si="15"/>
        <v/>
      </c>
      <c r="W46" s="120" t="str">
        <f t="shared" si="16"/>
        <v/>
      </c>
      <c r="X46" s="120" t="str">
        <f t="shared" si="17"/>
        <v/>
      </c>
      <c r="Y46" s="117" t="str">
        <f t="shared" si="18"/>
        <v/>
      </c>
      <c r="Z46" s="117" t="str">
        <f>IF(LEN(G46)&gt;1,concatll("#### Author's Note",G46,"-"&amp;B46),"")</f>
        <v/>
      </c>
      <c r="AA46" s="117" t="str">
        <f>IF(LEN(H46)&gt;1,concatll("#### Dedication",H46,"-"&amp;$B46),"")</f>
        <v/>
      </c>
      <c r="CA46" s="6" t="str">
        <f>IF(S46,concatll(concatl("---",T46,"---"),"*A collection of sites associated with this topic.*","#### Background",F46,Y46,Z46,AA46),"")</f>
        <v/>
      </c>
      <c r="CB46" s="6" t="str">
        <f t="shared" si="19"/>
        <v/>
      </c>
    </row>
    <row r="47" spans="1:80" ht="51" x14ac:dyDescent="0.25">
      <c r="A47" s="129" t="s">
        <v>1651</v>
      </c>
      <c r="B47" s="130" t="s">
        <v>1652</v>
      </c>
      <c r="C47" s="33" t="s">
        <v>1784</v>
      </c>
      <c r="D47" s="7" t="s">
        <v>1636</v>
      </c>
      <c r="E47" s="33" t="s">
        <v>1723</v>
      </c>
      <c r="F47" s="7" t="s">
        <v>1727</v>
      </c>
      <c r="G47" s="130"/>
      <c r="H47" s="139"/>
      <c r="I47" s="132"/>
      <c r="J47" s="132"/>
      <c r="K47" s="133"/>
      <c r="L47" s="40" t="s">
        <v>53</v>
      </c>
      <c r="M47" s="1" t="s">
        <v>53</v>
      </c>
      <c r="N47" s="44" t="s">
        <v>53</v>
      </c>
      <c r="O47" s="1" t="s">
        <v>53</v>
      </c>
      <c r="P47" s="1" t="s">
        <v>53</v>
      </c>
      <c r="Q47" s="30" t="s">
        <v>53</v>
      </c>
      <c r="R47" s="121" t="s">
        <v>53</v>
      </c>
      <c r="S47" s="116" t="b">
        <f t="shared" si="12"/>
        <v>0</v>
      </c>
      <c r="T47" s="117" t="str">
        <f t="shared" si="13"/>
        <v>title: "Page Title (what will display on website)"</v>
      </c>
      <c r="U47" s="120" t="str">
        <f t="shared" si="14"/>
        <v/>
      </c>
      <c r="V47" s="120" t="str">
        <f t="shared" si="15"/>
        <v/>
      </c>
      <c r="W47" s="120" t="str">
        <f t="shared" si="16"/>
        <v/>
      </c>
      <c r="X47" s="120" t="str">
        <f t="shared" si="17"/>
        <v/>
      </c>
      <c r="Y47" s="117" t="str">
        <f t="shared" si="18"/>
        <v/>
      </c>
      <c r="Z47" s="117" t="str">
        <f>IF(LEN(G47)&gt;1,concatll("#### Author's Note",G47,"-"&amp;B47),"")</f>
        <v/>
      </c>
      <c r="AA47" s="117" t="str">
        <f>IF(LEN(H47)&gt;1,concatll("#### Dedication",H47,"-"&amp;$B47),"")</f>
        <v/>
      </c>
      <c r="CA47" s="6" t="str">
        <f>IF(S47,concatll(concatl("---",T47,"---"),"*A collection of sites associated with this topic.*","#### Background",F47,Y47,Z47,AA47),"")</f>
        <v/>
      </c>
      <c r="CB47" s="6" t="str">
        <f t="shared" si="19"/>
        <v/>
      </c>
    </row>
    <row r="48" spans="1:80" ht="51" x14ac:dyDescent="0.25">
      <c r="A48" s="129" t="s">
        <v>1651</v>
      </c>
      <c r="B48" s="10" t="s">
        <v>1652</v>
      </c>
      <c r="C48" s="38" t="s">
        <v>1785</v>
      </c>
      <c r="D48" s="7" t="s">
        <v>1636</v>
      </c>
      <c r="E48" s="33" t="s">
        <v>1723</v>
      </c>
      <c r="F48" s="7" t="s">
        <v>1727</v>
      </c>
      <c r="L48" s="40" t="s">
        <v>53</v>
      </c>
      <c r="M48" s="1" t="s">
        <v>53</v>
      </c>
      <c r="N48" s="44" t="s">
        <v>53</v>
      </c>
      <c r="O48" s="1" t="s">
        <v>53</v>
      </c>
      <c r="P48" s="1" t="s">
        <v>53</v>
      </c>
      <c r="Q48" s="30" t="s">
        <v>53</v>
      </c>
      <c r="R48" s="121" t="s">
        <v>53</v>
      </c>
      <c r="S48" s="116" t="b">
        <f t="shared" si="12"/>
        <v>0</v>
      </c>
      <c r="T48" s="117" t="str">
        <f t="shared" si="13"/>
        <v>title: "Page Title (what will display on website)"</v>
      </c>
      <c r="U48" s="120" t="str">
        <f t="shared" si="14"/>
        <v/>
      </c>
      <c r="V48" s="120" t="str">
        <f t="shared" si="15"/>
        <v/>
      </c>
      <c r="W48" s="120" t="str">
        <f t="shared" si="16"/>
        <v/>
      </c>
      <c r="X48" s="120" t="str">
        <f t="shared" si="17"/>
        <v/>
      </c>
      <c r="Y48" s="117" t="str">
        <f t="shared" si="18"/>
        <v/>
      </c>
      <c r="Z48" s="117" t="str">
        <f>IF(LEN(G48)&gt;1,concatll("#### Author's Note",G48,"-"&amp;B48),"")</f>
        <v/>
      </c>
      <c r="AA48" s="117" t="str">
        <f>IF(LEN(H48)&gt;1,concatll("#### Dedication",H48,"-"&amp;$B48),"")</f>
        <v/>
      </c>
      <c r="CA48" s="6" t="str">
        <f>IF(S48,concatll(concatl("---",T48,"---"),"*A collection of sites associated with this topic.*","#### Background",F48,Y48,Z48,AA48),"")</f>
        <v/>
      </c>
      <c r="CB48" s="6" t="str">
        <f t="shared" si="19"/>
        <v/>
      </c>
    </row>
    <row r="49" spans="1:80" ht="51" x14ac:dyDescent="0.25">
      <c r="A49" s="129" t="s">
        <v>1651</v>
      </c>
      <c r="B49" s="7" t="s">
        <v>1652</v>
      </c>
      <c r="C49" s="33" t="s">
        <v>1786</v>
      </c>
      <c r="D49" s="55" t="s">
        <v>1636</v>
      </c>
      <c r="E49" s="33" t="s">
        <v>1723</v>
      </c>
      <c r="F49" s="7" t="s">
        <v>1727</v>
      </c>
      <c r="L49" s="40" t="s">
        <v>53</v>
      </c>
      <c r="M49" s="1" t="s">
        <v>53</v>
      </c>
      <c r="N49" s="44" t="s">
        <v>53</v>
      </c>
      <c r="O49" s="1" t="s">
        <v>53</v>
      </c>
      <c r="P49" s="1" t="s">
        <v>53</v>
      </c>
      <c r="Q49" s="30" t="s">
        <v>53</v>
      </c>
      <c r="R49" s="121" t="s">
        <v>53</v>
      </c>
      <c r="S49" s="116" t="b">
        <f t="shared" si="12"/>
        <v>0</v>
      </c>
      <c r="T49" s="117" t="str">
        <f t="shared" si="13"/>
        <v>title: "Page Title (what will display on website)"</v>
      </c>
      <c r="U49" s="120" t="str">
        <f t="shared" si="14"/>
        <v/>
      </c>
      <c r="V49" s="120" t="str">
        <f t="shared" si="15"/>
        <v/>
      </c>
      <c r="W49" s="120" t="str">
        <f t="shared" si="16"/>
        <v/>
      </c>
      <c r="X49" s="120" t="str">
        <f t="shared" si="17"/>
        <v/>
      </c>
      <c r="Y49" s="117" t="str">
        <f t="shared" si="18"/>
        <v/>
      </c>
      <c r="Z49" s="117" t="str">
        <f>IF(LEN(G49)&gt;1,concatll("#### Author's Note",G49,"-"&amp;B49),"")</f>
        <v/>
      </c>
      <c r="AA49" s="117" t="str">
        <f>IF(LEN(H49)&gt;1,concatll("#### Dedication",H49,"-"&amp;$B49),"")</f>
        <v/>
      </c>
      <c r="CA49" s="6" t="str">
        <f>IF(S49,concatll(concatl("---",T49,"---"),"*A collection of sites associated with this topic.*","#### Background",F49,Y49,Z49,AA49),"")</f>
        <v/>
      </c>
      <c r="CB49" s="6" t="str">
        <f t="shared" si="19"/>
        <v/>
      </c>
    </row>
    <row r="50" spans="1:80" ht="51" x14ac:dyDescent="0.25">
      <c r="A50" s="129" t="s">
        <v>1651</v>
      </c>
      <c r="B50" s="7" t="s">
        <v>1652</v>
      </c>
      <c r="C50" s="38" t="s">
        <v>1787</v>
      </c>
      <c r="D50" s="7" t="s">
        <v>1636</v>
      </c>
      <c r="E50" s="33" t="s">
        <v>1723</v>
      </c>
      <c r="F50" s="26" t="s">
        <v>1727</v>
      </c>
      <c r="L50" s="40" t="s">
        <v>53</v>
      </c>
      <c r="M50" s="1" t="s">
        <v>53</v>
      </c>
      <c r="N50" s="44" t="s">
        <v>53</v>
      </c>
      <c r="O50" s="1" t="s">
        <v>53</v>
      </c>
      <c r="P50" s="1" t="s">
        <v>53</v>
      </c>
      <c r="Q50" s="30" t="s">
        <v>53</v>
      </c>
      <c r="R50" s="121" t="s">
        <v>53</v>
      </c>
      <c r="S50" s="116" t="b">
        <f t="shared" si="12"/>
        <v>0</v>
      </c>
      <c r="T50" s="117" t="str">
        <f t="shared" si="13"/>
        <v>title: "Page Title (what will display on website)"</v>
      </c>
      <c r="U50" s="120" t="str">
        <f t="shared" si="14"/>
        <v/>
      </c>
      <c r="V50" s="120" t="str">
        <f t="shared" si="15"/>
        <v/>
      </c>
      <c r="W50" s="120" t="str">
        <f t="shared" si="16"/>
        <v/>
      </c>
      <c r="X50" s="120" t="str">
        <f t="shared" si="17"/>
        <v/>
      </c>
      <c r="Y50" s="117" t="str">
        <f t="shared" si="18"/>
        <v/>
      </c>
      <c r="Z50" s="117" t="str">
        <f>IF(LEN(G50)&gt;1,concatll("#### Author's Note",G50,"-"&amp;B50),"")</f>
        <v/>
      </c>
      <c r="AA50" s="117" t="str">
        <f>IF(LEN(H50)&gt;1,concatll("#### Dedication",H50,"-"&amp;$B50),"")</f>
        <v/>
      </c>
      <c r="CA50" s="6" t="str">
        <f>IF(S50,concatll(concatl("---",T50,"---"),"*A collection of sites associated with this topic.*","#### Background",F50,Y50,Z50,AA50),"")</f>
        <v/>
      </c>
      <c r="CB50" s="6" t="str">
        <f t="shared" si="19"/>
        <v/>
      </c>
    </row>
    <row r="51" spans="1:80" ht="51" x14ac:dyDescent="0.25">
      <c r="A51" s="129" t="s">
        <v>1651</v>
      </c>
      <c r="B51" s="130" t="s">
        <v>1652</v>
      </c>
      <c r="C51" s="61" t="s">
        <v>1788</v>
      </c>
      <c r="D51" s="55" t="s">
        <v>1636</v>
      </c>
      <c r="E51" s="61" t="s">
        <v>1723</v>
      </c>
      <c r="F51" s="26" t="s">
        <v>1727</v>
      </c>
      <c r="G51" s="130"/>
      <c r="H51" s="139"/>
      <c r="I51" s="29"/>
      <c r="J51" s="18"/>
      <c r="K51" s="63"/>
      <c r="L51" s="42" t="s">
        <v>53</v>
      </c>
      <c r="M51" s="18" t="s">
        <v>53</v>
      </c>
      <c r="N51" s="46" t="s">
        <v>53</v>
      </c>
      <c r="O51" s="18" t="s">
        <v>53</v>
      </c>
      <c r="P51" s="18" t="s">
        <v>53</v>
      </c>
      <c r="Q51" s="69" t="s">
        <v>53</v>
      </c>
      <c r="R51" s="121" t="s">
        <v>53</v>
      </c>
      <c r="S51" s="116" t="b">
        <f t="shared" si="12"/>
        <v>0</v>
      </c>
      <c r="T51" s="117" t="str">
        <f t="shared" si="13"/>
        <v>title: "Page Title (what will display on website)"</v>
      </c>
      <c r="U51" s="120" t="str">
        <f t="shared" si="14"/>
        <v/>
      </c>
      <c r="V51" s="120" t="str">
        <f t="shared" si="15"/>
        <v/>
      </c>
      <c r="W51" s="120" t="str">
        <f t="shared" si="16"/>
        <v/>
      </c>
      <c r="X51" s="120" t="str">
        <f t="shared" si="17"/>
        <v/>
      </c>
      <c r="Y51" s="117" t="str">
        <f t="shared" si="18"/>
        <v/>
      </c>
      <c r="Z51" s="117" t="str">
        <f>IF(LEN(G51)&gt;1,concatll("#### Author's Note",G51,"-"&amp;B51),"")</f>
        <v/>
      </c>
      <c r="AA51" s="117" t="str">
        <f>IF(LEN(H51)&gt;1,concatll("#### Dedication",H51,"-"&amp;$B51),"")</f>
        <v/>
      </c>
      <c r="CA51" s="6" t="str">
        <f>IF(S51,concatll(concatl("---",T51,"---"),"*A collection of sites associated with this topic.*","#### Background",F51,Y51,Z51,AA51),"")</f>
        <v/>
      </c>
      <c r="CB51" s="6" t="str">
        <f t="shared" si="19"/>
        <v/>
      </c>
    </row>
    <row r="52" spans="1:80" ht="51" x14ac:dyDescent="0.25">
      <c r="A52" s="129" t="s">
        <v>1651</v>
      </c>
      <c r="B52" s="130" t="s">
        <v>1652</v>
      </c>
      <c r="C52" s="61" t="s">
        <v>1789</v>
      </c>
      <c r="D52" s="55" t="s">
        <v>1636</v>
      </c>
      <c r="E52" s="61" t="s">
        <v>1723</v>
      </c>
      <c r="F52" s="130" t="s">
        <v>1727</v>
      </c>
      <c r="G52" s="55"/>
      <c r="H52" s="61"/>
      <c r="I52" s="132"/>
      <c r="L52" s="40" t="s">
        <v>53</v>
      </c>
      <c r="M52" s="1" t="s">
        <v>53</v>
      </c>
      <c r="N52" s="44" t="s">
        <v>53</v>
      </c>
      <c r="O52" s="1" t="s">
        <v>53</v>
      </c>
      <c r="P52" s="1" t="s">
        <v>53</v>
      </c>
      <c r="Q52" s="30" t="s">
        <v>53</v>
      </c>
      <c r="R52" s="121" t="s">
        <v>53</v>
      </c>
      <c r="S52" s="116" t="b">
        <f t="shared" si="12"/>
        <v>0</v>
      </c>
      <c r="T52" s="117" t="str">
        <f t="shared" si="13"/>
        <v>title: "Page Title (what will display on website)"</v>
      </c>
      <c r="U52" s="120" t="str">
        <f t="shared" si="14"/>
        <v/>
      </c>
      <c r="V52" s="120" t="str">
        <f t="shared" si="15"/>
        <v/>
      </c>
      <c r="W52" s="120" t="str">
        <f t="shared" si="16"/>
        <v/>
      </c>
      <c r="X52" s="120" t="str">
        <f t="shared" si="17"/>
        <v/>
      </c>
      <c r="Y52" s="117" t="str">
        <f t="shared" si="18"/>
        <v/>
      </c>
      <c r="Z52" s="117" t="str">
        <f>IF(LEN(G52)&gt;1,concatll("#### Author's Note",G52,"-"&amp;B52),"")</f>
        <v/>
      </c>
      <c r="AA52" s="117" t="str">
        <f>IF(LEN(H52)&gt;1,concatll("#### Dedication",H52,"-"&amp;$B52),"")</f>
        <v/>
      </c>
      <c r="CA52" s="6" t="str">
        <f>IF(S52,concatll(concatl("---",T52,"---"),"*A collection of sites associated with this topic.*","#### Background",F52,Y52,Z52,AA52),"")</f>
        <v/>
      </c>
      <c r="CB52" s="6" t="str">
        <f t="shared" si="19"/>
        <v/>
      </c>
    </row>
    <row r="53" spans="1:80" ht="51" x14ac:dyDescent="0.25">
      <c r="A53" s="129" t="s">
        <v>1651</v>
      </c>
      <c r="B53" s="130" t="s">
        <v>1652</v>
      </c>
      <c r="C53" s="33" t="s">
        <v>1790</v>
      </c>
      <c r="D53" s="7" t="s">
        <v>1636</v>
      </c>
      <c r="E53" s="61" t="s">
        <v>1723</v>
      </c>
      <c r="F53" s="130" t="s">
        <v>1727</v>
      </c>
      <c r="G53" s="130"/>
      <c r="H53" s="139"/>
      <c r="L53" s="40" t="s">
        <v>53</v>
      </c>
      <c r="M53" s="1" t="s">
        <v>53</v>
      </c>
      <c r="N53" s="44" t="s">
        <v>53</v>
      </c>
      <c r="O53" s="1" t="s">
        <v>53</v>
      </c>
      <c r="P53" s="1" t="s">
        <v>53</v>
      </c>
      <c r="Q53" s="30" t="s">
        <v>53</v>
      </c>
      <c r="R53" s="121" t="s">
        <v>53</v>
      </c>
      <c r="S53" s="116" t="b">
        <f t="shared" si="12"/>
        <v>0</v>
      </c>
      <c r="T53" s="117" t="str">
        <f t="shared" si="13"/>
        <v>title: "Page Title (what will display on website)"</v>
      </c>
      <c r="U53" s="120" t="str">
        <f t="shared" si="14"/>
        <v/>
      </c>
      <c r="V53" s="120" t="str">
        <f t="shared" si="15"/>
        <v/>
      </c>
      <c r="W53" s="120" t="str">
        <f t="shared" si="16"/>
        <v/>
      </c>
      <c r="X53" s="120" t="str">
        <f t="shared" si="17"/>
        <v/>
      </c>
      <c r="Y53" s="117" t="str">
        <f t="shared" si="18"/>
        <v/>
      </c>
      <c r="Z53" s="117" t="str">
        <f>IF(LEN(G53)&gt;1,concatll("#### Author's Note",G53,"-"&amp;B53),"")</f>
        <v/>
      </c>
      <c r="AA53" s="117" t="str">
        <f>IF(LEN(H53)&gt;1,concatll("#### Dedication",H53,"-"&amp;$B53),"")</f>
        <v/>
      </c>
      <c r="CA53" s="6" t="str">
        <f>IF(S53,concatll(concatl("---",T53,"---"),"*A collection of sites associated with this topic.*","#### Background",F53,Y53,Z53,AA53),"")</f>
        <v/>
      </c>
      <c r="CB53" s="6" t="str">
        <f t="shared" si="19"/>
        <v/>
      </c>
    </row>
    <row r="54" spans="1:80" ht="51" x14ac:dyDescent="0.25">
      <c r="A54" s="129" t="s">
        <v>1651</v>
      </c>
      <c r="B54" s="153" t="s">
        <v>1652</v>
      </c>
      <c r="C54" s="33" t="s">
        <v>1802</v>
      </c>
      <c r="D54" s="153" t="s">
        <v>1636</v>
      </c>
      <c r="E54" s="152" t="s">
        <v>1723</v>
      </c>
      <c r="F54" s="153" t="s">
        <v>1727</v>
      </c>
      <c r="L54" s="40" t="s">
        <v>53</v>
      </c>
      <c r="M54" s="1" t="s">
        <v>53</v>
      </c>
      <c r="N54" s="44" t="s">
        <v>53</v>
      </c>
      <c r="O54" s="1" t="s">
        <v>53</v>
      </c>
      <c r="P54" s="1" t="s">
        <v>53</v>
      </c>
      <c r="Q54" s="30" t="s">
        <v>53</v>
      </c>
      <c r="R54" s="121" t="s">
        <v>53</v>
      </c>
      <c r="S54" s="116" t="b">
        <f t="shared" si="12"/>
        <v>0</v>
      </c>
      <c r="T54" s="117" t="str">
        <f t="shared" si="13"/>
        <v>title: "Page Title (what will display on website)"</v>
      </c>
      <c r="U54" s="120" t="str">
        <f t="shared" si="14"/>
        <v/>
      </c>
      <c r="V54" s="120" t="str">
        <f t="shared" si="15"/>
        <v/>
      </c>
      <c r="W54" s="120" t="str">
        <f t="shared" si="16"/>
        <v/>
      </c>
      <c r="X54" s="120" t="str">
        <f t="shared" si="17"/>
        <v/>
      </c>
      <c r="Y54" s="117" t="str">
        <f t="shared" si="18"/>
        <v/>
      </c>
      <c r="Z54" s="117" t="str">
        <f>IF(LEN(G54)&gt;1,concatll("#### Author's Note",G54,"-"&amp;B54),"")</f>
        <v/>
      </c>
      <c r="AA54" s="117" t="str">
        <f>IF(LEN(H54)&gt;1,concatll("#### Dedication",H54,"-"&amp;$B54),"")</f>
        <v/>
      </c>
      <c r="CA54" s="6" t="str">
        <f>IF(S54,concatll(concatl("---",T54,"---"),"*A collection of sites associated with this topic.*","#### Background",F54,Y54,Z54,AA54),"")</f>
        <v/>
      </c>
      <c r="CB54" s="6" t="str">
        <f t="shared" si="19"/>
        <v/>
      </c>
    </row>
    <row r="55" spans="1:80" x14ac:dyDescent="0.25">
      <c r="C55" s="73"/>
      <c r="D55" s="71"/>
      <c r="F55" s="71"/>
      <c r="U55" s="120"/>
      <c r="V55" s="120"/>
      <c r="W55" s="120"/>
      <c r="X55" s="120"/>
      <c r="CB55" s="6"/>
    </row>
    <row r="56" spans="1:80" x14ac:dyDescent="0.25">
      <c r="C56" s="73"/>
      <c r="D56" s="71"/>
      <c r="E56" s="73"/>
      <c r="F56" s="71"/>
      <c r="I56" s="72"/>
      <c r="K56" s="76"/>
      <c r="U56" s="120"/>
      <c r="V56" s="120"/>
      <c r="W56" s="120"/>
      <c r="X56" s="120"/>
      <c r="CB56" s="6"/>
    </row>
    <row r="57" spans="1:80" x14ac:dyDescent="0.25">
      <c r="C57" s="73"/>
      <c r="D57" s="71"/>
      <c r="E57" s="139"/>
      <c r="F57" s="71"/>
      <c r="U57" s="120"/>
      <c r="V57" s="120"/>
      <c r="W57" s="120"/>
      <c r="X57" s="120"/>
      <c r="CB57" s="6"/>
    </row>
    <row r="58" spans="1:80" x14ac:dyDescent="0.25">
      <c r="B58" s="130"/>
      <c r="C58" s="73"/>
      <c r="D58" s="80"/>
      <c r="E58" s="73"/>
      <c r="F58" s="71"/>
      <c r="I58" s="72"/>
      <c r="U58" s="120"/>
      <c r="V58" s="120"/>
      <c r="W58" s="120"/>
      <c r="X58" s="120"/>
      <c r="CB58" s="6"/>
    </row>
    <row r="59" spans="1:80" x14ac:dyDescent="0.25">
      <c r="E59" s="61"/>
      <c r="F59" s="55"/>
      <c r="U59" s="120"/>
      <c r="V59" s="120"/>
      <c r="W59" s="120"/>
      <c r="X59" s="120"/>
      <c r="CB59" s="6"/>
    </row>
    <row r="60" spans="1:80" x14ac:dyDescent="0.25">
      <c r="D60" s="55"/>
      <c r="E60" s="61"/>
      <c r="F60" s="55"/>
      <c r="G60" s="130"/>
      <c r="H60" s="139"/>
      <c r="U60" s="120"/>
      <c r="V60" s="120"/>
      <c r="W60" s="120"/>
      <c r="X60" s="120"/>
      <c r="CB60" s="6"/>
    </row>
    <row r="61" spans="1:80" x14ac:dyDescent="0.25">
      <c r="U61" s="120"/>
      <c r="V61" s="120"/>
      <c r="W61" s="120"/>
      <c r="X61" s="120"/>
      <c r="CB61" s="6"/>
    </row>
    <row r="62" spans="1:80" x14ac:dyDescent="0.25">
      <c r="F62" s="23"/>
      <c r="G62" s="130"/>
      <c r="H62" s="139"/>
      <c r="U62" s="120"/>
      <c r="V62" s="120"/>
      <c r="W62" s="120"/>
      <c r="X62" s="120"/>
      <c r="CB62" s="6"/>
    </row>
    <row r="63" spans="1:80" x14ac:dyDescent="0.25">
      <c r="U63" s="120"/>
      <c r="V63" s="120"/>
      <c r="W63" s="120"/>
      <c r="X63" s="120"/>
      <c r="CB63" s="6"/>
    </row>
    <row r="64" spans="1:80" x14ac:dyDescent="0.25">
      <c r="C64" s="73"/>
      <c r="D64" s="71"/>
      <c r="F64" s="71"/>
      <c r="I64" s="72"/>
      <c r="K64" s="76"/>
      <c r="L64" s="75"/>
      <c r="O64" s="74"/>
      <c r="U64" s="120"/>
      <c r="V64" s="120"/>
      <c r="W64" s="120"/>
      <c r="X64" s="120"/>
      <c r="CB64" s="6"/>
    </row>
    <row r="65" spans="2:80" x14ac:dyDescent="0.25">
      <c r="B65" s="130"/>
      <c r="C65" s="61"/>
      <c r="D65" s="55"/>
      <c r="E65" s="139"/>
      <c r="F65" s="130"/>
      <c r="G65" s="130"/>
      <c r="H65" s="139"/>
      <c r="I65" s="132"/>
      <c r="U65" s="120"/>
      <c r="V65" s="120"/>
      <c r="W65" s="120"/>
      <c r="X65" s="120"/>
      <c r="CB65" s="6"/>
    </row>
    <row r="66" spans="2:80" x14ac:dyDescent="0.25">
      <c r="D66" s="55"/>
      <c r="E66" s="61"/>
      <c r="F66" s="130"/>
      <c r="G66" s="130"/>
      <c r="H66" s="139"/>
      <c r="I66" s="132"/>
      <c r="U66" s="120"/>
      <c r="V66" s="120"/>
      <c r="W66" s="120"/>
      <c r="X66" s="120"/>
      <c r="CB66" s="6"/>
    </row>
    <row r="67" spans="2:80" x14ac:dyDescent="0.25">
      <c r="B67" s="130"/>
      <c r="C67" s="139"/>
      <c r="D67" s="130"/>
      <c r="E67" s="139"/>
      <c r="F67" s="130"/>
      <c r="I67" s="132"/>
      <c r="K67" s="133"/>
      <c r="CB67" s="6"/>
    </row>
    <row r="68" spans="2:80" x14ac:dyDescent="0.25">
      <c r="C68" s="73"/>
      <c r="D68" s="80"/>
      <c r="F68" s="71"/>
      <c r="I68" s="72"/>
      <c r="K68" s="76"/>
      <c r="L68" s="75"/>
      <c r="N68" s="77"/>
      <c r="O68" s="74"/>
      <c r="CB68" s="6"/>
    </row>
    <row r="69" spans="2:80" x14ac:dyDescent="0.25">
      <c r="C69" s="73"/>
      <c r="D69" s="80"/>
      <c r="F69" s="71"/>
      <c r="I69" s="72"/>
      <c r="K69" s="76"/>
      <c r="CB69" s="6"/>
    </row>
    <row r="70" spans="2:80" x14ac:dyDescent="0.25">
      <c r="C70" s="73"/>
      <c r="D70" s="71"/>
      <c r="F70" s="71"/>
      <c r="I70" s="72"/>
      <c r="K70" s="76"/>
      <c r="L70" s="75"/>
      <c r="N70" s="76"/>
      <c r="CB70" s="6"/>
    </row>
    <row r="71" spans="2:80" x14ac:dyDescent="0.25">
      <c r="C71" s="81"/>
      <c r="D71" s="80"/>
      <c r="F71" s="71"/>
      <c r="I71" s="72"/>
      <c r="K71" s="76"/>
      <c r="CB71" s="6"/>
    </row>
    <row r="72" spans="2:80" x14ac:dyDescent="0.25">
      <c r="C72" s="73"/>
      <c r="D72" s="80"/>
      <c r="E72" s="73"/>
      <c r="F72" s="71"/>
      <c r="I72" s="72"/>
      <c r="CB72" s="6"/>
    </row>
    <row r="73" spans="2:80" x14ac:dyDescent="0.25">
      <c r="C73" s="73"/>
      <c r="D73" s="80"/>
      <c r="F73" s="71"/>
      <c r="G73" s="130"/>
      <c r="H73" s="139"/>
      <c r="I73" s="72"/>
      <c r="CB73" s="6"/>
    </row>
    <row r="74" spans="2:80" x14ac:dyDescent="0.25">
      <c r="C74" s="73"/>
      <c r="D74" s="71"/>
      <c r="F74" s="71"/>
      <c r="I74" s="72"/>
      <c r="CB74" s="6"/>
    </row>
    <row r="75" spans="2:80" x14ac:dyDescent="0.25">
      <c r="C75" s="73"/>
      <c r="D75" s="80"/>
      <c r="F75" s="71"/>
      <c r="G75" s="130"/>
      <c r="H75" s="139"/>
      <c r="I75" s="72"/>
      <c r="L75" s="78"/>
      <c r="CB75" s="6"/>
    </row>
    <row r="76" spans="2:80" x14ac:dyDescent="0.25">
      <c r="C76" s="73"/>
      <c r="D76" s="71"/>
      <c r="E76" s="73"/>
      <c r="F76" s="71"/>
      <c r="CB76" s="6"/>
    </row>
    <row r="77" spans="2:80" x14ac:dyDescent="0.25">
      <c r="D77" s="71"/>
      <c r="E77" s="73"/>
      <c r="F77" s="71"/>
      <c r="CB77" s="6"/>
    </row>
    <row r="78" spans="2:80" x14ac:dyDescent="0.25">
      <c r="F78" s="71"/>
      <c r="G78" s="130"/>
      <c r="H78" s="139"/>
      <c r="CB78" s="6"/>
    </row>
    <row r="79" spans="2:80" x14ac:dyDescent="0.25">
      <c r="C79" s="73"/>
      <c r="D79" s="71"/>
      <c r="E79" s="73"/>
      <c r="F79" s="71"/>
      <c r="CB79" s="6"/>
    </row>
    <row r="80" spans="2:80" x14ac:dyDescent="0.25">
      <c r="C80" s="73"/>
      <c r="D80" s="71"/>
      <c r="E80" s="73"/>
      <c r="F80" s="71"/>
      <c r="CB80" s="6"/>
    </row>
    <row r="81" spans="2:80" x14ac:dyDescent="0.25">
      <c r="C81" s="73"/>
      <c r="D81" s="71"/>
      <c r="E81" s="73"/>
      <c r="F81" s="71"/>
      <c r="I81" s="72"/>
      <c r="CB81" s="6"/>
    </row>
    <row r="82" spans="2:80" x14ac:dyDescent="0.25">
      <c r="C82" s="81"/>
      <c r="D82" s="80"/>
      <c r="E82" s="81"/>
      <c r="F82" s="115"/>
      <c r="CB82" s="6"/>
    </row>
    <row r="83" spans="2:80" x14ac:dyDescent="0.25">
      <c r="D83" s="90"/>
      <c r="F83" s="90"/>
      <c r="G83" s="130"/>
      <c r="H83" s="139"/>
      <c r="CB83" s="6"/>
    </row>
    <row r="84" spans="2:80" x14ac:dyDescent="0.25">
      <c r="D84" s="90"/>
      <c r="F84" s="90"/>
      <c r="CB84" s="6"/>
    </row>
    <row r="85" spans="2:80" x14ac:dyDescent="0.25">
      <c r="B85" s="90"/>
      <c r="C85" s="92"/>
      <c r="D85" s="90"/>
      <c r="E85" s="92"/>
      <c r="F85" s="115"/>
      <c r="CB85" s="6"/>
    </row>
    <row r="86" spans="2:80" x14ac:dyDescent="0.25">
      <c r="B86" s="130"/>
      <c r="C86" s="86"/>
      <c r="D86" s="84"/>
      <c r="F86" s="84"/>
      <c r="CB86" s="6"/>
    </row>
    <row r="87" spans="2:80" x14ac:dyDescent="0.25">
      <c r="B87" s="55"/>
      <c r="C87" s="61"/>
      <c r="E87" s="61"/>
      <c r="F87" s="55"/>
      <c r="I87" s="72"/>
      <c r="K87" s="63"/>
      <c r="CB87" s="6"/>
    </row>
    <row r="88" spans="2:80" x14ac:dyDescent="0.25">
      <c r="B88" s="130"/>
      <c r="E88" s="86"/>
      <c r="I88" s="85"/>
      <c r="L88" s="87"/>
      <c r="N88" s="88"/>
      <c r="CB88" s="6"/>
    </row>
    <row r="89" spans="2:80" x14ac:dyDescent="0.25">
      <c r="E89" s="86"/>
      <c r="F89" s="84"/>
      <c r="CB89" s="6"/>
    </row>
    <row r="90" spans="2:80" x14ac:dyDescent="0.25">
      <c r="E90" s="86"/>
      <c r="CB90" s="6"/>
    </row>
    <row r="91" spans="2:80" x14ac:dyDescent="0.25">
      <c r="E91" s="86"/>
      <c r="CB91" s="6"/>
    </row>
    <row r="92" spans="2:80" x14ac:dyDescent="0.25">
      <c r="E92" s="86"/>
      <c r="CB92" s="6"/>
    </row>
    <row r="93" spans="2:80" x14ac:dyDescent="0.25">
      <c r="E93" s="86"/>
      <c r="CB93" s="6"/>
    </row>
    <row r="94" spans="2:80" x14ac:dyDescent="0.25">
      <c r="CB94" s="6"/>
    </row>
    <row r="95" spans="2:80" x14ac:dyDescent="0.25">
      <c r="E95" s="86"/>
      <c r="CB95" s="6"/>
    </row>
    <row r="96" spans="2:80" x14ac:dyDescent="0.25">
      <c r="CB96" s="6"/>
    </row>
    <row r="97" spans="2:80" x14ac:dyDescent="0.25">
      <c r="CB97" s="6"/>
    </row>
    <row r="98" spans="2:80" x14ac:dyDescent="0.25">
      <c r="E98" s="86"/>
      <c r="F98" s="84"/>
      <c r="CB98" s="6"/>
    </row>
    <row r="99" spans="2:80" x14ac:dyDescent="0.25">
      <c r="CB99" s="6"/>
    </row>
    <row r="100" spans="2:80" x14ac:dyDescent="0.25">
      <c r="E100" s="86"/>
      <c r="CB100" s="6"/>
    </row>
    <row r="101" spans="2:80" x14ac:dyDescent="0.25">
      <c r="CB101" s="6"/>
    </row>
    <row r="102" spans="2:80" x14ac:dyDescent="0.25">
      <c r="CB102" s="6"/>
    </row>
    <row r="103" spans="2:80" x14ac:dyDescent="0.25">
      <c r="E103" s="86"/>
      <c r="CB103" s="6"/>
    </row>
    <row r="104" spans="2:80" x14ac:dyDescent="0.25">
      <c r="E104" s="86"/>
      <c r="CB104" s="6"/>
    </row>
    <row r="105" spans="2:80" x14ac:dyDescent="0.25">
      <c r="E105" s="86"/>
      <c r="F105" s="84"/>
      <c r="CB105" s="6"/>
    </row>
    <row r="106" spans="2:80" x14ac:dyDescent="0.25">
      <c r="CB106" s="6"/>
    </row>
    <row r="107" spans="2:80" x14ac:dyDescent="0.25">
      <c r="D107" s="84"/>
      <c r="E107" s="86"/>
      <c r="CB107" s="6"/>
    </row>
    <row r="108" spans="2:80" x14ac:dyDescent="0.25">
      <c r="F108" s="84"/>
      <c r="CB108" s="6"/>
    </row>
    <row r="109" spans="2:80" x14ac:dyDescent="0.25">
      <c r="B109" s="130"/>
      <c r="C109" s="61"/>
      <c r="E109" s="61"/>
      <c r="F109" s="55"/>
      <c r="CB109" s="6"/>
    </row>
    <row r="110" spans="2:80" x14ac:dyDescent="0.25">
      <c r="B110" s="130"/>
      <c r="C110" s="61"/>
      <c r="E110" s="61"/>
      <c r="F110" s="55"/>
      <c r="I110" s="72"/>
      <c r="K110" s="63"/>
      <c r="CB110" s="6"/>
    </row>
    <row r="111" spans="2:80" x14ac:dyDescent="0.25">
      <c r="B111" s="130"/>
      <c r="C111" s="61"/>
      <c r="E111" s="61"/>
      <c r="F111" s="55"/>
      <c r="I111" s="62"/>
      <c r="K111" s="63"/>
      <c r="L111" s="75"/>
      <c r="N111" s="63"/>
      <c r="CB111" s="6"/>
    </row>
    <row r="112" spans="2:80" x14ac:dyDescent="0.25">
      <c r="B112" s="130"/>
      <c r="D112" s="55"/>
      <c r="F112" s="55"/>
      <c r="L112" s="75"/>
      <c r="CB112" s="6"/>
    </row>
    <row r="113" spans="2:80" x14ac:dyDescent="0.25">
      <c r="B113" s="130"/>
      <c r="C113" s="61"/>
      <c r="D113" s="55"/>
      <c r="E113" s="61"/>
      <c r="CB113" s="6"/>
    </row>
    <row r="114" spans="2:80" x14ac:dyDescent="0.25">
      <c r="C114" s="61"/>
      <c r="E114" s="61"/>
      <c r="CB114" s="6"/>
    </row>
    <row r="115" spans="2:80" x14ac:dyDescent="0.25">
      <c r="B115" s="55"/>
      <c r="C115" s="61"/>
      <c r="D115" s="55"/>
      <c r="F115" s="55"/>
      <c r="CB115" s="6"/>
    </row>
    <row r="116" spans="2:80" x14ac:dyDescent="0.25">
      <c r="B116" s="130"/>
      <c r="C116" s="61"/>
      <c r="D116" s="55"/>
      <c r="E116" s="61"/>
      <c r="I116" s="62"/>
      <c r="K116" s="63"/>
      <c r="CB116" s="6"/>
    </row>
    <row r="117" spans="2:80" x14ac:dyDescent="0.25">
      <c r="D117" s="55"/>
      <c r="E117" s="61"/>
      <c r="F117" s="55"/>
      <c r="G117" s="130"/>
      <c r="H117" s="139"/>
      <c r="CB117" s="6"/>
    </row>
    <row r="118" spans="2:80" x14ac:dyDescent="0.25">
      <c r="E118" s="61"/>
      <c r="F118" s="55"/>
      <c r="I118" s="62"/>
      <c r="K118" s="63"/>
      <c r="CB118" s="6"/>
    </row>
    <row r="119" spans="2:80" x14ac:dyDescent="0.25">
      <c r="D119" s="55"/>
      <c r="E119" s="61"/>
      <c r="F119" s="55"/>
      <c r="I119" s="62"/>
      <c r="J119" s="62"/>
      <c r="K119" s="63"/>
      <c r="L119" s="65"/>
      <c r="N119" s="63"/>
      <c r="CB119" s="6"/>
    </row>
    <row r="120" spans="2:80" x14ac:dyDescent="0.25">
      <c r="E120" s="61"/>
      <c r="F120" s="55"/>
      <c r="I120" s="62"/>
      <c r="K120" s="63"/>
      <c r="CB120" s="6"/>
    </row>
    <row r="121" spans="2:80" x14ac:dyDescent="0.25">
      <c r="D121" s="55"/>
      <c r="E121" s="61"/>
      <c r="F121" s="55"/>
      <c r="I121" s="62"/>
      <c r="K121" s="66"/>
      <c r="L121" s="67"/>
      <c r="M121" s="62"/>
      <c r="N121" s="66"/>
      <c r="P121" s="62"/>
      <c r="Q121" s="70"/>
      <c r="CB121" s="6"/>
    </row>
    <row r="122" spans="2:80" x14ac:dyDescent="0.25">
      <c r="D122" s="55"/>
      <c r="E122" s="61"/>
      <c r="F122" s="55"/>
      <c r="I122" s="62"/>
      <c r="K122" s="63"/>
      <c r="L122" s="65"/>
      <c r="N122" s="63"/>
      <c r="O122" s="62"/>
      <c r="P122" s="64"/>
      <c r="Q122" s="70"/>
      <c r="CB122" s="6"/>
    </row>
    <row r="123" spans="2:80" x14ac:dyDescent="0.25">
      <c r="D123" s="55"/>
      <c r="E123" s="61"/>
      <c r="F123" s="55"/>
      <c r="K123" s="63"/>
      <c r="CB123" s="6"/>
    </row>
    <row r="124" spans="2:80" x14ac:dyDescent="0.25">
      <c r="D124" s="55"/>
      <c r="E124" s="61"/>
      <c r="F124" s="55"/>
      <c r="K124" s="63"/>
      <c r="N124" s="63"/>
      <c r="CB124" s="6"/>
    </row>
    <row r="125" spans="2:80" x14ac:dyDescent="0.25">
      <c r="E125" s="61"/>
      <c r="F125" s="55"/>
      <c r="I125" s="62"/>
      <c r="K125" s="63"/>
      <c r="CB125" s="6"/>
    </row>
    <row r="126" spans="2:80" x14ac:dyDescent="0.25">
      <c r="D126" s="55"/>
      <c r="E126" s="61"/>
      <c r="F126" s="55"/>
      <c r="K126" s="63"/>
      <c r="CB126" s="6"/>
    </row>
    <row r="127" spans="2:80" x14ac:dyDescent="0.25">
      <c r="B127" s="130"/>
      <c r="D127" s="94"/>
      <c r="E127" s="96"/>
      <c r="F127" s="98"/>
      <c r="CB127" s="6"/>
    </row>
    <row r="128" spans="2:80" x14ac:dyDescent="0.25">
      <c r="G128" s="130"/>
      <c r="H128" s="139"/>
      <c r="U128" s="120"/>
      <c r="V128" s="120"/>
      <c r="W128" s="120"/>
      <c r="X128" s="120"/>
      <c r="CB128" s="6"/>
    </row>
    <row r="129" spans="2:80" x14ac:dyDescent="0.25">
      <c r="B129" s="130"/>
      <c r="D129" s="94"/>
      <c r="E129" s="101"/>
      <c r="F129" s="102"/>
      <c r="G129" s="130"/>
      <c r="H129" s="139"/>
      <c r="K129" s="100"/>
      <c r="CB129" s="6"/>
    </row>
    <row r="130" spans="2:80" x14ac:dyDescent="0.25">
      <c r="U130" s="120"/>
      <c r="V130" s="120"/>
      <c r="W130" s="120"/>
      <c r="X130" s="120"/>
      <c r="CB130" s="6"/>
    </row>
    <row r="131" spans="2:80" x14ac:dyDescent="0.25">
      <c r="D131" s="10"/>
      <c r="F131" s="10"/>
      <c r="U131" s="120"/>
      <c r="V131" s="120"/>
      <c r="W131" s="120"/>
      <c r="X131" s="120"/>
      <c r="CB131" s="6"/>
    </row>
    <row r="132" spans="2:80" x14ac:dyDescent="0.25">
      <c r="B132" s="26"/>
      <c r="C132" s="61"/>
      <c r="D132" s="26"/>
      <c r="E132" s="38"/>
      <c r="F132" s="26"/>
      <c r="G132" s="130"/>
      <c r="H132" s="139"/>
      <c r="U132" s="120"/>
      <c r="V132" s="120"/>
      <c r="W132" s="120"/>
      <c r="X132" s="120"/>
      <c r="CB132" s="6"/>
    </row>
    <row r="133" spans="2:80" x14ac:dyDescent="0.25">
      <c r="D133" s="23"/>
      <c r="E133" s="34"/>
      <c r="F133" s="23"/>
      <c r="U133" s="120"/>
      <c r="V133" s="120"/>
      <c r="W133" s="120"/>
      <c r="X133" s="120"/>
      <c r="CB133" s="6"/>
    </row>
    <row r="134" spans="2:80" x14ac:dyDescent="0.25">
      <c r="C134" s="38"/>
      <c r="U134" s="120"/>
      <c r="V134" s="120"/>
      <c r="W134" s="120"/>
      <c r="X134" s="120"/>
      <c r="CB134" s="6"/>
    </row>
    <row r="135" spans="2:80" x14ac:dyDescent="0.25">
      <c r="E135" s="34"/>
      <c r="U135" s="120"/>
      <c r="V135" s="120"/>
      <c r="W135" s="120"/>
      <c r="X135" s="120"/>
      <c r="CB135" s="6"/>
    </row>
    <row r="136" spans="2:80" x14ac:dyDescent="0.25">
      <c r="G136" s="130"/>
      <c r="H136" s="139"/>
      <c r="U136" s="120"/>
      <c r="V136" s="120"/>
      <c r="W136" s="120"/>
      <c r="X136" s="120"/>
      <c r="CB136" s="6"/>
    </row>
    <row r="137" spans="2:80" x14ac:dyDescent="0.25">
      <c r="G137" s="130"/>
      <c r="H137" s="139"/>
      <c r="U137" s="120"/>
      <c r="V137" s="120"/>
      <c r="W137" s="120"/>
      <c r="X137" s="120"/>
      <c r="CB137" s="6"/>
    </row>
    <row r="138" spans="2:80" x14ac:dyDescent="0.25">
      <c r="G138" s="10"/>
      <c r="H138" s="35"/>
      <c r="U138" s="120"/>
      <c r="V138" s="120"/>
      <c r="W138" s="120"/>
      <c r="X138" s="120"/>
      <c r="CB138" s="6"/>
    </row>
    <row r="139" spans="2:80" x14ac:dyDescent="0.25">
      <c r="U139" s="120"/>
      <c r="V139" s="120"/>
      <c r="W139" s="120"/>
      <c r="X139" s="120"/>
      <c r="CB139" s="6"/>
    </row>
    <row r="140" spans="2:80" x14ac:dyDescent="0.25">
      <c r="D140" s="15"/>
      <c r="E140" s="37"/>
      <c r="F140" s="28"/>
      <c r="U140" s="120"/>
      <c r="V140" s="120"/>
      <c r="W140" s="120"/>
      <c r="X140" s="120"/>
      <c r="CB140" s="6"/>
    </row>
    <row r="141" spans="2:80" x14ac:dyDescent="0.25">
      <c r="CB141" s="6"/>
    </row>
  </sheetData>
  <autoFilter ref="A5:CB140" xr:uid="{A598B8B3-DE60-41C5-96BA-7CC5FA9AD3BE}">
    <sortState xmlns:xlrd2="http://schemas.microsoft.com/office/spreadsheetml/2017/richdata2" ref="A6:CB140">
      <sortCondition ref="E5:E140"/>
    </sortState>
  </autoFilter>
  <conditionalFormatting sqref="A1:Q1048576">
    <cfRule type="expression" dxfId="7" priority="2" stopIfTrue="1">
      <formula>IF($A1="New (change to Done when complete)",TRUE,FALSE)</formula>
    </cfRule>
    <cfRule type="expression" dxfId="6" priority="3" stopIfTrue="1">
      <formula>IF($A1="Blocked",TRUE,FALSE)</formula>
    </cfRule>
    <cfRule type="expression" dxfId="5" priority="4">
      <formula>IF(AND(LEN($A1)&gt;0,$A1&lt;&gt;"Done",$A1&lt;&gt;"Status"),TRUE,FALSE)</formula>
    </cfRule>
  </conditionalFormatting>
  <conditionalFormatting sqref="B1:Q1048576">
    <cfRule type="expression" dxfId="4" priority="1">
      <formula>IF(B1=B$1,TRUE,FALSE)</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RefreshLocalTags">
                <anchor moveWithCells="1">
                  <from>
                    <xdr:col>0</xdr:col>
                    <xdr:colOff>47625</xdr:colOff>
                    <xdr:row>1</xdr:row>
                    <xdr:rowOff>28575</xdr:rowOff>
                  </from>
                  <to>
                    <xdr:col>1</xdr:col>
                    <xdr:colOff>466725</xdr:colOff>
                    <xdr:row>2</xdr:row>
                    <xdr:rowOff>133350</xdr:rowOff>
                  </to>
                </anchor>
              </controlPr>
            </control>
          </mc:Choice>
        </mc:AlternateContent>
        <mc:AlternateContent xmlns:mc="http://schemas.openxmlformats.org/markup-compatibility/2006">
          <mc:Choice Requires="x14">
            <control shapeId="10242" r:id="rId5" name="Button 2">
              <controlPr defaultSize="0" print="0" autoFill="0" autoPict="0" macro="[0]!WriteToFile">
                <anchor moveWithCells="1">
                  <from>
                    <xdr:col>2</xdr:col>
                    <xdr:colOff>0</xdr:colOff>
                    <xdr:row>1</xdr:row>
                    <xdr:rowOff>28575</xdr:rowOff>
                  </from>
                  <to>
                    <xdr:col>2</xdr:col>
                    <xdr:colOff>1276350</xdr:colOff>
                    <xdr:row>2</xdr:row>
                    <xdr:rowOff>133350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6E0111-4B26-4F03-AA21-E8775D90EFF8}">
  <sheetPr codeName="Sheet12"/>
  <dimension ref="A1:CB305"/>
  <sheetViews>
    <sheetView zoomScale="80" zoomScaleNormal="80" workbookViewId="0">
      <pane xSplit="7" ySplit="5" topLeftCell="H254" activePane="bottomRight" state="frozen"/>
      <selection pane="topRight" activeCell="G1" sqref="G1"/>
      <selection pane="bottomLeft" activeCell="A2" sqref="A2"/>
      <selection pane="bottomRight" activeCell="F256" sqref="F256"/>
    </sheetView>
  </sheetViews>
  <sheetFormatPr defaultColWidth="9.140625" defaultRowHeight="12.75" x14ac:dyDescent="0.25"/>
  <cols>
    <col min="1" max="1" width="12.85546875" style="129" bestFit="1" customWidth="1"/>
    <col min="2" max="2" width="7.85546875" style="7" customWidth="1"/>
    <col min="3" max="3" width="43.140625" style="1" bestFit="1" customWidth="1"/>
    <col min="4" max="4" width="9.85546875" style="7" bestFit="1" customWidth="1"/>
    <col min="5" max="5" width="24.85546875" style="7" bestFit="1" customWidth="1"/>
    <col min="6" max="6" width="25.7109375" style="33" bestFit="1" customWidth="1"/>
    <col min="7" max="7" width="48.140625" style="7" bestFit="1" customWidth="1"/>
    <col min="8" max="8" width="20.85546875" style="33" bestFit="1" customWidth="1"/>
    <col min="9" max="9" width="69" style="7" customWidth="1"/>
    <col min="10" max="10" width="45.5703125" style="7" customWidth="1"/>
    <col min="11" max="11" width="45.5703125" style="33" customWidth="1"/>
    <col min="12" max="12" width="11.5703125" style="1" bestFit="1" customWidth="1"/>
    <col min="13" max="13" width="10.28515625" style="1" bestFit="1" customWidth="1"/>
    <col min="14" max="14" width="14.85546875" style="44" bestFit="1" customWidth="1"/>
    <col min="15" max="15" width="11.5703125" style="40" bestFit="1" customWidth="1"/>
    <col min="16" max="16" width="10.28515625" style="1" bestFit="1" customWidth="1"/>
    <col min="17" max="17" width="14.85546875" style="44" bestFit="1" customWidth="1"/>
    <col min="18" max="18" width="11.5703125" style="1" bestFit="1" customWidth="1"/>
    <col min="19" max="19" width="10.28515625" style="1" bestFit="1" customWidth="1"/>
    <col min="20" max="20" width="14.85546875" style="30" bestFit="1" customWidth="1"/>
    <col min="21" max="21" width="4.5703125" style="121" bestFit="1" customWidth="1"/>
    <col min="22" max="22" width="9" style="116" bestFit="1" customWidth="1"/>
    <col min="23" max="23" width="10.28515625" style="117" bestFit="1" customWidth="1"/>
    <col min="24" max="27" width="7.140625" style="117" customWidth="1"/>
    <col min="28" max="78" width="9.140625" style="117"/>
    <col min="79" max="79" width="38.7109375" style="6" customWidth="1"/>
    <col min="80" max="80" width="38.7109375" style="14" customWidth="1"/>
    <col min="81" max="16384" width="9.140625" style="1"/>
  </cols>
  <sheetData>
    <row r="1" spans="1:80" hidden="1" x14ac:dyDescent="0.25">
      <c r="B1" s="130"/>
      <c r="C1" s="132"/>
      <c r="D1" s="130"/>
      <c r="E1" s="130"/>
      <c r="F1" s="152"/>
      <c r="G1" s="126"/>
      <c r="H1" s="139"/>
      <c r="I1" s="130"/>
      <c r="J1" s="130"/>
      <c r="K1" s="139"/>
      <c r="L1" s="154"/>
      <c r="M1" s="154"/>
      <c r="N1" s="151"/>
      <c r="O1" s="134"/>
      <c r="P1" s="135"/>
      <c r="Q1" s="136"/>
      <c r="R1" s="135"/>
      <c r="S1" s="135"/>
      <c r="T1" s="137"/>
      <c r="U1" s="142"/>
    </row>
    <row r="2" spans="1:80" x14ac:dyDescent="0.25">
      <c r="T2" s="125"/>
    </row>
    <row r="5" spans="1:80" s="47" customFormat="1" ht="26.25" thickBot="1" x14ac:dyDescent="0.3">
      <c r="A5" s="108" t="s">
        <v>787</v>
      </c>
      <c r="B5" s="108" t="s">
        <v>1656</v>
      </c>
      <c r="C5" s="107" t="s">
        <v>1860</v>
      </c>
      <c r="D5" s="108" t="s">
        <v>1288</v>
      </c>
      <c r="E5" s="108" t="s">
        <v>1861</v>
      </c>
      <c r="F5" s="110" t="s">
        <v>1862</v>
      </c>
      <c r="G5" s="108" t="s">
        <v>884</v>
      </c>
      <c r="H5" s="110" t="s">
        <v>1281</v>
      </c>
      <c r="I5" s="108" t="s">
        <v>1726</v>
      </c>
      <c r="J5" s="108" t="s">
        <v>84</v>
      </c>
      <c r="K5" s="110" t="s">
        <v>1804</v>
      </c>
      <c r="L5" s="107" t="s">
        <v>957</v>
      </c>
      <c r="M5" s="107" t="s">
        <v>958</v>
      </c>
      <c r="N5" s="112" t="s">
        <v>1647</v>
      </c>
      <c r="O5" s="111" t="s">
        <v>960</v>
      </c>
      <c r="P5" s="107" t="s">
        <v>961</v>
      </c>
      <c r="Q5" s="112" t="s">
        <v>1648</v>
      </c>
      <c r="R5" s="107" t="s">
        <v>962</v>
      </c>
      <c r="S5" s="107" t="s">
        <v>963</v>
      </c>
      <c r="T5" s="109" t="s">
        <v>1649</v>
      </c>
      <c r="U5" s="122" t="s">
        <v>53</v>
      </c>
      <c r="V5" s="118" t="s">
        <v>903</v>
      </c>
      <c r="W5" s="119" t="s">
        <v>706</v>
      </c>
      <c r="X5" s="119" t="s">
        <v>983</v>
      </c>
      <c r="Y5" s="119" t="s">
        <v>984</v>
      </c>
      <c r="Z5" s="119" t="s">
        <v>985</v>
      </c>
      <c r="AA5" s="119" t="s">
        <v>990</v>
      </c>
      <c r="AB5" s="119" t="s">
        <v>1428</v>
      </c>
      <c r="AC5" s="119" t="s">
        <v>980</v>
      </c>
      <c r="AD5" s="119" t="s">
        <v>1806</v>
      </c>
      <c r="AE5" s="119"/>
      <c r="AF5" s="119"/>
      <c r="AG5" s="119"/>
      <c r="AH5" s="119"/>
      <c r="AI5" s="119"/>
      <c r="AJ5" s="119"/>
      <c r="AK5" s="119"/>
      <c r="AL5" s="119"/>
      <c r="AM5" s="119"/>
      <c r="AN5" s="119"/>
      <c r="AO5" s="119"/>
      <c r="AP5" s="119"/>
      <c r="AQ5" s="119"/>
      <c r="AR5" s="119"/>
      <c r="AS5" s="119"/>
      <c r="AT5" s="119"/>
      <c r="AU5" s="119"/>
      <c r="AV5" s="119"/>
      <c r="AW5" s="119"/>
      <c r="AX5" s="119"/>
      <c r="AY5" s="119"/>
      <c r="AZ5" s="119"/>
      <c r="BA5" s="119"/>
      <c r="BB5" s="119"/>
      <c r="BC5" s="119"/>
      <c r="BD5" s="119"/>
      <c r="BE5" s="119"/>
      <c r="BF5" s="119"/>
      <c r="BG5" s="119"/>
      <c r="BH5" s="119"/>
      <c r="BI5" s="119"/>
      <c r="BJ5" s="119"/>
      <c r="BK5" s="119"/>
      <c r="BL5" s="119"/>
      <c r="BM5" s="119"/>
      <c r="BN5" s="119"/>
      <c r="BO5" s="119"/>
      <c r="BP5" s="119"/>
      <c r="BQ5" s="119"/>
      <c r="BR5" s="119"/>
      <c r="BS5" s="119"/>
      <c r="BT5" s="119"/>
      <c r="BU5" s="119"/>
      <c r="BV5" s="119"/>
      <c r="BW5" s="119"/>
      <c r="BX5" s="119"/>
      <c r="BY5" s="119"/>
      <c r="BZ5" s="119"/>
      <c r="CA5" s="50" t="s">
        <v>987</v>
      </c>
      <c r="CB5" s="49" t="s">
        <v>699</v>
      </c>
    </row>
    <row r="6" spans="1:80" x14ac:dyDescent="0.25">
      <c r="A6" s="129" t="s">
        <v>786</v>
      </c>
      <c r="B6" s="153"/>
      <c r="C6" s="155" t="s">
        <v>206</v>
      </c>
      <c r="D6" s="153" t="s">
        <v>451</v>
      </c>
      <c r="E6" s="153" t="s">
        <v>451</v>
      </c>
      <c r="F6" s="146" t="s">
        <v>451</v>
      </c>
      <c r="G6" s="153" t="s">
        <v>206</v>
      </c>
      <c r="H6" s="152" t="s">
        <v>200</v>
      </c>
      <c r="I6" s="153" t="s">
        <v>1915</v>
      </c>
      <c r="J6" s="130"/>
      <c r="K6" s="139"/>
      <c r="L6" s="154" t="s">
        <v>53</v>
      </c>
      <c r="M6" s="154" t="s">
        <v>53</v>
      </c>
      <c r="N6" s="151" t="s">
        <v>53</v>
      </c>
      <c r="O6" s="40" t="s">
        <v>53</v>
      </c>
      <c r="P6" s="1" t="s">
        <v>53</v>
      </c>
      <c r="Q6" s="44" t="s">
        <v>53</v>
      </c>
      <c r="R6" s="1" t="s">
        <v>53</v>
      </c>
      <c r="S6" s="1" t="s">
        <v>53</v>
      </c>
      <c r="T6" s="30" t="s">
        <v>53</v>
      </c>
      <c r="U6" s="121" t="s">
        <v>53</v>
      </c>
      <c r="V6" s="116" t="b">
        <f>IF(OR(A6="Done",A6="In Progress"),TRUE)</f>
        <v>1</v>
      </c>
      <c r="W6" s="117" t="str">
        <f>"title: """&amp;G6&amp;""""</f>
        <v>title: "Andorra"</v>
      </c>
      <c r="X6" s="120" t="str">
        <f>IF(LEN(M6)&gt;0,TRIM(CONCATENATE("["&amp;L6&amp;"](",M6,") ",IF(LEN(N6)&gt;0,"- "&amp;N6,N6))),"")</f>
        <v/>
      </c>
      <c r="Y6" s="120" t="str">
        <f>IF(LEN(P6)&gt;0,TRIM(CONCATENATE("["&amp;O6&amp;"](",P6,") ",IF(LEN(Q6)&gt;0,"- "&amp;Q6,Q6))),"")</f>
        <v/>
      </c>
      <c r="Z6" s="120" t="str">
        <f>IF(LEN(S6)&gt;0,TRIM(CONCATENATE("["&amp;R6&amp;"](",S6,") ",IF(LEN(T6)&gt;0,"- "&amp;T6,T6))),"")</f>
        <v/>
      </c>
      <c r="AA6" s="120" t="str">
        <f>IF(LEN(X6)&gt;0,"* "&amp;X6&amp;CHAR(10),"")&amp;
IF(LEN(Y6)&gt;0,"* "&amp;Y6&amp;CHAR(10),"")&amp;
IF(LEN(Z6)&gt;0,"* "&amp;Z6&amp;CHAR(10),"")</f>
        <v/>
      </c>
      <c r="AB6" s="117" t="str">
        <f>IF(LEN(AA6)&gt;0,concatl("#### More Information",AA6),"")</f>
        <v/>
      </c>
      <c r="AC6" s="117" t="str">
        <f>IF(LEN(J6)&gt;1,concatll("#### Author's Note",J6,"-"&amp;B6),"")</f>
        <v/>
      </c>
      <c r="AD6" s="117" t="str">
        <f>IF(LEN(K6)&gt;1,concatll("#### Dedication",K6,"-"&amp;$B6),"")</f>
        <v/>
      </c>
      <c r="CA6" s="6" t="str">
        <f>IF(V6,concatll(concatl("---",W6,"---"),"*A collection of sites associated with this topic.*","#### Background",I6,AB6,AC6,AD6),"")</f>
        <v xml:space="preserve">---_x000D_
title: "Andorra"_x000D_
---_x000D_
_x000D_
_x000D_
*A collection of sites associated with this topic.*_x000D_
_x000D_
#### Background_x000D_
_x000D_
Catholic places of interest in Andorra_x000D_
_x000D_
</v>
      </c>
      <c r="CB6" s="6" t="str">
        <f>IF(V6,"tags\"&amp;F6&amp;"\_index.md","")</f>
        <v>tags\ad\_index.md</v>
      </c>
    </row>
    <row r="7" spans="1:80" x14ac:dyDescent="0.25">
      <c r="A7" s="129" t="s">
        <v>786</v>
      </c>
      <c r="B7" s="153"/>
      <c r="C7" s="155" t="s">
        <v>207</v>
      </c>
      <c r="D7" s="153" t="s">
        <v>452</v>
      </c>
      <c r="E7" s="153" t="s">
        <v>452</v>
      </c>
      <c r="F7" s="140" t="s">
        <v>452</v>
      </c>
      <c r="G7" s="153" t="s">
        <v>207</v>
      </c>
      <c r="H7" s="152"/>
      <c r="I7" s="153" t="s">
        <v>2187</v>
      </c>
      <c r="L7" s="154" t="s">
        <v>53</v>
      </c>
      <c r="M7" s="154" t="s">
        <v>53</v>
      </c>
      <c r="N7" s="151" t="s">
        <v>53</v>
      </c>
      <c r="O7" s="40" t="s">
        <v>53</v>
      </c>
      <c r="P7" s="1" t="s">
        <v>53</v>
      </c>
      <c r="Q7" s="44" t="s">
        <v>53</v>
      </c>
      <c r="R7" s="1" t="s">
        <v>53</v>
      </c>
      <c r="S7" s="1" t="s">
        <v>53</v>
      </c>
      <c r="T7" s="30" t="s">
        <v>53</v>
      </c>
      <c r="U7" s="121" t="s">
        <v>53</v>
      </c>
      <c r="V7" s="116" t="b">
        <f t="shared" ref="V7:V70" si="0">IF(OR(A7="Done",A7="In Progress"),TRUE)</f>
        <v>1</v>
      </c>
      <c r="W7" s="117" t="str">
        <f t="shared" ref="W7:W70" si="1">"title: """&amp;G7&amp;""""</f>
        <v>title: "United Arab Emirates"</v>
      </c>
      <c r="X7" s="120" t="str">
        <f t="shared" ref="X7:X70" si="2">IF(LEN(M7)&gt;0,TRIM(CONCATENATE("["&amp;L7&amp;"](",M7,") ",IF(LEN(N7)&gt;0,"- "&amp;N7,N7))),"")</f>
        <v/>
      </c>
      <c r="Y7" s="120" t="str">
        <f t="shared" ref="Y7:Y70" si="3">IF(LEN(P7)&gt;0,TRIM(CONCATENATE("["&amp;O7&amp;"](",P7,") ",IF(LEN(Q7)&gt;0,"- "&amp;Q7,Q7))),"")</f>
        <v/>
      </c>
      <c r="Z7" s="120" t="str">
        <f t="shared" ref="Z7:Z70" si="4">IF(LEN(S7)&gt;0,TRIM(CONCATENATE("["&amp;R7&amp;"](",S7,") ",IF(LEN(T7)&gt;0,"- "&amp;T7,T7))),"")</f>
        <v/>
      </c>
      <c r="AA7" s="120" t="str">
        <f t="shared" ref="AA7:AA70" si="5">IF(LEN(X7)&gt;0,"* "&amp;X7&amp;CHAR(10),"")&amp;
IF(LEN(Y7)&gt;0,"* "&amp;Y7&amp;CHAR(10),"")&amp;
IF(LEN(Z7)&gt;0,"* "&amp;Z7&amp;CHAR(10),"")</f>
        <v/>
      </c>
      <c r="AB7" s="117" t="str">
        <f t="shared" ref="AB7:AB70" si="6">IF(LEN(AA7)&gt;0,concatl("#### More Information",AA7),"")</f>
        <v/>
      </c>
      <c r="AC7" s="117" t="str">
        <f>IF(LEN(J7)&gt;1,concatll("#### Author's Note",J7,"-"&amp;B7),"")</f>
        <v/>
      </c>
      <c r="AD7" s="117" t="str">
        <f>IF(LEN(K7)&gt;1,concatll("#### Dedication",K7,"-"&amp;$B7),"")</f>
        <v/>
      </c>
      <c r="CA7" s="6" t="str">
        <f>IF(V7,concatll(concatl("---",W7,"---"),"*A collection of sites associated with this topic.*","#### Background",I7,AB7,AC7,AD7),"")</f>
        <v xml:space="preserve">---_x000D_
title: "United Arab Emirates"_x000D_
---_x000D_
_x000D_
_x000D_
*A collection of sites associated with this topic.*_x000D_
_x000D_
#### Background_x000D_
_x000D_
Catholic places of interest in the United Arab Emirates_x000D_
_x000D_
</v>
      </c>
      <c r="CB7" s="6" t="str">
        <f t="shared" ref="CB7:CB70" si="7">IF(V7,"tags\"&amp;F7&amp;"\_index.md","")</f>
        <v>tags\ae\_index.md</v>
      </c>
    </row>
    <row r="8" spans="1:80" x14ac:dyDescent="0.25">
      <c r="A8" s="129" t="s">
        <v>786</v>
      </c>
      <c r="B8" s="153"/>
      <c r="C8" s="155" t="s">
        <v>208</v>
      </c>
      <c r="D8" s="153" t="s">
        <v>453</v>
      </c>
      <c r="E8" s="153" t="s">
        <v>453</v>
      </c>
      <c r="F8" s="33" t="s">
        <v>453</v>
      </c>
      <c r="G8" s="153" t="s">
        <v>208</v>
      </c>
      <c r="H8" s="152"/>
      <c r="I8" s="153" t="s">
        <v>1916</v>
      </c>
      <c r="L8" s="154" t="s">
        <v>53</v>
      </c>
      <c r="M8" s="154" t="s">
        <v>53</v>
      </c>
      <c r="N8" s="151" t="s">
        <v>53</v>
      </c>
      <c r="O8" s="40" t="s">
        <v>53</v>
      </c>
      <c r="P8" s="1" t="s">
        <v>53</v>
      </c>
      <c r="Q8" s="44" t="s">
        <v>53</v>
      </c>
      <c r="R8" s="1" t="s">
        <v>53</v>
      </c>
      <c r="S8" s="1" t="s">
        <v>53</v>
      </c>
      <c r="T8" s="30" t="s">
        <v>53</v>
      </c>
      <c r="U8" s="121" t="s">
        <v>53</v>
      </c>
      <c r="V8" s="116" t="b">
        <f t="shared" si="0"/>
        <v>1</v>
      </c>
      <c r="W8" s="117" t="str">
        <f t="shared" si="1"/>
        <v>title: "Afghanistan"</v>
      </c>
      <c r="X8" s="120" t="str">
        <f t="shared" si="2"/>
        <v/>
      </c>
      <c r="Y8" s="120" t="str">
        <f t="shared" si="3"/>
        <v/>
      </c>
      <c r="Z8" s="120" t="str">
        <f t="shared" si="4"/>
        <v/>
      </c>
      <c r="AA8" s="120" t="str">
        <f t="shared" si="5"/>
        <v/>
      </c>
      <c r="AB8" s="117" t="str">
        <f t="shared" si="6"/>
        <v/>
      </c>
      <c r="AC8" s="117" t="str">
        <f>IF(LEN(J8)&gt;1,concatll("#### Author's Note",J8,"-"&amp;B8),"")</f>
        <v/>
      </c>
      <c r="AD8" s="117" t="str">
        <f>IF(LEN(K8)&gt;1,concatll("#### Dedication",K8,"-"&amp;$B8),"")</f>
        <v/>
      </c>
      <c r="CA8" s="6" t="str">
        <f>IF(V8,concatll(concatl("---",W8,"---"),"*A collection of sites associated with this topic.*","#### Background",I8,AB8,AC8,AD8),"")</f>
        <v xml:space="preserve">---_x000D_
title: "Afghanistan"_x000D_
---_x000D_
_x000D_
_x000D_
*A collection of sites associated with this topic.*_x000D_
_x000D_
#### Background_x000D_
_x000D_
Catholic places of interest in Afghanistan_x000D_
_x000D_
</v>
      </c>
      <c r="CB8" s="6" t="str">
        <f t="shared" si="7"/>
        <v>tags\af\_index.md</v>
      </c>
    </row>
    <row r="9" spans="1:80" x14ac:dyDescent="0.25">
      <c r="A9" s="129" t="s">
        <v>786</v>
      </c>
      <c r="B9" s="153"/>
      <c r="C9" s="155" t="s">
        <v>209</v>
      </c>
      <c r="D9" s="153" t="s">
        <v>454</v>
      </c>
      <c r="E9" s="153" t="s">
        <v>454</v>
      </c>
      <c r="F9" s="33" t="s">
        <v>454</v>
      </c>
      <c r="G9" s="153" t="s">
        <v>209</v>
      </c>
      <c r="H9" s="152"/>
      <c r="I9" s="153" t="s">
        <v>1917</v>
      </c>
      <c r="J9" s="130"/>
      <c r="K9" s="139"/>
      <c r="L9" s="154" t="s">
        <v>53</v>
      </c>
      <c r="M9" s="154" t="s">
        <v>53</v>
      </c>
      <c r="N9" s="151" t="s">
        <v>53</v>
      </c>
      <c r="O9" s="40" t="s">
        <v>53</v>
      </c>
      <c r="P9" s="1" t="s">
        <v>53</v>
      </c>
      <c r="Q9" s="44" t="s">
        <v>53</v>
      </c>
      <c r="R9" s="1" t="s">
        <v>53</v>
      </c>
      <c r="S9" s="1" t="s">
        <v>53</v>
      </c>
      <c r="T9" s="30" t="s">
        <v>53</v>
      </c>
      <c r="U9" s="121" t="s">
        <v>53</v>
      </c>
      <c r="V9" s="116" t="b">
        <f t="shared" si="0"/>
        <v>1</v>
      </c>
      <c r="W9" s="117" t="str">
        <f t="shared" si="1"/>
        <v>title: "Antigua and Barbuda"</v>
      </c>
      <c r="X9" s="120" t="str">
        <f t="shared" si="2"/>
        <v/>
      </c>
      <c r="Y9" s="120" t="str">
        <f t="shared" si="3"/>
        <v/>
      </c>
      <c r="Z9" s="120" t="str">
        <f t="shared" si="4"/>
        <v/>
      </c>
      <c r="AA9" s="120" t="str">
        <f t="shared" si="5"/>
        <v/>
      </c>
      <c r="AB9" s="117" t="str">
        <f t="shared" si="6"/>
        <v/>
      </c>
      <c r="AC9" s="117" t="str">
        <f>IF(LEN(J9)&gt;1,concatll("#### Author's Note",J9,"-"&amp;B9),"")</f>
        <v/>
      </c>
      <c r="AD9" s="117" t="str">
        <f>IF(LEN(K9)&gt;1,concatll("#### Dedication",K9,"-"&amp;$B9),"")</f>
        <v/>
      </c>
      <c r="CA9" s="6" t="str">
        <f>IF(V9,concatll(concatl("---",W9,"---"),"*A collection of sites associated with this topic.*","#### Background",I9,AB9,AC9,AD9),"")</f>
        <v xml:space="preserve">---_x000D_
title: "Antigua and Barbuda"_x000D_
---_x000D_
_x000D_
_x000D_
*A collection of sites associated with this topic.*_x000D_
_x000D_
#### Background_x000D_
_x000D_
Catholic places of interest in Antigua and Barbuda_x000D_
_x000D_
</v>
      </c>
      <c r="CB9" s="6" t="str">
        <f t="shared" si="7"/>
        <v>tags\ag\_index.md</v>
      </c>
    </row>
    <row r="10" spans="1:80" x14ac:dyDescent="0.25">
      <c r="A10" s="129" t="s">
        <v>786</v>
      </c>
      <c r="B10" s="153"/>
      <c r="C10" s="155" t="s">
        <v>210</v>
      </c>
      <c r="D10" s="153" t="s">
        <v>455</v>
      </c>
      <c r="E10" s="153" t="s">
        <v>455</v>
      </c>
      <c r="F10" s="33" t="s">
        <v>455</v>
      </c>
      <c r="G10" s="153" t="s">
        <v>210</v>
      </c>
      <c r="H10" s="152"/>
      <c r="I10" s="153" t="s">
        <v>1918</v>
      </c>
      <c r="L10" s="154" t="s">
        <v>53</v>
      </c>
      <c r="M10" s="154" t="s">
        <v>53</v>
      </c>
      <c r="N10" s="151" t="s">
        <v>53</v>
      </c>
      <c r="O10" s="40" t="s">
        <v>53</v>
      </c>
      <c r="P10" s="1" t="s">
        <v>53</v>
      </c>
      <c r="Q10" s="44" t="s">
        <v>53</v>
      </c>
      <c r="R10" s="1" t="s">
        <v>53</v>
      </c>
      <c r="S10" s="1" t="s">
        <v>53</v>
      </c>
      <c r="T10" s="30" t="s">
        <v>53</v>
      </c>
      <c r="U10" s="121" t="s">
        <v>53</v>
      </c>
      <c r="V10" s="116" t="b">
        <f t="shared" si="0"/>
        <v>1</v>
      </c>
      <c r="W10" s="117" t="str">
        <f t="shared" si="1"/>
        <v>title: "Anguilla"</v>
      </c>
      <c r="X10" s="120" t="str">
        <f t="shared" si="2"/>
        <v/>
      </c>
      <c r="Y10" s="120" t="str">
        <f t="shared" si="3"/>
        <v/>
      </c>
      <c r="Z10" s="120" t="str">
        <f t="shared" si="4"/>
        <v/>
      </c>
      <c r="AA10" s="120" t="str">
        <f t="shared" si="5"/>
        <v/>
      </c>
      <c r="AB10" s="117" t="str">
        <f t="shared" si="6"/>
        <v/>
      </c>
      <c r="AC10" s="117" t="str">
        <f>IF(LEN(J10)&gt;1,concatll("#### Author's Note",J10,"-"&amp;B10),"")</f>
        <v/>
      </c>
      <c r="AD10" s="117" t="str">
        <f>IF(LEN(K10)&gt;1,concatll("#### Dedication",K10,"-"&amp;$B10),"")</f>
        <v/>
      </c>
      <c r="CA10" s="6" t="str">
        <f>IF(V10,concatll(concatl("---",W10,"---"),"*A collection of sites associated with this topic.*","#### Background",I10,AB10,AC10,AD10),"")</f>
        <v xml:space="preserve">---_x000D_
title: "Anguilla"_x000D_
---_x000D_
_x000D_
_x000D_
*A collection of sites associated with this topic.*_x000D_
_x000D_
#### Background_x000D_
_x000D_
Catholic places of interest in Anguilla_x000D_
_x000D_
</v>
      </c>
      <c r="CB10" s="6" t="str">
        <f t="shared" si="7"/>
        <v>tags\ai\_index.md</v>
      </c>
    </row>
    <row r="11" spans="1:80" x14ac:dyDescent="0.25">
      <c r="A11" s="129" t="s">
        <v>786</v>
      </c>
      <c r="B11" s="153"/>
      <c r="C11" s="155" t="s">
        <v>211</v>
      </c>
      <c r="D11" s="153" t="s">
        <v>456</v>
      </c>
      <c r="E11" s="153" t="s">
        <v>456</v>
      </c>
      <c r="F11" s="139" t="s">
        <v>456</v>
      </c>
      <c r="G11" s="153" t="s">
        <v>211</v>
      </c>
      <c r="H11" s="152"/>
      <c r="I11" s="153" t="s">
        <v>1919</v>
      </c>
      <c r="L11" s="154" t="s">
        <v>53</v>
      </c>
      <c r="M11" s="154" t="s">
        <v>53</v>
      </c>
      <c r="N11" s="151" t="s">
        <v>53</v>
      </c>
      <c r="O11" s="40" t="s">
        <v>53</v>
      </c>
      <c r="P11" s="1" t="s">
        <v>53</v>
      </c>
      <c r="Q11" s="44" t="s">
        <v>53</v>
      </c>
      <c r="R11" s="1" t="s">
        <v>53</v>
      </c>
      <c r="S11" s="1" t="s">
        <v>53</v>
      </c>
      <c r="T11" s="30" t="s">
        <v>53</v>
      </c>
      <c r="U11" s="121" t="s">
        <v>53</v>
      </c>
      <c r="V11" s="116" t="b">
        <f t="shared" si="0"/>
        <v>1</v>
      </c>
      <c r="W11" s="117" t="str">
        <f t="shared" si="1"/>
        <v>title: "Albania"</v>
      </c>
      <c r="X11" s="120" t="str">
        <f t="shared" si="2"/>
        <v/>
      </c>
      <c r="Y11" s="120" t="str">
        <f t="shared" si="3"/>
        <v/>
      </c>
      <c r="Z11" s="120" t="str">
        <f t="shared" si="4"/>
        <v/>
      </c>
      <c r="AA11" s="120" t="str">
        <f t="shared" si="5"/>
        <v/>
      </c>
      <c r="AB11" s="117" t="str">
        <f t="shared" si="6"/>
        <v/>
      </c>
      <c r="AC11" s="117" t="str">
        <f>IF(LEN(J11)&gt;1,concatll("#### Author's Note",J11,"-"&amp;B11),"")</f>
        <v/>
      </c>
      <c r="AD11" s="117" t="str">
        <f>IF(LEN(K11)&gt;1,concatll("#### Dedication",K11,"-"&amp;$B11),"")</f>
        <v/>
      </c>
      <c r="CA11" s="6" t="str">
        <f>IF(V11,concatll(concatl("---",W11,"---"),"*A collection of sites associated with this topic.*","#### Background",I11,AB11,AC11,AD11),"")</f>
        <v xml:space="preserve">---_x000D_
title: "Albania"_x000D_
---_x000D_
_x000D_
_x000D_
*A collection of sites associated with this topic.*_x000D_
_x000D_
#### Background_x000D_
_x000D_
Catholic places of interest in Albania_x000D_
_x000D_
</v>
      </c>
      <c r="CB11" s="6" t="str">
        <f t="shared" si="7"/>
        <v>tags\al\_index.md</v>
      </c>
    </row>
    <row r="12" spans="1:80" x14ac:dyDescent="0.25">
      <c r="A12" s="129" t="s">
        <v>786</v>
      </c>
      <c r="B12" s="153"/>
      <c r="C12" s="155" t="s">
        <v>212</v>
      </c>
      <c r="D12" s="153" t="s">
        <v>457</v>
      </c>
      <c r="E12" s="153" t="s">
        <v>457</v>
      </c>
      <c r="F12" s="33" t="s">
        <v>457</v>
      </c>
      <c r="G12" s="153" t="s">
        <v>212</v>
      </c>
      <c r="H12" s="152"/>
      <c r="I12" s="153" t="s">
        <v>1920</v>
      </c>
      <c r="L12" s="154" t="s">
        <v>53</v>
      </c>
      <c r="M12" s="154" t="s">
        <v>53</v>
      </c>
      <c r="N12" s="151" t="s">
        <v>53</v>
      </c>
      <c r="O12" s="40" t="s">
        <v>53</v>
      </c>
      <c r="P12" s="1" t="s">
        <v>53</v>
      </c>
      <c r="Q12" s="44" t="s">
        <v>53</v>
      </c>
      <c r="R12" s="1" t="s">
        <v>53</v>
      </c>
      <c r="S12" s="1" t="s">
        <v>53</v>
      </c>
      <c r="T12" s="30" t="s">
        <v>53</v>
      </c>
      <c r="U12" s="121" t="s">
        <v>53</v>
      </c>
      <c r="V12" s="116" t="b">
        <f t="shared" si="0"/>
        <v>1</v>
      </c>
      <c r="W12" s="117" t="str">
        <f t="shared" si="1"/>
        <v>title: "Armenia"</v>
      </c>
      <c r="X12" s="120" t="str">
        <f t="shared" si="2"/>
        <v/>
      </c>
      <c r="Y12" s="120" t="str">
        <f t="shared" si="3"/>
        <v/>
      </c>
      <c r="Z12" s="120" t="str">
        <f t="shared" si="4"/>
        <v/>
      </c>
      <c r="AA12" s="120" t="str">
        <f t="shared" si="5"/>
        <v/>
      </c>
      <c r="AB12" s="117" t="str">
        <f t="shared" si="6"/>
        <v/>
      </c>
      <c r="AC12" s="117" t="str">
        <f>IF(LEN(J12)&gt;1,concatll("#### Author's Note",J12,"-"&amp;B12),"")</f>
        <v/>
      </c>
      <c r="AD12" s="117" t="str">
        <f>IF(LEN(K12)&gt;1,concatll("#### Dedication",K12,"-"&amp;$B12),"")</f>
        <v/>
      </c>
      <c r="CA12" s="6" t="str">
        <f>IF(V12,concatll(concatl("---",W12,"---"),"*A collection of sites associated with this topic.*","#### Background",I12,AB12,AC12,AD12),"")</f>
        <v xml:space="preserve">---_x000D_
title: "Armenia"_x000D_
---_x000D_
_x000D_
_x000D_
*A collection of sites associated with this topic.*_x000D_
_x000D_
#### Background_x000D_
_x000D_
Catholic places of interest in Armenia_x000D_
_x000D_
</v>
      </c>
      <c r="CB12" s="6" t="str">
        <f t="shared" si="7"/>
        <v>tags\am\_index.md</v>
      </c>
    </row>
    <row r="13" spans="1:80" x14ac:dyDescent="0.25">
      <c r="A13" s="129" t="s">
        <v>786</v>
      </c>
      <c r="B13" s="153"/>
      <c r="C13" s="155" t="s">
        <v>213</v>
      </c>
      <c r="D13" s="153" t="s">
        <v>458</v>
      </c>
      <c r="E13" s="153" t="s">
        <v>458</v>
      </c>
      <c r="F13" s="33" t="s">
        <v>458</v>
      </c>
      <c r="G13" s="153" t="s">
        <v>213</v>
      </c>
      <c r="I13" s="153" t="s">
        <v>1921</v>
      </c>
      <c r="L13" s="154" t="s">
        <v>53</v>
      </c>
      <c r="M13" s="154" t="s">
        <v>53</v>
      </c>
      <c r="N13" s="151" t="s">
        <v>53</v>
      </c>
      <c r="O13" s="40" t="s">
        <v>53</v>
      </c>
      <c r="P13" s="1" t="s">
        <v>53</v>
      </c>
      <c r="Q13" s="44" t="s">
        <v>53</v>
      </c>
      <c r="R13" s="1" t="s">
        <v>53</v>
      </c>
      <c r="S13" s="1" t="s">
        <v>53</v>
      </c>
      <c r="T13" s="30" t="s">
        <v>53</v>
      </c>
      <c r="U13" s="121" t="s">
        <v>53</v>
      </c>
      <c r="V13" s="116" t="b">
        <f t="shared" si="0"/>
        <v>1</v>
      </c>
      <c r="W13" s="117" t="str">
        <f t="shared" si="1"/>
        <v>title: "Angola"</v>
      </c>
      <c r="X13" s="120" t="str">
        <f t="shared" si="2"/>
        <v/>
      </c>
      <c r="Y13" s="120" t="str">
        <f t="shared" si="3"/>
        <v/>
      </c>
      <c r="Z13" s="120" t="str">
        <f t="shared" si="4"/>
        <v/>
      </c>
      <c r="AA13" s="120" t="str">
        <f t="shared" si="5"/>
        <v/>
      </c>
      <c r="AB13" s="117" t="str">
        <f t="shared" si="6"/>
        <v/>
      </c>
      <c r="AC13" s="117" t="str">
        <f>IF(LEN(J13)&gt;1,concatll("#### Author's Note",J13,"-"&amp;B13),"")</f>
        <v/>
      </c>
      <c r="AD13" s="117" t="str">
        <f>IF(LEN(K13)&gt;1,concatll("#### Dedication",K13,"-"&amp;$B13),"")</f>
        <v/>
      </c>
      <c r="CA13" s="6" t="str">
        <f>IF(V13,concatll(concatl("---",W13,"---"),"*A collection of sites associated with this topic.*","#### Background",I13,AB13,AC13,AD13),"")</f>
        <v xml:space="preserve">---_x000D_
title: "Angola"_x000D_
---_x000D_
_x000D_
_x000D_
*A collection of sites associated with this topic.*_x000D_
_x000D_
#### Background_x000D_
_x000D_
Catholic places of interest in Angola_x000D_
_x000D_
</v>
      </c>
      <c r="CB13" s="6" t="str">
        <f t="shared" si="7"/>
        <v>tags\ao\_index.md</v>
      </c>
    </row>
    <row r="14" spans="1:80" x14ac:dyDescent="0.25">
      <c r="A14" s="129" t="s">
        <v>786</v>
      </c>
      <c r="B14" s="153"/>
      <c r="C14" s="155" t="s">
        <v>214</v>
      </c>
      <c r="D14" s="153" t="s">
        <v>459</v>
      </c>
      <c r="E14" s="153" t="s">
        <v>459</v>
      </c>
      <c r="F14" s="92" t="s">
        <v>459</v>
      </c>
      <c r="G14" s="153" t="s">
        <v>214</v>
      </c>
      <c r="H14" s="152"/>
      <c r="I14" s="153" t="s">
        <v>1922</v>
      </c>
      <c r="J14" s="130"/>
      <c r="K14" s="139"/>
      <c r="L14" s="154" t="s">
        <v>53</v>
      </c>
      <c r="M14" s="154" t="s">
        <v>53</v>
      </c>
      <c r="N14" s="151" t="s">
        <v>53</v>
      </c>
      <c r="O14" s="40" t="s">
        <v>53</v>
      </c>
      <c r="P14" s="1" t="s">
        <v>53</v>
      </c>
      <c r="Q14" s="44" t="s">
        <v>53</v>
      </c>
      <c r="R14" s="1" t="s">
        <v>53</v>
      </c>
      <c r="S14" s="1" t="s">
        <v>53</v>
      </c>
      <c r="T14" s="30" t="s">
        <v>53</v>
      </c>
      <c r="U14" s="121" t="s">
        <v>53</v>
      </c>
      <c r="V14" s="116" t="b">
        <f t="shared" si="0"/>
        <v>1</v>
      </c>
      <c r="W14" s="117" t="str">
        <f t="shared" si="1"/>
        <v>title: "Antarctica"</v>
      </c>
      <c r="X14" s="120" t="str">
        <f t="shared" si="2"/>
        <v/>
      </c>
      <c r="Y14" s="120" t="str">
        <f t="shared" si="3"/>
        <v/>
      </c>
      <c r="Z14" s="120" t="str">
        <f t="shared" si="4"/>
        <v/>
      </c>
      <c r="AA14" s="120" t="str">
        <f t="shared" si="5"/>
        <v/>
      </c>
      <c r="AB14" s="117" t="str">
        <f t="shared" si="6"/>
        <v/>
      </c>
      <c r="AC14" s="117" t="str">
        <f>IF(LEN(J14)&gt;1,concatll("#### Author's Note",J14,"-"&amp;B14),"")</f>
        <v/>
      </c>
      <c r="AD14" s="117" t="str">
        <f>IF(LEN(K14)&gt;1,concatll("#### Dedication",K14,"-"&amp;$B14),"")</f>
        <v/>
      </c>
      <c r="CA14" s="6" t="str">
        <f>IF(V14,concatll(concatl("---",W14,"---"),"*A collection of sites associated with this topic.*","#### Background",I14,AB14,AC14,AD14),"")</f>
        <v xml:space="preserve">---_x000D_
title: "Antarctica"_x000D_
---_x000D_
_x000D_
_x000D_
*A collection of sites associated with this topic.*_x000D_
_x000D_
#### Background_x000D_
_x000D_
Catholic places of interest in Antarctica_x000D_
_x000D_
</v>
      </c>
      <c r="CB14" s="6" t="str">
        <f t="shared" si="7"/>
        <v>tags\aq\_index.md</v>
      </c>
    </row>
    <row r="15" spans="1:80" x14ac:dyDescent="0.25">
      <c r="A15" s="129" t="s">
        <v>786</v>
      </c>
      <c r="B15" s="153"/>
      <c r="C15" s="155" t="s">
        <v>215</v>
      </c>
      <c r="D15" s="153" t="s">
        <v>460</v>
      </c>
      <c r="E15" s="153" t="s">
        <v>460</v>
      </c>
      <c r="F15" s="33" t="s">
        <v>460</v>
      </c>
      <c r="G15" s="153" t="s">
        <v>215</v>
      </c>
      <c r="H15" s="152"/>
      <c r="I15" s="153" t="s">
        <v>1923</v>
      </c>
      <c r="L15" s="154" t="s">
        <v>53</v>
      </c>
      <c r="M15" s="154" t="s">
        <v>53</v>
      </c>
      <c r="N15" s="151" t="s">
        <v>53</v>
      </c>
      <c r="O15" s="40" t="s">
        <v>53</v>
      </c>
      <c r="P15" s="1" t="s">
        <v>53</v>
      </c>
      <c r="Q15" s="44" t="s">
        <v>53</v>
      </c>
      <c r="R15" s="1" t="s">
        <v>53</v>
      </c>
      <c r="S15" s="1" t="s">
        <v>53</v>
      </c>
      <c r="T15" s="30" t="s">
        <v>53</v>
      </c>
      <c r="U15" s="121" t="s">
        <v>53</v>
      </c>
      <c r="V15" s="116" t="b">
        <f t="shared" si="0"/>
        <v>1</v>
      </c>
      <c r="W15" s="117" t="str">
        <f t="shared" si="1"/>
        <v>title: "Argentina"</v>
      </c>
      <c r="X15" s="120" t="str">
        <f t="shared" si="2"/>
        <v/>
      </c>
      <c r="Y15" s="120" t="str">
        <f t="shared" si="3"/>
        <v/>
      </c>
      <c r="Z15" s="120" t="str">
        <f t="shared" si="4"/>
        <v/>
      </c>
      <c r="AA15" s="120" t="str">
        <f t="shared" si="5"/>
        <v/>
      </c>
      <c r="AB15" s="117" t="str">
        <f t="shared" si="6"/>
        <v/>
      </c>
      <c r="AC15" s="117" t="str">
        <f>IF(LEN(J15)&gt;1,concatll("#### Author's Note",J15,"-"&amp;B15),"")</f>
        <v/>
      </c>
      <c r="AD15" s="117" t="str">
        <f>IF(LEN(K15)&gt;1,concatll("#### Dedication",K15,"-"&amp;$B15),"")</f>
        <v/>
      </c>
      <c r="CA15" s="6" t="str">
        <f>IF(V15,concatll(concatl("---",W15,"---"),"*A collection of sites associated with this topic.*","#### Background",I15,AB15,AC15,AD15),"")</f>
        <v xml:space="preserve">---_x000D_
title: "Argentina"_x000D_
---_x000D_
_x000D_
_x000D_
*A collection of sites associated with this topic.*_x000D_
_x000D_
#### Background_x000D_
_x000D_
Catholic places of interest in Argentina_x000D_
_x000D_
</v>
      </c>
      <c r="CB15" s="6" t="str">
        <f t="shared" si="7"/>
        <v>tags\ar\_index.md</v>
      </c>
    </row>
    <row r="16" spans="1:80" x14ac:dyDescent="0.25">
      <c r="A16" s="129" t="s">
        <v>786</v>
      </c>
      <c r="B16" s="153"/>
      <c r="C16" s="155" t="s">
        <v>216</v>
      </c>
      <c r="D16" s="153" t="s">
        <v>461</v>
      </c>
      <c r="E16" s="153" t="s">
        <v>461</v>
      </c>
      <c r="F16" s="61" t="s">
        <v>461</v>
      </c>
      <c r="G16" s="153" t="s">
        <v>216</v>
      </c>
      <c r="I16" s="153" t="s">
        <v>1924</v>
      </c>
      <c r="L16" s="154" t="s">
        <v>53</v>
      </c>
      <c r="M16" s="154" t="s">
        <v>53</v>
      </c>
      <c r="N16" s="151" t="s">
        <v>53</v>
      </c>
      <c r="O16" s="40" t="s">
        <v>53</v>
      </c>
      <c r="P16" s="1" t="s">
        <v>53</v>
      </c>
      <c r="Q16" s="44" t="s">
        <v>53</v>
      </c>
      <c r="R16" s="1" t="s">
        <v>53</v>
      </c>
      <c r="S16" s="1" t="s">
        <v>53</v>
      </c>
      <c r="T16" s="30" t="s">
        <v>53</v>
      </c>
      <c r="U16" s="121" t="s">
        <v>53</v>
      </c>
      <c r="V16" s="116" t="b">
        <f t="shared" si="0"/>
        <v>1</v>
      </c>
      <c r="W16" s="117" t="str">
        <f t="shared" si="1"/>
        <v>title: "American Samoa"</v>
      </c>
      <c r="X16" s="120" t="str">
        <f t="shared" si="2"/>
        <v/>
      </c>
      <c r="Y16" s="120" t="str">
        <f t="shared" si="3"/>
        <v/>
      </c>
      <c r="Z16" s="120" t="str">
        <f t="shared" si="4"/>
        <v/>
      </c>
      <c r="AA16" s="120" t="str">
        <f t="shared" si="5"/>
        <v/>
      </c>
      <c r="AB16" s="117" t="str">
        <f t="shared" si="6"/>
        <v/>
      </c>
      <c r="AC16" s="117" t="str">
        <f>IF(LEN(J16)&gt;1,concatll("#### Author's Note",J16,"-"&amp;B16),"")</f>
        <v/>
      </c>
      <c r="AD16" s="117" t="str">
        <f>IF(LEN(K16)&gt;1,concatll("#### Dedication",K16,"-"&amp;$B16),"")</f>
        <v/>
      </c>
      <c r="CA16" s="6" t="str">
        <f>IF(V16,concatll(concatl("---",W16,"---"),"*A collection of sites associated with this topic.*","#### Background",I16,AB16,AC16,AD16),"")</f>
        <v xml:space="preserve">---_x000D_
title: "American Samoa"_x000D_
---_x000D_
_x000D_
_x000D_
*A collection of sites associated with this topic.*_x000D_
_x000D_
#### Background_x000D_
_x000D_
Catholic places of interest in American Samoa_x000D_
_x000D_
</v>
      </c>
      <c r="CB16" s="6" t="str">
        <f t="shared" si="7"/>
        <v>tags\as\_index.md</v>
      </c>
    </row>
    <row r="17" spans="1:80" x14ac:dyDescent="0.25">
      <c r="A17" s="129" t="s">
        <v>786</v>
      </c>
      <c r="B17" s="55"/>
      <c r="C17" s="62" t="s">
        <v>217</v>
      </c>
      <c r="D17" s="55" t="s">
        <v>462</v>
      </c>
      <c r="E17" s="55" t="s">
        <v>462</v>
      </c>
      <c r="F17" s="61" t="s">
        <v>462</v>
      </c>
      <c r="G17" s="153" t="s">
        <v>217</v>
      </c>
      <c r="H17" s="61"/>
      <c r="I17" s="153" t="s">
        <v>1925</v>
      </c>
      <c r="L17" s="154" t="s">
        <v>53</v>
      </c>
      <c r="M17" s="154" t="s">
        <v>53</v>
      </c>
      <c r="N17" s="151" t="s">
        <v>53</v>
      </c>
      <c r="O17" s="40" t="s">
        <v>53</v>
      </c>
      <c r="P17" s="1" t="s">
        <v>53</v>
      </c>
      <c r="Q17" s="44" t="s">
        <v>53</v>
      </c>
      <c r="R17" s="1" t="s">
        <v>53</v>
      </c>
      <c r="S17" s="1" t="s">
        <v>53</v>
      </c>
      <c r="T17" s="30" t="s">
        <v>53</v>
      </c>
      <c r="U17" s="121" t="s">
        <v>53</v>
      </c>
      <c r="V17" s="116" t="b">
        <f t="shared" si="0"/>
        <v>1</v>
      </c>
      <c r="W17" s="117" t="str">
        <f t="shared" si="1"/>
        <v>title: "Austria"</v>
      </c>
      <c r="X17" s="120" t="str">
        <f t="shared" si="2"/>
        <v/>
      </c>
      <c r="Y17" s="120" t="str">
        <f t="shared" si="3"/>
        <v/>
      </c>
      <c r="Z17" s="120" t="str">
        <f t="shared" si="4"/>
        <v/>
      </c>
      <c r="AA17" s="120" t="str">
        <f t="shared" si="5"/>
        <v/>
      </c>
      <c r="AB17" s="117" t="str">
        <f t="shared" si="6"/>
        <v/>
      </c>
      <c r="AC17" s="117" t="str">
        <f>IF(LEN(J17)&gt;1,concatll("#### Author's Note",J17,"-"&amp;B17),"")</f>
        <v/>
      </c>
      <c r="AD17" s="117" t="str">
        <f>IF(LEN(K17)&gt;1,concatll("#### Dedication",K17,"-"&amp;$B17),"")</f>
        <v/>
      </c>
      <c r="CA17" s="6" t="str">
        <f>IF(V17,concatll(concatl("---",W17,"---"),"*A collection of sites associated with this topic.*","#### Background",I17,AB17,AC17,AD17),"")</f>
        <v xml:space="preserve">---_x000D_
title: "Austria"_x000D_
---_x000D_
_x000D_
_x000D_
*A collection of sites associated with this topic.*_x000D_
_x000D_
#### Background_x000D_
_x000D_
Catholic places of interest in Austria_x000D_
_x000D_
</v>
      </c>
      <c r="CB17" s="6" t="str">
        <f t="shared" si="7"/>
        <v>tags\at\_index.md</v>
      </c>
    </row>
    <row r="18" spans="1:80" x14ac:dyDescent="0.25">
      <c r="A18" s="129" t="s">
        <v>786</v>
      </c>
      <c r="B18" s="55"/>
      <c r="C18" s="62" t="s">
        <v>218</v>
      </c>
      <c r="D18" s="55" t="s">
        <v>463</v>
      </c>
      <c r="E18" s="55" t="s">
        <v>463</v>
      </c>
      <c r="F18" s="61" t="s">
        <v>463</v>
      </c>
      <c r="G18" s="153" t="s">
        <v>218</v>
      </c>
      <c r="H18" s="61"/>
      <c r="I18" s="153" t="s">
        <v>1926</v>
      </c>
      <c r="L18" s="154" t="s">
        <v>53</v>
      </c>
      <c r="M18" s="154" t="s">
        <v>53</v>
      </c>
      <c r="N18" s="151" t="s">
        <v>53</v>
      </c>
      <c r="O18" s="40" t="s">
        <v>53</v>
      </c>
      <c r="P18" s="1" t="s">
        <v>53</v>
      </c>
      <c r="Q18" s="44" t="s">
        <v>53</v>
      </c>
      <c r="R18" s="1" t="s">
        <v>53</v>
      </c>
      <c r="S18" s="1" t="s">
        <v>53</v>
      </c>
      <c r="T18" s="30" t="s">
        <v>53</v>
      </c>
      <c r="U18" s="121" t="s">
        <v>53</v>
      </c>
      <c r="V18" s="116" t="b">
        <f t="shared" si="0"/>
        <v>1</v>
      </c>
      <c r="W18" s="117" t="str">
        <f t="shared" si="1"/>
        <v>title: "Australia"</v>
      </c>
      <c r="X18" s="120" t="str">
        <f t="shared" si="2"/>
        <v/>
      </c>
      <c r="Y18" s="120" t="str">
        <f t="shared" si="3"/>
        <v/>
      </c>
      <c r="Z18" s="120" t="str">
        <f t="shared" si="4"/>
        <v/>
      </c>
      <c r="AA18" s="120" t="str">
        <f t="shared" si="5"/>
        <v/>
      </c>
      <c r="AB18" s="117" t="str">
        <f t="shared" si="6"/>
        <v/>
      </c>
      <c r="AC18" s="117" t="str">
        <f>IF(LEN(J18)&gt;1,concatll("#### Author's Note",J18,"-"&amp;B18),"")</f>
        <v/>
      </c>
      <c r="AD18" s="117" t="str">
        <f>IF(LEN(K18)&gt;1,concatll("#### Dedication",K18,"-"&amp;$B18),"")</f>
        <v/>
      </c>
      <c r="CA18" s="6" t="str">
        <f>IF(V18,concatll(concatl("---",W18,"---"),"*A collection of sites associated with this topic.*","#### Background",I18,AB18,AC18,AD18),"")</f>
        <v xml:space="preserve">---_x000D_
title: "Australia"_x000D_
---_x000D_
_x000D_
_x000D_
*A collection of sites associated with this topic.*_x000D_
_x000D_
#### Background_x000D_
_x000D_
Catholic places of interest in Australia_x000D_
_x000D_
</v>
      </c>
      <c r="CB18" s="6" t="str">
        <f t="shared" si="7"/>
        <v>tags\au\_index.md</v>
      </c>
    </row>
    <row r="19" spans="1:80" x14ac:dyDescent="0.25">
      <c r="A19" s="129" t="s">
        <v>786</v>
      </c>
      <c r="C19" s="1" t="s">
        <v>219</v>
      </c>
      <c r="D19" s="7" t="s">
        <v>464</v>
      </c>
      <c r="E19" s="7" t="s">
        <v>464</v>
      </c>
      <c r="F19" s="33" t="s">
        <v>464</v>
      </c>
      <c r="G19" s="153" t="s">
        <v>219</v>
      </c>
      <c r="I19" s="153" t="s">
        <v>1927</v>
      </c>
      <c r="L19" s="154" t="s">
        <v>53</v>
      </c>
      <c r="M19" s="154" t="s">
        <v>53</v>
      </c>
      <c r="N19" s="151" t="s">
        <v>53</v>
      </c>
      <c r="O19" s="40" t="s">
        <v>53</v>
      </c>
      <c r="P19" s="1" t="s">
        <v>53</v>
      </c>
      <c r="Q19" s="44" t="s">
        <v>53</v>
      </c>
      <c r="R19" s="1" t="s">
        <v>53</v>
      </c>
      <c r="S19" s="1" t="s">
        <v>53</v>
      </c>
      <c r="T19" s="30" t="s">
        <v>53</v>
      </c>
      <c r="U19" s="121" t="s">
        <v>53</v>
      </c>
      <c r="V19" s="116" t="b">
        <f t="shared" si="0"/>
        <v>1</v>
      </c>
      <c r="W19" s="117" t="str">
        <f t="shared" si="1"/>
        <v>title: "Aruba"</v>
      </c>
      <c r="X19" s="120" t="str">
        <f t="shared" si="2"/>
        <v/>
      </c>
      <c r="Y19" s="120" t="str">
        <f t="shared" si="3"/>
        <v/>
      </c>
      <c r="Z19" s="120" t="str">
        <f t="shared" si="4"/>
        <v/>
      </c>
      <c r="AA19" s="120" t="str">
        <f t="shared" si="5"/>
        <v/>
      </c>
      <c r="AB19" s="117" t="str">
        <f t="shared" si="6"/>
        <v/>
      </c>
      <c r="AC19" s="117" t="str">
        <f>IF(LEN(J19)&gt;1,concatll("#### Author's Note",J19,"-"&amp;B19),"")</f>
        <v/>
      </c>
      <c r="AD19" s="117" t="str">
        <f>IF(LEN(K19)&gt;1,concatll("#### Dedication",K19,"-"&amp;$B19),"")</f>
        <v/>
      </c>
      <c r="CA19" s="6" t="str">
        <f>IF(V19,concatll(concatl("---",W19,"---"),"*A collection of sites associated with this topic.*","#### Background",I19,AB19,AC19,AD19),"")</f>
        <v xml:space="preserve">---_x000D_
title: "Aruba"_x000D_
---_x000D_
_x000D_
_x000D_
*A collection of sites associated with this topic.*_x000D_
_x000D_
#### Background_x000D_
_x000D_
Catholic places of interest in Aruba_x000D_
_x000D_
</v>
      </c>
      <c r="CB19" s="6" t="str">
        <f t="shared" si="7"/>
        <v>tags\aw\_index.md</v>
      </c>
    </row>
    <row r="20" spans="1:80" x14ac:dyDescent="0.25">
      <c r="A20" s="129" t="s">
        <v>786</v>
      </c>
      <c r="C20" s="1" t="s">
        <v>444</v>
      </c>
      <c r="D20" s="7" t="s">
        <v>465</v>
      </c>
      <c r="E20" s="7" t="s">
        <v>465</v>
      </c>
      <c r="F20" s="33" t="s">
        <v>465</v>
      </c>
      <c r="G20" s="153" t="s">
        <v>444</v>
      </c>
      <c r="I20" s="153" t="s">
        <v>1928</v>
      </c>
      <c r="J20" s="130"/>
      <c r="K20" s="139"/>
      <c r="L20" s="154" t="s">
        <v>53</v>
      </c>
      <c r="M20" s="154" t="s">
        <v>53</v>
      </c>
      <c r="N20" s="151" t="s">
        <v>53</v>
      </c>
      <c r="O20" s="40" t="s">
        <v>53</v>
      </c>
      <c r="P20" s="1" t="s">
        <v>53</v>
      </c>
      <c r="Q20" s="44" t="s">
        <v>53</v>
      </c>
      <c r="R20" s="1" t="s">
        <v>53</v>
      </c>
      <c r="S20" s="1" t="s">
        <v>53</v>
      </c>
      <c r="T20" s="30" t="s">
        <v>53</v>
      </c>
      <c r="U20" s="121" t="s">
        <v>53</v>
      </c>
      <c r="V20" s="116" t="b">
        <f t="shared" si="0"/>
        <v>1</v>
      </c>
      <c r="W20" s="117" t="str">
        <f t="shared" si="1"/>
        <v>title: "Aland Islands"</v>
      </c>
      <c r="X20" s="120" t="str">
        <f t="shared" si="2"/>
        <v/>
      </c>
      <c r="Y20" s="120" t="str">
        <f t="shared" si="3"/>
        <v/>
      </c>
      <c r="Z20" s="120" t="str">
        <f t="shared" si="4"/>
        <v/>
      </c>
      <c r="AA20" s="120" t="str">
        <f t="shared" si="5"/>
        <v/>
      </c>
      <c r="AB20" s="117" t="str">
        <f t="shared" si="6"/>
        <v/>
      </c>
      <c r="AC20" s="117" t="str">
        <f>IF(LEN(J20)&gt;1,concatll("#### Author's Note",J20,"-"&amp;B20),"")</f>
        <v/>
      </c>
      <c r="AD20" s="117" t="str">
        <f>IF(LEN(K20)&gt;1,concatll("#### Dedication",K20,"-"&amp;$B20),"")</f>
        <v/>
      </c>
      <c r="CA20" s="6" t="str">
        <f>IF(V20,concatll(concatl("---",W20,"---"),"*A collection of sites associated with this topic.*","#### Background",I20,AB20,AC20,AD20),"")</f>
        <v xml:space="preserve">---_x000D_
title: "Aland Islands"_x000D_
---_x000D_
_x000D_
_x000D_
*A collection of sites associated with this topic.*_x000D_
_x000D_
#### Background_x000D_
_x000D_
Catholic places of interest in Aland Islands_x000D_
_x000D_
</v>
      </c>
      <c r="CB20" s="6" t="str">
        <f t="shared" si="7"/>
        <v>tags\ax\_index.md</v>
      </c>
    </row>
    <row r="21" spans="1:80" x14ac:dyDescent="0.25">
      <c r="A21" s="129" t="s">
        <v>786</v>
      </c>
      <c r="C21" s="1" t="s">
        <v>220</v>
      </c>
      <c r="D21" s="7" t="s">
        <v>466</v>
      </c>
      <c r="E21" s="7" t="s">
        <v>466</v>
      </c>
      <c r="F21" s="38" t="s">
        <v>466</v>
      </c>
      <c r="G21" s="153" t="s">
        <v>220</v>
      </c>
      <c r="I21" s="153" t="s">
        <v>1929</v>
      </c>
      <c r="L21" s="154" t="s">
        <v>53</v>
      </c>
      <c r="M21" s="154" t="s">
        <v>53</v>
      </c>
      <c r="N21" s="151" t="s">
        <v>53</v>
      </c>
      <c r="O21" s="40" t="s">
        <v>53</v>
      </c>
      <c r="P21" s="1" t="s">
        <v>53</v>
      </c>
      <c r="Q21" s="44" t="s">
        <v>53</v>
      </c>
      <c r="R21" s="1" t="s">
        <v>53</v>
      </c>
      <c r="S21" s="1" t="s">
        <v>53</v>
      </c>
      <c r="T21" s="30" t="s">
        <v>53</v>
      </c>
      <c r="U21" s="121" t="s">
        <v>53</v>
      </c>
      <c r="V21" s="116" t="b">
        <f t="shared" si="0"/>
        <v>1</v>
      </c>
      <c r="W21" s="117" t="str">
        <f t="shared" si="1"/>
        <v>title: "Azerbaijan"</v>
      </c>
      <c r="X21" s="120" t="str">
        <f t="shared" si="2"/>
        <v/>
      </c>
      <c r="Y21" s="120" t="str">
        <f t="shared" si="3"/>
        <v/>
      </c>
      <c r="Z21" s="120" t="str">
        <f t="shared" si="4"/>
        <v/>
      </c>
      <c r="AA21" s="120" t="str">
        <f t="shared" si="5"/>
        <v/>
      </c>
      <c r="AB21" s="117" t="str">
        <f t="shared" si="6"/>
        <v/>
      </c>
      <c r="AC21" s="117" t="str">
        <f>IF(LEN(J21)&gt;1,concatll("#### Author's Note",J21,"-"&amp;B21),"")</f>
        <v/>
      </c>
      <c r="AD21" s="117" t="str">
        <f>IF(LEN(K21)&gt;1,concatll("#### Dedication",K21,"-"&amp;$B21),"")</f>
        <v/>
      </c>
      <c r="CA21" s="6" t="str">
        <f>IF(V21,concatll(concatl("---",W21,"---"),"*A collection of sites associated with this topic.*","#### Background",I21,AB21,AC21,AD21),"")</f>
        <v xml:space="preserve">---_x000D_
title: "Azerbaijan"_x000D_
---_x000D_
_x000D_
_x000D_
*A collection of sites associated with this topic.*_x000D_
_x000D_
#### Background_x000D_
_x000D_
Catholic places of interest in Azerbaijan_x000D_
_x000D_
</v>
      </c>
      <c r="CB21" s="6" t="str">
        <f t="shared" si="7"/>
        <v>tags\az\_index.md</v>
      </c>
    </row>
    <row r="22" spans="1:80" x14ac:dyDescent="0.25">
      <c r="A22" s="129" t="s">
        <v>786</v>
      </c>
      <c r="B22" s="10"/>
      <c r="C22" s="22" t="s">
        <v>221</v>
      </c>
      <c r="D22" s="10" t="s">
        <v>467</v>
      </c>
      <c r="E22" s="10" t="s">
        <v>467</v>
      </c>
      <c r="F22" s="33" t="s">
        <v>467</v>
      </c>
      <c r="G22" s="153" t="s">
        <v>221</v>
      </c>
      <c r="I22" s="153" t="s">
        <v>1930</v>
      </c>
      <c r="J22" s="130"/>
      <c r="K22" s="139"/>
      <c r="L22" s="154" t="s">
        <v>53</v>
      </c>
      <c r="M22" s="154" t="s">
        <v>53</v>
      </c>
      <c r="N22" s="151" t="s">
        <v>53</v>
      </c>
      <c r="O22" s="40" t="s">
        <v>53</v>
      </c>
      <c r="P22" s="1" t="s">
        <v>53</v>
      </c>
      <c r="Q22" s="44" t="s">
        <v>53</v>
      </c>
      <c r="R22" s="1" t="s">
        <v>53</v>
      </c>
      <c r="S22" s="1" t="s">
        <v>53</v>
      </c>
      <c r="T22" s="30" t="s">
        <v>53</v>
      </c>
      <c r="U22" s="121" t="s">
        <v>53</v>
      </c>
      <c r="V22" s="116" t="b">
        <f t="shared" si="0"/>
        <v>1</v>
      </c>
      <c r="W22" s="117" t="str">
        <f t="shared" si="1"/>
        <v>title: "Bosnia and Herzegovina"</v>
      </c>
      <c r="X22" s="120" t="str">
        <f t="shared" si="2"/>
        <v/>
      </c>
      <c r="Y22" s="120" t="str">
        <f t="shared" si="3"/>
        <v/>
      </c>
      <c r="Z22" s="120" t="str">
        <f t="shared" si="4"/>
        <v/>
      </c>
      <c r="AA22" s="120" t="str">
        <f t="shared" si="5"/>
        <v/>
      </c>
      <c r="AB22" s="117" t="str">
        <f t="shared" si="6"/>
        <v/>
      </c>
      <c r="AC22" s="117" t="str">
        <f>IF(LEN(J22)&gt;1,concatll("#### Author's Note",J22,"-"&amp;B22),"")</f>
        <v/>
      </c>
      <c r="AD22" s="117" t="str">
        <f>IF(LEN(K22)&gt;1,concatll("#### Dedication",K22,"-"&amp;$B22),"")</f>
        <v/>
      </c>
      <c r="CA22" s="6" t="str">
        <f>IF(V22,concatll(concatl("---",W22,"---"),"*A collection of sites associated with this topic.*","#### Background",I22,AB22,AC22,AD22),"")</f>
        <v xml:space="preserve">---_x000D_
title: "Bosnia and Herzegovina"_x000D_
---_x000D_
_x000D_
_x000D_
*A collection of sites associated with this topic.*_x000D_
_x000D_
#### Background_x000D_
_x000D_
Catholic places of interest in Bosnia and Herzegovina_x000D_
_x000D_
</v>
      </c>
      <c r="CB22" s="6" t="str">
        <f t="shared" si="7"/>
        <v>tags\ba\_index.md</v>
      </c>
    </row>
    <row r="23" spans="1:80" x14ac:dyDescent="0.25">
      <c r="A23" s="129" t="s">
        <v>786</v>
      </c>
      <c r="C23" s="1" t="s">
        <v>222</v>
      </c>
      <c r="D23" s="7" t="s">
        <v>468</v>
      </c>
      <c r="E23" s="7" t="s">
        <v>468</v>
      </c>
      <c r="F23" s="33" t="s">
        <v>468</v>
      </c>
      <c r="G23" s="153" t="s">
        <v>222</v>
      </c>
      <c r="H23" s="152"/>
      <c r="I23" s="153" t="s">
        <v>1931</v>
      </c>
      <c r="J23" s="130"/>
      <c r="K23" s="139"/>
      <c r="L23" s="154" t="s">
        <v>53</v>
      </c>
      <c r="M23" s="154" t="s">
        <v>53</v>
      </c>
      <c r="N23" s="151" t="s">
        <v>53</v>
      </c>
      <c r="O23" s="40" t="s">
        <v>53</v>
      </c>
      <c r="P23" s="1" t="s">
        <v>53</v>
      </c>
      <c r="Q23" s="44" t="s">
        <v>53</v>
      </c>
      <c r="R23" s="1" t="s">
        <v>53</v>
      </c>
      <c r="S23" s="1" t="s">
        <v>53</v>
      </c>
      <c r="T23" s="30" t="s">
        <v>53</v>
      </c>
      <c r="U23" s="121" t="s">
        <v>53</v>
      </c>
      <c r="V23" s="116" t="b">
        <f t="shared" si="0"/>
        <v>1</v>
      </c>
      <c r="W23" s="117" t="str">
        <f t="shared" si="1"/>
        <v>title: "Barbados"</v>
      </c>
      <c r="X23" s="120" t="str">
        <f t="shared" si="2"/>
        <v/>
      </c>
      <c r="Y23" s="120" t="str">
        <f t="shared" si="3"/>
        <v/>
      </c>
      <c r="Z23" s="120" t="str">
        <f t="shared" si="4"/>
        <v/>
      </c>
      <c r="AA23" s="120" t="str">
        <f t="shared" si="5"/>
        <v/>
      </c>
      <c r="AB23" s="117" t="str">
        <f t="shared" si="6"/>
        <v/>
      </c>
      <c r="AC23" s="117" t="str">
        <f>IF(LEN(J23)&gt;1,concatll("#### Author's Note",J23,"-"&amp;B23),"")</f>
        <v/>
      </c>
      <c r="AD23" s="117" t="str">
        <f>IF(LEN(K23)&gt;1,concatll("#### Dedication",K23,"-"&amp;$B23),"")</f>
        <v/>
      </c>
      <c r="CA23" s="6" t="str">
        <f>IF(V23,concatll(concatl("---",W23,"---"),"*A collection of sites associated with this topic.*","#### Background",I23,AB23,AC23,AD23),"")</f>
        <v xml:space="preserve">---_x000D_
title: "Barbados"_x000D_
---_x000D_
_x000D_
_x000D_
*A collection of sites associated with this topic.*_x000D_
_x000D_
#### Background_x000D_
_x000D_
Catholic places of interest in Barbados_x000D_
_x000D_
</v>
      </c>
      <c r="CB23" s="6" t="str">
        <f t="shared" si="7"/>
        <v>tags\bb\_index.md</v>
      </c>
    </row>
    <row r="24" spans="1:80" x14ac:dyDescent="0.25">
      <c r="A24" s="129" t="s">
        <v>786</v>
      </c>
      <c r="B24" s="153"/>
      <c r="C24" s="155" t="s">
        <v>223</v>
      </c>
      <c r="D24" s="153" t="s">
        <v>469</v>
      </c>
      <c r="E24" s="153" t="s">
        <v>469</v>
      </c>
      <c r="F24" s="81" t="s">
        <v>469</v>
      </c>
      <c r="G24" s="153" t="s">
        <v>223</v>
      </c>
      <c r="H24" s="152"/>
      <c r="I24" s="153" t="s">
        <v>1932</v>
      </c>
      <c r="L24" s="154" t="s">
        <v>53</v>
      </c>
      <c r="M24" s="154" t="s">
        <v>53</v>
      </c>
      <c r="N24" s="151" t="s">
        <v>53</v>
      </c>
      <c r="O24" s="40" t="s">
        <v>53</v>
      </c>
      <c r="P24" s="1" t="s">
        <v>53</v>
      </c>
      <c r="Q24" s="44" t="s">
        <v>53</v>
      </c>
      <c r="R24" s="1" t="s">
        <v>53</v>
      </c>
      <c r="S24" s="1" t="s">
        <v>53</v>
      </c>
      <c r="T24" s="30" t="s">
        <v>53</v>
      </c>
      <c r="U24" s="121" t="s">
        <v>53</v>
      </c>
      <c r="V24" s="116" t="b">
        <f t="shared" si="0"/>
        <v>1</v>
      </c>
      <c r="W24" s="117" t="str">
        <f t="shared" si="1"/>
        <v>title: "Bangladesh"</v>
      </c>
      <c r="X24" s="120" t="str">
        <f t="shared" si="2"/>
        <v/>
      </c>
      <c r="Y24" s="120" t="str">
        <f t="shared" si="3"/>
        <v/>
      </c>
      <c r="Z24" s="120" t="str">
        <f t="shared" si="4"/>
        <v/>
      </c>
      <c r="AA24" s="120" t="str">
        <f t="shared" si="5"/>
        <v/>
      </c>
      <c r="AB24" s="117" t="str">
        <f t="shared" si="6"/>
        <v/>
      </c>
      <c r="AC24" s="117" t="str">
        <f>IF(LEN(J24)&gt;1,concatll("#### Author's Note",J24,"-"&amp;B24),"")</f>
        <v/>
      </c>
      <c r="AD24" s="117" t="str">
        <f>IF(LEN(K24)&gt;1,concatll("#### Dedication",K24,"-"&amp;$B24),"")</f>
        <v/>
      </c>
      <c r="CA24" s="6" t="str">
        <f>IF(V24,concatll(concatl("---",W24,"---"),"*A collection of sites associated with this topic.*","#### Background",I24,AB24,AC24,AD24),"")</f>
        <v xml:space="preserve">---_x000D_
title: "Bangladesh"_x000D_
---_x000D_
_x000D_
_x000D_
*A collection of sites associated with this topic.*_x000D_
_x000D_
#### Background_x000D_
_x000D_
Catholic places of interest in Bangladesh_x000D_
_x000D_
</v>
      </c>
      <c r="CB24" s="6" t="str">
        <f t="shared" si="7"/>
        <v>tags\bd\_index.md</v>
      </c>
    </row>
    <row r="25" spans="1:80" x14ac:dyDescent="0.25">
      <c r="A25" s="129" t="s">
        <v>786</v>
      </c>
      <c r="B25" s="153"/>
      <c r="C25" s="155" t="s">
        <v>224</v>
      </c>
      <c r="D25" s="153" t="s">
        <v>470</v>
      </c>
      <c r="E25" s="153" t="s">
        <v>470</v>
      </c>
      <c r="F25" s="33" t="s">
        <v>470</v>
      </c>
      <c r="G25" s="153" t="s">
        <v>224</v>
      </c>
      <c r="H25" s="152"/>
      <c r="I25" s="153" t="s">
        <v>1933</v>
      </c>
      <c r="L25" s="154" t="s">
        <v>53</v>
      </c>
      <c r="M25" s="154" t="s">
        <v>53</v>
      </c>
      <c r="N25" s="151" t="s">
        <v>53</v>
      </c>
      <c r="O25" s="40" t="s">
        <v>53</v>
      </c>
      <c r="P25" s="1" t="s">
        <v>53</v>
      </c>
      <c r="Q25" s="44" t="s">
        <v>53</v>
      </c>
      <c r="R25" s="1" t="s">
        <v>53</v>
      </c>
      <c r="S25" s="1" t="s">
        <v>53</v>
      </c>
      <c r="T25" s="30" t="s">
        <v>53</v>
      </c>
      <c r="U25" s="121" t="s">
        <v>53</v>
      </c>
      <c r="V25" s="116" t="b">
        <f t="shared" si="0"/>
        <v>1</v>
      </c>
      <c r="W25" s="117" t="str">
        <f t="shared" si="1"/>
        <v>title: "Belgium"</v>
      </c>
      <c r="X25" s="120" t="str">
        <f t="shared" si="2"/>
        <v/>
      </c>
      <c r="Y25" s="120" t="str">
        <f t="shared" si="3"/>
        <v/>
      </c>
      <c r="Z25" s="120" t="str">
        <f t="shared" si="4"/>
        <v/>
      </c>
      <c r="AA25" s="120" t="str">
        <f t="shared" si="5"/>
        <v/>
      </c>
      <c r="AB25" s="117" t="str">
        <f t="shared" si="6"/>
        <v/>
      </c>
      <c r="AC25" s="117" t="str">
        <f>IF(LEN(J25)&gt;1,concatll("#### Author's Note",J25,"-"&amp;B25),"")</f>
        <v/>
      </c>
      <c r="AD25" s="117" t="str">
        <f>IF(LEN(K25)&gt;1,concatll("#### Dedication",K25,"-"&amp;$B25),"")</f>
        <v/>
      </c>
      <c r="CA25" s="6" t="str">
        <f>IF(V25,concatll(concatl("---",W25,"---"),"*A collection of sites associated with this topic.*","#### Background",I25,AB25,AC25,AD25),"")</f>
        <v xml:space="preserve">---_x000D_
title: "Belgium"_x000D_
---_x000D_
_x000D_
_x000D_
*A collection of sites associated with this topic.*_x000D_
_x000D_
#### Background_x000D_
_x000D_
Catholic places of interest in Belgium_x000D_
_x000D_
</v>
      </c>
      <c r="CB25" s="6" t="str">
        <f t="shared" si="7"/>
        <v>tags\be\_index.md</v>
      </c>
    </row>
    <row r="26" spans="1:80" x14ac:dyDescent="0.25">
      <c r="A26" s="129" t="s">
        <v>786</v>
      </c>
      <c r="B26" s="153"/>
      <c r="C26" s="155" t="s">
        <v>225</v>
      </c>
      <c r="D26" s="153" t="s">
        <v>471</v>
      </c>
      <c r="E26" s="153" t="s">
        <v>471</v>
      </c>
      <c r="F26" s="33" t="s">
        <v>471</v>
      </c>
      <c r="G26" s="153" t="s">
        <v>225</v>
      </c>
      <c r="H26" s="152"/>
      <c r="I26" s="153" t="s">
        <v>1934</v>
      </c>
      <c r="J26" s="130"/>
      <c r="K26" s="139"/>
      <c r="L26" s="154" t="s">
        <v>53</v>
      </c>
      <c r="M26" s="154" t="s">
        <v>53</v>
      </c>
      <c r="N26" s="151" t="s">
        <v>53</v>
      </c>
      <c r="O26" s="40" t="s">
        <v>53</v>
      </c>
      <c r="P26" s="1" t="s">
        <v>53</v>
      </c>
      <c r="Q26" s="44" t="s">
        <v>53</v>
      </c>
      <c r="R26" s="1" t="s">
        <v>53</v>
      </c>
      <c r="S26" s="1" t="s">
        <v>53</v>
      </c>
      <c r="T26" s="30" t="s">
        <v>53</v>
      </c>
      <c r="U26" s="121" t="s">
        <v>53</v>
      </c>
      <c r="V26" s="116" t="b">
        <f t="shared" si="0"/>
        <v>1</v>
      </c>
      <c r="W26" s="117" t="str">
        <f t="shared" si="1"/>
        <v>title: "Burkina Faso"</v>
      </c>
      <c r="X26" s="120" t="str">
        <f t="shared" si="2"/>
        <v/>
      </c>
      <c r="Y26" s="120" t="str">
        <f t="shared" si="3"/>
        <v/>
      </c>
      <c r="Z26" s="120" t="str">
        <f t="shared" si="4"/>
        <v/>
      </c>
      <c r="AA26" s="120" t="str">
        <f t="shared" si="5"/>
        <v/>
      </c>
      <c r="AB26" s="117" t="str">
        <f t="shared" si="6"/>
        <v/>
      </c>
      <c r="AC26" s="117" t="str">
        <f>IF(LEN(J26)&gt;1,concatll("#### Author's Note",J26,"-"&amp;B26),"")</f>
        <v/>
      </c>
      <c r="AD26" s="117" t="str">
        <f>IF(LEN(K26)&gt;1,concatll("#### Dedication",K26,"-"&amp;$B26),"")</f>
        <v/>
      </c>
      <c r="CA26" s="6" t="str">
        <f>IF(V26,concatll(concatl("---",W26,"---"),"*A collection of sites associated with this topic.*","#### Background",I26,AB26,AC26,AD26),"")</f>
        <v xml:space="preserve">---_x000D_
title: "Burkina Faso"_x000D_
---_x000D_
_x000D_
_x000D_
*A collection of sites associated with this topic.*_x000D_
_x000D_
#### Background_x000D_
_x000D_
Catholic places of interest in Burkina Faso_x000D_
_x000D_
</v>
      </c>
      <c r="CB26" s="6" t="str">
        <f t="shared" si="7"/>
        <v>tags\bf\_index.md</v>
      </c>
    </row>
    <row r="27" spans="1:80" x14ac:dyDescent="0.25">
      <c r="A27" s="129" t="s">
        <v>786</v>
      </c>
      <c r="C27" s="1" t="s">
        <v>226</v>
      </c>
      <c r="D27" s="7" t="s">
        <v>472</v>
      </c>
      <c r="E27" s="7" t="s">
        <v>472</v>
      </c>
      <c r="F27" s="33" t="s">
        <v>472</v>
      </c>
      <c r="G27" s="55" t="s">
        <v>226</v>
      </c>
      <c r="H27" s="61"/>
      <c r="I27" s="153" t="s">
        <v>1935</v>
      </c>
      <c r="L27" s="154" t="s">
        <v>53</v>
      </c>
      <c r="M27" s="154" t="s">
        <v>53</v>
      </c>
      <c r="N27" s="151" t="s">
        <v>53</v>
      </c>
      <c r="O27" s="40" t="s">
        <v>53</v>
      </c>
      <c r="P27" s="1" t="s">
        <v>53</v>
      </c>
      <c r="Q27" s="44" t="s">
        <v>53</v>
      </c>
      <c r="R27" s="1" t="s">
        <v>53</v>
      </c>
      <c r="S27" s="1" t="s">
        <v>53</v>
      </c>
      <c r="T27" s="30" t="s">
        <v>53</v>
      </c>
      <c r="U27" s="121" t="s">
        <v>53</v>
      </c>
      <c r="V27" s="116" t="b">
        <f t="shared" si="0"/>
        <v>1</v>
      </c>
      <c r="W27" s="117" t="str">
        <f t="shared" si="1"/>
        <v>title: "Bulgaria"</v>
      </c>
      <c r="X27" s="120" t="str">
        <f t="shared" si="2"/>
        <v/>
      </c>
      <c r="Y27" s="120" t="str">
        <f t="shared" si="3"/>
        <v/>
      </c>
      <c r="Z27" s="120" t="str">
        <f t="shared" si="4"/>
        <v/>
      </c>
      <c r="AA27" s="120" t="str">
        <f t="shared" si="5"/>
        <v/>
      </c>
      <c r="AB27" s="117" t="str">
        <f t="shared" si="6"/>
        <v/>
      </c>
      <c r="AC27" s="117" t="str">
        <f>IF(LEN(J27)&gt;1,concatll("#### Author's Note",J27,"-"&amp;B27),"")</f>
        <v/>
      </c>
      <c r="AD27" s="117" t="str">
        <f>IF(LEN(K27)&gt;1,concatll("#### Dedication",K27,"-"&amp;$B27),"")</f>
        <v/>
      </c>
      <c r="CA27" s="6" t="str">
        <f>IF(V27,concatll(concatl("---",W27,"---"),"*A collection of sites associated with this topic.*","#### Background",I27,AB27,AC27,AD27),"")</f>
        <v xml:space="preserve">---_x000D_
title: "Bulgaria"_x000D_
---_x000D_
_x000D_
_x000D_
*A collection of sites associated with this topic.*_x000D_
_x000D_
#### Background_x000D_
_x000D_
Catholic places of interest in Bulgaria_x000D_
_x000D_
</v>
      </c>
      <c r="CB27" s="6" t="str">
        <f t="shared" si="7"/>
        <v>tags\bg\_index.md</v>
      </c>
    </row>
    <row r="28" spans="1:80" x14ac:dyDescent="0.25">
      <c r="A28" s="129" t="s">
        <v>786</v>
      </c>
      <c r="B28" s="130"/>
      <c r="C28" s="132" t="s">
        <v>227</v>
      </c>
      <c r="D28" s="130" t="s">
        <v>473</v>
      </c>
      <c r="E28" s="130" t="s">
        <v>473</v>
      </c>
      <c r="F28" s="73" t="s">
        <v>473</v>
      </c>
      <c r="G28" s="71" t="s">
        <v>227</v>
      </c>
      <c r="H28" s="73"/>
      <c r="I28" s="153" t="s">
        <v>1936</v>
      </c>
      <c r="L28" s="154" t="s">
        <v>53</v>
      </c>
      <c r="M28" s="154" t="s">
        <v>53</v>
      </c>
      <c r="N28" s="151" t="s">
        <v>53</v>
      </c>
      <c r="O28" s="40" t="s">
        <v>53</v>
      </c>
      <c r="P28" s="1" t="s">
        <v>53</v>
      </c>
      <c r="Q28" s="44" t="s">
        <v>53</v>
      </c>
      <c r="R28" s="1" t="s">
        <v>53</v>
      </c>
      <c r="S28" s="1" t="s">
        <v>53</v>
      </c>
      <c r="T28" s="30" t="s">
        <v>53</v>
      </c>
      <c r="U28" s="121" t="s">
        <v>53</v>
      </c>
      <c r="V28" s="116" t="b">
        <f t="shared" si="0"/>
        <v>1</v>
      </c>
      <c r="W28" s="117" t="str">
        <f t="shared" si="1"/>
        <v>title: "Bahrain"</v>
      </c>
      <c r="X28" s="120" t="str">
        <f t="shared" si="2"/>
        <v/>
      </c>
      <c r="Y28" s="120" t="str">
        <f t="shared" si="3"/>
        <v/>
      </c>
      <c r="Z28" s="120" t="str">
        <f t="shared" si="4"/>
        <v/>
      </c>
      <c r="AA28" s="120" t="str">
        <f t="shared" si="5"/>
        <v/>
      </c>
      <c r="AB28" s="117" t="str">
        <f t="shared" si="6"/>
        <v/>
      </c>
      <c r="AC28" s="117" t="str">
        <f>IF(LEN(J28)&gt;1,concatll("#### Author's Note",J28,"-"&amp;B28),"")</f>
        <v/>
      </c>
      <c r="AD28" s="117" t="str">
        <f>IF(LEN(K28)&gt;1,concatll("#### Dedication",K28,"-"&amp;$B28),"")</f>
        <v/>
      </c>
      <c r="CA28" s="6" t="str">
        <f>IF(V28,concatll(concatl("---",W28,"---"),"*A collection of sites associated with this topic.*","#### Background",I28,AB28,AC28,AD28),"")</f>
        <v xml:space="preserve">---_x000D_
title: "Bahrain"_x000D_
---_x000D_
_x000D_
_x000D_
*A collection of sites associated with this topic.*_x000D_
_x000D_
#### Background_x000D_
_x000D_
Catholic places of interest in Bahrain_x000D_
_x000D_
</v>
      </c>
      <c r="CB28" s="6" t="str">
        <f t="shared" si="7"/>
        <v>tags\bh\_index.md</v>
      </c>
    </row>
    <row r="29" spans="1:80" x14ac:dyDescent="0.25">
      <c r="A29" s="129" t="s">
        <v>786</v>
      </c>
      <c r="C29" s="1" t="s">
        <v>228</v>
      </c>
      <c r="D29" s="7" t="s">
        <v>474</v>
      </c>
      <c r="E29" s="7" t="s">
        <v>474</v>
      </c>
      <c r="F29" s="33" t="s">
        <v>474</v>
      </c>
      <c r="G29" s="71" t="s">
        <v>228</v>
      </c>
      <c r="H29" s="73"/>
      <c r="I29" s="153" t="s">
        <v>1937</v>
      </c>
      <c r="L29" s="154" t="s">
        <v>53</v>
      </c>
      <c r="M29" s="154" t="s">
        <v>53</v>
      </c>
      <c r="N29" s="151" t="s">
        <v>53</v>
      </c>
      <c r="O29" s="40" t="s">
        <v>53</v>
      </c>
      <c r="P29" s="1" t="s">
        <v>53</v>
      </c>
      <c r="Q29" s="44" t="s">
        <v>53</v>
      </c>
      <c r="R29" s="1" t="s">
        <v>53</v>
      </c>
      <c r="S29" s="1" t="s">
        <v>53</v>
      </c>
      <c r="T29" s="30" t="s">
        <v>53</v>
      </c>
      <c r="U29" s="121" t="s">
        <v>53</v>
      </c>
      <c r="V29" s="116" t="b">
        <f t="shared" si="0"/>
        <v>1</v>
      </c>
      <c r="W29" s="117" t="str">
        <f t="shared" si="1"/>
        <v>title: "Burundi"</v>
      </c>
      <c r="X29" s="120" t="str">
        <f t="shared" si="2"/>
        <v/>
      </c>
      <c r="Y29" s="120" t="str">
        <f t="shared" si="3"/>
        <v/>
      </c>
      <c r="Z29" s="120" t="str">
        <f t="shared" si="4"/>
        <v/>
      </c>
      <c r="AA29" s="120" t="str">
        <f t="shared" si="5"/>
        <v/>
      </c>
      <c r="AB29" s="117" t="str">
        <f t="shared" si="6"/>
        <v/>
      </c>
      <c r="AC29" s="117" t="str">
        <f>IF(LEN(J29)&gt;1,concatll("#### Author's Note",J29,"-"&amp;B29),"")</f>
        <v/>
      </c>
      <c r="AD29" s="117" t="str">
        <f>IF(LEN(K29)&gt;1,concatll("#### Dedication",K29,"-"&amp;$B29),"")</f>
        <v/>
      </c>
      <c r="CA29" s="6" t="str">
        <f>IF(V29,concatll(concatl("---",W29,"---"),"*A collection of sites associated with this topic.*","#### Background",I29,AB29,AC29,AD29),"")</f>
        <v xml:space="preserve">---_x000D_
title: "Burundi"_x000D_
---_x000D_
_x000D_
_x000D_
*A collection of sites associated with this topic.*_x000D_
_x000D_
#### Background_x000D_
_x000D_
Catholic places of interest in Burundi_x000D_
_x000D_
</v>
      </c>
      <c r="CB29" s="6" t="str">
        <f t="shared" si="7"/>
        <v>tags\bi\_index.md</v>
      </c>
    </row>
    <row r="30" spans="1:80" x14ac:dyDescent="0.25">
      <c r="A30" s="129" t="s">
        <v>786</v>
      </c>
      <c r="C30" s="1" t="s">
        <v>229</v>
      </c>
      <c r="D30" s="7" t="s">
        <v>475</v>
      </c>
      <c r="E30" s="7" t="s">
        <v>475</v>
      </c>
      <c r="F30" s="73" t="s">
        <v>475</v>
      </c>
      <c r="G30" s="71" t="s">
        <v>229</v>
      </c>
      <c r="I30" s="153" t="s">
        <v>1938</v>
      </c>
      <c r="L30" s="154" t="s">
        <v>53</v>
      </c>
      <c r="M30" s="154" t="s">
        <v>53</v>
      </c>
      <c r="N30" s="151" t="s">
        <v>53</v>
      </c>
      <c r="O30" s="40" t="s">
        <v>53</v>
      </c>
      <c r="P30" s="1" t="s">
        <v>53</v>
      </c>
      <c r="Q30" s="44" t="s">
        <v>53</v>
      </c>
      <c r="R30" s="1" t="s">
        <v>53</v>
      </c>
      <c r="S30" s="1" t="s">
        <v>53</v>
      </c>
      <c r="T30" s="30" t="s">
        <v>53</v>
      </c>
      <c r="U30" s="121" t="s">
        <v>53</v>
      </c>
      <c r="V30" s="116" t="b">
        <f t="shared" si="0"/>
        <v>1</v>
      </c>
      <c r="W30" s="117" t="str">
        <f t="shared" si="1"/>
        <v>title: "Benin"</v>
      </c>
      <c r="X30" s="120" t="str">
        <f t="shared" si="2"/>
        <v/>
      </c>
      <c r="Y30" s="120" t="str">
        <f t="shared" si="3"/>
        <v/>
      </c>
      <c r="Z30" s="120" t="str">
        <f t="shared" si="4"/>
        <v/>
      </c>
      <c r="AA30" s="120" t="str">
        <f t="shared" si="5"/>
        <v/>
      </c>
      <c r="AB30" s="117" t="str">
        <f t="shared" si="6"/>
        <v/>
      </c>
      <c r="AC30" s="117" t="str">
        <f>IF(LEN(J30)&gt;1,concatll("#### Author's Note",J30,"-"&amp;B30),"")</f>
        <v/>
      </c>
      <c r="AD30" s="117" t="str">
        <f>IF(LEN(K30)&gt;1,concatll("#### Dedication",K30,"-"&amp;$B30),"")</f>
        <v/>
      </c>
      <c r="CA30" s="6" t="str">
        <f>IF(V30,concatll(concatl("---",W30,"---"),"*A collection of sites associated with this topic.*","#### Background",I30,AB30,AC30,AD30),"")</f>
        <v xml:space="preserve">---_x000D_
title: "Benin"_x000D_
---_x000D_
_x000D_
_x000D_
*A collection of sites associated with this topic.*_x000D_
_x000D_
#### Background_x000D_
_x000D_
Catholic places of interest in Benin_x000D_
_x000D_
</v>
      </c>
      <c r="CB30" s="6" t="str">
        <f t="shared" si="7"/>
        <v>tags\bj\_index.md</v>
      </c>
    </row>
    <row r="31" spans="1:80" x14ac:dyDescent="0.25">
      <c r="A31" s="129" t="s">
        <v>786</v>
      </c>
      <c r="B31" s="130"/>
      <c r="C31" s="132" t="s">
        <v>443</v>
      </c>
      <c r="D31" s="130" t="s">
        <v>476</v>
      </c>
      <c r="E31" s="130" t="s">
        <v>476</v>
      </c>
      <c r="F31" s="139" t="s">
        <v>476</v>
      </c>
      <c r="G31" s="23" t="s">
        <v>443</v>
      </c>
      <c r="H31" s="139"/>
      <c r="I31" s="153" t="s">
        <v>1939</v>
      </c>
      <c r="J31" s="130"/>
      <c r="K31" s="139"/>
      <c r="L31" s="154" t="s">
        <v>53</v>
      </c>
      <c r="M31" s="154" t="s">
        <v>53</v>
      </c>
      <c r="N31" s="151" t="s">
        <v>53</v>
      </c>
      <c r="O31" s="40" t="s">
        <v>53</v>
      </c>
      <c r="P31" s="1" t="s">
        <v>53</v>
      </c>
      <c r="Q31" s="44" t="s">
        <v>53</v>
      </c>
      <c r="R31" s="1" t="s">
        <v>53</v>
      </c>
      <c r="S31" s="1" t="s">
        <v>53</v>
      </c>
      <c r="T31" s="30" t="s">
        <v>53</v>
      </c>
      <c r="U31" s="121" t="s">
        <v>53</v>
      </c>
      <c r="V31" s="116" t="b">
        <f t="shared" si="0"/>
        <v>1</v>
      </c>
      <c r="W31" s="117" t="str">
        <f t="shared" si="1"/>
        <v>title: "Saint Barthelemy"</v>
      </c>
      <c r="X31" s="120" t="str">
        <f t="shared" si="2"/>
        <v/>
      </c>
      <c r="Y31" s="120" t="str">
        <f t="shared" si="3"/>
        <v/>
      </c>
      <c r="Z31" s="120" t="str">
        <f t="shared" si="4"/>
        <v/>
      </c>
      <c r="AA31" s="120" t="str">
        <f t="shared" si="5"/>
        <v/>
      </c>
      <c r="AB31" s="117" t="str">
        <f t="shared" si="6"/>
        <v/>
      </c>
      <c r="AC31" s="117" t="str">
        <f>IF(LEN(J31)&gt;1,concatll("#### Author's Note",J31,"-"&amp;B31),"")</f>
        <v/>
      </c>
      <c r="AD31" s="117" t="str">
        <f>IF(LEN(K31)&gt;1,concatll("#### Dedication",K31,"-"&amp;$B31),"")</f>
        <v/>
      </c>
      <c r="CA31" s="6" t="str">
        <f>IF(V31,concatll(concatl("---",W31,"---"),"*A collection of sites associated with this topic.*","#### Background",I31,AB31,AC31,AD31),"")</f>
        <v xml:space="preserve">---_x000D_
title: "Saint Barthelemy"_x000D_
---_x000D_
_x000D_
_x000D_
*A collection of sites associated with this topic.*_x000D_
_x000D_
#### Background_x000D_
_x000D_
Catholic places of interest in Saint Barthelemy_x000D_
_x000D_
</v>
      </c>
      <c r="CB31" s="6" t="str">
        <f t="shared" si="7"/>
        <v>tags\bl\_index.md</v>
      </c>
    </row>
    <row r="32" spans="1:80" x14ac:dyDescent="0.25">
      <c r="A32" s="129" t="s">
        <v>786</v>
      </c>
      <c r="B32" s="130"/>
      <c r="C32" s="132" t="s">
        <v>230</v>
      </c>
      <c r="D32" s="130" t="s">
        <v>477</v>
      </c>
      <c r="E32" s="130" t="s">
        <v>477</v>
      </c>
      <c r="F32" s="139" t="s">
        <v>477</v>
      </c>
      <c r="G32" s="7" t="s">
        <v>230</v>
      </c>
      <c r="I32" s="153" t="s">
        <v>1940</v>
      </c>
      <c r="L32" s="154" t="s">
        <v>53</v>
      </c>
      <c r="M32" s="154" t="s">
        <v>53</v>
      </c>
      <c r="N32" s="151" t="s">
        <v>53</v>
      </c>
      <c r="O32" s="40" t="s">
        <v>53</v>
      </c>
      <c r="P32" s="1" t="s">
        <v>53</v>
      </c>
      <c r="Q32" s="44" t="s">
        <v>53</v>
      </c>
      <c r="R32" s="1" t="s">
        <v>53</v>
      </c>
      <c r="S32" s="1" t="s">
        <v>53</v>
      </c>
      <c r="T32" s="30" t="s">
        <v>53</v>
      </c>
      <c r="U32" s="121" t="s">
        <v>53</v>
      </c>
      <c r="V32" s="116" t="b">
        <f t="shared" si="0"/>
        <v>1</v>
      </c>
      <c r="W32" s="117" t="str">
        <f t="shared" si="1"/>
        <v>title: "Bermuda"</v>
      </c>
      <c r="X32" s="120" t="str">
        <f t="shared" si="2"/>
        <v/>
      </c>
      <c r="Y32" s="120" t="str">
        <f t="shared" si="3"/>
        <v/>
      </c>
      <c r="Z32" s="120" t="str">
        <f t="shared" si="4"/>
        <v/>
      </c>
      <c r="AA32" s="120" t="str">
        <f t="shared" si="5"/>
        <v/>
      </c>
      <c r="AB32" s="117" t="str">
        <f t="shared" si="6"/>
        <v/>
      </c>
      <c r="AC32" s="117" t="str">
        <f>IF(LEN(J32)&gt;1,concatll("#### Author's Note",J32,"-"&amp;B32),"")</f>
        <v/>
      </c>
      <c r="AD32" s="117" t="str">
        <f>IF(LEN(K32)&gt;1,concatll("#### Dedication",K32,"-"&amp;$B32),"")</f>
        <v/>
      </c>
      <c r="CA32" s="6" t="str">
        <f>IF(V32,concatll(concatl("---",W32,"---"),"*A collection of sites associated with this topic.*","#### Background",I32,AB32,AC32,AD32),"")</f>
        <v xml:space="preserve">---_x000D_
title: "Bermuda"_x000D_
---_x000D_
_x000D_
_x000D_
*A collection of sites associated with this topic.*_x000D_
_x000D_
#### Background_x000D_
_x000D_
Catholic places of interest in Bermuda_x000D_
_x000D_
</v>
      </c>
      <c r="CB32" s="6" t="str">
        <f t="shared" si="7"/>
        <v>tags\bm\_index.md</v>
      </c>
    </row>
    <row r="33" spans="1:80" x14ac:dyDescent="0.25">
      <c r="A33" s="129" t="s">
        <v>786</v>
      </c>
      <c r="B33" s="130"/>
      <c r="C33" s="132" t="s">
        <v>231</v>
      </c>
      <c r="D33" s="130" t="s">
        <v>478</v>
      </c>
      <c r="E33" s="130" t="s">
        <v>478</v>
      </c>
      <c r="F33" s="139" t="s">
        <v>478</v>
      </c>
      <c r="G33" s="130" t="s">
        <v>231</v>
      </c>
      <c r="H33" s="37"/>
      <c r="I33" s="153" t="s">
        <v>1941</v>
      </c>
      <c r="L33" s="154" t="s">
        <v>53</v>
      </c>
      <c r="M33" s="154" t="s">
        <v>53</v>
      </c>
      <c r="N33" s="151" t="s">
        <v>53</v>
      </c>
      <c r="O33" s="40" t="s">
        <v>53</v>
      </c>
      <c r="P33" s="1" t="s">
        <v>53</v>
      </c>
      <c r="Q33" s="44" t="s">
        <v>53</v>
      </c>
      <c r="R33" s="1" t="s">
        <v>53</v>
      </c>
      <c r="S33" s="1" t="s">
        <v>53</v>
      </c>
      <c r="T33" s="30" t="s">
        <v>53</v>
      </c>
      <c r="U33" s="121" t="s">
        <v>53</v>
      </c>
      <c r="V33" s="116" t="b">
        <f t="shared" si="0"/>
        <v>1</v>
      </c>
      <c r="W33" s="117" t="str">
        <f t="shared" si="1"/>
        <v>title: "Brunei Darussalam"</v>
      </c>
      <c r="X33" s="120" t="str">
        <f t="shared" si="2"/>
        <v/>
      </c>
      <c r="Y33" s="120" t="str">
        <f t="shared" si="3"/>
        <v/>
      </c>
      <c r="Z33" s="120" t="str">
        <f t="shared" si="4"/>
        <v/>
      </c>
      <c r="AA33" s="120" t="str">
        <f t="shared" si="5"/>
        <v/>
      </c>
      <c r="AB33" s="117" t="str">
        <f t="shared" si="6"/>
        <v/>
      </c>
      <c r="AC33" s="117" t="str">
        <f>IF(LEN(J33)&gt;1,concatll("#### Author's Note",J33,"-"&amp;B33),"")</f>
        <v/>
      </c>
      <c r="AD33" s="117" t="str">
        <f>IF(LEN(K33)&gt;1,concatll("#### Dedication",K33,"-"&amp;$B33),"")</f>
        <v/>
      </c>
      <c r="CA33" s="6" t="str">
        <f>IF(V33,concatll(concatl("---",W33,"---"),"*A collection of sites associated with this topic.*","#### Background",I33,AB33,AC33,AD33),"")</f>
        <v xml:space="preserve">---_x000D_
title: "Brunei Darussalam"_x000D_
---_x000D_
_x000D_
_x000D_
*A collection of sites associated with this topic.*_x000D_
_x000D_
#### Background_x000D_
_x000D_
Catholic places of interest in Brunei Darussalam_x000D_
_x000D_
</v>
      </c>
      <c r="CB33" s="6" t="str">
        <f t="shared" si="7"/>
        <v>tags\bn\_index.md</v>
      </c>
    </row>
    <row r="34" spans="1:80" x14ac:dyDescent="0.25">
      <c r="A34" s="129" t="s">
        <v>786</v>
      </c>
      <c r="B34" s="130"/>
      <c r="C34" s="132" t="s">
        <v>421</v>
      </c>
      <c r="D34" s="130" t="s">
        <v>479</v>
      </c>
      <c r="E34" s="130" t="s">
        <v>479</v>
      </c>
      <c r="F34" s="33" t="s">
        <v>479</v>
      </c>
      <c r="G34" s="7" t="s">
        <v>421</v>
      </c>
      <c r="I34" s="153" t="s">
        <v>1942</v>
      </c>
      <c r="J34" s="130"/>
      <c r="K34" s="139"/>
      <c r="L34" s="154" t="s">
        <v>53</v>
      </c>
      <c r="M34" s="154" t="s">
        <v>53</v>
      </c>
      <c r="N34" s="151" t="s">
        <v>53</v>
      </c>
      <c r="O34" s="40" t="s">
        <v>53</v>
      </c>
      <c r="P34" s="1" t="s">
        <v>53</v>
      </c>
      <c r="Q34" s="44" t="s">
        <v>53</v>
      </c>
      <c r="R34" s="1" t="s">
        <v>53</v>
      </c>
      <c r="S34" s="1" t="s">
        <v>53</v>
      </c>
      <c r="T34" s="30" t="s">
        <v>53</v>
      </c>
      <c r="U34" s="121" t="s">
        <v>53</v>
      </c>
      <c r="V34" s="116" t="b">
        <f t="shared" si="0"/>
        <v>1</v>
      </c>
      <c r="W34" s="117" t="str">
        <f t="shared" si="1"/>
        <v>title: "Bolivia"</v>
      </c>
      <c r="X34" s="120" t="str">
        <f t="shared" si="2"/>
        <v/>
      </c>
      <c r="Y34" s="120" t="str">
        <f t="shared" si="3"/>
        <v/>
      </c>
      <c r="Z34" s="120" t="str">
        <f t="shared" si="4"/>
        <v/>
      </c>
      <c r="AA34" s="120" t="str">
        <f t="shared" si="5"/>
        <v/>
      </c>
      <c r="AB34" s="117" t="str">
        <f t="shared" si="6"/>
        <v/>
      </c>
      <c r="AC34" s="117" t="str">
        <f>IF(LEN(J34)&gt;1,concatll("#### Author's Note",J34,"-"&amp;B34),"")</f>
        <v/>
      </c>
      <c r="AD34" s="117" t="str">
        <f>IF(LEN(K34)&gt;1,concatll("#### Dedication",K34,"-"&amp;$B34),"")</f>
        <v/>
      </c>
      <c r="CA34" s="6" t="str">
        <f>IF(V34,concatll(concatl("---",W34,"---"),"*A collection of sites associated with this topic.*","#### Background",I34,AB34,AC34,AD34),"")</f>
        <v xml:space="preserve">---_x000D_
title: "Bolivia"_x000D_
---_x000D_
_x000D_
_x000D_
*A collection of sites associated with this topic.*_x000D_
_x000D_
#### Background_x000D_
_x000D_
Catholic places of interest in Bolivia_x000D_
_x000D_
</v>
      </c>
      <c r="CB34" s="6" t="str">
        <f t="shared" si="7"/>
        <v>tags\bo\_index.md</v>
      </c>
    </row>
    <row r="35" spans="1:80" x14ac:dyDescent="0.25">
      <c r="A35" s="129" t="s">
        <v>786</v>
      </c>
      <c r="B35" s="130"/>
      <c r="C35" s="132" t="s">
        <v>232</v>
      </c>
      <c r="D35" s="130" t="s">
        <v>480</v>
      </c>
      <c r="E35" s="130" t="s">
        <v>480</v>
      </c>
      <c r="F35" s="33" t="s">
        <v>480</v>
      </c>
      <c r="G35" s="7" t="s">
        <v>232</v>
      </c>
      <c r="I35" s="153" t="s">
        <v>1943</v>
      </c>
      <c r="J35" s="130"/>
      <c r="K35" s="139"/>
      <c r="L35" s="154" t="s">
        <v>53</v>
      </c>
      <c r="M35" s="154" t="s">
        <v>53</v>
      </c>
      <c r="N35" s="151" t="s">
        <v>53</v>
      </c>
      <c r="O35" s="40" t="s">
        <v>53</v>
      </c>
      <c r="P35" s="1" t="s">
        <v>53</v>
      </c>
      <c r="Q35" s="44" t="s">
        <v>53</v>
      </c>
      <c r="R35" s="1" t="s">
        <v>53</v>
      </c>
      <c r="S35" s="1" t="s">
        <v>53</v>
      </c>
      <c r="T35" s="30" t="s">
        <v>53</v>
      </c>
      <c r="U35" s="121" t="s">
        <v>53</v>
      </c>
      <c r="V35" s="116" t="b">
        <f t="shared" si="0"/>
        <v>1</v>
      </c>
      <c r="W35" s="117" t="str">
        <f t="shared" si="1"/>
        <v>title: "Bonaire, Sint Eustatius and Saba"</v>
      </c>
      <c r="X35" s="120" t="str">
        <f t="shared" si="2"/>
        <v/>
      </c>
      <c r="Y35" s="120" t="str">
        <f t="shared" si="3"/>
        <v/>
      </c>
      <c r="Z35" s="120" t="str">
        <f t="shared" si="4"/>
        <v/>
      </c>
      <c r="AA35" s="120" t="str">
        <f t="shared" si="5"/>
        <v/>
      </c>
      <c r="AB35" s="117" t="str">
        <f t="shared" si="6"/>
        <v/>
      </c>
      <c r="AC35" s="117" t="str">
        <f>IF(LEN(J35)&gt;1,concatll("#### Author's Note",J35,"-"&amp;B35),"")</f>
        <v/>
      </c>
      <c r="AD35" s="117" t="str">
        <f>IF(LEN(K35)&gt;1,concatll("#### Dedication",K35,"-"&amp;$B35),"")</f>
        <v/>
      </c>
      <c r="CA35" s="6" t="str">
        <f>IF(V35,concatll(concatl("---",W35,"---"),"*A collection of sites associated with this topic.*","#### Background",I35,AB35,AC35,AD35),"")</f>
        <v xml:space="preserve">---_x000D_
title: "Bonaire, Sint Eustatius and Saba"_x000D_
---_x000D_
_x000D_
_x000D_
*A collection of sites associated with this topic.*_x000D_
_x000D_
#### Background_x000D_
_x000D_
Catholic places of interest in Bonaire, Sint Eustatius and Saba_x000D_
_x000D_
</v>
      </c>
      <c r="CB35" s="6" t="str">
        <f t="shared" si="7"/>
        <v>tags\bq\_index.md</v>
      </c>
    </row>
    <row r="36" spans="1:80" x14ac:dyDescent="0.25">
      <c r="A36" s="129" t="s">
        <v>786</v>
      </c>
      <c r="C36" s="1" t="s">
        <v>233</v>
      </c>
      <c r="D36" s="7" t="s">
        <v>481</v>
      </c>
      <c r="E36" s="7" t="s">
        <v>481</v>
      </c>
      <c r="F36" s="33" t="s">
        <v>481</v>
      </c>
      <c r="G36" s="7" t="s">
        <v>233</v>
      </c>
      <c r="I36" s="153" t="s">
        <v>1944</v>
      </c>
      <c r="J36" s="130"/>
      <c r="K36" s="139"/>
      <c r="L36" s="154" t="s">
        <v>53</v>
      </c>
      <c r="M36" s="154" t="s">
        <v>53</v>
      </c>
      <c r="N36" s="151" t="s">
        <v>53</v>
      </c>
      <c r="O36" s="40" t="s">
        <v>53</v>
      </c>
      <c r="P36" s="1" t="s">
        <v>53</v>
      </c>
      <c r="Q36" s="44" t="s">
        <v>53</v>
      </c>
      <c r="R36" s="1" t="s">
        <v>53</v>
      </c>
      <c r="S36" s="1" t="s">
        <v>53</v>
      </c>
      <c r="T36" s="30" t="s">
        <v>53</v>
      </c>
      <c r="U36" s="121" t="s">
        <v>53</v>
      </c>
      <c r="V36" s="116" t="b">
        <f t="shared" si="0"/>
        <v>1</v>
      </c>
      <c r="W36" s="117" t="str">
        <f t="shared" si="1"/>
        <v>title: "Brazil"</v>
      </c>
      <c r="X36" s="120" t="str">
        <f t="shared" si="2"/>
        <v/>
      </c>
      <c r="Y36" s="120" t="str">
        <f t="shared" si="3"/>
        <v/>
      </c>
      <c r="Z36" s="120" t="str">
        <f t="shared" si="4"/>
        <v/>
      </c>
      <c r="AA36" s="120" t="str">
        <f t="shared" si="5"/>
        <v/>
      </c>
      <c r="AB36" s="117" t="str">
        <f t="shared" si="6"/>
        <v/>
      </c>
      <c r="AC36" s="117" t="str">
        <f>IF(LEN(J36)&gt;1,concatll("#### Author's Note",J36,"-"&amp;B36),"")</f>
        <v/>
      </c>
      <c r="AD36" s="117" t="str">
        <f>IF(LEN(K36)&gt;1,concatll("#### Dedication",K36,"-"&amp;$B36),"")</f>
        <v/>
      </c>
      <c r="CA36" s="6" t="str">
        <f>IF(V36,concatll(concatl("---",W36,"---"),"*A collection of sites associated with this topic.*","#### Background",I36,AB36,AC36,AD36),"")</f>
        <v xml:space="preserve">---_x000D_
title: "Brazil"_x000D_
---_x000D_
_x000D_
_x000D_
*A collection of sites associated with this topic.*_x000D_
_x000D_
#### Background_x000D_
_x000D_
Catholic places of interest in Brazil_x000D_
_x000D_
</v>
      </c>
      <c r="CB36" s="6" t="str">
        <f t="shared" si="7"/>
        <v>tags\br\_index.md</v>
      </c>
    </row>
    <row r="37" spans="1:80" x14ac:dyDescent="0.25">
      <c r="A37" s="129" t="s">
        <v>786</v>
      </c>
      <c r="B37" s="10"/>
      <c r="C37" s="22" t="s">
        <v>234</v>
      </c>
      <c r="D37" s="10" t="s">
        <v>482</v>
      </c>
      <c r="E37" s="10" t="s">
        <v>482</v>
      </c>
      <c r="F37" s="38" t="s">
        <v>482</v>
      </c>
      <c r="G37" s="7" t="s">
        <v>234</v>
      </c>
      <c r="I37" s="153" t="s">
        <v>2188</v>
      </c>
      <c r="J37" s="130"/>
      <c r="K37" s="139"/>
      <c r="L37" s="154" t="s">
        <v>53</v>
      </c>
      <c r="M37" s="154" t="s">
        <v>53</v>
      </c>
      <c r="N37" s="151" t="s">
        <v>53</v>
      </c>
      <c r="O37" s="40" t="s">
        <v>53</v>
      </c>
      <c r="P37" s="1" t="s">
        <v>53</v>
      </c>
      <c r="Q37" s="44" t="s">
        <v>53</v>
      </c>
      <c r="R37" s="1" t="s">
        <v>53</v>
      </c>
      <c r="S37" s="1" t="s">
        <v>53</v>
      </c>
      <c r="T37" s="30" t="s">
        <v>53</v>
      </c>
      <c r="U37" s="121" t="s">
        <v>53</v>
      </c>
      <c r="V37" s="116" t="b">
        <f t="shared" si="0"/>
        <v>1</v>
      </c>
      <c r="W37" s="117" t="str">
        <f t="shared" si="1"/>
        <v>title: "Bahamas"</v>
      </c>
      <c r="X37" s="120" t="str">
        <f t="shared" si="2"/>
        <v/>
      </c>
      <c r="Y37" s="120" t="str">
        <f t="shared" si="3"/>
        <v/>
      </c>
      <c r="Z37" s="120" t="str">
        <f t="shared" si="4"/>
        <v/>
      </c>
      <c r="AA37" s="120" t="str">
        <f t="shared" si="5"/>
        <v/>
      </c>
      <c r="AB37" s="117" t="str">
        <f t="shared" si="6"/>
        <v/>
      </c>
      <c r="AC37" s="117" t="str">
        <f>IF(LEN(J37)&gt;1,concatll("#### Author's Note",J37,"-"&amp;B37),"")</f>
        <v/>
      </c>
      <c r="AD37" s="117" t="str">
        <f>IF(LEN(K37)&gt;1,concatll("#### Dedication",K37,"-"&amp;$B37),"")</f>
        <v/>
      </c>
      <c r="CA37" s="6" t="str">
        <f>IF(V37,concatll(concatl("---",W37,"---"),"*A collection of sites associated with this topic.*","#### Background",I37,AB37,AC37,AD37),"")</f>
        <v xml:space="preserve">---_x000D_
title: "Bahamas"_x000D_
---_x000D_
_x000D_
_x000D_
*A collection of sites associated with this topic.*_x000D_
_x000D_
#### Background_x000D_
_x000D_
Catholic places of interest in the Bahamas_x000D_
_x000D_
</v>
      </c>
      <c r="CB37" s="6" t="str">
        <f t="shared" si="7"/>
        <v>tags\bs\_index.md</v>
      </c>
    </row>
    <row r="38" spans="1:80" x14ac:dyDescent="0.25">
      <c r="A38" s="129" t="s">
        <v>786</v>
      </c>
      <c r="C38" s="1" t="s">
        <v>235</v>
      </c>
      <c r="D38" s="7" t="s">
        <v>483</v>
      </c>
      <c r="E38" s="7" t="s">
        <v>483</v>
      </c>
      <c r="F38" s="33" t="s">
        <v>483</v>
      </c>
      <c r="G38" s="7" t="s">
        <v>235</v>
      </c>
      <c r="I38" s="153" t="s">
        <v>1945</v>
      </c>
      <c r="L38" s="154" t="s">
        <v>53</v>
      </c>
      <c r="M38" s="154" t="s">
        <v>53</v>
      </c>
      <c r="N38" s="151" t="s">
        <v>53</v>
      </c>
      <c r="O38" s="40" t="s">
        <v>53</v>
      </c>
      <c r="P38" s="1" t="s">
        <v>53</v>
      </c>
      <c r="Q38" s="44" t="s">
        <v>53</v>
      </c>
      <c r="R38" s="1" t="s">
        <v>53</v>
      </c>
      <c r="S38" s="1" t="s">
        <v>53</v>
      </c>
      <c r="T38" s="30" t="s">
        <v>53</v>
      </c>
      <c r="U38" s="121" t="s">
        <v>53</v>
      </c>
      <c r="V38" s="116" t="b">
        <f t="shared" si="0"/>
        <v>1</v>
      </c>
      <c r="W38" s="117" t="str">
        <f t="shared" si="1"/>
        <v>title: "Bhutan"</v>
      </c>
      <c r="X38" s="120" t="str">
        <f t="shared" si="2"/>
        <v/>
      </c>
      <c r="Y38" s="120" t="str">
        <f t="shared" si="3"/>
        <v/>
      </c>
      <c r="Z38" s="120" t="str">
        <f t="shared" si="4"/>
        <v/>
      </c>
      <c r="AA38" s="120" t="str">
        <f t="shared" si="5"/>
        <v/>
      </c>
      <c r="AB38" s="117" t="str">
        <f t="shared" si="6"/>
        <v/>
      </c>
      <c r="AC38" s="117" t="str">
        <f>IF(LEN(J38)&gt;1,concatll("#### Author's Note",J38,"-"&amp;B38),"")</f>
        <v/>
      </c>
      <c r="AD38" s="117" t="str">
        <f>IF(LEN(K38)&gt;1,concatll("#### Dedication",K38,"-"&amp;$B38),"")</f>
        <v/>
      </c>
      <c r="CA38" s="6" t="str">
        <f>IF(V38,concatll(concatl("---",W38,"---"),"*A collection of sites associated with this topic.*","#### Background",I38,AB38,AC38,AD38),"")</f>
        <v xml:space="preserve">---_x000D_
title: "Bhutan"_x000D_
---_x000D_
_x000D_
_x000D_
*A collection of sites associated with this topic.*_x000D_
_x000D_
#### Background_x000D_
_x000D_
Catholic places of interest in Bhutan_x000D_
_x000D_
</v>
      </c>
      <c r="CB38" s="6" t="str">
        <f t="shared" si="7"/>
        <v>tags\bt\_index.md</v>
      </c>
    </row>
    <row r="39" spans="1:80" x14ac:dyDescent="0.25">
      <c r="A39" s="129" t="s">
        <v>786</v>
      </c>
      <c r="C39" s="1" t="s">
        <v>236</v>
      </c>
      <c r="D39" s="7" t="s">
        <v>484</v>
      </c>
      <c r="E39" s="7" t="s">
        <v>484</v>
      </c>
      <c r="F39" s="33" t="s">
        <v>484</v>
      </c>
      <c r="G39" s="7" t="s">
        <v>236</v>
      </c>
      <c r="I39" s="153" t="s">
        <v>2189</v>
      </c>
      <c r="L39" s="154" t="s">
        <v>53</v>
      </c>
      <c r="M39" s="154" t="s">
        <v>53</v>
      </c>
      <c r="N39" s="151" t="s">
        <v>53</v>
      </c>
      <c r="O39" s="40" t="s">
        <v>53</v>
      </c>
      <c r="P39" s="1" t="s">
        <v>53</v>
      </c>
      <c r="Q39" s="44" t="s">
        <v>53</v>
      </c>
      <c r="R39" s="1" t="s">
        <v>53</v>
      </c>
      <c r="S39" s="1" t="s">
        <v>53</v>
      </c>
      <c r="T39" s="30" t="s">
        <v>53</v>
      </c>
      <c r="U39" s="121" t="s">
        <v>53</v>
      </c>
      <c r="V39" s="116" t="b">
        <f t="shared" si="0"/>
        <v>1</v>
      </c>
      <c r="W39" s="117" t="str">
        <f t="shared" si="1"/>
        <v>title: "Bouvet Island"</v>
      </c>
      <c r="X39" s="120" t="str">
        <f t="shared" si="2"/>
        <v/>
      </c>
      <c r="Y39" s="120" t="str">
        <f t="shared" si="3"/>
        <v/>
      </c>
      <c r="Z39" s="120" t="str">
        <f t="shared" si="4"/>
        <v/>
      </c>
      <c r="AA39" s="120" t="str">
        <f t="shared" si="5"/>
        <v/>
      </c>
      <c r="AB39" s="117" t="str">
        <f t="shared" si="6"/>
        <v/>
      </c>
      <c r="AC39" s="117" t="str">
        <f>IF(LEN(J39)&gt;1,concatll("#### Author's Note",J39,"-"&amp;B39),"")</f>
        <v/>
      </c>
      <c r="AD39" s="117" t="str">
        <f>IF(LEN(K39)&gt;1,concatll("#### Dedication",K39,"-"&amp;$B39),"")</f>
        <v/>
      </c>
      <c r="CA39" s="6" t="str">
        <f>IF(V39,concatll(concatl("---",W39,"---"),"*A collection of sites associated with this topic.*","#### Background",I39,AB39,AC39,AD39),"")</f>
        <v xml:space="preserve">---_x000D_
title: "Bouvet Island"_x000D_
---_x000D_
_x000D_
_x000D_
*A collection of sites associated with this topic.*_x000D_
_x000D_
#### Background_x000D_
_x000D_
Catholic places of interest on Bouvet Island_x000D_
_x000D_
</v>
      </c>
      <c r="CB39" s="6" t="str">
        <f t="shared" si="7"/>
        <v>tags\bv\_index.md</v>
      </c>
    </row>
    <row r="40" spans="1:80" x14ac:dyDescent="0.25">
      <c r="A40" s="129" t="s">
        <v>786</v>
      </c>
      <c r="C40" s="1" t="s">
        <v>237</v>
      </c>
      <c r="D40" s="7" t="s">
        <v>485</v>
      </c>
      <c r="E40" s="7" t="s">
        <v>485</v>
      </c>
      <c r="F40" s="33" t="s">
        <v>485</v>
      </c>
      <c r="G40" s="7" t="s">
        <v>237</v>
      </c>
      <c r="I40" s="153" t="s">
        <v>1946</v>
      </c>
      <c r="L40" s="154" t="s">
        <v>53</v>
      </c>
      <c r="M40" s="154" t="s">
        <v>53</v>
      </c>
      <c r="N40" s="151" t="s">
        <v>53</v>
      </c>
      <c r="O40" s="40" t="s">
        <v>53</v>
      </c>
      <c r="P40" s="1" t="s">
        <v>53</v>
      </c>
      <c r="Q40" s="44" t="s">
        <v>53</v>
      </c>
      <c r="R40" s="1" t="s">
        <v>53</v>
      </c>
      <c r="S40" s="1" t="s">
        <v>53</v>
      </c>
      <c r="T40" s="30" t="s">
        <v>53</v>
      </c>
      <c r="U40" s="121" t="s">
        <v>53</v>
      </c>
      <c r="V40" s="116" t="b">
        <f t="shared" si="0"/>
        <v>1</v>
      </c>
      <c r="W40" s="117" t="str">
        <f t="shared" si="1"/>
        <v>title: "Botswana"</v>
      </c>
      <c r="X40" s="120" t="str">
        <f t="shared" si="2"/>
        <v/>
      </c>
      <c r="Y40" s="120" t="str">
        <f t="shared" si="3"/>
        <v/>
      </c>
      <c r="Z40" s="120" t="str">
        <f t="shared" si="4"/>
        <v/>
      </c>
      <c r="AA40" s="120" t="str">
        <f t="shared" si="5"/>
        <v/>
      </c>
      <c r="AB40" s="117" t="str">
        <f t="shared" si="6"/>
        <v/>
      </c>
      <c r="AC40" s="117" t="str">
        <f>IF(LEN(J40)&gt;1,concatll("#### Author's Note",J40,"-"&amp;B40),"")</f>
        <v/>
      </c>
      <c r="AD40" s="117" t="str">
        <f>IF(LEN(K40)&gt;1,concatll("#### Dedication",K40,"-"&amp;$B40),"")</f>
        <v/>
      </c>
      <c r="CA40" s="6" t="str">
        <f>IF(V40,concatll(concatl("---",W40,"---"),"*A collection of sites associated with this topic.*","#### Background",I40,AB40,AC40,AD40),"")</f>
        <v xml:space="preserve">---_x000D_
title: "Botswana"_x000D_
---_x000D_
_x000D_
_x000D_
*A collection of sites associated with this topic.*_x000D_
_x000D_
#### Background_x000D_
_x000D_
Catholic places of interest in Botswana_x000D_
_x000D_
</v>
      </c>
      <c r="CB40" s="6" t="str">
        <f t="shared" si="7"/>
        <v>tags\bw\_index.md</v>
      </c>
    </row>
    <row r="41" spans="1:80" x14ac:dyDescent="0.25">
      <c r="A41" s="129" t="s">
        <v>786</v>
      </c>
      <c r="B41" s="130"/>
      <c r="C41" s="132" t="s">
        <v>238</v>
      </c>
      <c r="D41" s="130" t="s">
        <v>486</v>
      </c>
      <c r="E41" s="130" t="s">
        <v>486</v>
      </c>
      <c r="F41" s="61" t="s">
        <v>486</v>
      </c>
      <c r="G41" s="7" t="s">
        <v>238</v>
      </c>
      <c r="H41" s="61"/>
      <c r="I41" s="153" t="s">
        <v>1947</v>
      </c>
      <c r="J41" s="130"/>
      <c r="K41" s="139"/>
      <c r="L41" s="154" t="s">
        <v>53</v>
      </c>
      <c r="M41" s="154" t="s">
        <v>53</v>
      </c>
      <c r="N41" s="151" t="s">
        <v>53</v>
      </c>
      <c r="O41" s="40" t="s">
        <v>53</v>
      </c>
      <c r="P41" s="1" t="s">
        <v>53</v>
      </c>
      <c r="Q41" s="44" t="s">
        <v>53</v>
      </c>
      <c r="R41" s="1" t="s">
        <v>53</v>
      </c>
      <c r="S41" s="1" t="s">
        <v>53</v>
      </c>
      <c r="T41" s="30" t="s">
        <v>53</v>
      </c>
      <c r="U41" s="121" t="s">
        <v>53</v>
      </c>
      <c r="V41" s="116" t="b">
        <f t="shared" si="0"/>
        <v>1</v>
      </c>
      <c r="W41" s="117" t="str">
        <f t="shared" si="1"/>
        <v>title: "Belarus"</v>
      </c>
      <c r="X41" s="120" t="str">
        <f t="shared" si="2"/>
        <v/>
      </c>
      <c r="Y41" s="120" t="str">
        <f t="shared" si="3"/>
        <v/>
      </c>
      <c r="Z41" s="120" t="str">
        <f t="shared" si="4"/>
        <v/>
      </c>
      <c r="AA41" s="120" t="str">
        <f t="shared" si="5"/>
        <v/>
      </c>
      <c r="AB41" s="117" t="str">
        <f t="shared" si="6"/>
        <v/>
      </c>
      <c r="AC41" s="117" t="str">
        <f>IF(LEN(J41)&gt;1,concatll("#### Author's Note",J41,"-"&amp;B41),"")</f>
        <v/>
      </c>
      <c r="AD41" s="117" t="str">
        <f>IF(LEN(K41)&gt;1,concatll("#### Dedication",K41,"-"&amp;$B41),"")</f>
        <v/>
      </c>
      <c r="CA41" s="6" t="str">
        <f>IF(V41,concatll(concatl("---",W41,"---"),"*A collection of sites associated with this topic.*","#### Background",I41,AB41,AC41,AD41),"")</f>
        <v xml:space="preserve">---_x000D_
title: "Belarus"_x000D_
---_x000D_
_x000D_
_x000D_
*A collection of sites associated with this topic.*_x000D_
_x000D_
#### Background_x000D_
_x000D_
Catholic places of interest in Belarus_x000D_
_x000D_
</v>
      </c>
      <c r="CB41" s="6" t="str">
        <f t="shared" si="7"/>
        <v>tags\by\_index.md</v>
      </c>
    </row>
    <row r="42" spans="1:80" x14ac:dyDescent="0.25">
      <c r="A42" s="129" t="s">
        <v>786</v>
      </c>
      <c r="B42" s="130"/>
      <c r="C42" s="132" t="s">
        <v>239</v>
      </c>
      <c r="D42" s="130" t="s">
        <v>487</v>
      </c>
      <c r="E42" s="130" t="s">
        <v>487</v>
      </c>
      <c r="F42" s="33" t="s">
        <v>487</v>
      </c>
      <c r="G42" s="55" t="s">
        <v>239</v>
      </c>
      <c r="H42" s="61"/>
      <c r="I42" s="153" t="s">
        <v>1948</v>
      </c>
      <c r="L42" s="154" t="s">
        <v>53</v>
      </c>
      <c r="M42" s="154" t="s">
        <v>53</v>
      </c>
      <c r="N42" s="151" t="s">
        <v>53</v>
      </c>
      <c r="O42" s="40" t="s">
        <v>53</v>
      </c>
      <c r="P42" s="1" t="s">
        <v>53</v>
      </c>
      <c r="Q42" s="44" t="s">
        <v>53</v>
      </c>
      <c r="R42" s="1" t="s">
        <v>53</v>
      </c>
      <c r="S42" s="1" t="s">
        <v>53</v>
      </c>
      <c r="T42" s="30" t="s">
        <v>53</v>
      </c>
      <c r="U42" s="121" t="s">
        <v>53</v>
      </c>
      <c r="V42" s="116" t="b">
        <f t="shared" si="0"/>
        <v>1</v>
      </c>
      <c r="W42" s="117" t="str">
        <f t="shared" si="1"/>
        <v>title: "Belize"</v>
      </c>
      <c r="X42" s="120" t="str">
        <f t="shared" si="2"/>
        <v/>
      </c>
      <c r="Y42" s="120" t="str">
        <f t="shared" si="3"/>
        <v/>
      </c>
      <c r="Z42" s="120" t="str">
        <f t="shared" si="4"/>
        <v/>
      </c>
      <c r="AA42" s="120" t="str">
        <f t="shared" si="5"/>
        <v/>
      </c>
      <c r="AB42" s="117" t="str">
        <f t="shared" si="6"/>
        <v/>
      </c>
      <c r="AC42" s="117" t="str">
        <f>IF(LEN(J42)&gt;1,concatll("#### Author's Note",J42,"-"&amp;B42),"")</f>
        <v/>
      </c>
      <c r="AD42" s="117" t="str">
        <f>IF(LEN(K42)&gt;1,concatll("#### Dedication",K42,"-"&amp;$B42),"")</f>
        <v/>
      </c>
      <c r="CA42" s="6" t="str">
        <f>IF(V42,concatll(concatl("---",W42,"---"),"*A collection of sites associated with this topic.*","#### Background",I42,AB42,AC42,AD42),"")</f>
        <v xml:space="preserve">---_x000D_
title: "Belize"_x000D_
---_x000D_
_x000D_
_x000D_
*A collection of sites associated with this topic.*_x000D_
_x000D_
#### Background_x000D_
_x000D_
Catholic places of interest in Belize_x000D_
_x000D_
</v>
      </c>
      <c r="CB42" s="6" t="str">
        <f t="shared" si="7"/>
        <v>tags\bz\_index.md</v>
      </c>
    </row>
    <row r="43" spans="1:80" x14ac:dyDescent="0.25">
      <c r="A43" s="129" t="s">
        <v>786</v>
      </c>
      <c r="C43" s="1" t="s">
        <v>240</v>
      </c>
      <c r="D43" s="7" t="s">
        <v>488</v>
      </c>
      <c r="E43" s="7" t="s">
        <v>488</v>
      </c>
      <c r="F43" s="33" t="s">
        <v>488</v>
      </c>
      <c r="G43" s="7" t="s">
        <v>240</v>
      </c>
      <c r="H43" s="61"/>
      <c r="I43" s="153" t="s">
        <v>1949</v>
      </c>
      <c r="J43" s="130"/>
      <c r="K43" s="139"/>
      <c r="L43" s="154" t="s">
        <v>53</v>
      </c>
      <c r="M43" s="154" t="s">
        <v>53</v>
      </c>
      <c r="N43" s="151" t="s">
        <v>53</v>
      </c>
      <c r="O43" s="40" t="s">
        <v>53</v>
      </c>
      <c r="P43" s="1" t="s">
        <v>53</v>
      </c>
      <c r="Q43" s="44" t="s">
        <v>53</v>
      </c>
      <c r="R43" s="1" t="s">
        <v>53</v>
      </c>
      <c r="S43" s="1" t="s">
        <v>53</v>
      </c>
      <c r="T43" s="30" t="s">
        <v>53</v>
      </c>
      <c r="U43" s="121" t="s">
        <v>53</v>
      </c>
      <c r="V43" s="116" t="b">
        <f t="shared" si="0"/>
        <v>1</v>
      </c>
      <c r="W43" s="117" t="str">
        <f t="shared" si="1"/>
        <v>title: "Canada"</v>
      </c>
      <c r="X43" s="120" t="str">
        <f t="shared" si="2"/>
        <v/>
      </c>
      <c r="Y43" s="120" t="str">
        <f t="shared" si="3"/>
        <v/>
      </c>
      <c r="Z43" s="120" t="str">
        <f t="shared" si="4"/>
        <v/>
      </c>
      <c r="AA43" s="120" t="str">
        <f t="shared" si="5"/>
        <v/>
      </c>
      <c r="AB43" s="117" t="str">
        <f t="shared" si="6"/>
        <v/>
      </c>
      <c r="AC43" s="117" t="str">
        <f>IF(LEN(J43)&gt;1,concatll("#### Author's Note",J43,"-"&amp;B43),"")</f>
        <v/>
      </c>
      <c r="AD43" s="117" t="str">
        <f>IF(LEN(K43)&gt;1,concatll("#### Dedication",K43,"-"&amp;$B43),"")</f>
        <v/>
      </c>
      <c r="CA43" s="6" t="str">
        <f>IF(V43,concatll(concatl("---",W43,"---"),"*A collection of sites associated with this topic.*","#### Background",I43,AB43,AC43,AD43),"")</f>
        <v xml:space="preserve">---_x000D_
title: "Canada"_x000D_
---_x000D_
_x000D_
_x000D_
*A collection of sites associated with this topic.*_x000D_
_x000D_
#### Background_x000D_
_x000D_
Catholic places of interest in Canada_x000D_
_x000D_
</v>
      </c>
      <c r="CB43" s="6" t="str">
        <f t="shared" si="7"/>
        <v>tags\ca\_index.md</v>
      </c>
    </row>
    <row r="44" spans="1:80" x14ac:dyDescent="0.25">
      <c r="A44" s="129" t="s">
        <v>786</v>
      </c>
      <c r="C44" s="1" t="s">
        <v>241</v>
      </c>
      <c r="D44" s="7" t="s">
        <v>489</v>
      </c>
      <c r="E44" s="7" t="s">
        <v>489</v>
      </c>
      <c r="F44" s="33" t="s">
        <v>489</v>
      </c>
      <c r="G44" s="7" t="s">
        <v>241</v>
      </c>
      <c r="H44" s="61"/>
      <c r="I44" s="153" t="s">
        <v>2190</v>
      </c>
      <c r="J44" s="130"/>
      <c r="K44" s="139"/>
      <c r="L44" s="154" t="s">
        <v>53</v>
      </c>
      <c r="M44" s="154" t="s">
        <v>53</v>
      </c>
      <c r="N44" s="151" t="s">
        <v>53</v>
      </c>
      <c r="O44" s="40" t="s">
        <v>53</v>
      </c>
      <c r="P44" s="1" t="s">
        <v>53</v>
      </c>
      <c r="Q44" s="44" t="s">
        <v>53</v>
      </c>
      <c r="R44" s="1" t="s">
        <v>53</v>
      </c>
      <c r="S44" s="1" t="s">
        <v>53</v>
      </c>
      <c r="T44" s="30" t="s">
        <v>53</v>
      </c>
      <c r="U44" s="121" t="s">
        <v>53</v>
      </c>
      <c r="V44" s="116" t="b">
        <f t="shared" si="0"/>
        <v>1</v>
      </c>
      <c r="W44" s="117" t="str">
        <f t="shared" si="1"/>
        <v>title: "Cocos (Keeling) Islands"</v>
      </c>
      <c r="X44" s="120" t="str">
        <f t="shared" si="2"/>
        <v/>
      </c>
      <c r="Y44" s="120" t="str">
        <f t="shared" si="3"/>
        <v/>
      </c>
      <c r="Z44" s="120" t="str">
        <f t="shared" si="4"/>
        <v/>
      </c>
      <c r="AA44" s="120" t="str">
        <f t="shared" si="5"/>
        <v/>
      </c>
      <c r="AB44" s="117" t="str">
        <f t="shared" si="6"/>
        <v/>
      </c>
      <c r="AC44" s="117" t="str">
        <f>IF(LEN(J44)&gt;1,concatll("#### Author's Note",J44,"-"&amp;B44),"")</f>
        <v/>
      </c>
      <c r="AD44" s="117" t="str">
        <f>IF(LEN(K44)&gt;1,concatll("#### Dedication",K44,"-"&amp;$B44),"")</f>
        <v/>
      </c>
      <c r="CA44" s="6" t="str">
        <f>IF(V44,concatll(concatl("---",W44,"---"),"*A collection of sites associated with this topic.*","#### Background",I44,AB44,AC44,AD44),"")</f>
        <v xml:space="preserve">---_x000D_
title: "Cocos (Keeling) Islands"_x000D_
---_x000D_
_x000D_
_x000D_
*A collection of sites associated with this topic.*_x000D_
_x000D_
#### Background_x000D_
_x000D_
Catholic places of interest in the Cocos (Keeling) Islands_x000D_
_x000D_
</v>
      </c>
      <c r="CB44" s="6" t="str">
        <f t="shared" si="7"/>
        <v>tags\cc\_index.md</v>
      </c>
    </row>
    <row r="45" spans="1:80" x14ac:dyDescent="0.25">
      <c r="A45" s="129" t="s">
        <v>786</v>
      </c>
      <c r="B45" s="130"/>
      <c r="C45" s="132" t="s">
        <v>422</v>
      </c>
      <c r="D45" s="130" t="s">
        <v>490</v>
      </c>
      <c r="E45" s="130" t="s">
        <v>490</v>
      </c>
      <c r="F45" s="61" t="s">
        <v>490</v>
      </c>
      <c r="G45" s="55" t="s">
        <v>422</v>
      </c>
      <c r="H45" s="61"/>
      <c r="I45" s="153" t="s">
        <v>2191</v>
      </c>
      <c r="L45" s="154" t="s">
        <v>53</v>
      </c>
      <c r="M45" s="154" t="s">
        <v>53</v>
      </c>
      <c r="N45" s="151" t="s">
        <v>53</v>
      </c>
      <c r="O45" s="40" t="s">
        <v>53</v>
      </c>
      <c r="P45" s="1" t="s">
        <v>53</v>
      </c>
      <c r="Q45" s="44" t="s">
        <v>53</v>
      </c>
      <c r="R45" s="1" t="s">
        <v>53</v>
      </c>
      <c r="S45" s="1" t="s">
        <v>53</v>
      </c>
      <c r="T45" s="30" t="s">
        <v>53</v>
      </c>
      <c r="U45" s="121" t="s">
        <v>53</v>
      </c>
      <c r="V45" s="116" t="b">
        <f t="shared" si="0"/>
        <v>1</v>
      </c>
      <c r="W45" s="117" t="str">
        <f t="shared" si="1"/>
        <v>title: "Democratic Republic of the Congo"</v>
      </c>
      <c r="X45" s="120" t="str">
        <f t="shared" si="2"/>
        <v/>
      </c>
      <c r="Y45" s="120" t="str">
        <f t="shared" si="3"/>
        <v/>
      </c>
      <c r="Z45" s="120" t="str">
        <f t="shared" si="4"/>
        <v/>
      </c>
      <c r="AA45" s="120" t="str">
        <f t="shared" si="5"/>
        <v/>
      </c>
      <c r="AB45" s="117" t="str">
        <f t="shared" si="6"/>
        <v/>
      </c>
      <c r="AC45" s="117" t="str">
        <f>IF(LEN(J45)&gt;1,concatll("#### Author's Note",J45,"-"&amp;B45),"")</f>
        <v/>
      </c>
      <c r="AD45" s="117" t="str">
        <f>IF(LEN(K45)&gt;1,concatll("#### Dedication",K45,"-"&amp;$B45),"")</f>
        <v/>
      </c>
      <c r="CA45" s="6" t="str">
        <f>IF(V45,concatll(concatl("---",W45,"---"),"*A collection of sites associated with this topic.*","#### Background",I45,AB45,AC45,AD45),"")</f>
        <v xml:space="preserve">---_x000D_
title: "Democratic Republic of the Congo"_x000D_
---_x000D_
_x000D_
_x000D_
*A collection of sites associated with this topic.*_x000D_
_x000D_
#### Background_x000D_
_x000D_
Catholic places of interest in the Democratic Republic of the Congo_x000D_
_x000D_
</v>
      </c>
      <c r="CB45" s="6" t="str">
        <f t="shared" si="7"/>
        <v>tags\cd\_index.md</v>
      </c>
    </row>
    <row r="46" spans="1:80" x14ac:dyDescent="0.25">
      <c r="A46" s="129" t="s">
        <v>786</v>
      </c>
      <c r="B46" s="130"/>
      <c r="C46" s="132" t="s">
        <v>242</v>
      </c>
      <c r="D46" s="130" t="s">
        <v>491</v>
      </c>
      <c r="E46" s="130" t="s">
        <v>491</v>
      </c>
      <c r="F46" s="141" t="s">
        <v>491</v>
      </c>
      <c r="G46" s="15" t="s">
        <v>242</v>
      </c>
      <c r="H46" s="37"/>
      <c r="I46" s="153" t="s">
        <v>2192</v>
      </c>
      <c r="L46" s="154" t="s">
        <v>53</v>
      </c>
      <c r="M46" s="154" t="s">
        <v>53</v>
      </c>
      <c r="N46" s="151" t="s">
        <v>53</v>
      </c>
      <c r="O46" s="40" t="s">
        <v>53</v>
      </c>
      <c r="P46" s="1" t="s">
        <v>53</v>
      </c>
      <c r="Q46" s="44" t="s">
        <v>53</v>
      </c>
      <c r="R46" s="1" t="s">
        <v>53</v>
      </c>
      <c r="S46" s="1" t="s">
        <v>53</v>
      </c>
      <c r="T46" s="30" t="s">
        <v>53</v>
      </c>
      <c r="U46" s="121" t="s">
        <v>53</v>
      </c>
      <c r="V46" s="116" t="b">
        <f t="shared" si="0"/>
        <v>1</v>
      </c>
      <c r="W46" s="117" t="str">
        <f t="shared" si="1"/>
        <v>title: "Central African Republic"</v>
      </c>
      <c r="X46" s="120" t="str">
        <f t="shared" si="2"/>
        <v/>
      </c>
      <c r="Y46" s="120" t="str">
        <f t="shared" si="3"/>
        <v/>
      </c>
      <c r="Z46" s="120" t="str">
        <f t="shared" si="4"/>
        <v/>
      </c>
      <c r="AA46" s="120" t="str">
        <f t="shared" si="5"/>
        <v/>
      </c>
      <c r="AB46" s="117" t="str">
        <f t="shared" si="6"/>
        <v/>
      </c>
      <c r="AC46" s="117" t="str">
        <f>IF(LEN(J46)&gt;1,concatll("#### Author's Note",J46,"-"&amp;B46),"")</f>
        <v/>
      </c>
      <c r="AD46" s="117" t="str">
        <f>IF(LEN(K46)&gt;1,concatll("#### Dedication",K46,"-"&amp;$B46),"")</f>
        <v/>
      </c>
      <c r="CA46" s="6" t="str">
        <f>IF(V46,concatll(concatl("---",W46,"---"),"*A collection of sites associated with this topic.*","#### Background",I46,AB46,AC46,AD46),"")</f>
        <v xml:space="preserve">---_x000D_
title: "Central African Republic"_x000D_
---_x000D_
_x000D_
_x000D_
*A collection of sites associated with this topic.*_x000D_
_x000D_
#### Background_x000D_
_x000D_
Catholic places of interest in the Central African Republic_x000D_
_x000D_
</v>
      </c>
      <c r="CB46" s="6" t="str">
        <f t="shared" si="7"/>
        <v>tags\cf\_index.md</v>
      </c>
    </row>
    <row r="47" spans="1:80" x14ac:dyDescent="0.25">
      <c r="A47" s="129" t="s">
        <v>786</v>
      </c>
      <c r="B47" s="130"/>
      <c r="C47" s="132" t="s">
        <v>243</v>
      </c>
      <c r="D47" s="130" t="s">
        <v>492</v>
      </c>
      <c r="E47" s="130" t="s">
        <v>492</v>
      </c>
      <c r="F47" s="33" t="s">
        <v>492</v>
      </c>
      <c r="G47" s="7" t="s">
        <v>243</v>
      </c>
      <c r="I47" s="153" t="s">
        <v>1950</v>
      </c>
      <c r="J47" s="130"/>
      <c r="K47" s="139"/>
      <c r="L47" s="154" t="s">
        <v>53</v>
      </c>
      <c r="M47" s="154" t="s">
        <v>53</v>
      </c>
      <c r="N47" s="151" t="s">
        <v>53</v>
      </c>
      <c r="O47" s="40" t="s">
        <v>53</v>
      </c>
      <c r="P47" s="1" t="s">
        <v>53</v>
      </c>
      <c r="Q47" s="44" t="s">
        <v>53</v>
      </c>
      <c r="R47" s="1" t="s">
        <v>53</v>
      </c>
      <c r="S47" s="1" t="s">
        <v>53</v>
      </c>
      <c r="T47" s="30" t="s">
        <v>53</v>
      </c>
      <c r="U47" s="121" t="s">
        <v>53</v>
      </c>
      <c r="V47" s="116" t="b">
        <f t="shared" si="0"/>
        <v>1</v>
      </c>
      <c r="W47" s="117" t="str">
        <f t="shared" si="1"/>
        <v>title: "Congo"</v>
      </c>
      <c r="X47" s="120" t="str">
        <f t="shared" si="2"/>
        <v/>
      </c>
      <c r="Y47" s="120" t="str">
        <f t="shared" si="3"/>
        <v/>
      </c>
      <c r="Z47" s="120" t="str">
        <f t="shared" si="4"/>
        <v/>
      </c>
      <c r="AA47" s="120" t="str">
        <f t="shared" si="5"/>
        <v/>
      </c>
      <c r="AB47" s="117" t="str">
        <f t="shared" si="6"/>
        <v/>
      </c>
      <c r="AC47" s="117" t="str">
        <f>IF(LEN(J47)&gt;1,concatll("#### Author's Note",J47,"-"&amp;B47),"")</f>
        <v/>
      </c>
      <c r="AD47" s="117" t="str">
        <f>IF(LEN(K47)&gt;1,concatll("#### Dedication",K47,"-"&amp;$B47),"")</f>
        <v/>
      </c>
      <c r="CA47" s="6" t="str">
        <f>IF(V47,concatll(concatl("---",W47,"---"),"*A collection of sites associated with this topic.*","#### Background",I47,AB47,AC47,AD47),"")</f>
        <v xml:space="preserve">---_x000D_
title: "Congo"_x000D_
---_x000D_
_x000D_
_x000D_
*A collection of sites associated with this topic.*_x000D_
_x000D_
#### Background_x000D_
_x000D_
Catholic places of interest in Congo_x000D_
_x000D_
</v>
      </c>
      <c r="CB47" s="6" t="str">
        <f t="shared" si="7"/>
        <v>tags\cg\_index.md</v>
      </c>
    </row>
    <row r="48" spans="1:80" x14ac:dyDescent="0.25">
      <c r="A48" s="129" t="s">
        <v>786</v>
      </c>
      <c r="B48" s="10"/>
      <c r="C48" s="22" t="s">
        <v>244</v>
      </c>
      <c r="D48" s="10" t="s">
        <v>493</v>
      </c>
      <c r="E48" s="10" t="s">
        <v>493</v>
      </c>
      <c r="F48" s="38" t="s">
        <v>493</v>
      </c>
      <c r="G48" s="7" t="s">
        <v>244</v>
      </c>
      <c r="I48" s="153" t="s">
        <v>1951</v>
      </c>
      <c r="L48" s="154" t="s">
        <v>53</v>
      </c>
      <c r="M48" s="154" t="s">
        <v>53</v>
      </c>
      <c r="N48" s="151" t="s">
        <v>53</v>
      </c>
      <c r="O48" s="40" t="s">
        <v>53</v>
      </c>
      <c r="P48" s="1" t="s">
        <v>53</v>
      </c>
      <c r="Q48" s="44" t="s">
        <v>53</v>
      </c>
      <c r="R48" s="1" t="s">
        <v>53</v>
      </c>
      <c r="S48" s="1" t="s">
        <v>53</v>
      </c>
      <c r="T48" s="30" t="s">
        <v>53</v>
      </c>
      <c r="U48" s="121" t="s">
        <v>53</v>
      </c>
      <c r="V48" s="116" t="b">
        <f t="shared" si="0"/>
        <v>1</v>
      </c>
      <c r="W48" s="117" t="str">
        <f t="shared" si="1"/>
        <v>title: "Switzerland"</v>
      </c>
      <c r="X48" s="120" t="str">
        <f t="shared" si="2"/>
        <v/>
      </c>
      <c r="Y48" s="120" t="str">
        <f t="shared" si="3"/>
        <v/>
      </c>
      <c r="Z48" s="120" t="str">
        <f t="shared" si="4"/>
        <v/>
      </c>
      <c r="AA48" s="120" t="str">
        <f t="shared" si="5"/>
        <v/>
      </c>
      <c r="AB48" s="117" t="str">
        <f t="shared" si="6"/>
        <v/>
      </c>
      <c r="AC48" s="117" t="str">
        <f>IF(LEN(J48)&gt;1,concatll("#### Author's Note",J48,"-"&amp;B48),"")</f>
        <v/>
      </c>
      <c r="AD48" s="117" t="str">
        <f>IF(LEN(K48)&gt;1,concatll("#### Dedication",K48,"-"&amp;$B48),"")</f>
        <v/>
      </c>
      <c r="CA48" s="6" t="str">
        <f>IF(V48,concatll(concatl("---",W48,"---"),"*A collection of sites associated with this topic.*","#### Background",I48,AB48,AC48,AD48),"")</f>
        <v xml:space="preserve">---_x000D_
title: "Switzerland"_x000D_
---_x000D_
_x000D_
_x000D_
*A collection of sites associated with this topic.*_x000D_
_x000D_
#### Background_x000D_
_x000D_
Catholic places of interest in Switzerland_x000D_
_x000D_
</v>
      </c>
      <c r="CB48" s="6" t="str">
        <f t="shared" si="7"/>
        <v>tags\ch\_index.md</v>
      </c>
    </row>
    <row r="49" spans="1:80" x14ac:dyDescent="0.25">
      <c r="A49" s="129" t="s">
        <v>786</v>
      </c>
      <c r="C49" s="1" t="s">
        <v>442</v>
      </c>
      <c r="D49" s="7" t="s">
        <v>494</v>
      </c>
      <c r="E49" s="7" t="s">
        <v>494</v>
      </c>
      <c r="F49" s="33" t="s">
        <v>494</v>
      </c>
      <c r="G49" s="55" t="s">
        <v>442</v>
      </c>
      <c r="I49" s="153" t="s">
        <v>1952</v>
      </c>
      <c r="L49" s="154" t="s">
        <v>53</v>
      </c>
      <c r="M49" s="154" t="s">
        <v>53</v>
      </c>
      <c r="N49" s="151" t="s">
        <v>53</v>
      </c>
      <c r="O49" s="40" t="s">
        <v>53</v>
      </c>
      <c r="P49" s="1" t="s">
        <v>53</v>
      </c>
      <c r="Q49" s="44" t="s">
        <v>53</v>
      </c>
      <c r="R49" s="1" t="s">
        <v>53</v>
      </c>
      <c r="S49" s="1" t="s">
        <v>53</v>
      </c>
      <c r="T49" s="30" t="s">
        <v>53</v>
      </c>
      <c r="U49" s="121" t="s">
        <v>53</v>
      </c>
      <c r="V49" s="116" t="b">
        <f t="shared" si="0"/>
        <v>1</v>
      </c>
      <c r="W49" s="117" t="str">
        <f t="shared" si="1"/>
        <v>title: "Cote d'Ivoire"</v>
      </c>
      <c r="X49" s="120" t="str">
        <f t="shared" si="2"/>
        <v/>
      </c>
      <c r="Y49" s="120" t="str">
        <f t="shared" si="3"/>
        <v/>
      </c>
      <c r="Z49" s="120" t="str">
        <f t="shared" si="4"/>
        <v/>
      </c>
      <c r="AA49" s="120" t="str">
        <f t="shared" si="5"/>
        <v/>
      </c>
      <c r="AB49" s="117" t="str">
        <f t="shared" si="6"/>
        <v/>
      </c>
      <c r="AC49" s="117" t="str">
        <f>IF(LEN(J49)&gt;1,concatll("#### Author's Note",J49,"-"&amp;B49),"")</f>
        <v/>
      </c>
      <c r="AD49" s="117" t="str">
        <f>IF(LEN(K49)&gt;1,concatll("#### Dedication",K49,"-"&amp;$B49),"")</f>
        <v/>
      </c>
      <c r="CA49" s="6" t="str">
        <f>IF(V49,concatll(concatl("---",W49,"---"),"*A collection of sites associated with this topic.*","#### Background",I49,AB49,AC49,AD49),"")</f>
        <v xml:space="preserve">---_x000D_
title: "Cote d'Ivoire"_x000D_
---_x000D_
_x000D_
_x000D_
*A collection of sites associated with this topic.*_x000D_
_x000D_
#### Background_x000D_
_x000D_
Catholic places of interest in Cote d'Ivoire_x000D_
_x000D_
</v>
      </c>
      <c r="CB49" s="6" t="str">
        <f t="shared" si="7"/>
        <v>tags\ci\_index.md</v>
      </c>
    </row>
    <row r="50" spans="1:80" x14ac:dyDescent="0.25">
      <c r="A50" s="129" t="s">
        <v>786</v>
      </c>
      <c r="C50" s="1" t="s">
        <v>245</v>
      </c>
      <c r="D50" s="7" t="s">
        <v>495</v>
      </c>
      <c r="E50" s="7" t="s">
        <v>495</v>
      </c>
      <c r="F50" s="38" t="s">
        <v>495</v>
      </c>
      <c r="G50" s="7" t="s">
        <v>245</v>
      </c>
      <c r="I50" s="153" t="s">
        <v>2193</v>
      </c>
      <c r="L50" s="154" t="s">
        <v>53</v>
      </c>
      <c r="M50" s="154" t="s">
        <v>53</v>
      </c>
      <c r="N50" s="151" t="s">
        <v>53</v>
      </c>
      <c r="O50" s="40" t="s">
        <v>53</v>
      </c>
      <c r="P50" s="1" t="s">
        <v>53</v>
      </c>
      <c r="Q50" s="44" t="s">
        <v>53</v>
      </c>
      <c r="R50" s="1" t="s">
        <v>53</v>
      </c>
      <c r="S50" s="1" t="s">
        <v>53</v>
      </c>
      <c r="T50" s="30" t="s">
        <v>53</v>
      </c>
      <c r="U50" s="121" t="s">
        <v>53</v>
      </c>
      <c r="V50" s="116" t="b">
        <f t="shared" si="0"/>
        <v>1</v>
      </c>
      <c r="W50" s="117" t="str">
        <f t="shared" si="1"/>
        <v>title: "Cook Islands"</v>
      </c>
      <c r="X50" s="120" t="str">
        <f t="shared" si="2"/>
        <v/>
      </c>
      <c r="Y50" s="120" t="str">
        <f t="shared" si="3"/>
        <v/>
      </c>
      <c r="Z50" s="120" t="str">
        <f t="shared" si="4"/>
        <v/>
      </c>
      <c r="AA50" s="120" t="str">
        <f t="shared" si="5"/>
        <v/>
      </c>
      <c r="AB50" s="117" t="str">
        <f t="shared" si="6"/>
        <v/>
      </c>
      <c r="AC50" s="117" t="str">
        <f>IF(LEN(J50)&gt;1,concatll("#### Author's Note",J50,"-"&amp;B50),"")</f>
        <v/>
      </c>
      <c r="AD50" s="117" t="str">
        <f>IF(LEN(K50)&gt;1,concatll("#### Dedication",K50,"-"&amp;$B50),"")</f>
        <v/>
      </c>
      <c r="CA50" s="6" t="str">
        <f>IF(V50,concatll(concatl("---",W50,"---"),"*A collection of sites associated with this topic.*","#### Background",I50,AB50,AC50,AD50),"")</f>
        <v xml:space="preserve">---_x000D_
title: "Cook Islands"_x000D_
---_x000D_
_x000D_
_x000D_
*A collection of sites associated with this topic.*_x000D_
_x000D_
#### Background_x000D_
_x000D_
Catholic places of interest ithe n Cook Islands_x000D_
_x000D_
</v>
      </c>
      <c r="CB50" s="6" t="str">
        <f t="shared" si="7"/>
        <v>tags\ck\_index.md</v>
      </c>
    </row>
    <row r="51" spans="1:80" x14ac:dyDescent="0.25">
      <c r="A51" s="129" t="s">
        <v>786</v>
      </c>
      <c r="B51" s="130"/>
      <c r="C51" s="132" t="s">
        <v>246</v>
      </c>
      <c r="D51" s="130" t="s">
        <v>496</v>
      </c>
      <c r="E51" s="130" t="s">
        <v>496</v>
      </c>
      <c r="F51" s="61" t="s">
        <v>496</v>
      </c>
      <c r="G51" s="55" t="s">
        <v>246</v>
      </c>
      <c r="H51" s="61"/>
      <c r="I51" s="153" t="s">
        <v>1953</v>
      </c>
      <c r="J51" s="130"/>
      <c r="K51" s="139"/>
      <c r="L51" s="154" t="s">
        <v>53</v>
      </c>
      <c r="M51" s="154" t="s">
        <v>53</v>
      </c>
      <c r="N51" s="151" t="s">
        <v>53</v>
      </c>
      <c r="O51" s="40" t="s">
        <v>53</v>
      </c>
      <c r="P51" s="1" t="s">
        <v>53</v>
      </c>
      <c r="Q51" s="44" t="s">
        <v>53</v>
      </c>
      <c r="R51" s="1" t="s">
        <v>53</v>
      </c>
      <c r="S51" s="1" t="s">
        <v>53</v>
      </c>
      <c r="T51" s="30" t="s">
        <v>53</v>
      </c>
      <c r="U51" s="121" t="s">
        <v>53</v>
      </c>
      <c r="V51" s="116" t="b">
        <f t="shared" si="0"/>
        <v>1</v>
      </c>
      <c r="W51" s="117" t="str">
        <f t="shared" si="1"/>
        <v>title: "Chile"</v>
      </c>
      <c r="X51" s="120" t="str">
        <f t="shared" si="2"/>
        <v/>
      </c>
      <c r="Y51" s="120" t="str">
        <f t="shared" si="3"/>
        <v/>
      </c>
      <c r="Z51" s="120" t="str">
        <f t="shared" si="4"/>
        <v/>
      </c>
      <c r="AA51" s="120" t="str">
        <f t="shared" si="5"/>
        <v/>
      </c>
      <c r="AB51" s="117" t="str">
        <f t="shared" si="6"/>
        <v/>
      </c>
      <c r="AC51" s="117" t="str">
        <f>IF(LEN(J51)&gt;1,concatll("#### Author's Note",J51,"-"&amp;B51),"")</f>
        <v/>
      </c>
      <c r="AD51" s="117" t="str">
        <f>IF(LEN(K51)&gt;1,concatll("#### Dedication",K51,"-"&amp;$B51),"")</f>
        <v/>
      </c>
      <c r="CA51" s="6" t="str">
        <f>IF(V51,concatll(concatl("---",W51,"---"),"*A collection of sites associated with this topic.*","#### Background",I51,AB51,AC51,AD51),"")</f>
        <v xml:space="preserve">---_x000D_
title: "Chile"_x000D_
---_x000D_
_x000D_
_x000D_
*A collection of sites associated with this topic.*_x000D_
_x000D_
#### Background_x000D_
_x000D_
Catholic places of interest in Chile_x000D_
_x000D_
</v>
      </c>
      <c r="CB51" s="6" t="str">
        <f t="shared" si="7"/>
        <v>tags\cl\_index.md</v>
      </c>
    </row>
    <row r="52" spans="1:80" x14ac:dyDescent="0.25">
      <c r="A52" s="129" t="s">
        <v>786</v>
      </c>
      <c r="B52" s="130"/>
      <c r="C52" s="132" t="s">
        <v>247</v>
      </c>
      <c r="D52" s="130" t="s">
        <v>497</v>
      </c>
      <c r="E52" s="130" t="s">
        <v>497</v>
      </c>
      <c r="F52" s="61" t="s">
        <v>497</v>
      </c>
      <c r="G52" s="55" t="s">
        <v>247</v>
      </c>
      <c r="H52" s="61"/>
      <c r="I52" s="153" t="s">
        <v>1954</v>
      </c>
      <c r="J52" s="55"/>
      <c r="K52" s="61"/>
      <c r="L52" s="154" t="s">
        <v>53</v>
      </c>
      <c r="M52" s="154" t="s">
        <v>53</v>
      </c>
      <c r="N52" s="151" t="s">
        <v>53</v>
      </c>
      <c r="O52" s="40" t="s">
        <v>53</v>
      </c>
      <c r="P52" s="1" t="s">
        <v>53</v>
      </c>
      <c r="Q52" s="44" t="s">
        <v>53</v>
      </c>
      <c r="R52" s="1" t="s">
        <v>53</v>
      </c>
      <c r="S52" s="1" t="s">
        <v>53</v>
      </c>
      <c r="T52" s="30" t="s">
        <v>53</v>
      </c>
      <c r="U52" s="121" t="s">
        <v>53</v>
      </c>
      <c r="V52" s="116" t="b">
        <f t="shared" si="0"/>
        <v>1</v>
      </c>
      <c r="W52" s="117" t="str">
        <f t="shared" si="1"/>
        <v>title: "Cameroon"</v>
      </c>
      <c r="X52" s="120" t="str">
        <f t="shared" si="2"/>
        <v/>
      </c>
      <c r="Y52" s="120" t="str">
        <f t="shared" si="3"/>
        <v/>
      </c>
      <c r="Z52" s="120" t="str">
        <f t="shared" si="4"/>
        <v/>
      </c>
      <c r="AA52" s="120" t="str">
        <f t="shared" si="5"/>
        <v/>
      </c>
      <c r="AB52" s="117" t="str">
        <f t="shared" si="6"/>
        <v/>
      </c>
      <c r="AC52" s="117" t="str">
        <f>IF(LEN(J52)&gt;1,concatll("#### Author's Note",J52,"-"&amp;B52),"")</f>
        <v/>
      </c>
      <c r="AD52" s="117" t="str">
        <f>IF(LEN(K52)&gt;1,concatll("#### Dedication",K52,"-"&amp;$B52),"")</f>
        <v/>
      </c>
      <c r="CA52" s="6" t="str">
        <f>IF(V52,concatll(concatl("---",W52,"---"),"*A collection of sites associated with this topic.*","#### Background",I52,AB52,AC52,AD52),"")</f>
        <v xml:space="preserve">---_x000D_
title: "Cameroon"_x000D_
---_x000D_
_x000D_
_x000D_
*A collection of sites associated with this topic.*_x000D_
_x000D_
#### Background_x000D_
_x000D_
Catholic places of interest in Cameroon_x000D_
_x000D_
</v>
      </c>
      <c r="CB52" s="6" t="str">
        <f t="shared" si="7"/>
        <v>tags\cm\_index.md</v>
      </c>
    </row>
    <row r="53" spans="1:80" x14ac:dyDescent="0.25">
      <c r="A53" s="129" t="s">
        <v>786</v>
      </c>
      <c r="B53" s="130"/>
      <c r="C53" s="132" t="s">
        <v>248</v>
      </c>
      <c r="D53" s="130" t="s">
        <v>498</v>
      </c>
      <c r="E53" s="130" t="s">
        <v>498</v>
      </c>
      <c r="F53" s="33" t="s">
        <v>498</v>
      </c>
      <c r="G53" s="7" t="s">
        <v>248</v>
      </c>
      <c r="H53" s="61"/>
      <c r="I53" s="153" t="s">
        <v>1955</v>
      </c>
      <c r="J53" s="130"/>
      <c r="K53" s="139"/>
      <c r="L53" s="154" t="s">
        <v>53</v>
      </c>
      <c r="M53" s="154" t="s">
        <v>53</v>
      </c>
      <c r="N53" s="151" t="s">
        <v>53</v>
      </c>
      <c r="O53" s="40" t="s">
        <v>53</v>
      </c>
      <c r="P53" s="1" t="s">
        <v>53</v>
      </c>
      <c r="Q53" s="44" t="s">
        <v>53</v>
      </c>
      <c r="R53" s="1" t="s">
        <v>53</v>
      </c>
      <c r="S53" s="1" t="s">
        <v>53</v>
      </c>
      <c r="T53" s="30" t="s">
        <v>53</v>
      </c>
      <c r="U53" s="121" t="s">
        <v>53</v>
      </c>
      <c r="V53" s="116" t="b">
        <f t="shared" si="0"/>
        <v>1</v>
      </c>
      <c r="W53" s="117" t="str">
        <f t="shared" si="1"/>
        <v>title: "China"</v>
      </c>
      <c r="X53" s="120" t="str">
        <f t="shared" si="2"/>
        <v/>
      </c>
      <c r="Y53" s="120" t="str">
        <f t="shared" si="3"/>
        <v/>
      </c>
      <c r="Z53" s="120" t="str">
        <f t="shared" si="4"/>
        <v/>
      </c>
      <c r="AA53" s="120" t="str">
        <f t="shared" si="5"/>
        <v/>
      </c>
      <c r="AB53" s="117" t="str">
        <f t="shared" si="6"/>
        <v/>
      </c>
      <c r="AC53" s="117" t="str">
        <f>IF(LEN(J53)&gt;1,concatll("#### Author's Note",J53,"-"&amp;B53),"")</f>
        <v/>
      </c>
      <c r="AD53" s="117" t="str">
        <f>IF(LEN(K53)&gt;1,concatll("#### Dedication",K53,"-"&amp;$B53),"")</f>
        <v/>
      </c>
      <c r="CA53" s="6" t="str">
        <f>IF(V53,concatll(concatl("---",W53,"---"),"*A collection of sites associated with this topic.*","#### Background",I53,AB53,AC53,AD53),"")</f>
        <v xml:space="preserve">---_x000D_
title: "China"_x000D_
---_x000D_
_x000D_
_x000D_
*A collection of sites associated with this topic.*_x000D_
_x000D_
#### Background_x000D_
_x000D_
Catholic places of interest in China_x000D_
_x000D_
</v>
      </c>
      <c r="CB53" s="6" t="str">
        <f t="shared" si="7"/>
        <v>tags\cn\_index.md</v>
      </c>
    </row>
    <row r="54" spans="1:80" x14ac:dyDescent="0.25">
      <c r="A54" s="129" t="s">
        <v>786</v>
      </c>
      <c r="B54" s="153"/>
      <c r="C54" s="155" t="s">
        <v>249</v>
      </c>
      <c r="D54" s="153" t="s">
        <v>499</v>
      </c>
      <c r="E54" s="153" t="s">
        <v>499</v>
      </c>
      <c r="F54" s="33" t="s">
        <v>499</v>
      </c>
      <c r="G54" s="153" t="s">
        <v>249</v>
      </c>
      <c r="H54" s="152"/>
      <c r="I54" s="153" t="s">
        <v>1956</v>
      </c>
      <c r="L54" s="154" t="s">
        <v>53</v>
      </c>
      <c r="M54" s="154" t="s">
        <v>53</v>
      </c>
      <c r="N54" s="151" t="s">
        <v>53</v>
      </c>
      <c r="O54" s="40" t="s">
        <v>53</v>
      </c>
      <c r="P54" s="1" t="s">
        <v>53</v>
      </c>
      <c r="Q54" s="44" t="s">
        <v>53</v>
      </c>
      <c r="R54" s="1" t="s">
        <v>53</v>
      </c>
      <c r="S54" s="1" t="s">
        <v>53</v>
      </c>
      <c r="T54" s="30" t="s">
        <v>53</v>
      </c>
      <c r="U54" s="121" t="s">
        <v>53</v>
      </c>
      <c r="V54" s="116" t="b">
        <f t="shared" si="0"/>
        <v>1</v>
      </c>
      <c r="W54" s="117" t="str">
        <f t="shared" si="1"/>
        <v>title: "Colombia"</v>
      </c>
      <c r="X54" s="120" t="str">
        <f t="shared" si="2"/>
        <v/>
      </c>
      <c r="Y54" s="120" t="str">
        <f t="shared" si="3"/>
        <v/>
      </c>
      <c r="Z54" s="120" t="str">
        <f t="shared" si="4"/>
        <v/>
      </c>
      <c r="AA54" s="120" t="str">
        <f t="shared" si="5"/>
        <v/>
      </c>
      <c r="AB54" s="117" t="str">
        <f t="shared" si="6"/>
        <v/>
      </c>
      <c r="AC54" s="117" t="str">
        <f>IF(LEN(J54)&gt;1,concatll("#### Author's Note",J54,"-"&amp;B54),"")</f>
        <v/>
      </c>
      <c r="AD54" s="117" t="str">
        <f>IF(LEN(K54)&gt;1,concatll("#### Dedication",K54,"-"&amp;$B54),"")</f>
        <v/>
      </c>
      <c r="CA54" s="6" t="str">
        <f>IF(V54,concatll(concatl("---",W54,"---"),"*A collection of sites associated with this topic.*","#### Background",I54,AB54,AC54,AD54),"")</f>
        <v xml:space="preserve">---_x000D_
title: "Colombia"_x000D_
---_x000D_
_x000D_
_x000D_
*A collection of sites associated with this topic.*_x000D_
_x000D_
#### Background_x000D_
_x000D_
Catholic places of interest in Colombia_x000D_
_x000D_
</v>
      </c>
      <c r="CB54" s="6" t="str">
        <f t="shared" si="7"/>
        <v>tags\co\_index.md</v>
      </c>
    </row>
    <row r="55" spans="1:80" x14ac:dyDescent="0.25">
      <c r="A55" s="129" t="s">
        <v>786</v>
      </c>
      <c r="C55" s="1" t="s">
        <v>250</v>
      </c>
      <c r="D55" s="7" t="s">
        <v>500</v>
      </c>
      <c r="E55" s="7" t="s">
        <v>500</v>
      </c>
      <c r="F55" s="73" t="s">
        <v>500</v>
      </c>
      <c r="G55" s="71" t="s">
        <v>250</v>
      </c>
      <c r="I55" s="153" t="s">
        <v>1957</v>
      </c>
      <c r="L55" s="154" t="s">
        <v>53</v>
      </c>
      <c r="M55" s="154" t="s">
        <v>53</v>
      </c>
      <c r="N55" s="151" t="s">
        <v>53</v>
      </c>
      <c r="O55" s="40" t="s">
        <v>53</v>
      </c>
      <c r="P55" s="1" t="s">
        <v>53</v>
      </c>
      <c r="Q55" s="44" t="s">
        <v>53</v>
      </c>
      <c r="R55" s="1" t="s">
        <v>53</v>
      </c>
      <c r="S55" s="1" t="s">
        <v>53</v>
      </c>
      <c r="T55" s="30" t="s">
        <v>53</v>
      </c>
      <c r="U55" s="121" t="s">
        <v>53</v>
      </c>
      <c r="V55" s="116" t="b">
        <f t="shared" si="0"/>
        <v>1</v>
      </c>
      <c r="W55" s="117" t="str">
        <f t="shared" si="1"/>
        <v>title: "Costa Rica"</v>
      </c>
      <c r="X55" s="120" t="str">
        <f t="shared" si="2"/>
        <v/>
      </c>
      <c r="Y55" s="120" t="str">
        <f t="shared" si="3"/>
        <v/>
      </c>
      <c r="Z55" s="120" t="str">
        <f t="shared" si="4"/>
        <v/>
      </c>
      <c r="AA55" s="120" t="str">
        <f t="shared" si="5"/>
        <v/>
      </c>
      <c r="AB55" s="117" t="str">
        <f t="shared" si="6"/>
        <v/>
      </c>
      <c r="AC55" s="117" t="str">
        <f>IF(LEN(J55)&gt;1,concatll("#### Author's Note",J55,"-"&amp;B55),"")</f>
        <v/>
      </c>
      <c r="AD55" s="117" t="str">
        <f>IF(LEN(K55)&gt;1,concatll("#### Dedication",K55,"-"&amp;$B55),"")</f>
        <v/>
      </c>
      <c r="CA55" s="6" t="str">
        <f>IF(V55,concatll(concatl("---",W55,"---"),"*A collection of sites associated with this topic.*","#### Background",I55,AB55,AC55,AD55),"")</f>
        <v xml:space="preserve">---_x000D_
title: "Costa Rica"_x000D_
---_x000D_
_x000D_
_x000D_
*A collection of sites associated with this topic.*_x000D_
_x000D_
#### Background_x000D_
_x000D_
Catholic places of interest in Costa Rica_x000D_
_x000D_
</v>
      </c>
      <c r="CB55" s="6" t="str">
        <f t="shared" si="7"/>
        <v>tags\cr\_index.md</v>
      </c>
    </row>
    <row r="56" spans="1:80" x14ac:dyDescent="0.25">
      <c r="A56" s="129" t="s">
        <v>786</v>
      </c>
      <c r="C56" s="1" t="s">
        <v>251</v>
      </c>
      <c r="D56" s="7" t="s">
        <v>501</v>
      </c>
      <c r="E56" s="7" t="s">
        <v>501</v>
      </c>
      <c r="F56" s="73" t="s">
        <v>501</v>
      </c>
      <c r="G56" s="71" t="s">
        <v>251</v>
      </c>
      <c r="H56" s="73"/>
      <c r="I56" s="153" t="s">
        <v>1958</v>
      </c>
      <c r="L56" s="154" t="s">
        <v>53</v>
      </c>
      <c r="M56" s="154" t="s">
        <v>53</v>
      </c>
      <c r="N56" s="151" t="s">
        <v>53</v>
      </c>
      <c r="O56" s="40" t="s">
        <v>53</v>
      </c>
      <c r="P56" s="1" t="s">
        <v>53</v>
      </c>
      <c r="Q56" s="44" t="s">
        <v>53</v>
      </c>
      <c r="R56" s="1" t="s">
        <v>53</v>
      </c>
      <c r="S56" s="1" t="s">
        <v>53</v>
      </c>
      <c r="T56" s="30" t="s">
        <v>53</v>
      </c>
      <c r="U56" s="121" t="s">
        <v>53</v>
      </c>
      <c r="V56" s="116" t="b">
        <f t="shared" si="0"/>
        <v>1</v>
      </c>
      <c r="W56" s="117" t="str">
        <f t="shared" si="1"/>
        <v>title: "Cuba"</v>
      </c>
      <c r="X56" s="120" t="str">
        <f t="shared" si="2"/>
        <v/>
      </c>
      <c r="Y56" s="120" t="str">
        <f t="shared" si="3"/>
        <v/>
      </c>
      <c r="Z56" s="120" t="str">
        <f t="shared" si="4"/>
        <v/>
      </c>
      <c r="AA56" s="120" t="str">
        <f t="shared" si="5"/>
        <v/>
      </c>
      <c r="AB56" s="117" t="str">
        <f t="shared" si="6"/>
        <v/>
      </c>
      <c r="AC56" s="117" t="str">
        <f>IF(LEN(J56)&gt;1,concatll("#### Author's Note",J56,"-"&amp;B56),"")</f>
        <v/>
      </c>
      <c r="AD56" s="117" t="str">
        <f>IF(LEN(K56)&gt;1,concatll("#### Dedication",K56,"-"&amp;$B56),"")</f>
        <v/>
      </c>
      <c r="CA56" s="6" t="str">
        <f>IF(V56,concatll(concatl("---",W56,"---"),"*A collection of sites associated with this topic.*","#### Background",I56,AB56,AC56,AD56),"")</f>
        <v xml:space="preserve">---_x000D_
title: "Cuba"_x000D_
---_x000D_
_x000D_
_x000D_
*A collection of sites associated with this topic.*_x000D_
_x000D_
#### Background_x000D_
_x000D_
Catholic places of interest in Cuba_x000D_
_x000D_
</v>
      </c>
      <c r="CB56" s="6" t="str">
        <f t="shared" si="7"/>
        <v>tags\cu\_index.md</v>
      </c>
    </row>
    <row r="57" spans="1:80" x14ac:dyDescent="0.25">
      <c r="A57" s="129" t="s">
        <v>786</v>
      </c>
      <c r="C57" s="1" t="s">
        <v>252</v>
      </c>
      <c r="D57" s="7" t="s">
        <v>502</v>
      </c>
      <c r="E57" s="7" t="s">
        <v>502</v>
      </c>
      <c r="F57" s="73" t="s">
        <v>502</v>
      </c>
      <c r="G57" s="71" t="s">
        <v>252</v>
      </c>
      <c r="H57" s="139"/>
      <c r="I57" s="153" t="s">
        <v>1959</v>
      </c>
      <c r="L57" s="154" t="s">
        <v>53</v>
      </c>
      <c r="M57" s="154" t="s">
        <v>53</v>
      </c>
      <c r="N57" s="151" t="s">
        <v>53</v>
      </c>
      <c r="O57" s="40" t="s">
        <v>53</v>
      </c>
      <c r="P57" s="1" t="s">
        <v>53</v>
      </c>
      <c r="Q57" s="44" t="s">
        <v>53</v>
      </c>
      <c r="R57" s="1" t="s">
        <v>53</v>
      </c>
      <c r="S57" s="1" t="s">
        <v>53</v>
      </c>
      <c r="T57" s="30" t="s">
        <v>53</v>
      </c>
      <c r="U57" s="121" t="s">
        <v>53</v>
      </c>
      <c r="V57" s="116" t="b">
        <f t="shared" si="0"/>
        <v>1</v>
      </c>
      <c r="W57" s="117" t="str">
        <f t="shared" si="1"/>
        <v>title: "Cabo Verde"</v>
      </c>
      <c r="X57" s="120" t="str">
        <f t="shared" si="2"/>
        <v/>
      </c>
      <c r="Y57" s="120" t="str">
        <f t="shared" si="3"/>
        <v/>
      </c>
      <c r="Z57" s="120" t="str">
        <f t="shared" si="4"/>
        <v/>
      </c>
      <c r="AA57" s="120" t="str">
        <f t="shared" si="5"/>
        <v/>
      </c>
      <c r="AB57" s="117" t="str">
        <f t="shared" si="6"/>
        <v/>
      </c>
      <c r="AC57" s="117" t="str">
        <f>IF(LEN(J57)&gt;1,concatll("#### Author's Note",J57,"-"&amp;B57),"")</f>
        <v/>
      </c>
      <c r="AD57" s="117" t="str">
        <f>IF(LEN(K57)&gt;1,concatll("#### Dedication",K57,"-"&amp;$B57),"")</f>
        <v/>
      </c>
      <c r="CA57" s="6" t="str">
        <f>IF(V57,concatll(concatl("---",W57,"---"),"*A collection of sites associated with this topic.*","#### Background",I57,AB57,AC57,AD57),"")</f>
        <v xml:space="preserve">---_x000D_
title: "Cabo Verde"_x000D_
---_x000D_
_x000D_
_x000D_
*A collection of sites associated with this topic.*_x000D_
_x000D_
#### Background_x000D_
_x000D_
Catholic places of interest in Cabo Verde_x000D_
_x000D_
</v>
      </c>
      <c r="CB57" s="6" t="str">
        <f t="shared" si="7"/>
        <v>tags\cv\_index.md</v>
      </c>
    </row>
    <row r="58" spans="1:80" x14ac:dyDescent="0.25">
      <c r="A58" s="129" t="s">
        <v>786</v>
      </c>
      <c r="B58" s="130"/>
      <c r="C58" s="132" t="s">
        <v>1859</v>
      </c>
      <c r="D58" s="130" t="s">
        <v>503</v>
      </c>
      <c r="E58" s="130" t="s">
        <v>503</v>
      </c>
      <c r="F58" s="152" t="s">
        <v>503</v>
      </c>
      <c r="G58" s="153" t="s">
        <v>1859</v>
      </c>
      <c r="H58" s="73"/>
      <c r="I58" s="153" t="s">
        <v>2214</v>
      </c>
      <c r="L58" s="154" t="s">
        <v>53</v>
      </c>
      <c r="M58" s="154" t="s">
        <v>53</v>
      </c>
      <c r="N58" s="151" t="s">
        <v>53</v>
      </c>
      <c r="O58" s="40" t="s">
        <v>53</v>
      </c>
      <c r="P58" s="1" t="s">
        <v>53</v>
      </c>
      <c r="Q58" s="44" t="s">
        <v>53</v>
      </c>
      <c r="R58" s="1" t="s">
        <v>53</v>
      </c>
      <c r="S58" s="1" t="s">
        <v>53</v>
      </c>
      <c r="T58" s="30" t="s">
        <v>53</v>
      </c>
      <c r="U58" s="121" t="s">
        <v>53</v>
      </c>
      <c r="V58" s="116" t="b">
        <f t="shared" si="0"/>
        <v>1</v>
      </c>
      <c r="W58" s="117" t="str">
        <f t="shared" si="1"/>
        <v>title: "Curacao"</v>
      </c>
      <c r="X58" s="120" t="str">
        <f t="shared" si="2"/>
        <v/>
      </c>
      <c r="Y58" s="120" t="str">
        <f t="shared" si="3"/>
        <v/>
      </c>
      <c r="Z58" s="120" t="str">
        <f t="shared" si="4"/>
        <v/>
      </c>
      <c r="AA58" s="120" t="str">
        <f t="shared" si="5"/>
        <v/>
      </c>
      <c r="AB58" s="117" t="str">
        <f t="shared" si="6"/>
        <v/>
      </c>
      <c r="AC58" s="117" t="str">
        <f>IF(LEN(J58)&gt;1,concatll("#### Author's Note",J58,"-"&amp;B58),"")</f>
        <v/>
      </c>
      <c r="AD58" s="117" t="str">
        <f>IF(LEN(K58)&gt;1,concatll("#### Dedication",K58,"-"&amp;$B58),"")</f>
        <v/>
      </c>
      <c r="CA58" s="6" t="str">
        <f>IF(V58,concatll(concatl("---",W58,"---"),"*A collection of sites associated with this topic.*","#### Background",I58,AB58,AC58,AD58),"")</f>
        <v xml:space="preserve">---_x000D_
title: "Curacao"_x000D_
---_x000D_
_x000D_
_x000D_
*A collection of sites associated with this topic.*_x000D_
_x000D_
#### Background_x000D_
_x000D_
Catholic places of interest in Curacao_x000D_
_x000D_
</v>
      </c>
      <c r="CB58" s="6" t="str">
        <f t="shared" si="7"/>
        <v>tags\cw\_index.md</v>
      </c>
    </row>
    <row r="59" spans="1:80" x14ac:dyDescent="0.25">
      <c r="A59" s="129" t="s">
        <v>786</v>
      </c>
      <c r="C59" s="1" t="s">
        <v>253</v>
      </c>
      <c r="D59" s="7" t="s">
        <v>504</v>
      </c>
      <c r="E59" s="7" t="s">
        <v>504</v>
      </c>
      <c r="F59" s="33" t="s">
        <v>504</v>
      </c>
      <c r="G59" s="7" t="s">
        <v>253</v>
      </c>
      <c r="H59" s="61"/>
      <c r="I59" s="153" t="s">
        <v>1960</v>
      </c>
      <c r="L59" s="154" t="s">
        <v>53</v>
      </c>
      <c r="M59" s="154" t="s">
        <v>53</v>
      </c>
      <c r="N59" s="151" t="s">
        <v>53</v>
      </c>
      <c r="O59" s="40" t="s">
        <v>53</v>
      </c>
      <c r="P59" s="1" t="s">
        <v>53</v>
      </c>
      <c r="Q59" s="44" t="s">
        <v>53</v>
      </c>
      <c r="R59" s="1" t="s">
        <v>53</v>
      </c>
      <c r="S59" s="1" t="s">
        <v>53</v>
      </c>
      <c r="T59" s="30" t="s">
        <v>53</v>
      </c>
      <c r="U59" s="121" t="s">
        <v>53</v>
      </c>
      <c r="V59" s="116" t="b">
        <f t="shared" si="0"/>
        <v>1</v>
      </c>
      <c r="W59" s="117" t="str">
        <f t="shared" si="1"/>
        <v>title: "Christmas Island"</v>
      </c>
      <c r="X59" s="120" t="str">
        <f t="shared" si="2"/>
        <v/>
      </c>
      <c r="Y59" s="120" t="str">
        <f t="shared" si="3"/>
        <v/>
      </c>
      <c r="Z59" s="120" t="str">
        <f t="shared" si="4"/>
        <v/>
      </c>
      <c r="AA59" s="120" t="str">
        <f t="shared" si="5"/>
        <v/>
      </c>
      <c r="AB59" s="117" t="str">
        <f t="shared" si="6"/>
        <v/>
      </c>
      <c r="AC59" s="117" t="str">
        <f>IF(LEN(J59)&gt;1,concatll("#### Author's Note",J59,"-"&amp;B59),"")</f>
        <v/>
      </c>
      <c r="AD59" s="117" t="str">
        <f>IF(LEN(K59)&gt;1,concatll("#### Dedication",K59,"-"&amp;$B59),"")</f>
        <v/>
      </c>
      <c r="CA59" s="6" t="str">
        <f>IF(V59,concatll(concatl("---",W59,"---"),"*A collection of sites associated with this topic.*","#### Background",I59,AB59,AC59,AD59),"")</f>
        <v xml:space="preserve">---_x000D_
title: "Christmas Island"_x000D_
---_x000D_
_x000D_
_x000D_
*A collection of sites associated with this topic.*_x000D_
_x000D_
#### Background_x000D_
_x000D_
Catholic places of interest in Christmas Island_x000D_
_x000D_
</v>
      </c>
      <c r="CB59" s="6" t="str">
        <f t="shared" si="7"/>
        <v>tags\cx\_index.md</v>
      </c>
    </row>
    <row r="60" spans="1:80" x14ac:dyDescent="0.25">
      <c r="A60" s="129" t="s">
        <v>786</v>
      </c>
      <c r="C60" s="1" t="s">
        <v>254</v>
      </c>
      <c r="D60" s="7" t="s">
        <v>505</v>
      </c>
      <c r="E60" s="7" t="s">
        <v>505</v>
      </c>
      <c r="F60" s="33" t="s">
        <v>505</v>
      </c>
      <c r="G60" s="55" t="s">
        <v>254</v>
      </c>
      <c r="H60" s="61"/>
      <c r="I60" s="153" t="s">
        <v>1961</v>
      </c>
      <c r="J60" s="130"/>
      <c r="K60" s="139"/>
      <c r="L60" s="154" t="s">
        <v>53</v>
      </c>
      <c r="M60" s="154" t="s">
        <v>53</v>
      </c>
      <c r="N60" s="151" t="s">
        <v>53</v>
      </c>
      <c r="O60" s="40" t="s">
        <v>53</v>
      </c>
      <c r="P60" s="1" t="s">
        <v>53</v>
      </c>
      <c r="Q60" s="44" t="s">
        <v>53</v>
      </c>
      <c r="R60" s="1" t="s">
        <v>53</v>
      </c>
      <c r="S60" s="1" t="s">
        <v>53</v>
      </c>
      <c r="T60" s="30" t="s">
        <v>53</v>
      </c>
      <c r="U60" s="121" t="s">
        <v>53</v>
      </c>
      <c r="V60" s="116" t="b">
        <f t="shared" si="0"/>
        <v>1</v>
      </c>
      <c r="W60" s="117" t="str">
        <f t="shared" si="1"/>
        <v>title: "Cyprus"</v>
      </c>
      <c r="X60" s="120" t="str">
        <f t="shared" si="2"/>
        <v/>
      </c>
      <c r="Y60" s="120" t="str">
        <f t="shared" si="3"/>
        <v/>
      </c>
      <c r="Z60" s="120" t="str">
        <f t="shared" si="4"/>
        <v/>
      </c>
      <c r="AA60" s="120" t="str">
        <f t="shared" si="5"/>
        <v/>
      </c>
      <c r="AB60" s="117" t="str">
        <f t="shared" si="6"/>
        <v/>
      </c>
      <c r="AC60" s="117" t="str">
        <f>IF(LEN(J60)&gt;1,concatll("#### Author's Note",J60,"-"&amp;B60),"")</f>
        <v/>
      </c>
      <c r="AD60" s="117" t="str">
        <f>IF(LEN(K60)&gt;1,concatll("#### Dedication",K60,"-"&amp;$B60),"")</f>
        <v/>
      </c>
      <c r="CA60" s="6" t="str">
        <f>IF(V60,concatll(concatl("---",W60,"---"),"*A collection of sites associated with this topic.*","#### Background",I60,AB60,AC60,AD60),"")</f>
        <v xml:space="preserve">---_x000D_
title: "Cyprus"_x000D_
---_x000D_
_x000D_
_x000D_
*A collection of sites associated with this topic.*_x000D_
_x000D_
#### Background_x000D_
_x000D_
Catholic places of interest in Cyprus_x000D_
_x000D_
</v>
      </c>
      <c r="CB60" s="6" t="str">
        <f t="shared" si="7"/>
        <v>tags\cy\_index.md</v>
      </c>
    </row>
    <row r="61" spans="1:80" x14ac:dyDescent="0.25">
      <c r="A61" s="129" t="s">
        <v>786</v>
      </c>
      <c r="C61" s="1" t="s">
        <v>255</v>
      </c>
      <c r="D61" s="7" t="s">
        <v>506</v>
      </c>
      <c r="E61" s="7" t="s">
        <v>506</v>
      </c>
      <c r="F61" s="33" t="s">
        <v>506</v>
      </c>
      <c r="G61" s="7" t="s">
        <v>255</v>
      </c>
      <c r="I61" s="153" t="s">
        <v>1962</v>
      </c>
      <c r="L61" s="154" t="s">
        <v>53</v>
      </c>
      <c r="M61" s="154" t="s">
        <v>53</v>
      </c>
      <c r="N61" s="151" t="s">
        <v>53</v>
      </c>
      <c r="O61" s="40" t="s">
        <v>53</v>
      </c>
      <c r="P61" s="1" t="s">
        <v>53</v>
      </c>
      <c r="Q61" s="44" t="s">
        <v>53</v>
      </c>
      <c r="R61" s="1" t="s">
        <v>53</v>
      </c>
      <c r="S61" s="1" t="s">
        <v>53</v>
      </c>
      <c r="T61" s="30" t="s">
        <v>53</v>
      </c>
      <c r="U61" s="121" t="s">
        <v>53</v>
      </c>
      <c r="V61" s="116" t="b">
        <f t="shared" si="0"/>
        <v>1</v>
      </c>
      <c r="W61" s="117" t="str">
        <f t="shared" si="1"/>
        <v>title: "Czechia"</v>
      </c>
      <c r="X61" s="120" t="str">
        <f t="shared" si="2"/>
        <v/>
      </c>
      <c r="Y61" s="120" t="str">
        <f t="shared" si="3"/>
        <v/>
      </c>
      <c r="Z61" s="120" t="str">
        <f t="shared" si="4"/>
        <v/>
      </c>
      <c r="AA61" s="120" t="str">
        <f t="shared" si="5"/>
        <v/>
      </c>
      <c r="AB61" s="117" t="str">
        <f t="shared" si="6"/>
        <v/>
      </c>
      <c r="AC61" s="117" t="str">
        <f>IF(LEN(J61)&gt;1,concatll("#### Author's Note",J61,"-"&amp;B61),"")</f>
        <v/>
      </c>
      <c r="AD61" s="117" t="str">
        <f>IF(LEN(K61)&gt;1,concatll("#### Dedication",K61,"-"&amp;$B61),"")</f>
        <v/>
      </c>
      <c r="CA61" s="6" t="str">
        <f>IF(V61,concatll(concatl("---",W61,"---"),"*A collection of sites associated with this topic.*","#### Background",I61,AB61,AC61,AD61),"")</f>
        <v xml:space="preserve">---_x000D_
title: "Czechia"_x000D_
---_x000D_
_x000D_
_x000D_
*A collection of sites associated with this topic.*_x000D_
_x000D_
#### Background_x000D_
_x000D_
Catholic places of interest in Czechia_x000D_
_x000D_
</v>
      </c>
      <c r="CB61" s="6" t="str">
        <f t="shared" si="7"/>
        <v>tags\cz\_index.md</v>
      </c>
    </row>
    <row r="62" spans="1:80" x14ac:dyDescent="0.25">
      <c r="A62" s="129" t="s">
        <v>786</v>
      </c>
      <c r="C62" s="1" t="s">
        <v>256</v>
      </c>
      <c r="D62" s="7" t="s">
        <v>507</v>
      </c>
      <c r="E62" s="7" t="s">
        <v>507</v>
      </c>
      <c r="F62" s="33" t="s">
        <v>507</v>
      </c>
      <c r="G62" s="7" t="s">
        <v>256</v>
      </c>
      <c r="I62" s="153" t="s">
        <v>1963</v>
      </c>
      <c r="J62" s="130"/>
      <c r="K62" s="139"/>
      <c r="L62" s="154" t="s">
        <v>53</v>
      </c>
      <c r="M62" s="154" t="s">
        <v>53</v>
      </c>
      <c r="N62" s="151" t="s">
        <v>53</v>
      </c>
      <c r="O62" s="40" t="s">
        <v>53</v>
      </c>
      <c r="P62" s="1" t="s">
        <v>53</v>
      </c>
      <c r="Q62" s="44" t="s">
        <v>53</v>
      </c>
      <c r="R62" s="1" t="s">
        <v>53</v>
      </c>
      <c r="S62" s="1" t="s">
        <v>53</v>
      </c>
      <c r="T62" s="30" t="s">
        <v>53</v>
      </c>
      <c r="U62" s="121" t="s">
        <v>53</v>
      </c>
      <c r="V62" s="116" t="b">
        <f t="shared" si="0"/>
        <v>1</v>
      </c>
      <c r="W62" s="117" t="str">
        <f t="shared" si="1"/>
        <v>title: "Germany"</v>
      </c>
      <c r="X62" s="120" t="str">
        <f t="shared" si="2"/>
        <v/>
      </c>
      <c r="Y62" s="120" t="str">
        <f t="shared" si="3"/>
        <v/>
      </c>
      <c r="Z62" s="120" t="str">
        <f t="shared" si="4"/>
        <v/>
      </c>
      <c r="AA62" s="120" t="str">
        <f t="shared" si="5"/>
        <v/>
      </c>
      <c r="AB62" s="117" t="str">
        <f t="shared" si="6"/>
        <v/>
      </c>
      <c r="AC62" s="117" t="str">
        <f>IF(LEN(J62)&gt;1,concatll("#### Author's Note",J62,"-"&amp;B62),"")</f>
        <v/>
      </c>
      <c r="AD62" s="117" t="str">
        <f>IF(LEN(K62)&gt;1,concatll("#### Dedication",K62,"-"&amp;$B62),"")</f>
        <v/>
      </c>
      <c r="CA62" s="6" t="str">
        <f>IF(V62,concatll(concatl("---",W62,"---"),"*A collection of sites associated with this topic.*","#### Background",I62,AB62,AC62,AD62),"")</f>
        <v xml:space="preserve">---_x000D_
title: "Germany"_x000D_
---_x000D_
_x000D_
_x000D_
*A collection of sites associated with this topic.*_x000D_
_x000D_
#### Background_x000D_
_x000D_
Catholic places of interest in Germany_x000D_
_x000D_
</v>
      </c>
      <c r="CB62" s="6" t="str">
        <f t="shared" si="7"/>
        <v>tags\de\_index.md</v>
      </c>
    </row>
    <row r="63" spans="1:80" x14ac:dyDescent="0.25">
      <c r="A63" s="129" t="s">
        <v>786</v>
      </c>
      <c r="C63" s="1" t="s">
        <v>257</v>
      </c>
      <c r="D63" s="7" t="s">
        <v>508</v>
      </c>
      <c r="E63" s="7" t="s">
        <v>508</v>
      </c>
      <c r="F63" s="33" t="s">
        <v>508</v>
      </c>
      <c r="G63" s="7" t="s">
        <v>257</v>
      </c>
      <c r="I63" s="153" t="s">
        <v>1964</v>
      </c>
      <c r="L63" s="154" t="s">
        <v>53</v>
      </c>
      <c r="M63" s="154" t="s">
        <v>53</v>
      </c>
      <c r="N63" s="151" t="s">
        <v>53</v>
      </c>
      <c r="O63" s="40" t="s">
        <v>53</v>
      </c>
      <c r="P63" s="1" t="s">
        <v>53</v>
      </c>
      <c r="Q63" s="44" t="s">
        <v>53</v>
      </c>
      <c r="R63" s="1" t="s">
        <v>53</v>
      </c>
      <c r="S63" s="1" t="s">
        <v>53</v>
      </c>
      <c r="T63" s="30" t="s">
        <v>53</v>
      </c>
      <c r="U63" s="121" t="s">
        <v>53</v>
      </c>
      <c r="V63" s="116" t="b">
        <f t="shared" si="0"/>
        <v>1</v>
      </c>
      <c r="W63" s="117" t="str">
        <f t="shared" si="1"/>
        <v>title: "Djibouti"</v>
      </c>
      <c r="X63" s="120" t="str">
        <f t="shared" si="2"/>
        <v/>
      </c>
      <c r="Y63" s="120" t="str">
        <f t="shared" si="3"/>
        <v/>
      </c>
      <c r="Z63" s="120" t="str">
        <f t="shared" si="4"/>
        <v/>
      </c>
      <c r="AA63" s="120" t="str">
        <f t="shared" si="5"/>
        <v/>
      </c>
      <c r="AB63" s="117" t="str">
        <f t="shared" si="6"/>
        <v/>
      </c>
      <c r="AC63" s="117" t="str">
        <f>IF(LEN(J63)&gt;1,concatll("#### Author's Note",J63,"-"&amp;B63),"")</f>
        <v/>
      </c>
      <c r="AD63" s="117" t="str">
        <f>IF(LEN(K63)&gt;1,concatll("#### Dedication",K63,"-"&amp;$B63),"")</f>
        <v/>
      </c>
      <c r="CA63" s="6" t="str">
        <f>IF(V63,concatll(concatl("---",W63,"---"),"*A collection of sites associated with this topic.*","#### Background",I63,AB63,AC63,AD63),"")</f>
        <v xml:space="preserve">---_x000D_
title: "Djibouti"_x000D_
---_x000D_
_x000D_
_x000D_
*A collection of sites associated with this topic.*_x000D_
_x000D_
#### Background_x000D_
_x000D_
Catholic places of interest in Djibouti_x000D_
_x000D_
</v>
      </c>
      <c r="CB63" s="6" t="str">
        <f t="shared" si="7"/>
        <v>tags\dj\_index.md</v>
      </c>
    </row>
    <row r="64" spans="1:80" x14ac:dyDescent="0.25">
      <c r="A64" s="129" t="s">
        <v>786</v>
      </c>
      <c r="C64" s="1" t="s">
        <v>258</v>
      </c>
      <c r="D64" s="7" t="s">
        <v>509</v>
      </c>
      <c r="E64" s="7" t="s">
        <v>509</v>
      </c>
      <c r="F64" s="73" t="s">
        <v>509</v>
      </c>
      <c r="G64" s="71" t="s">
        <v>258</v>
      </c>
      <c r="I64" s="153" t="s">
        <v>1965</v>
      </c>
      <c r="L64" s="154" t="s">
        <v>53</v>
      </c>
      <c r="M64" s="154" t="s">
        <v>53</v>
      </c>
      <c r="N64" s="151" t="s">
        <v>53</v>
      </c>
      <c r="O64" s="40" t="s">
        <v>53</v>
      </c>
      <c r="P64" s="1" t="s">
        <v>53</v>
      </c>
      <c r="Q64" s="44" t="s">
        <v>53</v>
      </c>
      <c r="R64" s="1" t="s">
        <v>53</v>
      </c>
      <c r="S64" s="1" t="s">
        <v>53</v>
      </c>
      <c r="T64" s="30" t="s">
        <v>53</v>
      </c>
      <c r="U64" s="121" t="s">
        <v>53</v>
      </c>
      <c r="V64" s="116" t="b">
        <f t="shared" si="0"/>
        <v>1</v>
      </c>
      <c r="W64" s="117" t="str">
        <f t="shared" si="1"/>
        <v>title: "Denmark"</v>
      </c>
      <c r="X64" s="120" t="str">
        <f t="shared" si="2"/>
        <v/>
      </c>
      <c r="Y64" s="120" t="str">
        <f t="shared" si="3"/>
        <v/>
      </c>
      <c r="Z64" s="120" t="str">
        <f t="shared" si="4"/>
        <v/>
      </c>
      <c r="AA64" s="120" t="str">
        <f t="shared" si="5"/>
        <v/>
      </c>
      <c r="AB64" s="117" t="str">
        <f t="shared" si="6"/>
        <v/>
      </c>
      <c r="AC64" s="117" t="str">
        <f>IF(LEN(J64)&gt;1,concatll("#### Author's Note",J64,"-"&amp;B64),"")</f>
        <v/>
      </c>
      <c r="AD64" s="117" t="str">
        <f>IF(LEN(K64)&gt;1,concatll("#### Dedication",K64,"-"&amp;$B64),"")</f>
        <v/>
      </c>
      <c r="CA64" s="6" t="str">
        <f>IF(V64,concatll(concatl("---",W64,"---"),"*A collection of sites associated with this topic.*","#### Background",I64,AB64,AC64,AD64),"")</f>
        <v xml:space="preserve">---_x000D_
title: "Denmark"_x000D_
---_x000D_
_x000D_
_x000D_
*A collection of sites associated with this topic.*_x000D_
_x000D_
#### Background_x000D_
_x000D_
Catholic places of interest in Denmark_x000D_
_x000D_
</v>
      </c>
      <c r="CB64" s="6" t="str">
        <f t="shared" si="7"/>
        <v>tags\dk\_index.md</v>
      </c>
    </row>
    <row r="65" spans="1:80" x14ac:dyDescent="0.25">
      <c r="A65" s="129" t="s">
        <v>786</v>
      </c>
      <c r="B65" s="130"/>
      <c r="C65" s="132" t="s">
        <v>259</v>
      </c>
      <c r="D65" s="130" t="s">
        <v>510</v>
      </c>
      <c r="E65" s="130" t="s">
        <v>510</v>
      </c>
      <c r="F65" s="61" t="s">
        <v>510</v>
      </c>
      <c r="G65" s="55" t="s">
        <v>259</v>
      </c>
      <c r="H65" s="139"/>
      <c r="I65" s="153" t="s">
        <v>1966</v>
      </c>
      <c r="J65" s="130"/>
      <c r="K65" s="139"/>
      <c r="L65" s="154" t="s">
        <v>53</v>
      </c>
      <c r="M65" s="154" t="s">
        <v>53</v>
      </c>
      <c r="N65" s="151" t="s">
        <v>53</v>
      </c>
      <c r="O65" s="40" t="s">
        <v>53</v>
      </c>
      <c r="P65" s="1" t="s">
        <v>53</v>
      </c>
      <c r="Q65" s="44" t="s">
        <v>53</v>
      </c>
      <c r="R65" s="1" t="s">
        <v>53</v>
      </c>
      <c r="S65" s="1" t="s">
        <v>53</v>
      </c>
      <c r="T65" s="30" t="s">
        <v>53</v>
      </c>
      <c r="U65" s="121" t="s">
        <v>53</v>
      </c>
      <c r="V65" s="116" t="b">
        <f t="shared" si="0"/>
        <v>1</v>
      </c>
      <c r="W65" s="117" t="str">
        <f t="shared" si="1"/>
        <v>title: "Dominica"</v>
      </c>
      <c r="X65" s="120" t="str">
        <f t="shared" si="2"/>
        <v/>
      </c>
      <c r="Y65" s="120" t="str">
        <f t="shared" si="3"/>
        <v/>
      </c>
      <c r="Z65" s="120" t="str">
        <f t="shared" si="4"/>
        <v/>
      </c>
      <c r="AA65" s="120" t="str">
        <f t="shared" si="5"/>
        <v/>
      </c>
      <c r="AB65" s="117" t="str">
        <f t="shared" si="6"/>
        <v/>
      </c>
      <c r="AC65" s="117" t="str">
        <f>IF(LEN(J65)&gt;1,concatll("#### Author's Note",J65,"-"&amp;B65),"")</f>
        <v/>
      </c>
      <c r="AD65" s="117" t="str">
        <f>IF(LEN(K65)&gt;1,concatll("#### Dedication",K65,"-"&amp;$B65),"")</f>
        <v/>
      </c>
      <c r="CA65" s="6" t="str">
        <f>IF(V65,concatll(concatl("---",W65,"---"),"*A collection of sites associated with this topic.*","#### Background",I65,AB65,AC65,AD65),"")</f>
        <v xml:space="preserve">---_x000D_
title: "Dominica"_x000D_
---_x000D_
_x000D_
_x000D_
*A collection of sites associated with this topic.*_x000D_
_x000D_
#### Background_x000D_
_x000D_
Catholic places of interest in Dominica_x000D_
_x000D_
</v>
      </c>
      <c r="CB65" s="6" t="str">
        <f t="shared" si="7"/>
        <v>tags\dm\_index.md</v>
      </c>
    </row>
    <row r="66" spans="1:80" x14ac:dyDescent="0.25">
      <c r="A66" s="129" t="s">
        <v>786</v>
      </c>
      <c r="C66" s="1" t="s">
        <v>260</v>
      </c>
      <c r="D66" s="7" t="s">
        <v>511</v>
      </c>
      <c r="E66" s="7" t="s">
        <v>511</v>
      </c>
      <c r="F66" s="33" t="s">
        <v>511</v>
      </c>
      <c r="G66" s="55" t="s">
        <v>260</v>
      </c>
      <c r="H66" s="61"/>
      <c r="I66" s="153" t="s">
        <v>2194</v>
      </c>
      <c r="J66" s="130"/>
      <c r="K66" s="139"/>
      <c r="L66" s="154" t="s">
        <v>53</v>
      </c>
      <c r="M66" s="154" t="s">
        <v>53</v>
      </c>
      <c r="N66" s="151" t="s">
        <v>53</v>
      </c>
      <c r="O66" s="40" t="s">
        <v>53</v>
      </c>
      <c r="P66" s="1" t="s">
        <v>53</v>
      </c>
      <c r="Q66" s="44" t="s">
        <v>53</v>
      </c>
      <c r="R66" s="1" t="s">
        <v>53</v>
      </c>
      <c r="S66" s="1" t="s">
        <v>53</v>
      </c>
      <c r="T66" s="30" t="s">
        <v>53</v>
      </c>
      <c r="U66" s="121" t="s">
        <v>53</v>
      </c>
      <c r="V66" s="116" t="b">
        <f t="shared" si="0"/>
        <v>1</v>
      </c>
      <c r="W66" s="117" t="str">
        <f t="shared" si="1"/>
        <v>title: "Dominican Republic"</v>
      </c>
      <c r="X66" s="120" t="str">
        <f t="shared" si="2"/>
        <v/>
      </c>
      <c r="Y66" s="120" t="str">
        <f t="shared" si="3"/>
        <v/>
      </c>
      <c r="Z66" s="120" t="str">
        <f t="shared" si="4"/>
        <v/>
      </c>
      <c r="AA66" s="120" t="str">
        <f t="shared" si="5"/>
        <v/>
      </c>
      <c r="AB66" s="117" t="str">
        <f t="shared" si="6"/>
        <v/>
      </c>
      <c r="AC66" s="117" t="str">
        <f>IF(LEN(J66)&gt;1,concatll("#### Author's Note",J66,"-"&amp;B66),"")</f>
        <v/>
      </c>
      <c r="AD66" s="117" t="str">
        <f>IF(LEN(K66)&gt;1,concatll("#### Dedication",K66,"-"&amp;$B66),"")</f>
        <v/>
      </c>
      <c r="CA66" s="6" t="str">
        <f>IF(V66,concatll(concatl("---",W66,"---"),"*A collection of sites associated with this topic.*","#### Background",I66,AB66,AC66,AD66),"")</f>
        <v xml:space="preserve">---_x000D_
title: "Dominican Republic"_x000D_
---_x000D_
_x000D_
_x000D_
*A collection of sites associated with this topic.*_x000D_
_x000D_
#### Background_x000D_
_x000D_
Catholic places of interest in the Dominican Republic_x000D_
_x000D_
</v>
      </c>
      <c r="CB66" s="6" t="str">
        <f t="shared" si="7"/>
        <v>tags\do\_index.md</v>
      </c>
    </row>
    <row r="67" spans="1:80" x14ac:dyDescent="0.25">
      <c r="A67" s="129" t="s">
        <v>786</v>
      </c>
      <c r="B67" s="130"/>
      <c r="C67" s="132" t="s">
        <v>261</v>
      </c>
      <c r="D67" s="130" t="s">
        <v>512</v>
      </c>
      <c r="E67" s="130" t="s">
        <v>512</v>
      </c>
      <c r="F67" s="139" t="s">
        <v>512</v>
      </c>
      <c r="G67" s="130" t="s">
        <v>261</v>
      </c>
      <c r="H67" s="139"/>
      <c r="I67" s="153" t="s">
        <v>1967</v>
      </c>
      <c r="L67" s="154" t="s">
        <v>53</v>
      </c>
      <c r="M67" s="154" t="s">
        <v>53</v>
      </c>
      <c r="N67" s="151" t="s">
        <v>53</v>
      </c>
      <c r="O67" s="40" t="s">
        <v>53</v>
      </c>
      <c r="P67" s="1" t="s">
        <v>53</v>
      </c>
      <c r="Q67" s="44" t="s">
        <v>53</v>
      </c>
      <c r="R67" s="1" t="s">
        <v>53</v>
      </c>
      <c r="S67" s="1" t="s">
        <v>53</v>
      </c>
      <c r="T67" s="30" t="s">
        <v>53</v>
      </c>
      <c r="U67" s="121" t="s">
        <v>53</v>
      </c>
      <c r="V67" s="116" t="b">
        <f t="shared" si="0"/>
        <v>1</v>
      </c>
      <c r="W67" s="117" t="str">
        <f t="shared" si="1"/>
        <v>title: "Algeria"</v>
      </c>
      <c r="X67" s="120" t="str">
        <f t="shared" si="2"/>
        <v/>
      </c>
      <c r="Y67" s="120" t="str">
        <f t="shared" si="3"/>
        <v/>
      </c>
      <c r="Z67" s="120" t="str">
        <f t="shared" si="4"/>
        <v/>
      </c>
      <c r="AA67" s="120" t="str">
        <f t="shared" si="5"/>
        <v/>
      </c>
      <c r="AB67" s="117" t="str">
        <f t="shared" si="6"/>
        <v/>
      </c>
      <c r="AC67" s="117" t="str">
        <f>IF(LEN(J67)&gt;1,concatll("#### Author's Note",J67,"-"&amp;B67),"")</f>
        <v/>
      </c>
      <c r="AD67" s="117" t="str">
        <f>IF(LEN(K67)&gt;1,concatll("#### Dedication",K67,"-"&amp;$B67),"")</f>
        <v/>
      </c>
      <c r="CA67" s="6" t="str">
        <f>IF(V67,concatll(concatl("---",W67,"---"),"*A collection of sites associated with this topic.*","#### Background",I67,AB67,AC67,AD67),"")</f>
        <v xml:space="preserve">---_x000D_
title: "Algeria"_x000D_
---_x000D_
_x000D_
_x000D_
*A collection of sites associated with this topic.*_x000D_
_x000D_
#### Background_x000D_
_x000D_
Catholic places of interest in Algeria_x000D_
_x000D_
</v>
      </c>
      <c r="CB67" s="6" t="str">
        <f t="shared" si="7"/>
        <v>tags\dz\_index.md</v>
      </c>
    </row>
    <row r="68" spans="1:80" x14ac:dyDescent="0.25">
      <c r="A68" s="129" t="s">
        <v>786</v>
      </c>
      <c r="C68" s="1" t="s">
        <v>262</v>
      </c>
      <c r="D68" s="7" t="s">
        <v>513</v>
      </c>
      <c r="E68" s="7" t="s">
        <v>513</v>
      </c>
      <c r="F68" s="73" t="s">
        <v>513</v>
      </c>
      <c r="G68" s="80" t="s">
        <v>262</v>
      </c>
      <c r="I68" s="153" t="s">
        <v>1968</v>
      </c>
      <c r="L68" s="154" t="s">
        <v>53</v>
      </c>
      <c r="M68" s="154" t="s">
        <v>53</v>
      </c>
      <c r="N68" s="151" t="s">
        <v>53</v>
      </c>
      <c r="O68" s="40" t="s">
        <v>53</v>
      </c>
      <c r="P68" s="1" t="s">
        <v>53</v>
      </c>
      <c r="Q68" s="44" t="s">
        <v>53</v>
      </c>
      <c r="R68" s="1" t="s">
        <v>53</v>
      </c>
      <c r="S68" s="1" t="s">
        <v>53</v>
      </c>
      <c r="T68" s="30" t="s">
        <v>53</v>
      </c>
      <c r="U68" s="121" t="s">
        <v>53</v>
      </c>
      <c r="V68" s="116" t="b">
        <f t="shared" si="0"/>
        <v>1</v>
      </c>
      <c r="W68" s="117" t="str">
        <f t="shared" si="1"/>
        <v>title: "Ecuador"</v>
      </c>
      <c r="X68" s="120" t="str">
        <f t="shared" si="2"/>
        <v/>
      </c>
      <c r="Y68" s="120" t="str">
        <f t="shared" si="3"/>
        <v/>
      </c>
      <c r="Z68" s="120" t="str">
        <f t="shared" si="4"/>
        <v/>
      </c>
      <c r="AA68" s="120" t="str">
        <f t="shared" si="5"/>
        <v/>
      </c>
      <c r="AB68" s="117" t="str">
        <f t="shared" si="6"/>
        <v/>
      </c>
      <c r="AC68" s="117" t="str">
        <f>IF(LEN(J68)&gt;1,concatll("#### Author's Note",J68,"-"&amp;B68),"")</f>
        <v/>
      </c>
      <c r="AD68" s="117" t="str">
        <f>IF(LEN(K68)&gt;1,concatll("#### Dedication",K68,"-"&amp;$B68),"")</f>
        <v/>
      </c>
      <c r="CA68" s="6" t="str">
        <f>IF(V68,concatll(concatl("---",W68,"---"),"*A collection of sites associated with this topic.*","#### Background",I68,AB68,AC68,AD68),"")</f>
        <v xml:space="preserve">---_x000D_
title: "Ecuador"_x000D_
---_x000D_
_x000D_
_x000D_
*A collection of sites associated with this topic.*_x000D_
_x000D_
#### Background_x000D_
_x000D_
Catholic places of interest in Ecuador_x000D_
_x000D_
</v>
      </c>
      <c r="CB68" s="6" t="str">
        <f t="shared" si="7"/>
        <v>tags\ec\_index.md</v>
      </c>
    </row>
    <row r="69" spans="1:80" x14ac:dyDescent="0.25">
      <c r="A69" s="129" t="s">
        <v>786</v>
      </c>
      <c r="C69" s="1" t="s">
        <v>263</v>
      </c>
      <c r="D69" s="7" t="s">
        <v>514</v>
      </c>
      <c r="E69" s="7" t="s">
        <v>514</v>
      </c>
      <c r="F69" s="73" t="s">
        <v>514</v>
      </c>
      <c r="G69" s="80" t="s">
        <v>263</v>
      </c>
      <c r="I69" s="153" t="s">
        <v>1969</v>
      </c>
      <c r="L69" s="154" t="s">
        <v>53</v>
      </c>
      <c r="M69" s="154" t="s">
        <v>53</v>
      </c>
      <c r="N69" s="151" t="s">
        <v>53</v>
      </c>
      <c r="O69" s="40" t="s">
        <v>53</v>
      </c>
      <c r="P69" s="1" t="s">
        <v>53</v>
      </c>
      <c r="Q69" s="44" t="s">
        <v>53</v>
      </c>
      <c r="R69" s="1" t="s">
        <v>53</v>
      </c>
      <c r="S69" s="1" t="s">
        <v>53</v>
      </c>
      <c r="T69" s="30" t="s">
        <v>53</v>
      </c>
      <c r="U69" s="121" t="s">
        <v>53</v>
      </c>
      <c r="V69" s="116" t="b">
        <f t="shared" si="0"/>
        <v>1</v>
      </c>
      <c r="W69" s="117" t="str">
        <f t="shared" si="1"/>
        <v>title: "Estonia"</v>
      </c>
      <c r="X69" s="120" t="str">
        <f t="shared" si="2"/>
        <v/>
      </c>
      <c r="Y69" s="120" t="str">
        <f t="shared" si="3"/>
        <v/>
      </c>
      <c r="Z69" s="120" t="str">
        <f t="shared" si="4"/>
        <v/>
      </c>
      <c r="AA69" s="120" t="str">
        <f t="shared" si="5"/>
        <v/>
      </c>
      <c r="AB69" s="117" t="str">
        <f t="shared" si="6"/>
        <v/>
      </c>
      <c r="AC69" s="117" t="str">
        <f>IF(LEN(J69)&gt;1,concatll("#### Author's Note",J69,"-"&amp;B69),"")</f>
        <v/>
      </c>
      <c r="AD69" s="117" t="str">
        <f>IF(LEN(K69)&gt;1,concatll("#### Dedication",K69,"-"&amp;$B69),"")</f>
        <v/>
      </c>
      <c r="CA69" s="6" t="str">
        <f>IF(V69,concatll(concatl("---",W69,"---"),"*A collection of sites associated with this topic.*","#### Background",I69,AB69,AC69,AD69),"")</f>
        <v xml:space="preserve">---_x000D_
title: "Estonia"_x000D_
---_x000D_
_x000D_
_x000D_
*A collection of sites associated with this topic.*_x000D_
_x000D_
#### Background_x000D_
_x000D_
Catholic places of interest in Estonia_x000D_
_x000D_
</v>
      </c>
      <c r="CB69" s="6" t="str">
        <f t="shared" si="7"/>
        <v>tags\ee\_index.md</v>
      </c>
    </row>
    <row r="70" spans="1:80" x14ac:dyDescent="0.25">
      <c r="A70" s="129" t="s">
        <v>786</v>
      </c>
      <c r="C70" s="1" t="s">
        <v>2</v>
      </c>
      <c r="D70" s="7" t="s">
        <v>515</v>
      </c>
      <c r="E70" s="7" t="s">
        <v>515</v>
      </c>
      <c r="F70" s="73" t="s">
        <v>515</v>
      </c>
      <c r="G70" s="71" t="s">
        <v>2</v>
      </c>
      <c r="I70" s="153" t="s">
        <v>1970</v>
      </c>
      <c r="L70" s="154" t="s">
        <v>53</v>
      </c>
      <c r="M70" s="154" t="s">
        <v>53</v>
      </c>
      <c r="N70" s="151" t="s">
        <v>53</v>
      </c>
      <c r="O70" s="40" t="s">
        <v>53</v>
      </c>
      <c r="P70" s="1" t="s">
        <v>53</v>
      </c>
      <c r="Q70" s="44" t="s">
        <v>53</v>
      </c>
      <c r="R70" s="1" t="s">
        <v>53</v>
      </c>
      <c r="S70" s="1" t="s">
        <v>53</v>
      </c>
      <c r="T70" s="30" t="s">
        <v>53</v>
      </c>
      <c r="U70" s="121" t="s">
        <v>53</v>
      </c>
      <c r="V70" s="116" t="b">
        <f t="shared" si="0"/>
        <v>1</v>
      </c>
      <c r="W70" s="117" t="str">
        <f t="shared" si="1"/>
        <v>title: "Egypt"</v>
      </c>
      <c r="X70" s="120" t="str">
        <f t="shared" si="2"/>
        <v/>
      </c>
      <c r="Y70" s="120" t="str">
        <f t="shared" si="3"/>
        <v/>
      </c>
      <c r="Z70" s="120" t="str">
        <f t="shared" si="4"/>
        <v/>
      </c>
      <c r="AA70" s="120" t="str">
        <f t="shared" si="5"/>
        <v/>
      </c>
      <c r="AB70" s="117" t="str">
        <f t="shared" si="6"/>
        <v/>
      </c>
      <c r="AC70" s="117" t="str">
        <f>IF(LEN(J70)&gt;1,concatll("#### Author's Note",J70,"-"&amp;B70),"")</f>
        <v/>
      </c>
      <c r="AD70" s="117" t="str">
        <f>IF(LEN(K70)&gt;1,concatll("#### Dedication",K70,"-"&amp;$B70),"")</f>
        <v/>
      </c>
      <c r="CA70" s="6" t="str">
        <f>IF(V70,concatll(concatl("---",W70,"---"),"*A collection of sites associated with this topic.*","#### Background",I70,AB70,AC70,AD70),"")</f>
        <v xml:space="preserve">---_x000D_
title: "Egypt"_x000D_
---_x000D_
_x000D_
_x000D_
*A collection of sites associated with this topic.*_x000D_
_x000D_
#### Background_x000D_
_x000D_
Catholic places of interest in Egypt_x000D_
_x000D_
</v>
      </c>
      <c r="CB70" s="6" t="str">
        <f t="shared" si="7"/>
        <v>tags\eg\_index.md</v>
      </c>
    </row>
    <row r="71" spans="1:80" x14ac:dyDescent="0.25">
      <c r="A71" s="129" t="s">
        <v>786</v>
      </c>
      <c r="C71" s="1" t="s">
        <v>264</v>
      </c>
      <c r="D71" s="7" t="s">
        <v>516</v>
      </c>
      <c r="E71" s="7" t="s">
        <v>516</v>
      </c>
      <c r="F71" s="81" t="s">
        <v>516</v>
      </c>
      <c r="G71" s="80" t="s">
        <v>264</v>
      </c>
      <c r="I71" s="153" t="s">
        <v>1971</v>
      </c>
      <c r="L71" s="154" t="s">
        <v>53</v>
      </c>
      <c r="M71" s="154" t="s">
        <v>53</v>
      </c>
      <c r="N71" s="151" t="s">
        <v>53</v>
      </c>
      <c r="O71" s="40" t="s">
        <v>53</v>
      </c>
      <c r="P71" s="1" t="s">
        <v>53</v>
      </c>
      <c r="Q71" s="44" t="s">
        <v>53</v>
      </c>
      <c r="R71" s="1" t="s">
        <v>53</v>
      </c>
      <c r="S71" s="1" t="s">
        <v>53</v>
      </c>
      <c r="T71" s="30" t="s">
        <v>53</v>
      </c>
      <c r="U71" s="121" t="s">
        <v>53</v>
      </c>
      <c r="V71" s="116" t="b">
        <f t="shared" ref="V71:V134" si="8">IF(OR(A71="Done",A71="In Progress"),TRUE)</f>
        <v>1</v>
      </c>
      <c r="W71" s="117" t="str">
        <f t="shared" ref="W71:W134" si="9">"title: """&amp;G71&amp;""""</f>
        <v>title: "Western Sahara"</v>
      </c>
      <c r="X71" s="120" t="str">
        <f t="shared" ref="X71:X134" si="10">IF(LEN(M71)&gt;0,TRIM(CONCATENATE("["&amp;L71&amp;"](",M71,") ",IF(LEN(N71)&gt;0,"- "&amp;N71,N71))),"")</f>
        <v/>
      </c>
      <c r="Y71" s="120" t="str">
        <f t="shared" ref="Y71:Y134" si="11">IF(LEN(P71)&gt;0,TRIM(CONCATENATE("["&amp;O71&amp;"](",P71,") ",IF(LEN(Q71)&gt;0,"- "&amp;Q71,Q71))),"")</f>
        <v/>
      </c>
      <c r="Z71" s="120" t="str">
        <f t="shared" ref="Z71:Z134" si="12">IF(LEN(S71)&gt;0,TRIM(CONCATENATE("["&amp;R71&amp;"](",S71,") ",IF(LEN(T71)&gt;0,"- "&amp;T71,T71))),"")</f>
        <v/>
      </c>
      <c r="AA71" s="120" t="str">
        <f t="shared" ref="AA71:AA134" si="13">IF(LEN(X71)&gt;0,"* "&amp;X71&amp;CHAR(10),"")&amp;
IF(LEN(Y71)&gt;0,"* "&amp;Y71&amp;CHAR(10),"")&amp;
IF(LEN(Z71)&gt;0,"* "&amp;Z71&amp;CHAR(10),"")</f>
        <v/>
      </c>
      <c r="AB71" s="117" t="str">
        <f t="shared" ref="AB71:AB134" si="14">IF(LEN(AA71)&gt;0,concatl("#### More Information",AA71),"")</f>
        <v/>
      </c>
      <c r="AC71" s="117" t="str">
        <f>IF(LEN(J71)&gt;1,concatll("#### Author's Note",J71,"-"&amp;B71),"")</f>
        <v/>
      </c>
      <c r="AD71" s="117" t="str">
        <f>IF(LEN(K71)&gt;1,concatll("#### Dedication",K71,"-"&amp;$B71),"")</f>
        <v/>
      </c>
      <c r="CA71" s="6" t="str">
        <f>IF(V71,concatll(concatl("---",W71,"---"),"*A collection of sites associated with this topic.*","#### Background",I71,AB71,AC71,AD71),"")</f>
        <v xml:space="preserve">---_x000D_
title: "Western Sahara"_x000D_
---_x000D_
_x000D_
_x000D_
*A collection of sites associated with this topic.*_x000D_
_x000D_
#### Background_x000D_
_x000D_
Catholic places of interest in Western Sahara_x000D_
_x000D_
</v>
      </c>
      <c r="CB71" s="6" t="str">
        <f t="shared" ref="CB71:CB134" si="15">IF(V71,"tags\"&amp;F71&amp;"\_index.md","")</f>
        <v>tags\eh\_index.md</v>
      </c>
    </row>
    <row r="72" spans="1:80" x14ac:dyDescent="0.25">
      <c r="A72" s="129" t="s">
        <v>786</v>
      </c>
      <c r="C72" s="1" t="s">
        <v>265</v>
      </c>
      <c r="D72" s="7" t="s">
        <v>517</v>
      </c>
      <c r="E72" s="7" t="s">
        <v>517</v>
      </c>
      <c r="F72" s="73" t="s">
        <v>517</v>
      </c>
      <c r="G72" s="80" t="s">
        <v>265</v>
      </c>
      <c r="H72" s="73"/>
      <c r="I72" s="153" t="s">
        <v>1972</v>
      </c>
      <c r="L72" s="154" t="s">
        <v>53</v>
      </c>
      <c r="M72" s="154" t="s">
        <v>53</v>
      </c>
      <c r="N72" s="151" t="s">
        <v>53</v>
      </c>
      <c r="O72" s="40" t="s">
        <v>53</v>
      </c>
      <c r="P72" s="1" t="s">
        <v>53</v>
      </c>
      <c r="Q72" s="44" t="s">
        <v>53</v>
      </c>
      <c r="R72" s="1" t="s">
        <v>53</v>
      </c>
      <c r="S72" s="1" t="s">
        <v>53</v>
      </c>
      <c r="T72" s="30" t="s">
        <v>53</v>
      </c>
      <c r="U72" s="121" t="s">
        <v>53</v>
      </c>
      <c r="V72" s="116" t="b">
        <f t="shared" si="8"/>
        <v>1</v>
      </c>
      <c r="W72" s="117" t="str">
        <f t="shared" si="9"/>
        <v>title: "Eritrea"</v>
      </c>
      <c r="X72" s="120" t="str">
        <f t="shared" si="10"/>
        <v/>
      </c>
      <c r="Y72" s="120" t="str">
        <f t="shared" si="11"/>
        <v/>
      </c>
      <c r="Z72" s="120" t="str">
        <f t="shared" si="12"/>
        <v/>
      </c>
      <c r="AA72" s="120" t="str">
        <f t="shared" si="13"/>
        <v/>
      </c>
      <c r="AB72" s="117" t="str">
        <f t="shared" si="14"/>
        <v/>
      </c>
      <c r="AC72" s="117" t="str">
        <f>IF(LEN(J72)&gt;1,concatll("#### Author's Note",J72,"-"&amp;B72),"")</f>
        <v/>
      </c>
      <c r="AD72" s="117" t="str">
        <f>IF(LEN(K72)&gt;1,concatll("#### Dedication",K72,"-"&amp;$B72),"")</f>
        <v/>
      </c>
      <c r="CA72" s="6" t="str">
        <f>IF(V72,concatll(concatl("---",W72,"---"),"*A collection of sites associated with this topic.*","#### Background",I72,AB72,AC72,AD72),"")</f>
        <v xml:space="preserve">---_x000D_
title: "Eritrea"_x000D_
---_x000D_
_x000D_
_x000D_
*A collection of sites associated with this topic.*_x000D_
_x000D_
#### Background_x000D_
_x000D_
Catholic places of interest in Eritrea_x000D_
_x000D_
</v>
      </c>
      <c r="CB72" s="6" t="str">
        <f t="shared" si="15"/>
        <v>tags\er\_index.md</v>
      </c>
    </row>
    <row r="73" spans="1:80" x14ac:dyDescent="0.25">
      <c r="A73" s="129" t="s">
        <v>786</v>
      </c>
      <c r="C73" s="1" t="s">
        <v>266</v>
      </c>
      <c r="D73" s="7" t="s">
        <v>518</v>
      </c>
      <c r="E73" s="7" t="s">
        <v>518</v>
      </c>
      <c r="F73" s="73" t="s">
        <v>518</v>
      </c>
      <c r="G73" s="80" t="s">
        <v>266</v>
      </c>
      <c r="I73" s="153" t="s">
        <v>1973</v>
      </c>
      <c r="J73" s="130"/>
      <c r="K73" s="139"/>
      <c r="L73" s="154" t="s">
        <v>53</v>
      </c>
      <c r="M73" s="154" t="s">
        <v>53</v>
      </c>
      <c r="N73" s="151" t="s">
        <v>53</v>
      </c>
      <c r="O73" s="40" t="s">
        <v>53</v>
      </c>
      <c r="P73" s="1" t="s">
        <v>53</v>
      </c>
      <c r="Q73" s="44" t="s">
        <v>53</v>
      </c>
      <c r="R73" s="1" t="s">
        <v>53</v>
      </c>
      <c r="S73" s="1" t="s">
        <v>53</v>
      </c>
      <c r="T73" s="30" t="s">
        <v>53</v>
      </c>
      <c r="U73" s="121" t="s">
        <v>53</v>
      </c>
      <c r="V73" s="116" t="b">
        <f t="shared" si="8"/>
        <v>1</v>
      </c>
      <c r="W73" s="117" t="str">
        <f t="shared" si="9"/>
        <v>title: "Spain"</v>
      </c>
      <c r="X73" s="120" t="str">
        <f t="shared" si="10"/>
        <v/>
      </c>
      <c r="Y73" s="120" t="str">
        <f t="shared" si="11"/>
        <v/>
      </c>
      <c r="Z73" s="120" t="str">
        <f t="shared" si="12"/>
        <v/>
      </c>
      <c r="AA73" s="120" t="str">
        <f t="shared" si="13"/>
        <v/>
      </c>
      <c r="AB73" s="117" t="str">
        <f t="shared" si="14"/>
        <v/>
      </c>
      <c r="AC73" s="117" t="str">
        <f>IF(LEN(J73)&gt;1,concatll("#### Author's Note",J73,"-"&amp;B73),"")</f>
        <v/>
      </c>
      <c r="AD73" s="117" t="str">
        <f>IF(LEN(K73)&gt;1,concatll("#### Dedication",K73,"-"&amp;$B73),"")</f>
        <v/>
      </c>
      <c r="CA73" s="6" t="str">
        <f>IF(V73,concatll(concatl("---",W73,"---"),"*A collection of sites associated with this topic.*","#### Background",I73,AB73,AC73,AD73),"")</f>
        <v xml:space="preserve">---_x000D_
title: "Spain"_x000D_
---_x000D_
_x000D_
_x000D_
*A collection of sites associated with this topic.*_x000D_
_x000D_
#### Background_x000D_
_x000D_
Catholic places of interest in Spain_x000D_
_x000D_
</v>
      </c>
      <c r="CB73" s="6" t="str">
        <f t="shared" si="15"/>
        <v>tags\es\_index.md</v>
      </c>
    </row>
    <row r="74" spans="1:80" x14ac:dyDescent="0.25">
      <c r="A74" s="129" t="s">
        <v>786</v>
      </c>
      <c r="C74" s="1" t="s">
        <v>267</v>
      </c>
      <c r="D74" s="7" t="s">
        <v>519</v>
      </c>
      <c r="E74" s="7" t="s">
        <v>519</v>
      </c>
      <c r="F74" s="73" t="s">
        <v>519</v>
      </c>
      <c r="G74" s="71" t="s">
        <v>267</v>
      </c>
      <c r="I74" s="153" t="s">
        <v>1974</v>
      </c>
      <c r="L74" s="154" t="s">
        <v>53</v>
      </c>
      <c r="M74" s="154" t="s">
        <v>53</v>
      </c>
      <c r="N74" s="151" t="s">
        <v>53</v>
      </c>
      <c r="O74" s="40" t="s">
        <v>53</v>
      </c>
      <c r="P74" s="1" t="s">
        <v>53</v>
      </c>
      <c r="Q74" s="44" t="s">
        <v>53</v>
      </c>
      <c r="R74" s="1" t="s">
        <v>53</v>
      </c>
      <c r="S74" s="1" t="s">
        <v>53</v>
      </c>
      <c r="T74" s="30" t="s">
        <v>53</v>
      </c>
      <c r="U74" s="121" t="s">
        <v>53</v>
      </c>
      <c r="V74" s="116" t="b">
        <f t="shared" si="8"/>
        <v>1</v>
      </c>
      <c r="W74" s="117" t="str">
        <f t="shared" si="9"/>
        <v>title: "Ethiopia"</v>
      </c>
      <c r="X74" s="120" t="str">
        <f t="shared" si="10"/>
        <v/>
      </c>
      <c r="Y74" s="120" t="str">
        <f t="shared" si="11"/>
        <v/>
      </c>
      <c r="Z74" s="120" t="str">
        <f t="shared" si="12"/>
        <v/>
      </c>
      <c r="AA74" s="120" t="str">
        <f t="shared" si="13"/>
        <v/>
      </c>
      <c r="AB74" s="117" t="str">
        <f t="shared" si="14"/>
        <v/>
      </c>
      <c r="AC74" s="117" t="str">
        <f>IF(LEN(J74)&gt;1,concatll("#### Author's Note",J74,"-"&amp;B74),"")</f>
        <v/>
      </c>
      <c r="AD74" s="117" t="str">
        <f>IF(LEN(K74)&gt;1,concatll("#### Dedication",K74,"-"&amp;$B74),"")</f>
        <v/>
      </c>
      <c r="CA74" s="6" t="str">
        <f>IF(V74,concatll(concatl("---",W74,"---"),"*A collection of sites associated with this topic.*","#### Background",I74,AB74,AC74,AD74),"")</f>
        <v xml:space="preserve">---_x000D_
title: "Ethiopia"_x000D_
---_x000D_
_x000D_
_x000D_
*A collection of sites associated with this topic.*_x000D_
_x000D_
#### Background_x000D_
_x000D_
Catholic places of interest in Ethiopia_x000D_
_x000D_
</v>
      </c>
      <c r="CB74" s="6" t="str">
        <f t="shared" si="15"/>
        <v>tags\et\_index.md</v>
      </c>
    </row>
    <row r="75" spans="1:80" x14ac:dyDescent="0.25">
      <c r="A75" s="129" t="s">
        <v>786</v>
      </c>
      <c r="C75" s="1" t="s">
        <v>268</v>
      </c>
      <c r="D75" s="7" t="s">
        <v>520</v>
      </c>
      <c r="E75" s="7" t="s">
        <v>520</v>
      </c>
      <c r="F75" s="73" t="s">
        <v>520</v>
      </c>
      <c r="G75" s="80" t="s">
        <v>268</v>
      </c>
      <c r="I75" s="153" t="s">
        <v>1975</v>
      </c>
      <c r="J75" s="130"/>
      <c r="K75" s="139"/>
      <c r="L75" s="154" t="s">
        <v>53</v>
      </c>
      <c r="M75" s="154" t="s">
        <v>53</v>
      </c>
      <c r="N75" s="151" t="s">
        <v>53</v>
      </c>
      <c r="O75" s="40" t="s">
        <v>53</v>
      </c>
      <c r="P75" s="1" t="s">
        <v>53</v>
      </c>
      <c r="Q75" s="44" t="s">
        <v>53</v>
      </c>
      <c r="R75" s="1" t="s">
        <v>53</v>
      </c>
      <c r="S75" s="1" t="s">
        <v>53</v>
      </c>
      <c r="T75" s="30" t="s">
        <v>53</v>
      </c>
      <c r="U75" s="121" t="s">
        <v>53</v>
      </c>
      <c r="V75" s="116" t="b">
        <f t="shared" si="8"/>
        <v>1</v>
      </c>
      <c r="W75" s="117" t="str">
        <f t="shared" si="9"/>
        <v>title: "Finland"</v>
      </c>
      <c r="X75" s="120" t="str">
        <f t="shared" si="10"/>
        <v/>
      </c>
      <c r="Y75" s="120" t="str">
        <f t="shared" si="11"/>
        <v/>
      </c>
      <c r="Z75" s="120" t="str">
        <f t="shared" si="12"/>
        <v/>
      </c>
      <c r="AA75" s="120" t="str">
        <f t="shared" si="13"/>
        <v/>
      </c>
      <c r="AB75" s="117" t="str">
        <f t="shared" si="14"/>
        <v/>
      </c>
      <c r="AC75" s="117" t="str">
        <f>IF(LEN(J75)&gt;1,concatll("#### Author's Note",J75,"-"&amp;B75),"")</f>
        <v/>
      </c>
      <c r="AD75" s="117" t="str">
        <f>IF(LEN(K75)&gt;1,concatll("#### Dedication",K75,"-"&amp;$B75),"")</f>
        <v/>
      </c>
      <c r="CA75" s="6" t="str">
        <f>IF(V75,concatll(concatl("---",W75,"---"),"*A collection of sites associated with this topic.*","#### Background",I75,AB75,AC75,AD75),"")</f>
        <v xml:space="preserve">---_x000D_
title: "Finland"_x000D_
---_x000D_
_x000D_
_x000D_
*A collection of sites associated with this topic.*_x000D_
_x000D_
#### Background_x000D_
_x000D_
Catholic places of interest in Finland_x000D_
_x000D_
</v>
      </c>
      <c r="CB75" s="6" t="str">
        <f t="shared" si="15"/>
        <v>tags\fi\_index.md</v>
      </c>
    </row>
    <row r="76" spans="1:80" x14ac:dyDescent="0.25">
      <c r="A76" s="129" t="s">
        <v>786</v>
      </c>
      <c r="C76" s="1" t="s">
        <v>269</v>
      </c>
      <c r="D76" s="7" t="s">
        <v>521</v>
      </c>
      <c r="E76" s="7" t="s">
        <v>521</v>
      </c>
      <c r="F76" s="73" t="s">
        <v>521</v>
      </c>
      <c r="G76" s="71" t="s">
        <v>269</v>
      </c>
      <c r="H76" s="73"/>
      <c r="I76" s="153" t="s">
        <v>1976</v>
      </c>
      <c r="L76" s="154" t="s">
        <v>53</v>
      </c>
      <c r="M76" s="154" t="s">
        <v>53</v>
      </c>
      <c r="N76" s="151" t="s">
        <v>53</v>
      </c>
      <c r="O76" s="40" t="s">
        <v>53</v>
      </c>
      <c r="P76" s="1" t="s">
        <v>53</v>
      </c>
      <c r="Q76" s="44" t="s">
        <v>53</v>
      </c>
      <c r="R76" s="1" t="s">
        <v>53</v>
      </c>
      <c r="S76" s="1" t="s">
        <v>53</v>
      </c>
      <c r="T76" s="30" t="s">
        <v>53</v>
      </c>
      <c r="U76" s="121" t="s">
        <v>53</v>
      </c>
      <c r="V76" s="116" t="b">
        <f t="shared" si="8"/>
        <v>1</v>
      </c>
      <c r="W76" s="117" t="str">
        <f t="shared" si="9"/>
        <v>title: "Fiji"</v>
      </c>
      <c r="X76" s="120" t="str">
        <f t="shared" si="10"/>
        <v/>
      </c>
      <c r="Y76" s="120" t="str">
        <f t="shared" si="11"/>
        <v/>
      </c>
      <c r="Z76" s="120" t="str">
        <f t="shared" si="12"/>
        <v/>
      </c>
      <c r="AA76" s="120" t="str">
        <f t="shared" si="13"/>
        <v/>
      </c>
      <c r="AB76" s="117" t="str">
        <f t="shared" si="14"/>
        <v/>
      </c>
      <c r="AC76" s="117" t="str">
        <f>IF(LEN(J76)&gt;1,concatll("#### Author's Note",J76,"-"&amp;B76),"")</f>
        <v/>
      </c>
      <c r="AD76" s="117" t="str">
        <f>IF(LEN(K76)&gt;1,concatll("#### Dedication",K76,"-"&amp;$B76),"")</f>
        <v/>
      </c>
      <c r="CA76" s="6" t="str">
        <f>IF(V76,concatll(concatl("---",W76,"---"),"*A collection of sites associated with this topic.*","#### Background",I76,AB76,AC76,AD76),"")</f>
        <v xml:space="preserve">---_x000D_
title: "Fiji"_x000D_
---_x000D_
_x000D_
_x000D_
*A collection of sites associated with this topic.*_x000D_
_x000D_
#### Background_x000D_
_x000D_
Catholic places of interest in Fiji_x000D_
_x000D_
</v>
      </c>
      <c r="CB76" s="6" t="str">
        <f t="shared" si="15"/>
        <v>tags\fj\_index.md</v>
      </c>
    </row>
    <row r="77" spans="1:80" x14ac:dyDescent="0.25">
      <c r="A77" s="129" t="s">
        <v>786</v>
      </c>
      <c r="C77" s="1" t="s">
        <v>423</v>
      </c>
      <c r="D77" s="7" t="s">
        <v>522</v>
      </c>
      <c r="E77" s="7" t="s">
        <v>522</v>
      </c>
      <c r="F77" s="33" t="s">
        <v>522</v>
      </c>
      <c r="G77" s="71" t="s">
        <v>423</v>
      </c>
      <c r="H77" s="73"/>
      <c r="I77" s="153" t="s">
        <v>2195</v>
      </c>
      <c r="L77" s="154" t="s">
        <v>53</v>
      </c>
      <c r="M77" s="154" t="s">
        <v>53</v>
      </c>
      <c r="N77" s="151" t="s">
        <v>53</v>
      </c>
      <c r="O77" s="40" t="s">
        <v>53</v>
      </c>
      <c r="P77" s="1" t="s">
        <v>53</v>
      </c>
      <c r="Q77" s="44" t="s">
        <v>53</v>
      </c>
      <c r="R77" s="1" t="s">
        <v>53</v>
      </c>
      <c r="S77" s="1" t="s">
        <v>53</v>
      </c>
      <c r="T77" s="30" t="s">
        <v>53</v>
      </c>
      <c r="U77" s="121" t="s">
        <v>53</v>
      </c>
      <c r="V77" s="116" t="b">
        <f t="shared" si="8"/>
        <v>1</v>
      </c>
      <c r="W77" s="117" t="str">
        <f t="shared" si="9"/>
        <v>title: "Falkland Islands"</v>
      </c>
      <c r="X77" s="120" t="str">
        <f t="shared" si="10"/>
        <v/>
      </c>
      <c r="Y77" s="120" t="str">
        <f t="shared" si="11"/>
        <v/>
      </c>
      <c r="Z77" s="120" t="str">
        <f t="shared" si="12"/>
        <v/>
      </c>
      <c r="AA77" s="120" t="str">
        <f t="shared" si="13"/>
        <v/>
      </c>
      <c r="AB77" s="117" t="str">
        <f t="shared" si="14"/>
        <v/>
      </c>
      <c r="AC77" s="117" t="str">
        <f>IF(LEN(J77)&gt;1,concatll("#### Author's Note",J77,"-"&amp;B77),"")</f>
        <v/>
      </c>
      <c r="AD77" s="117" t="str">
        <f>IF(LEN(K77)&gt;1,concatll("#### Dedication",K77,"-"&amp;$B77),"")</f>
        <v/>
      </c>
      <c r="CA77" s="6" t="str">
        <f>IF(V77,concatll(concatl("---",W77,"---"),"*A collection of sites associated with this topic.*","#### Background",I77,AB77,AC77,AD77),"")</f>
        <v xml:space="preserve">---_x000D_
title: "Falkland Islands"_x000D_
---_x000D_
_x000D_
_x000D_
*A collection of sites associated with this topic.*_x000D_
_x000D_
#### Background_x000D_
_x000D_
Catholic places of interest in the Falkland Islands_x000D_
_x000D_
</v>
      </c>
      <c r="CB77" s="6" t="str">
        <f t="shared" si="15"/>
        <v>tags\fk\_index.md</v>
      </c>
    </row>
    <row r="78" spans="1:80" x14ac:dyDescent="0.25">
      <c r="A78" s="129" t="s">
        <v>786</v>
      </c>
      <c r="C78" s="1" t="s">
        <v>424</v>
      </c>
      <c r="D78" s="7" t="s">
        <v>523</v>
      </c>
      <c r="E78" s="7" t="s">
        <v>523</v>
      </c>
      <c r="F78" s="33" t="s">
        <v>523</v>
      </c>
      <c r="G78" s="7" t="s">
        <v>424</v>
      </c>
      <c r="I78" s="153" t="s">
        <v>1977</v>
      </c>
      <c r="J78" s="130"/>
      <c r="K78" s="139"/>
      <c r="L78" s="154" t="s">
        <v>53</v>
      </c>
      <c r="M78" s="154" t="s">
        <v>53</v>
      </c>
      <c r="N78" s="151" t="s">
        <v>53</v>
      </c>
      <c r="O78" s="40" t="s">
        <v>53</v>
      </c>
      <c r="P78" s="1" t="s">
        <v>53</v>
      </c>
      <c r="Q78" s="44" t="s">
        <v>53</v>
      </c>
      <c r="R78" s="1" t="s">
        <v>53</v>
      </c>
      <c r="S78" s="1" t="s">
        <v>53</v>
      </c>
      <c r="T78" s="30" t="s">
        <v>53</v>
      </c>
      <c r="U78" s="121" t="s">
        <v>53</v>
      </c>
      <c r="V78" s="116" t="b">
        <f t="shared" si="8"/>
        <v>1</v>
      </c>
      <c r="W78" s="117" t="str">
        <f t="shared" si="9"/>
        <v>title: "Micronesia"</v>
      </c>
      <c r="X78" s="120" t="str">
        <f t="shared" si="10"/>
        <v/>
      </c>
      <c r="Y78" s="120" t="str">
        <f t="shared" si="11"/>
        <v/>
      </c>
      <c r="Z78" s="120" t="str">
        <f t="shared" si="12"/>
        <v/>
      </c>
      <c r="AA78" s="120" t="str">
        <f t="shared" si="13"/>
        <v/>
      </c>
      <c r="AB78" s="117" t="str">
        <f t="shared" si="14"/>
        <v/>
      </c>
      <c r="AC78" s="117" t="str">
        <f>IF(LEN(J78)&gt;1,concatll("#### Author's Note",J78,"-"&amp;B78),"")</f>
        <v/>
      </c>
      <c r="AD78" s="117" t="str">
        <f>IF(LEN(K78)&gt;1,concatll("#### Dedication",K78,"-"&amp;$B78),"")</f>
        <v/>
      </c>
      <c r="CA78" s="6" t="str">
        <f>IF(V78,concatll(concatl("---",W78,"---"),"*A collection of sites associated with this topic.*","#### Background",I78,AB78,AC78,AD78),"")</f>
        <v xml:space="preserve">---_x000D_
title: "Micronesia"_x000D_
---_x000D_
_x000D_
_x000D_
*A collection of sites associated with this topic.*_x000D_
_x000D_
#### Background_x000D_
_x000D_
Catholic places of interest in Micronesia_x000D_
_x000D_
</v>
      </c>
      <c r="CB78" s="6" t="str">
        <f t="shared" si="15"/>
        <v>tags\fm\_index.md</v>
      </c>
    </row>
    <row r="79" spans="1:80" x14ac:dyDescent="0.25">
      <c r="A79" s="129" t="s">
        <v>786</v>
      </c>
      <c r="C79" s="1" t="s">
        <v>270</v>
      </c>
      <c r="D79" s="7" t="s">
        <v>524</v>
      </c>
      <c r="E79" s="7" t="s">
        <v>524</v>
      </c>
      <c r="F79" s="73" t="s">
        <v>524</v>
      </c>
      <c r="G79" s="71" t="s">
        <v>270</v>
      </c>
      <c r="H79" s="73"/>
      <c r="I79" s="153" t="s">
        <v>2196</v>
      </c>
      <c r="L79" s="154" t="s">
        <v>53</v>
      </c>
      <c r="M79" s="154" t="s">
        <v>53</v>
      </c>
      <c r="N79" s="151" t="s">
        <v>53</v>
      </c>
      <c r="O79" s="40" t="s">
        <v>53</v>
      </c>
      <c r="P79" s="1" t="s">
        <v>53</v>
      </c>
      <c r="Q79" s="44" t="s">
        <v>53</v>
      </c>
      <c r="R79" s="1" t="s">
        <v>53</v>
      </c>
      <c r="S79" s="1" t="s">
        <v>53</v>
      </c>
      <c r="T79" s="30" t="s">
        <v>53</v>
      </c>
      <c r="U79" s="121" t="s">
        <v>53</v>
      </c>
      <c r="V79" s="116" t="b">
        <f t="shared" si="8"/>
        <v>1</v>
      </c>
      <c r="W79" s="117" t="str">
        <f t="shared" si="9"/>
        <v>title: "Faroe Islands"</v>
      </c>
      <c r="X79" s="120" t="str">
        <f t="shared" si="10"/>
        <v/>
      </c>
      <c r="Y79" s="120" t="str">
        <f t="shared" si="11"/>
        <v/>
      </c>
      <c r="Z79" s="120" t="str">
        <f t="shared" si="12"/>
        <v/>
      </c>
      <c r="AA79" s="120" t="str">
        <f t="shared" si="13"/>
        <v/>
      </c>
      <c r="AB79" s="117" t="str">
        <f t="shared" si="14"/>
        <v/>
      </c>
      <c r="AC79" s="117" t="str">
        <f>IF(LEN(J79)&gt;1,concatll("#### Author's Note",J79,"-"&amp;B79),"")</f>
        <v/>
      </c>
      <c r="AD79" s="117" t="str">
        <f>IF(LEN(K79)&gt;1,concatll("#### Dedication",K79,"-"&amp;$B79),"")</f>
        <v/>
      </c>
      <c r="CA79" s="6" t="str">
        <f>IF(V79,concatll(concatl("---",W79,"---"),"*A collection of sites associated with this topic.*","#### Background",I79,AB79,AC79,AD79),"")</f>
        <v xml:space="preserve">---_x000D_
title: "Faroe Islands"_x000D_
---_x000D_
_x000D_
_x000D_
*A collection of sites associated with this topic.*_x000D_
_x000D_
#### Background_x000D_
_x000D_
Catholic places of interest in the Faroe Islands_x000D_
_x000D_
</v>
      </c>
      <c r="CB79" s="6" t="str">
        <f t="shared" si="15"/>
        <v>tags\fo\_index.md</v>
      </c>
    </row>
    <row r="80" spans="1:80" x14ac:dyDescent="0.25">
      <c r="A80" s="129" t="s">
        <v>786</v>
      </c>
      <c r="C80" s="1" t="s">
        <v>271</v>
      </c>
      <c r="D80" s="7" t="s">
        <v>525</v>
      </c>
      <c r="E80" s="7" t="s">
        <v>525</v>
      </c>
      <c r="F80" s="73" t="s">
        <v>525</v>
      </c>
      <c r="G80" s="71" t="s">
        <v>271</v>
      </c>
      <c r="H80" s="73"/>
      <c r="I80" s="153" t="s">
        <v>1978</v>
      </c>
      <c r="L80" s="154" t="s">
        <v>53</v>
      </c>
      <c r="M80" s="154" t="s">
        <v>53</v>
      </c>
      <c r="N80" s="151" t="s">
        <v>53</v>
      </c>
      <c r="O80" s="40" t="s">
        <v>53</v>
      </c>
      <c r="P80" s="1" t="s">
        <v>53</v>
      </c>
      <c r="Q80" s="44" t="s">
        <v>53</v>
      </c>
      <c r="R80" s="1" t="s">
        <v>53</v>
      </c>
      <c r="S80" s="1" t="s">
        <v>53</v>
      </c>
      <c r="T80" s="30" t="s">
        <v>53</v>
      </c>
      <c r="U80" s="121" t="s">
        <v>53</v>
      </c>
      <c r="V80" s="116" t="b">
        <f t="shared" si="8"/>
        <v>1</v>
      </c>
      <c r="W80" s="117" t="str">
        <f t="shared" si="9"/>
        <v>title: "France"</v>
      </c>
      <c r="X80" s="120" t="str">
        <f t="shared" si="10"/>
        <v/>
      </c>
      <c r="Y80" s="120" t="str">
        <f t="shared" si="11"/>
        <v/>
      </c>
      <c r="Z80" s="120" t="str">
        <f t="shared" si="12"/>
        <v/>
      </c>
      <c r="AA80" s="120" t="str">
        <f t="shared" si="13"/>
        <v/>
      </c>
      <c r="AB80" s="117" t="str">
        <f t="shared" si="14"/>
        <v/>
      </c>
      <c r="AC80" s="117" t="str">
        <f>IF(LEN(J80)&gt;1,concatll("#### Author's Note",J80,"-"&amp;B80),"")</f>
        <v/>
      </c>
      <c r="AD80" s="117" t="str">
        <f>IF(LEN(K80)&gt;1,concatll("#### Dedication",K80,"-"&amp;$B80),"")</f>
        <v/>
      </c>
      <c r="CA80" s="6" t="str">
        <f>IF(V80,concatll(concatl("---",W80,"---"),"*A collection of sites associated with this topic.*","#### Background",I80,AB80,AC80,AD80),"")</f>
        <v xml:space="preserve">---_x000D_
title: "France"_x000D_
---_x000D_
_x000D_
_x000D_
*A collection of sites associated with this topic.*_x000D_
_x000D_
#### Background_x000D_
_x000D_
Catholic places of interest in France_x000D_
_x000D_
</v>
      </c>
      <c r="CB80" s="6" t="str">
        <f t="shared" si="15"/>
        <v>tags\fr\_index.md</v>
      </c>
    </row>
    <row r="81" spans="1:80" x14ac:dyDescent="0.25">
      <c r="A81" s="129" t="s">
        <v>786</v>
      </c>
      <c r="C81" s="1" t="s">
        <v>272</v>
      </c>
      <c r="D81" s="7" t="s">
        <v>526</v>
      </c>
      <c r="E81" s="7" t="s">
        <v>526</v>
      </c>
      <c r="F81" s="73" t="s">
        <v>526</v>
      </c>
      <c r="G81" s="71" t="s">
        <v>272</v>
      </c>
      <c r="H81" s="73"/>
      <c r="I81" s="153" t="s">
        <v>1979</v>
      </c>
      <c r="L81" s="154" t="s">
        <v>53</v>
      </c>
      <c r="M81" s="154" t="s">
        <v>53</v>
      </c>
      <c r="N81" s="151" t="s">
        <v>53</v>
      </c>
      <c r="O81" s="40" t="s">
        <v>53</v>
      </c>
      <c r="P81" s="1" t="s">
        <v>53</v>
      </c>
      <c r="Q81" s="44" t="s">
        <v>53</v>
      </c>
      <c r="R81" s="1" t="s">
        <v>53</v>
      </c>
      <c r="S81" s="1" t="s">
        <v>53</v>
      </c>
      <c r="T81" s="30" t="s">
        <v>53</v>
      </c>
      <c r="U81" s="121" t="s">
        <v>53</v>
      </c>
      <c r="V81" s="116" t="b">
        <f t="shared" si="8"/>
        <v>1</v>
      </c>
      <c r="W81" s="117" t="str">
        <f t="shared" si="9"/>
        <v>title: "Gabon"</v>
      </c>
      <c r="X81" s="120" t="str">
        <f t="shared" si="10"/>
        <v/>
      </c>
      <c r="Y81" s="120" t="str">
        <f t="shared" si="11"/>
        <v/>
      </c>
      <c r="Z81" s="120" t="str">
        <f t="shared" si="12"/>
        <v/>
      </c>
      <c r="AA81" s="120" t="str">
        <f t="shared" si="13"/>
        <v/>
      </c>
      <c r="AB81" s="117" t="str">
        <f t="shared" si="14"/>
        <v/>
      </c>
      <c r="AC81" s="117" t="str">
        <f>IF(LEN(J81)&gt;1,concatll("#### Author's Note",J81,"-"&amp;B81),"")</f>
        <v/>
      </c>
      <c r="AD81" s="117" t="str">
        <f>IF(LEN(K81)&gt;1,concatll("#### Dedication",K81,"-"&amp;$B81),"")</f>
        <v/>
      </c>
      <c r="CA81" s="6" t="str">
        <f>IF(V81,concatll(concatl("---",W81,"---"),"*A collection of sites associated with this topic.*","#### Background",I81,AB81,AC81,AD81),"")</f>
        <v xml:space="preserve">---_x000D_
title: "Gabon"_x000D_
---_x000D_
_x000D_
_x000D_
*A collection of sites associated with this topic.*_x000D_
_x000D_
#### Background_x000D_
_x000D_
Catholic places of interest in Gabon_x000D_
_x000D_
</v>
      </c>
      <c r="CB81" s="6" t="str">
        <f t="shared" si="15"/>
        <v>tags\ga\_index.md</v>
      </c>
    </row>
    <row r="82" spans="1:80" x14ac:dyDescent="0.25">
      <c r="A82" s="129" t="s">
        <v>786</v>
      </c>
      <c r="C82" s="1" t="s">
        <v>445</v>
      </c>
      <c r="D82" s="7" t="s">
        <v>527</v>
      </c>
      <c r="E82" s="7" t="s">
        <v>527</v>
      </c>
      <c r="F82" s="81" t="s">
        <v>527</v>
      </c>
      <c r="G82" s="80" t="s">
        <v>445</v>
      </c>
      <c r="H82" s="81"/>
      <c r="I82" s="153" t="s">
        <v>2197</v>
      </c>
      <c r="L82" s="154" t="s">
        <v>53</v>
      </c>
      <c r="M82" s="154" t="s">
        <v>53</v>
      </c>
      <c r="N82" s="151" t="s">
        <v>53</v>
      </c>
      <c r="O82" s="40" t="s">
        <v>53</v>
      </c>
      <c r="P82" s="1" t="s">
        <v>53</v>
      </c>
      <c r="Q82" s="44" t="s">
        <v>53</v>
      </c>
      <c r="R82" s="1" t="s">
        <v>53</v>
      </c>
      <c r="S82" s="1" t="s">
        <v>53</v>
      </c>
      <c r="T82" s="30" t="s">
        <v>53</v>
      </c>
      <c r="U82" s="121" t="s">
        <v>53</v>
      </c>
      <c r="V82" s="116" t="b">
        <f t="shared" si="8"/>
        <v>1</v>
      </c>
      <c r="W82" s="117" t="str">
        <f t="shared" si="9"/>
        <v>title: "United Kingdom"</v>
      </c>
      <c r="X82" s="120" t="str">
        <f t="shared" si="10"/>
        <v/>
      </c>
      <c r="Y82" s="120" t="str">
        <f t="shared" si="11"/>
        <v/>
      </c>
      <c r="Z82" s="120" t="str">
        <f t="shared" si="12"/>
        <v/>
      </c>
      <c r="AA82" s="120" t="str">
        <f t="shared" si="13"/>
        <v/>
      </c>
      <c r="AB82" s="117" t="str">
        <f t="shared" si="14"/>
        <v/>
      </c>
      <c r="AC82" s="117" t="str">
        <f>IF(LEN(J82)&gt;1,concatll("#### Author's Note",J82,"-"&amp;B82),"")</f>
        <v/>
      </c>
      <c r="AD82" s="117" t="str">
        <f>IF(LEN(K82)&gt;1,concatll("#### Dedication",K82,"-"&amp;$B82),"")</f>
        <v/>
      </c>
      <c r="CA82" s="6" t="str">
        <f>IF(V82,concatll(concatl("---",W82,"---"),"*A collection of sites associated with this topic.*","#### Background",I82,AB82,AC82,AD82),"")</f>
        <v xml:space="preserve">---_x000D_
title: "United Kingdom"_x000D_
---_x000D_
_x000D_
_x000D_
*A collection of sites associated with this topic.*_x000D_
_x000D_
#### Background_x000D_
_x000D_
Catholic places of interest in the United Kingdom_x000D_
_x000D_
</v>
      </c>
      <c r="CB82" s="6" t="str">
        <f t="shared" si="15"/>
        <v>tags\gb\_index.md</v>
      </c>
    </row>
    <row r="83" spans="1:80" x14ac:dyDescent="0.25">
      <c r="A83" s="129" t="s">
        <v>786</v>
      </c>
      <c r="C83" s="1" t="s">
        <v>273</v>
      </c>
      <c r="D83" s="7" t="s">
        <v>528</v>
      </c>
      <c r="E83" s="7" t="s">
        <v>528</v>
      </c>
      <c r="F83" s="33" t="s">
        <v>528</v>
      </c>
      <c r="G83" s="90" t="s">
        <v>273</v>
      </c>
      <c r="I83" s="153" t="s">
        <v>1980</v>
      </c>
      <c r="J83" s="130"/>
      <c r="K83" s="139"/>
      <c r="L83" s="154" t="s">
        <v>53</v>
      </c>
      <c r="M83" s="154" t="s">
        <v>53</v>
      </c>
      <c r="N83" s="151" t="s">
        <v>53</v>
      </c>
      <c r="O83" s="40" t="s">
        <v>53</v>
      </c>
      <c r="P83" s="1" t="s">
        <v>53</v>
      </c>
      <c r="Q83" s="44" t="s">
        <v>53</v>
      </c>
      <c r="R83" s="1" t="s">
        <v>53</v>
      </c>
      <c r="S83" s="1" t="s">
        <v>53</v>
      </c>
      <c r="T83" s="30" t="s">
        <v>53</v>
      </c>
      <c r="U83" s="121" t="s">
        <v>53</v>
      </c>
      <c r="V83" s="116" t="b">
        <f t="shared" si="8"/>
        <v>1</v>
      </c>
      <c r="W83" s="117" t="str">
        <f t="shared" si="9"/>
        <v>title: "Grenada"</v>
      </c>
      <c r="X83" s="120" t="str">
        <f t="shared" si="10"/>
        <v/>
      </c>
      <c r="Y83" s="120" t="str">
        <f t="shared" si="11"/>
        <v/>
      </c>
      <c r="Z83" s="120" t="str">
        <f t="shared" si="12"/>
        <v/>
      </c>
      <c r="AA83" s="120" t="str">
        <f t="shared" si="13"/>
        <v/>
      </c>
      <c r="AB83" s="117" t="str">
        <f t="shared" si="14"/>
        <v/>
      </c>
      <c r="AC83" s="117" t="str">
        <f>IF(LEN(J83)&gt;1,concatll("#### Author's Note",J83,"-"&amp;B83),"")</f>
        <v/>
      </c>
      <c r="AD83" s="117" t="str">
        <f>IF(LEN(K83)&gt;1,concatll("#### Dedication",K83,"-"&amp;$B83),"")</f>
        <v/>
      </c>
      <c r="CA83" s="6" t="str">
        <f>IF(V83,concatll(concatl("---",W83,"---"),"*A collection of sites associated with this topic.*","#### Background",I83,AB83,AC83,AD83),"")</f>
        <v xml:space="preserve">---_x000D_
title: "Grenada"_x000D_
---_x000D_
_x000D_
_x000D_
*A collection of sites associated with this topic.*_x000D_
_x000D_
#### Background_x000D_
_x000D_
Catholic places of interest in Grenada_x000D_
_x000D_
</v>
      </c>
      <c r="CB83" s="6" t="str">
        <f t="shared" si="15"/>
        <v>tags\gd\_index.md</v>
      </c>
    </row>
    <row r="84" spans="1:80" x14ac:dyDescent="0.25">
      <c r="A84" s="129" t="s">
        <v>786</v>
      </c>
      <c r="C84" s="1" t="s">
        <v>274</v>
      </c>
      <c r="D84" s="7" t="s">
        <v>529</v>
      </c>
      <c r="E84" s="7" t="s">
        <v>529</v>
      </c>
      <c r="F84" s="33" t="s">
        <v>529</v>
      </c>
      <c r="G84" s="90" t="s">
        <v>274</v>
      </c>
      <c r="I84" s="153" t="s">
        <v>1981</v>
      </c>
      <c r="L84" s="154" t="s">
        <v>53</v>
      </c>
      <c r="M84" s="154" t="s">
        <v>53</v>
      </c>
      <c r="N84" s="151" t="s">
        <v>53</v>
      </c>
      <c r="O84" s="40" t="s">
        <v>53</v>
      </c>
      <c r="P84" s="1" t="s">
        <v>53</v>
      </c>
      <c r="Q84" s="44" t="s">
        <v>53</v>
      </c>
      <c r="R84" s="1" t="s">
        <v>53</v>
      </c>
      <c r="S84" s="1" t="s">
        <v>53</v>
      </c>
      <c r="T84" s="30" t="s">
        <v>53</v>
      </c>
      <c r="U84" s="121" t="s">
        <v>53</v>
      </c>
      <c r="V84" s="116" t="b">
        <f t="shared" si="8"/>
        <v>1</v>
      </c>
      <c r="W84" s="117" t="str">
        <f t="shared" si="9"/>
        <v>title: "Georgia"</v>
      </c>
      <c r="X84" s="120" t="str">
        <f t="shared" si="10"/>
        <v/>
      </c>
      <c r="Y84" s="120" t="str">
        <f t="shared" si="11"/>
        <v/>
      </c>
      <c r="Z84" s="120" t="str">
        <f t="shared" si="12"/>
        <v/>
      </c>
      <c r="AA84" s="120" t="str">
        <f t="shared" si="13"/>
        <v/>
      </c>
      <c r="AB84" s="117" t="str">
        <f t="shared" si="14"/>
        <v/>
      </c>
      <c r="AC84" s="117" t="str">
        <f>IF(LEN(J84)&gt;1,concatll("#### Author's Note",J84,"-"&amp;B84),"")</f>
        <v/>
      </c>
      <c r="AD84" s="117" t="str">
        <f>IF(LEN(K84)&gt;1,concatll("#### Dedication",K84,"-"&amp;$B84),"")</f>
        <v/>
      </c>
      <c r="CA84" s="6" t="str">
        <f>IF(V84,concatll(concatl("---",W84,"---"),"*A collection of sites associated with this topic.*","#### Background",I84,AB84,AC84,AD84),"")</f>
        <v xml:space="preserve">---_x000D_
title: "Georgia"_x000D_
---_x000D_
_x000D_
_x000D_
*A collection of sites associated with this topic.*_x000D_
_x000D_
#### Background_x000D_
_x000D_
Catholic places of interest in Georgia_x000D_
_x000D_
</v>
      </c>
      <c r="CB84" s="6" t="str">
        <f t="shared" si="15"/>
        <v>tags\ge\_index.md</v>
      </c>
    </row>
    <row r="85" spans="1:80" x14ac:dyDescent="0.25">
      <c r="A85" s="129" t="s">
        <v>786</v>
      </c>
      <c r="B85" s="90"/>
      <c r="C85" s="91" t="s">
        <v>275</v>
      </c>
      <c r="D85" s="90" t="s">
        <v>530</v>
      </c>
      <c r="E85" s="90" t="s">
        <v>530</v>
      </c>
      <c r="F85" s="92" t="s">
        <v>530</v>
      </c>
      <c r="G85" s="90" t="s">
        <v>275</v>
      </c>
      <c r="H85" s="92"/>
      <c r="I85" s="153" t="s">
        <v>1982</v>
      </c>
      <c r="L85" s="154" t="s">
        <v>53</v>
      </c>
      <c r="M85" s="154" t="s">
        <v>53</v>
      </c>
      <c r="N85" s="151" t="s">
        <v>53</v>
      </c>
      <c r="O85" s="40" t="s">
        <v>53</v>
      </c>
      <c r="P85" s="1" t="s">
        <v>53</v>
      </c>
      <c r="Q85" s="44" t="s">
        <v>53</v>
      </c>
      <c r="R85" s="1" t="s">
        <v>53</v>
      </c>
      <c r="S85" s="1" t="s">
        <v>53</v>
      </c>
      <c r="T85" s="30" t="s">
        <v>53</v>
      </c>
      <c r="U85" s="121" t="s">
        <v>53</v>
      </c>
      <c r="V85" s="116" t="b">
        <f t="shared" si="8"/>
        <v>1</v>
      </c>
      <c r="W85" s="117" t="str">
        <f t="shared" si="9"/>
        <v>title: "French Guiana"</v>
      </c>
      <c r="X85" s="120" t="str">
        <f t="shared" si="10"/>
        <v/>
      </c>
      <c r="Y85" s="120" t="str">
        <f t="shared" si="11"/>
        <v/>
      </c>
      <c r="Z85" s="120" t="str">
        <f t="shared" si="12"/>
        <v/>
      </c>
      <c r="AA85" s="120" t="str">
        <f t="shared" si="13"/>
        <v/>
      </c>
      <c r="AB85" s="117" t="str">
        <f t="shared" si="14"/>
        <v/>
      </c>
      <c r="AC85" s="117" t="str">
        <f>IF(LEN(J85)&gt;1,concatll("#### Author's Note",J85,"-"&amp;B85),"")</f>
        <v/>
      </c>
      <c r="AD85" s="117" t="str">
        <f>IF(LEN(K85)&gt;1,concatll("#### Dedication",K85,"-"&amp;$B85),"")</f>
        <v/>
      </c>
      <c r="CA85" s="6" t="str">
        <f>IF(V85,concatll(concatl("---",W85,"---"),"*A collection of sites associated with this topic.*","#### Background",I85,AB85,AC85,AD85),"")</f>
        <v xml:space="preserve">---_x000D_
title: "French Guiana"_x000D_
---_x000D_
_x000D_
_x000D_
*A collection of sites associated with this topic.*_x000D_
_x000D_
#### Background_x000D_
_x000D_
Catholic places of interest in French Guiana_x000D_
_x000D_
</v>
      </c>
      <c r="CB85" s="6" t="str">
        <f t="shared" si="15"/>
        <v>tags\gf\_index.md</v>
      </c>
    </row>
    <row r="86" spans="1:80" x14ac:dyDescent="0.25">
      <c r="A86" s="129" t="s">
        <v>786</v>
      </c>
      <c r="B86" s="130"/>
      <c r="C86" s="132" t="s">
        <v>276</v>
      </c>
      <c r="D86" s="130" t="s">
        <v>531</v>
      </c>
      <c r="E86" s="130" t="s">
        <v>531</v>
      </c>
      <c r="F86" s="86" t="s">
        <v>531</v>
      </c>
      <c r="G86" s="84" t="s">
        <v>276</v>
      </c>
      <c r="I86" s="153" t="s">
        <v>1983</v>
      </c>
      <c r="L86" s="154" t="s">
        <v>53</v>
      </c>
      <c r="M86" s="154" t="s">
        <v>53</v>
      </c>
      <c r="N86" s="151" t="s">
        <v>53</v>
      </c>
      <c r="O86" s="40" t="s">
        <v>53</v>
      </c>
      <c r="P86" s="1" t="s">
        <v>53</v>
      </c>
      <c r="Q86" s="44" t="s">
        <v>53</v>
      </c>
      <c r="R86" s="1" t="s">
        <v>53</v>
      </c>
      <c r="S86" s="1" t="s">
        <v>53</v>
      </c>
      <c r="T86" s="30" t="s">
        <v>53</v>
      </c>
      <c r="U86" s="121" t="s">
        <v>53</v>
      </c>
      <c r="V86" s="116" t="b">
        <f t="shared" si="8"/>
        <v>1</v>
      </c>
      <c r="W86" s="117" t="str">
        <f t="shared" si="9"/>
        <v>title: "Guernsey"</v>
      </c>
      <c r="X86" s="120" t="str">
        <f t="shared" si="10"/>
        <v/>
      </c>
      <c r="Y86" s="120" t="str">
        <f t="shared" si="11"/>
        <v/>
      </c>
      <c r="Z86" s="120" t="str">
        <f t="shared" si="12"/>
        <v/>
      </c>
      <c r="AA86" s="120" t="str">
        <f t="shared" si="13"/>
        <v/>
      </c>
      <c r="AB86" s="117" t="str">
        <f t="shared" si="14"/>
        <v/>
      </c>
      <c r="AC86" s="117" t="str">
        <f>IF(LEN(J86)&gt;1,concatll("#### Author's Note",J86,"-"&amp;B86),"")</f>
        <v/>
      </c>
      <c r="AD86" s="117" t="str">
        <f>IF(LEN(K86)&gt;1,concatll("#### Dedication",K86,"-"&amp;$B86),"")</f>
        <v/>
      </c>
      <c r="CA86" s="6" t="str">
        <f>IF(V86,concatll(concatl("---",W86,"---"),"*A collection of sites associated with this topic.*","#### Background",I86,AB86,AC86,AD86),"")</f>
        <v xml:space="preserve">---_x000D_
title: "Guernsey"_x000D_
---_x000D_
_x000D_
_x000D_
*A collection of sites associated with this topic.*_x000D_
_x000D_
#### Background_x000D_
_x000D_
Catholic places of interest in Guernsey_x000D_
_x000D_
</v>
      </c>
      <c r="CB86" s="6" t="str">
        <f t="shared" si="15"/>
        <v>tags\gg\_index.md</v>
      </c>
    </row>
    <row r="87" spans="1:80" x14ac:dyDescent="0.25">
      <c r="A87" s="129" t="s">
        <v>786</v>
      </c>
      <c r="B87" s="55"/>
      <c r="C87" s="62" t="s">
        <v>277</v>
      </c>
      <c r="D87" s="55" t="s">
        <v>532</v>
      </c>
      <c r="E87" s="55" t="s">
        <v>532</v>
      </c>
      <c r="F87" s="61" t="s">
        <v>532</v>
      </c>
      <c r="G87" s="7" t="s">
        <v>277</v>
      </c>
      <c r="H87" s="61"/>
      <c r="I87" s="153" t="s">
        <v>1984</v>
      </c>
      <c r="L87" s="154" t="s">
        <v>53</v>
      </c>
      <c r="M87" s="154" t="s">
        <v>53</v>
      </c>
      <c r="N87" s="151" t="s">
        <v>53</v>
      </c>
      <c r="O87" s="40" t="s">
        <v>53</v>
      </c>
      <c r="P87" s="1" t="s">
        <v>53</v>
      </c>
      <c r="Q87" s="44" t="s">
        <v>53</v>
      </c>
      <c r="R87" s="1" t="s">
        <v>53</v>
      </c>
      <c r="S87" s="1" t="s">
        <v>53</v>
      </c>
      <c r="T87" s="30" t="s">
        <v>53</v>
      </c>
      <c r="U87" s="121" t="s">
        <v>53</v>
      </c>
      <c r="V87" s="116" t="b">
        <f t="shared" si="8"/>
        <v>1</v>
      </c>
      <c r="W87" s="117" t="str">
        <f t="shared" si="9"/>
        <v>title: "Ghana"</v>
      </c>
      <c r="X87" s="120" t="str">
        <f t="shared" si="10"/>
        <v/>
      </c>
      <c r="Y87" s="120" t="str">
        <f t="shared" si="11"/>
        <v/>
      </c>
      <c r="Z87" s="120" t="str">
        <f t="shared" si="12"/>
        <v/>
      </c>
      <c r="AA87" s="120" t="str">
        <f t="shared" si="13"/>
        <v/>
      </c>
      <c r="AB87" s="117" t="str">
        <f t="shared" si="14"/>
        <v/>
      </c>
      <c r="AC87" s="117" t="str">
        <f>IF(LEN(J87)&gt;1,concatll("#### Author's Note",J87,"-"&amp;B87),"")</f>
        <v/>
      </c>
      <c r="AD87" s="117" t="str">
        <f>IF(LEN(K87)&gt;1,concatll("#### Dedication",K87,"-"&amp;$B87),"")</f>
        <v/>
      </c>
      <c r="CA87" s="6" t="str">
        <f>IF(V87,concatll(concatl("---",W87,"---"),"*A collection of sites associated with this topic.*","#### Background",I87,AB87,AC87,AD87),"")</f>
        <v xml:space="preserve">---_x000D_
title: "Ghana"_x000D_
---_x000D_
_x000D_
_x000D_
*A collection of sites associated with this topic.*_x000D_
_x000D_
#### Background_x000D_
_x000D_
Catholic places of interest in Ghana_x000D_
_x000D_
</v>
      </c>
      <c r="CB87" s="6" t="str">
        <f t="shared" si="15"/>
        <v>tags\gh\_index.md</v>
      </c>
    </row>
    <row r="88" spans="1:80" x14ac:dyDescent="0.25">
      <c r="A88" s="129" t="s">
        <v>786</v>
      </c>
      <c r="B88" s="130"/>
      <c r="C88" s="132" t="s">
        <v>278</v>
      </c>
      <c r="D88" s="130" t="s">
        <v>533</v>
      </c>
      <c r="E88" s="130" t="s">
        <v>533</v>
      </c>
      <c r="F88" s="33" t="s">
        <v>533</v>
      </c>
      <c r="G88" s="7" t="s">
        <v>278</v>
      </c>
      <c r="H88" s="86"/>
      <c r="I88" s="153" t="s">
        <v>1985</v>
      </c>
      <c r="L88" s="154" t="s">
        <v>53</v>
      </c>
      <c r="M88" s="154" t="s">
        <v>53</v>
      </c>
      <c r="N88" s="151" t="s">
        <v>53</v>
      </c>
      <c r="O88" s="40" t="s">
        <v>53</v>
      </c>
      <c r="P88" s="1" t="s">
        <v>53</v>
      </c>
      <c r="Q88" s="44" t="s">
        <v>53</v>
      </c>
      <c r="R88" s="1" t="s">
        <v>53</v>
      </c>
      <c r="S88" s="1" t="s">
        <v>53</v>
      </c>
      <c r="T88" s="30" t="s">
        <v>53</v>
      </c>
      <c r="U88" s="121" t="s">
        <v>53</v>
      </c>
      <c r="V88" s="116" t="b">
        <f t="shared" si="8"/>
        <v>1</v>
      </c>
      <c r="W88" s="117" t="str">
        <f t="shared" si="9"/>
        <v>title: "Gibraltar"</v>
      </c>
      <c r="X88" s="120" t="str">
        <f t="shared" si="10"/>
        <v/>
      </c>
      <c r="Y88" s="120" t="str">
        <f t="shared" si="11"/>
        <v/>
      </c>
      <c r="Z88" s="120" t="str">
        <f t="shared" si="12"/>
        <v/>
      </c>
      <c r="AA88" s="120" t="str">
        <f t="shared" si="13"/>
        <v/>
      </c>
      <c r="AB88" s="117" t="str">
        <f t="shared" si="14"/>
        <v/>
      </c>
      <c r="AC88" s="117" t="str">
        <f>IF(LEN(J88)&gt;1,concatll("#### Author's Note",J88,"-"&amp;B88),"")</f>
        <v/>
      </c>
      <c r="AD88" s="117" t="str">
        <f>IF(LEN(K88)&gt;1,concatll("#### Dedication",K88,"-"&amp;$B88),"")</f>
        <v/>
      </c>
      <c r="CA88" s="6" t="str">
        <f>IF(V88,concatll(concatl("---",W88,"---"),"*A collection of sites associated with this topic.*","#### Background",I88,AB88,AC88,AD88),"")</f>
        <v xml:space="preserve">---_x000D_
title: "Gibraltar"_x000D_
---_x000D_
_x000D_
_x000D_
*A collection of sites associated with this topic.*_x000D_
_x000D_
#### Background_x000D_
_x000D_
Catholic places of interest in Gibraltar_x000D_
_x000D_
</v>
      </c>
      <c r="CB88" s="6" t="str">
        <f t="shared" si="15"/>
        <v>tags\gi\_index.md</v>
      </c>
    </row>
    <row r="89" spans="1:80" x14ac:dyDescent="0.25">
      <c r="A89" s="129" t="s">
        <v>786</v>
      </c>
      <c r="C89" s="1" t="s">
        <v>279</v>
      </c>
      <c r="D89" s="7" t="s">
        <v>534</v>
      </c>
      <c r="E89" s="7" t="s">
        <v>534</v>
      </c>
      <c r="F89" s="33" t="s">
        <v>534</v>
      </c>
      <c r="G89" s="7" t="s">
        <v>279</v>
      </c>
      <c r="H89" s="86"/>
      <c r="I89" s="153" t="s">
        <v>1986</v>
      </c>
      <c r="L89" s="154" t="s">
        <v>53</v>
      </c>
      <c r="M89" s="154" t="s">
        <v>53</v>
      </c>
      <c r="N89" s="151" t="s">
        <v>53</v>
      </c>
      <c r="O89" s="40" t="s">
        <v>53</v>
      </c>
      <c r="P89" s="1" t="s">
        <v>53</v>
      </c>
      <c r="Q89" s="44" t="s">
        <v>53</v>
      </c>
      <c r="R89" s="1" t="s">
        <v>53</v>
      </c>
      <c r="S89" s="1" t="s">
        <v>53</v>
      </c>
      <c r="T89" s="30" t="s">
        <v>53</v>
      </c>
      <c r="U89" s="121" t="s">
        <v>53</v>
      </c>
      <c r="V89" s="116" t="b">
        <f t="shared" si="8"/>
        <v>1</v>
      </c>
      <c r="W89" s="117" t="str">
        <f t="shared" si="9"/>
        <v>title: "Greenland"</v>
      </c>
      <c r="X89" s="120" t="str">
        <f t="shared" si="10"/>
        <v/>
      </c>
      <c r="Y89" s="120" t="str">
        <f t="shared" si="11"/>
        <v/>
      </c>
      <c r="Z89" s="120" t="str">
        <f t="shared" si="12"/>
        <v/>
      </c>
      <c r="AA89" s="120" t="str">
        <f t="shared" si="13"/>
        <v/>
      </c>
      <c r="AB89" s="117" t="str">
        <f t="shared" si="14"/>
        <v/>
      </c>
      <c r="AC89" s="117" t="str">
        <f>IF(LEN(J89)&gt;1,concatll("#### Author's Note",J89,"-"&amp;B89),"")</f>
        <v/>
      </c>
      <c r="AD89" s="117" t="str">
        <f>IF(LEN(K89)&gt;1,concatll("#### Dedication",K89,"-"&amp;$B89),"")</f>
        <v/>
      </c>
      <c r="CA89" s="6" t="str">
        <f>IF(V89,concatll(concatl("---",W89,"---"),"*A collection of sites associated with this topic.*","#### Background",I89,AB89,AC89,AD89),"")</f>
        <v xml:space="preserve">---_x000D_
title: "Greenland"_x000D_
---_x000D_
_x000D_
_x000D_
*A collection of sites associated with this topic.*_x000D_
_x000D_
#### Background_x000D_
_x000D_
Catholic places of interest in Greenland_x000D_
_x000D_
</v>
      </c>
      <c r="CB89" s="6" t="str">
        <f t="shared" si="15"/>
        <v>tags\gl\_index.md</v>
      </c>
    </row>
    <row r="90" spans="1:80" x14ac:dyDescent="0.25">
      <c r="A90" s="129" t="s">
        <v>786</v>
      </c>
      <c r="C90" s="1" t="s">
        <v>280</v>
      </c>
      <c r="D90" s="7" t="s">
        <v>535</v>
      </c>
      <c r="E90" s="7" t="s">
        <v>535</v>
      </c>
      <c r="F90" s="33" t="s">
        <v>535</v>
      </c>
      <c r="G90" s="7" t="s">
        <v>280</v>
      </c>
      <c r="H90" s="86"/>
      <c r="I90" s="153" t="s">
        <v>1987</v>
      </c>
      <c r="L90" s="154" t="s">
        <v>53</v>
      </c>
      <c r="M90" s="154" t="s">
        <v>53</v>
      </c>
      <c r="N90" s="151" t="s">
        <v>53</v>
      </c>
      <c r="O90" s="40" t="s">
        <v>53</v>
      </c>
      <c r="P90" s="1" t="s">
        <v>53</v>
      </c>
      <c r="Q90" s="44" t="s">
        <v>53</v>
      </c>
      <c r="R90" s="1" t="s">
        <v>53</v>
      </c>
      <c r="S90" s="1" t="s">
        <v>53</v>
      </c>
      <c r="T90" s="30" t="s">
        <v>53</v>
      </c>
      <c r="U90" s="121" t="s">
        <v>53</v>
      </c>
      <c r="V90" s="116" t="b">
        <f t="shared" si="8"/>
        <v>1</v>
      </c>
      <c r="W90" s="117" t="str">
        <f t="shared" si="9"/>
        <v>title: "Gambia"</v>
      </c>
      <c r="X90" s="120" t="str">
        <f t="shared" si="10"/>
        <v/>
      </c>
      <c r="Y90" s="120" t="str">
        <f t="shared" si="11"/>
        <v/>
      </c>
      <c r="Z90" s="120" t="str">
        <f t="shared" si="12"/>
        <v/>
      </c>
      <c r="AA90" s="120" t="str">
        <f t="shared" si="13"/>
        <v/>
      </c>
      <c r="AB90" s="117" t="str">
        <f t="shared" si="14"/>
        <v/>
      </c>
      <c r="AC90" s="117" t="str">
        <f>IF(LEN(J90)&gt;1,concatll("#### Author's Note",J90,"-"&amp;B90),"")</f>
        <v/>
      </c>
      <c r="AD90" s="117" t="str">
        <f>IF(LEN(K90)&gt;1,concatll("#### Dedication",K90,"-"&amp;$B90),"")</f>
        <v/>
      </c>
      <c r="CA90" s="6" t="str">
        <f>IF(V90,concatll(concatl("---",W90,"---"),"*A collection of sites associated with this topic.*","#### Background",I90,AB90,AC90,AD90),"")</f>
        <v xml:space="preserve">---_x000D_
title: "Gambia"_x000D_
---_x000D_
_x000D_
_x000D_
*A collection of sites associated with this topic.*_x000D_
_x000D_
#### Background_x000D_
_x000D_
Catholic places of interest in Gambia_x000D_
_x000D_
</v>
      </c>
      <c r="CB90" s="6" t="str">
        <f t="shared" si="15"/>
        <v>tags\gm\_index.md</v>
      </c>
    </row>
    <row r="91" spans="1:80" x14ac:dyDescent="0.25">
      <c r="A91" s="129" t="s">
        <v>786</v>
      </c>
      <c r="C91" s="1" t="s">
        <v>281</v>
      </c>
      <c r="D91" s="7" t="s">
        <v>536</v>
      </c>
      <c r="E91" s="7" t="s">
        <v>536</v>
      </c>
      <c r="F91" s="33" t="s">
        <v>536</v>
      </c>
      <c r="G91" s="7" t="s">
        <v>281</v>
      </c>
      <c r="H91" s="86"/>
      <c r="I91" s="153" t="s">
        <v>1988</v>
      </c>
      <c r="L91" s="154" t="s">
        <v>53</v>
      </c>
      <c r="M91" s="154" t="s">
        <v>53</v>
      </c>
      <c r="N91" s="151" t="s">
        <v>53</v>
      </c>
      <c r="O91" s="40" t="s">
        <v>53</v>
      </c>
      <c r="P91" s="1" t="s">
        <v>53</v>
      </c>
      <c r="Q91" s="44" t="s">
        <v>53</v>
      </c>
      <c r="R91" s="1" t="s">
        <v>53</v>
      </c>
      <c r="S91" s="1" t="s">
        <v>53</v>
      </c>
      <c r="T91" s="30" t="s">
        <v>53</v>
      </c>
      <c r="U91" s="121" t="s">
        <v>53</v>
      </c>
      <c r="V91" s="116" t="b">
        <f t="shared" si="8"/>
        <v>1</v>
      </c>
      <c r="W91" s="117" t="str">
        <f t="shared" si="9"/>
        <v>title: "Guinea"</v>
      </c>
      <c r="X91" s="120" t="str">
        <f t="shared" si="10"/>
        <v/>
      </c>
      <c r="Y91" s="120" t="str">
        <f t="shared" si="11"/>
        <v/>
      </c>
      <c r="Z91" s="120" t="str">
        <f t="shared" si="12"/>
        <v/>
      </c>
      <c r="AA91" s="120" t="str">
        <f t="shared" si="13"/>
        <v/>
      </c>
      <c r="AB91" s="117" t="str">
        <f t="shared" si="14"/>
        <v/>
      </c>
      <c r="AC91" s="117" t="str">
        <f>IF(LEN(J91)&gt;1,concatll("#### Author's Note",J91,"-"&amp;B91),"")</f>
        <v/>
      </c>
      <c r="AD91" s="117" t="str">
        <f>IF(LEN(K91)&gt;1,concatll("#### Dedication",K91,"-"&amp;$B91),"")</f>
        <v/>
      </c>
      <c r="CA91" s="6" t="str">
        <f>IF(V91,concatll(concatl("---",W91,"---"),"*A collection of sites associated with this topic.*","#### Background",I91,AB91,AC91,AD91),"")</f>
        <v xml:space="preserve">---_x000D_
title: "Guinea"_x000D_
---_x000D_
_x000D_
_x000D_
*A collection of sites associated with this topic.*_x000D_
_x000D_
#### Background_x000D_
_x000D_
Catholic places of interest in Guinea_x000D_
_x000D_
</v>
      </c>
      <c r="CB91" s="6" t="str">
        <f t="shared" si="15"/>
        <v>tags\gn\_index.md</v>
      </c>
    </row>
    <row r="92" spans="1:80" x14ac:dyDescent="0.25">
      <c r="A92" s="129" t="s">
        <v>786</v>
      </c>
      <c r="C92" s="1" t="s">
        <v>282</v>
      </c>
      <c r="D92" s="7" t="s">
        <v>537</v>
      </c>
      <c r="E92" s="7" t="s">
        <v>537</v>
      </c>
      <c r="F92" s="33" t="s">
        <v>537</v>
      </c>
      <c r="G92" s="7" t="s">
        <v>282</v>
      </c>
      <c r="H92" s="86"/>
      <c r="I92" s="153" t="s">
        <v>1989</v>
      </c>
      <c r="L92" s="154" t="s">
        <v>53</v>
      </c>
      <c r="M92" s="154" t="s">
        <v>53</v>
      </c>
      <c r="N92" s="151" t="s">
        <v>53</v>
      </c>
      <c r="O92" s="40" t="s">
        <v>53</v>
      </c>
      <c r="P92" s="1" t="s">
        <v>53</v>
      </c>
      <c r="Q92" s="44" t="s">
        <v>53</v>
      </c>
      <c r="R92" s="1" t="s">
        <v>53</v>
      </c>
      <c r="S92" s="1" t="s">
        <v>53</v>
      </c>
      <c r="T92" s="30" t="s">
        <v>53</v>
      </c>
      <c r="U92" s="121" t="s">
        <v>53</v>
      </c>
      <c r="V92" s="116" t="b">
        <f t="shared" si="8"/>
        <v>1</v>
      </c>
      <c r="W92" s="117" t="str">
        <f t="shared" si="9"/>
        <v>title: "Guadeloupe"</v>
      </c>
      <c r="X92" s="120" t="str">
        <f t="shared" si="10"/>
        <v/>
      </c>
      <c r="Y92" s="120" t="str">
        <f t="shared" si="11"/>
        <v/>
      </c>
      <c r="Z92" s="120" t="str">
        <f t="shared" si="12"/>
        <v/>
      </c>
      <c r="AA92" s="120" t="str">
        <f t="shared" si="13"/>
        <v/>
      </c>
      <c r="AB92" s="117" t="str">
        <f t="shared" si="14"/>
        <v/>
      </c>
      <c r="AC92" s="117" t="str">
        <f>IF(LEN(J92)&gt;1,concatll("#### Author's Note",J92,"-"&amp;B92),"")</f>
        <v/>
      </c>
      <c r="AD92" s="117" t="str">
        <f>IF(LEN(K92)&gt;1,concatll("#### Dedication",K92,"-"&amp;$B92),"")</f>
        <v/>
      </c>
      <c r="CA92" s="6" t="str">
        <f>IF(V92,concatll(concatl("---",W92,"---"),"*A collection of sites associated with this topic.*","#### Background",I92,AB92,AC92,AD92),"")</f>
        <v xml:space="preserve">---_x000D_
title: "Guadeloupe"_x000D_
---_x000D_
_x000D_
_x000D_
*A collection of sites associated with this topic.*_x000D_
_x000D_
#### Background_x000D_
_x000D_
Catholic places of interest in Guadeloupe_x000D_
_x000D_
</v>
      </c>
      <c r="CB92" s="6" t="str">
        <f t="shared" si="15"/>
        <v>tags\gp\_index.md</v>
      </c>
    </row>
    <row r="93" spans="1:80" x14ac:dyDescent="0.25">
      <c r="A93" s="129" t="s">
        <v>786</v>
      </c>
      <c r="C93" s="1" t="s">
        <v>283</v>
      </c>
      <c r="D93" s="7" t="s">
        <v>538</v>
      </c>
      <c r="E93" s="7" t="s">
        <v>538</v>
      </c>
      <c r="F93" s="33" t="s">
        <v>538</v>
      </c>
      <c r="G93" s="7" t="s">
        <v>283</v>
      </c>
      <c r="H93" s="86"/>
      <c r="I93" s="153" t="s">
        <v>1990</v>
      </c>
      <c r="L93" s="154" t="s">
        <v>53</v>
      </c>
      <c r="M93" s="154" t="s">
        <v>53</v>
      </c>
      <c r="N93" s="151" t="s">
        <v>53</v>
      </c>
      <c r="O93" s="40" t="s">
        <v>53</v>
      </c>
      <c r="P93" s="1" t="s">
        <v>53</v>
      </c>
      <c r="Q93" s="44" t="s">
        <v>53</v>
      </c>
      <c r="R93" s="1" t="s">
        <v>53</v>
      </c>
      <c r="S93" s="1" t="s">
        <v>53</v>
      </c>
      <c r="T93" s="30" t="s">
        <v>53</v>
      </c>
      <c r="U93" s="121" t="s">
        <v>53</v>
      </c>
      <c r="V93" s="116" t="b">
        <f t="shared" si="8"/>
        <v>1</v>
      </c>
      <c r="W93" s="117" t="str">
        <f t="shared" si="9"/>
        <v>title: "Equatorial Guinea"</v>
      </c>
      <c r="X93" s="120" t="str">
        <f t="shared" si="10"/>
        <v/>
      </c>
      <c r="Y93" s="120" t="str">
        <f t="shared" si="11"/>
        <v/>
      </c>
      <c r="Z93" s="120" t="str">
        <f t="shared" si="12"/>
        <v/>
      </c>
      <c r="AA93" s="120" t="str">
        <f t="shared" si="13"/>
        <v/>
      </c>
      <c r="AB93" s="117" t="str">
        <f t="shared" si="14"/>
        <v/>
      </c>
      <c r="AC93" s="117" t="str">
        <f>IF(LEN(J93)&gt;1,concatll("#### Author's Note",J93,"-"&amp;B93),"")</f>
        <v/>
      </c>
      <c r="AD93" s="117" t="str">
        <f>IF(LEN(K93)&gt;1,concatll("#### Dedication",K93,"-"&amp;$B93),"")</f>
        <v/>
      </c>
      <c r="CA93" s="6" t="str">
        <f>IF(V93,concatll(concatl("---",W93,"---"),"*A collection of sites associated with this topic.*","#### Background",I93,AB93,AC93,AD93),"")</f>
        <v xml:space="preserve">---_x000D_
title: "Equatorial Guinea"_x000D_
---_x000D_
_x000D_
_x000D_
*A collection of sites associated with this topic.*_x000D_
_x000D_
#### Background_x000D_
_x000D_
Catholic places of interest in Equatorial Guinea_x000D_
_x000D_
</v>
      </c>
      <c r="CB93" s="6" t="str">
        <f t="shared" si="15"/>
        <v>tags\gq\_index.md</v>
      </c>
    </row>
    <row r="94" spans="1:80" x14ac:dyDescent="0.25">
      <c r="A94" s="129" t="s">
        <v>786</v>
      </c>
      <c r="C94" s="1" t="s">
        <v>284</v>
      </c>
      <c r="D94" s="7" t="s">
        <v>539</v>
      </c>
      <c r="E94" s="7" t="s">
        <v>539</v>
      </c>
      <c r="F94" s="33" t="s">
        <v>539</v>
      </c>
      <c r="G94" s="7" t="s">
        <v>284</v>
      </c>
      <c r="I94" s="153" t="s">
        <v>1991</v>
      </c>
      <c r="L94" s="154" t="s">
        <v>53</v>
      </c>
      <c r="M94" s="154" t="s">
        <v>53</v>
      </c>
      <c r="N94" s="151" t="s">
        <v>53</v>
      </c>
      <c r="O94" s="40" t="s">
        <v>53</v>
      </c>
      <c r="P94" s="1" t="s">
        <v>53</v>
      </c>
      <c r="Q94" s="44" t="s">
        <v>53</v>
      </c>
      <c r="R94" s="1" t="s">
        <v>53</v>
      </c>
      <c r="S94" s="1" t="s">
        <v>53</v>
      </c>
      <c r="T94" s="30" t="s">
        <v>53</v>
      </c>
      <c r="U94" s="121" t="s">
        <v>53</v>
      </c>
      <c r="V94" s="116" t="b">
        <f t="shared" si="8"/>
        <v>1</v>
      </c>
      <c r="W94" s="117" t="str">
        <f t="shared" si="9"/>
        <v>title: "Greece"</v>
      </c>
      <c r="X94" s="120" t="str">
        <f t="shared" si="10"/>
        <v/>
      </c>
      <c r="Y94" s="120" t="str">
        <f t="shared" si="11"/>
        <v/>
      </c>
      <c r="Z94" s="120" t="str">
        <f t="shared" si="12"/>
        <v/>
      </c>
      <c r="AA94" s="120" t="str">
        <f t="shared" si="13"/>
        <v/>
      </c>
      <c r="AB94" s="117" t="str">
        <f t="shared" si="14"/>
        <v/>
      </c>
      <c r="AC94" s="117" t="str">
        <f>IF(LEN(J94)&gt;1,concatll("#### Author's Note",J94,"-"&amp;B94),"")</f>
        <v/>
      </c>
      <c r="AD94" s="117" t="str">
        <f>IF(LEN(K94)&gt;1,concatll("#### Dedication",K94,"-"&amp;$B94),"")</f>
        <v/>
      </c>
      <c r="CA94" s="6" t="str">
        <f>IF(V94,concatll(concatl("---",W94,"---"),"*A collection of sites associated with this topic.*","#### Background",I94,AB94,AC94,AD94),"")</f>
        <v xml:space="preserve">---_x000D_
title: "Greece"_x000D_
---_x000D_
_x000D_
_x000D_
*A collection of sites associated with this topic.*_x000D_
_x000D_
#### Background_x000D_
_x000D_
Catholic places of interest in Greece_x000D_
_x000D_
</v>
      </c>
      <c r="CB94" s="6" t="str">
        <f t="shared" si="15"/>
        <v>tags\gr\_index.md</v>
      </c>
    </row>
    <row r="95" spans="1:80" x14ac:dyDescent="0.25">
      <c r="A95" s="129" t="s">
        <v>786</v>
      </c>
      <c r="C95" s="1" t="s">
        <v>285</v>
      </c>
      <c r="D95" s="7" t="s">
        <v>540</v>
      </c>
      <c r="E95" s="7" t="s">
        <v>540</v>
      </c>
      <c r="F95" s="33" t="s">
        <v>540</v>
      </c>
      <c r="G95" s="7" t="s">
        <v>285</v>
      </c>
      <c r="H95" s="86"/>
      <c r="I95" s="153" t="s">
        <v>1992</v>
      </c>
      <c r="L95" s="154" t="s">
        <v>53</v>
      </c>
      <c r="M95" s="154" t="s">
        <v>53</v>
      </c>
      <c r="N95" s="151" t="s">
        <v>53</v>
      </c>
      <c r="O95" s="40" t="s">
        <v>53</v>
      </c>
      <c r="P95" s="1" t="s">
        <v>53</v>
      </c>
      <c r="Q95" s="44" t="s">
        <v>53</v>
      </c>
      <c r="R95" s="1" t="s">
        <v>53</v>
      </c>
      <c r="S95" s="1" t="s">
        <v>53</v>
      </c>
      <c r="T95" s="30" t="s">
        <v>53</v>
      </c>
      <c r="U95" s="121" t="s">
        <v>53</v>
      </c>
      <c r="V95" s="116" t="b">
        <f t="shared" si="8"/>
        <v>1</v>
      </c>
      <c r="W95" s="117" t="str">
        <f t="shared" si="9"/>
        <v>title: "South Georgia and the South Sandwich Islands"</v>
      </c>
      <c r="X95" s="120" t="str">
        <f t="shared" si="10"/>
        <v/>
      </c>
      <c r="Y95" s="120" t="str">
        <f t="shared" si="11"/>
        <v/>
      </c>
      <c r="Z95" s="120" t="str">
        <f t="shared" si="12"/>
        <v/>
      </c>
      <c r="AA95" s="120" t="str">
        <f t="shared" si="13"/>
        <v/>
      </c>
      <c r="AB95" s="117" t="str">
        <f t="shared" si="14"/>
        <v/>
      </c>
      <c r="AC95" s="117" t="str">
        <f>IF(LEN(J95)&gt;1,concatll("#### Author's Note",J95,"-"&amp;B95),"")</f>
        <v/>
      </c>
      <c r="AD95" s="117" t="str">
        <f>IF(LEN(K95)&gt;1,concatll("#### Dedication",K95,"-"&amp;$B95),"")</f>
        <v/>
      </c>
      <c r="CA95" s="6" t="str">
        <f>IF(V95,concatll(concatl("---",W95,"---"),"*A collection of sites associated with this topic.*","#### Background",I95,AB95,AC95,AD95),"")</f>
        <v xml:space="preserve">---_x000D_
title: "South Georgia and the South Sandwich Islands"_x000D_
---_x000D_
_x000D_
_x000D_
*A collection of sites associated with this topic.*_x000D_
_x000D_
#### Background_x000D_
_x000D_
Catholic places of interest in South Georgia and the South Sandwich Islands_x000D_
_x000D_
</v>
      </c>
      <c r="CB95" s="6" t="str">
        <f t="shared" si="15"/>
        <v>tags\gs\_index.md</v>
      </c>
    </row>
    <row r="96" spans="1:80" x14ac:dyDescent="0.25">
      <c r="A96" s="129" t="s">
        <v>786</v>
      </c>
      <c r="C96" s="1" t="s">
        <v>286</v>
      </c>
      <c r="D96" s="7" t="s">
        <v>541</v>
      </c>
      <c r="E96" s="7" t="s">
        <v>541</v>
      </c>
      <c r="F96" s="33" t="s">
        <v>541</v>
      </c>
      <c r="G96" s="7" t="s">
        <v>286</v>
      </c>
      <c r="I96" s="153" t="s">
        <v>1993</v>
      </c>
      <c r="L96" s="154" t="s">
        <v>53</v>
      </c>
      <c r="M96" s="154" t="s">
        <v>53</v>
      </c>
      <c r="N96" s="151" t="s">
        <v>53</v>
      </c>
      <c r="O96" s="40" t="s">
        <v>53</v>
      </c>
      <c r="P96" s="1" t="s">
        <v>53</v>
      </c>
      <c r="Q96" s="44" t="s">
        <v>53</v>
      </c>
      <c r="R96" s="1" t="s">
        <v>53</v>
      </c>
      <c r="S96" s="1" t="s">
        <v>53</v>
      </c>
      <c r="T96" s="30" t="s">
        <v>53</v>
      </c>
      <c r="U96" s="121" t="s">
        <v>53</v>
      </c>
      <c r="V96" s="116" t="b">
        <f t="shared" si="8"/>
        <v>1</v>
      </c>
      <c r="W96" s="117" t="str">
        <f t="shared" si="9"/>
        <v>title: "Guatemala"</v>
      </c>
      <c r="X96" s="120" t="str">
        <f t="shared" si="10"/>
        <v/>
      </c>
      <c r="Y96" s="120" t="str">
        <f t="shared" si="11"/>
        <v/>
      </c>
      <c r="Z96" s="120" t="str">
        <f t="shared" si="12"/>
        <v/>
      </c>
      <c r="AA96" s="120" t="str">
        <f t="shared" si="13"/>
        <v/>
      </c>
      <c r="AB96" s="117" t="str">
        <f t="shared" si="14"/>
        <v/>
      </c>
      <c r="AC96" s="117" t="str">
        <f>IF(LEN(J96)&gt;1,concatll("#### Author's Note",J96,"-"&amp;B96),"")</f>
        <v/>
      </c>
      <c r="AD96" s="117" t="str">
        <f>IF(LEN(K96)&gt;1,concatll("#### Dedication",K96,"-"&amp;$B96),"")</f>
        <v/>
      </c>
      <c r="CA96" s="6" t="str">
        <f>IF(V96,concatll(concatl("---",W96,"---"),"*A collection of sites associated with this topic.*","#### Background",I96,AB96,AC96,AD96),"")</f>
        <v xml:space="preserve">---_x000D_
title: "Guatemala"_x000D_
---_x000D_
_x000D_
_x000D_
*A collection of sites associated with this topic.*_x000D_
_x000D_
#### Background_x000D_
_x000D_
Catholic places of interest in Guatemala_x000D_
_x000D_
</v>
      </c>
      <c r="CB96" s="6" t="str">
        <f t="shared" si="15"/>
        <v>tags\gt\_index.md</v>
      </c>
    </row>
    <row r="97" spans="1:80" x14ac:dyDescent="0.25">
      <c r="A97" s="129" t="s">
        <v>786</v>
      </c>
      <c r="C97" s="1" t="s">
        <v>287</v>
      </c>
      <c r="D97" s="7" t="s">
        <v>542</v>
      </c>
      <c r="E97" s="7" t="s">
        <v>542</v>
      </c>
      <c r="F97" s="33" t="s">
        <v>542</v>
      </c>
      <c r="G97" s="7" t="s">
        <v>287</v>
      </c>
      <c r="I97" s="153" t="s">
        <v>1994</v>
      </c>
      <c r="L97" s="154" t="s">
        <v>53</v>
      </c>
      <c r="M97" s="154" t="s">
        <v>53</v>
      </c>
      <c r="N97" s="151" t="s">
        <v>53</v>
      </c>
      <c r="O97" s="40" t="s">
        <v>53</v>
      </c>
      <c r="P97" s="1" t="s">
        <v>53</v>
      </c>
      <c r="Q97" s="44" t="s">
        <v>53</v>
      </c>
      <c r="R97" s="1" t="s">
        <v>53</v>
      </c>
      <c r="S97" s="1" t="s">
        <v>53</v>
      </c>
      <c r="T97" s="30" t="s">
        <v>53</v>
      </c>
      <c r="U97" s="121" t="s">
        <v>53</v>
      </c>
      <c r="V97" s="116" t="b">
        <f t="shared" si="8"/>
        <v>1</v>
      </c>
      <c r="W97" s="117" t="str">
        <f t="shared" si="9"/>
        <v>title: "Guam"</v>
      </c>
      <c r="X97" s="120" t="str">
        <f t="shared" si="10"/>
        <v/>
      </c>
      <c r="Y97" s="120" t="str">
        <f t="shared" si="11"/>
        <v/>
      </c>
      <c r="Z97" s="120" t="str">
        <f t="shared" si="12"/>
        <v/>
      </c>
      <c r="AA97" s="120" t="str">
        <f t="shared" si="13"/>
        <v/>
      </c>
      <c r="AB97" s="117" t="str">
        <f t="shared" si="14"/>
        <v/>
      </c>
      <c r="AC97" s="117" t="str">
        <f>IF(LEN(J97)&gt;1,concatll("#### Author's Note",J97,"-"&amp;B97),"")</f>
        <v/>
      </c>
      <c r="AD97" s="117" t="str">
        <f>IF(LEN(K97)&gt;1,concatll("#### Dedication",K97,"-"&amp;$B97),"")</f>
        <v/>
      </c>
      <c r="CA97" s="6" t="str">
        <f>IF(V97,concatll(concatl("---",W97,"---"),"*A collection of sites associated with this topic.*","#### Background",I97,AB97,AC97,AD97),"")</f>
        <v xml:space="preserve">---_x000D_
title: "Guam"_x000D_
---_x000D_
_x000D_
_x000D_
*A collection of sites associated with this topic.*_x000D_
_x000D_
#### Background_x000D_
_x000D_
Catholic places of interest in Guam_x000D_
_x000D_
</v>
      </c>
      <c r="CB97" s="6" t="str">
        <f t="shared" si="15"/>
        <v>tags\gu\_index.md</v>
      </c>
    </row>
    <row r="98" spans="1:80" x14ac:dyDescent="0.25">
      <c r="A98" s="129" t="s">
        <v>786</v>
      </c>
      <c r="C98" s="1" t="s">
        <v>288</v>
      </c>
      <c r="D98" s="7" t="s">
        <v>543</v>
      </c>
      <c r="E98" s="7" t="s">
        <v>543</v>
      </c>
      <c r="F98" s="33" t="s">
        <v>543</v>
      </c>
      <c r="G98" s="7" t="s">
        <v>288</v>
      </c>
      <c r="H98" s="86"/>
      <c r="I98" s="153" t="s">
        <v>1995</v>
      </c>
      <c r="L98" s="154" t="s">
        <v>53</v>
      </c>
      <c r="M98" s="154" t="s">
        <v>53</v>
      </c>
      <c r="N98" s="151" t="s">
        <v>53</v>
      </c>
      <c r="O98" s="40" t="s">
        <v>53</v>
      </c>
      <c r="P98" s="1" t="s">
        <v>53</v>
      </c>
      <c r="Q98" s="44" t="s">
        <v>53</v>
      </c>
      <c r="R98" s="1" t="s">
        <v>53</v>
      </c>
      <c r="S98" s="1" t="s">
        <v>53</v>
      </c>
      <c r="T98" s="30" t="s">
        <v>53</v>
      </c>
      <c r="U98" s="121" t="s">
        <v>53</v>
      </c>
      <c r="V98" s="116" t="b">
        <f t="shared" si="8"/>
        <v>1</v>
      </c>
      <c r="W98" s="117" t="str">
        <f t="shared" si="9"/>
        <v>title: "Guinea-Bissau"</v>
      </c>
      <c r="X98" s="120" t="str">
        <f t="shared" si="10"/>
        <v/>
      </c>
      <c r="Y98" s="120" t="str">
        <f t="shared" si="11"/>
        <v/>
      </c>
      <c r="Z98" s="120" t="str">
        <f t="shared" si="12"/>
        <v/>
      </c>
      <c r="AA98" s="120" t="str">
        <f t="shared" si="13"/>
        <v/>
      </c>
      <c r="AB98" s="117" t="str">
        <f t="shared" si="14"/>
        <v/>
      </c>
      <c r="AC98" s="117" t="str">
        <f>IF(LEN(J98)&gt;1,concatll("#### Author's Note",J98,"-"&amp;B98),"")</f>
        <v/>
      </c>
      <c r="AD98" s="117" t="str">
        <f>IF(LEN(K98)&gt;1,concatll("#### Dedication",K98,"-"&amp;$B98),"")</f>
        <v/>
      </c>
      <c r="CA98" s="6" t="str">
        <f>IF(V98,concatll(concatl("---",W98,"---"),"*A collection of sites associated with this topic.*","#### Background",I98,AB98,AC98,AD98),"")</f>
        <v xml:space="preserve">---_x000D_
title: "Guinea-Bissau"_x000D_
---_x000D_
_x000D_
_x000D_
*A collection of sites associated with this topic.*_x000D_
_x000D_
#### Background_x000D_
_x000D_
Catholic places of interest in Guinea-Bissau_x000D_
_x000D_
</v>
      </c>
      <c r="CB98" s="6" t="str">
        <f t="shared" si="15"/>
        <v>tags\gw\_index.md</v>
      </c>
    </row>
    <row r="99" spans="1:80" x14ac:dyDescent="0.25">
      <c r="A99" s="129" t="s">
        <v>786</v>
      </c>
      <c r="C99" s="1" t="s">
        <v>289</v>
      </c>
      <c r="D99" s="7" t="s">
        <v>544</v>
      </c>
      <c r="E99" s="7" t="s">
        <v>544</v>
      </c>
      <c r="F99" s="33" t="s">
        <v>544</v>
      </c>
      <c r="G99" s="7" t="s">
        <v>289</v>
      </c>
      <c r="I99" s="153" t="s">
        <v>1996</v>
      </c>
      <c r="L99" s="154" t="s">
        <v>53</v>
      </c>
      <c r="M99" s="154" t="s">
        <v>53</v>
      </c>
      <c r="N99" s="151" t="s">
        <v>53</v>
      </c>
      <c r="O99" s="40" t="s">
        <v>53</v>
      </c>
      <c r="P99" s="1" t="s">
        <v>53</v>
      </c>
      <c r="Q99" s="44" t="s">
        <v>53</v>
      </c>
      <c r="R99" s="1" t="s">
        <v>53</v>
      </c>
      <c r="S99" s="1" t="s">
        <v>53</v>
      </c>
      <c r="T99" s="30" t="s">
        <v>53</v>
      </c>
      <c r="U99" s="121" t="s">
        <v>53</v>
      </c>
      <c r="V99" s="116" t="b">
        <f t="shared" si="8"/>
        <v>1</v>
      </c>
      <c r="W99" s="117" t="str">
        <f t="shared" si="9"/>
        <v>title: "Guyana"</v>
      </c>
      <c r="X99" s="120" t="str">
        <f t="shared" si="10"/>
        <v/>
      </c>
      <c r="Y99" s="120" t="str">
        <f t="shared" si="11"/>
        <v/>
      </c>
      <c r="Z99" s="120" t="str">
        <f t="shared" si="12"/>
        <v/>
      </c>
      <c r="AA99" s="120" t="str">
        <f t="shared" si="13"/>
        <v/>
      </c>
      <c r="AB99" s="117" t="str">
        <f t="shared" si="14"/>
        <v/>
      </c>
      <c r="AC99" s="117" t="str">
        <f>IF(LEN(J99)&gt;1,concatll("#### Author's Note",J99,"-"&amp;B99),"")</f>
        <v/>
      </c>
      <c r="AD99" s="117" t="str">
        <f>IF(LEN(K99)&gt;1,concatll("#### Dedication",K99,"-"&amp;$B99),"")</f>
        <v/>
      </c>
      <c r="CA99" s="6" t="str">
        <f>IF(V99,concatll(concatl("---",W99,"---"),"*A collection of sites associated with this topic.*","#### Background",I99,AB99,AC99,AD99),"")</f>
        <v xml:space="preserve">---_x000D_
title: "Guyana"_x000D_
---_x000D_
_x000D_
_x000D_
*A collection of sites associated with this topic.*_x000D_
_x000D_
#### Background_x000D_
_x000D_
Catholic places of interest in Guyana_x000D_
_x000D_
</v>
      </c>
      <c r="CB99" s="6" t="str">
        <f t="shared" si="15"/>
        <v>tags\gy\_index.md</v>
      </c>
    </row>
    <row r="100" spans="1:80" x14ac:dyDescent="0.25">
      <c r="A100" s="129" t="s">
        <v>786</v>
      </c>
      <c r="C100" s="1" t="s">
        <v>290</v>
      </c>
      <c r="D100" s="7" t="s">
        <v>545</v>
      </c>
      <c r="E100" s="7" t="s">
        <v>545</v>
      </c>
      <c r="F100" s="33" t="s">
        <v>545</v>
      </c>
      <c r="G100" s="7" t="s">
        <v>290</v>
      </c>
      <c r="H100" s="86"/>
      <c r="I100" s="153" t="s">
        <v>1997</v>
      </c>
      <c r="L100" s="154" t="s">
        <v>53</v>
      </c>
      <c r="M100" s="154" t="s">
        <v>53</v>
      </c>
      <c r="N100" s="151" t="s">
        <v>53</v>
      </c>
      <c r="O100" s="40" t="s">
        <v>53</v>
      </c>
      <c r="P100" s="1" t="s">
        <v>53</v>
      </c>
      <c r="Q100" s="44" t="s">
        <v>53</v>
      </c>
      <c r="R100" s="1" t="s">
        <v>53</v>
      </c>
      <c r="S100" s="1" t="s">
        <v>53</v>
      </c>
      <c r="T100" s="30" t="s">
        <v>53</v>
      </c>
      <c r="U100" s="121" t="s">
        <v>53</v>
      </c>
      <c r="V100" s="116" t="b">
        <f t="shared" si="8"/>
        <v>1</v>
      </c>
      <c r="W100" s="117" t="str">
        <f t="shared" si="9"/>
        <v>title: "Hong Kong"</v>
      </c>
      <c r="X100" s="120" t="str">
        <f t="shared" si="10"/>
        <v/>
      </c>
      <c r="Y100" s="120" t="str">
        <f t="shared" si="11"/>
        <v/>
      </c>
      <c r="Z100" s="120" t="str">
        <f t="shared" si="12"/>
        <v/>
      </c>
      <c r="AA100" s="120" t="str">
        <f t="shared" si="13"/>
        <v/>
      </c>
      <c r="AB100" s="117" t="str">
        <f t="shared" si="14"/>
        <v/>
      </c>
      <c r="AC100" s="117" t="str">
        <f>IF(LEN(J100)&gt;1,concatll("#### Author's Note",J100,"-"&amp;B100),"")</f>
        <v/>
      </c>
      <c r="AD100" s="117" t="str">
        <f>IF(LEN(K100)&gt;1,concatll("#### Dedication",K100,"-"&amp;$B100),"")</f>
        <v/>
      </c>
      <c r="CA100" s="6" t="str">
        <f>IF(V100,concatll(concatl("---",W100,"---"),"*A collection of sites associated with this topic.*","#### Background",I100,AB100,AC100,AD100),"")</f>
        <v xml:space="preserve">---_x000D_
title: "Hong Kong"_x000D_
---_x000D_
_x000D_
_x000D_
*A collection of sites associated with this topic.*_x000D_
_x000D_
#### Background_x000D_
_x000D_
Catholic places of interest in Hong Kong_x000D_
_x000D_
</v>
      </c>
      <c r="CB100" s="6" t="str">
        <f t="shared" si="15"/>
        <v>tags\hk\_index.md</v>
      </c>
    </row>
    <row r="101" spans="1:80" x14ac:dyDescent="0.25">
      <c r="A101" s="129" t="s">
        <v>786</v>
      </c>
      <c r="C101" s="1" t="s">
        <v>291</v>
      </c>
      <c r="D101" s="7" t="s">
        <v>546</v>
      </c>
      <c r="E101" s="7" t="s">
        <v>546</v>
      </c>
      <c r="F101" s="33" t="s">
        <v>546</v>
      </c>
      <c r="G101" s="7" t="s">
        <v>291</v>
      </c>
      <c r="I101" s="153" t="s">
        <v>2198</v>
      </c>
      <c r="L101" s="154" t="s">
        <v>53</v>
      </c>
      <c r="M101" s="154" t="s">
        <v>53</v>
      </c>
      <c r="N101" s="151" t="s">
        <v>53</v>
      </c>
      <c r="O101" s="40" t="s">
        <v>53</v>
      </c>
      <c r="P101" s="1" t="s">
        <v>53</v>
      </c>
      <c r="Q101" s="44" t="s">
        <v>53</v>
      </c>
      <c r="R101" s="1" t="s">
        <v>53</v>
      </c>
      <c r="S101" s="1" t="s">
        <v>53</v>
      </c>
      <c r="T101" s="30" t="s">
        <v>53</v>
      </c>
      <c r="U101" s="121" t="s">
        <v>53</v>
      </c>
      <c r="V101" s="116" t="b">
        <f t="shared" si="8"/>
        <v>1</v>
      </c>
      <c r="W101" s="117" t="str">
        <f t="shared" si="9"/>
        <v>title: "Heard Island and McDonald Islands"</v>
      </c>
      <c r="X101" s="120" t="str">
        <f t="shared" si="10"/>
        <v/>
      </c>
      <c r="Y101" s="120" t="str">
        <f t="shared" si="11"/>
        <v/>
      </c>
      <c r="Z101" s="120" t="str">
        <f t="shared" si="12"/>
        <v/>
      </c>
      <c r="AA101" s="120" t="str">
        <f t="shared" si="13"/>
        <v/>
      </c>
      <c r="AB101" s="117" t="str">
        <f t="shared" si="14"/>
        <v/>
      </c>
      <c r="AC101" s="117" t="str">
        <f>IF(LEN(J101)&gt;1,concatll("#### Author's Note",J101,"-"&amp;B101),"")</f>
        <v/>
      </c>
      <c r="AD101" s="117" t="str">
        <f>IF(LEN(K101)&gt;1,concatll("#### Dedication",K101,"-"&amp;$B101),"")</f>
        <v/>
      </c>
      <c r="CA101" s="6" t="str">
        <f>IF(V101,concatll(concatl("---",W101,"---"),"*A collection of sites associated with this topic.*","#### Background",I101,AB101,AC101,AD101),"")</f>
        <v xml:space="preserve">---_x000D_
title: "Heard Island and McDonald Islands"_x000D_
---_x000D_
_x000D_
_x000D_
*A collection of sites associated with this topic.*_x000D_
_x000D_
#### Background_x000D_
_x000D_
Catholic places of interest on Heard Island and the McDonald Islands_x000D_
_x000D_
</v>
      </c>
      <c r="CB101" s="6" t="str">
        <f t="shared" si="15"/>
        <v>tags\hm\_index.md</v>
      </c>
    </row>
    <row r="102" spans="1:80" x14ac:dyDescent="0.25">
      <c r="A102" s="129" t="s">
        <v>786</v>
      </c>
      <c r="C102" s="1" t="s">
        <v>292</v>
      </c>
      <c r="D102" s="7" t="s">
        <v>547</v>
      </c>
      <c r="E102" s="7" t="s">
        <v>547</v>
      </c>
      <c r="F102" s="33" t="s">
        <v>547</v>
      </c>
      <c r="G102" s="7" t="s">
        <v>292</v>
      </c>
      <c r="I102" s="153" t="s">
        <v>1998</v>
      </c>
      <c r="L102" s="154" t="s">
        <v>53</v>
      </c>
      <c r="M102" s="154" t="s">
        <v>53</v>
      </c>
      <c r="N102" s="151" t="s">
        <v>53</v>
      </c>
      <c r="O102" s="40" t="s">
        <v>53</v>
      </c>
      <c r="P102" s="1" t="s">
        <v>53</v>
      </c>
      <c r="Q102" s="44" t="s">
        <v>53</v>
      </c>
      <c r="R102" s="1" t="s">
        <v>53</v>
      </c>
      <c r="S102" s="1" t="s">
        <v>53</v>
      </c>
      <c r="T102" s="30" t="s">
        <v>53</v>
      </c>
      <c r="U102" s="121" t="s">
        <v>53</v>
      </c>
      <c r="V102" s="116" t="b">
        <f t="shared" si="8"/>
        <v>1</v>
      </c>
      <c r="W102" s="117" t="str">
        <f t="shared" si="9"/>
        <v>title: "Honduras"</v>
      </c>
      <c r="X102" s="120" t="str">
        <f t="shared" si="10"/>
        <v/>
      </c>
      <c r="Y102" s="120" t="str">
        <f t="shared" si="11"/>
        <v/>
      </c>
      <c r="Z102" s="120" t="str">
        <f t="shared" si="12"/>
        <v/>
      </c>
      <c r="AA102" s="120" t="str">
        <f t="shared" si="13"/>
        <v/>
      </c>
      <c r="AB102" s="117" t="str">
        <f t="shared" si="14"/>
        <v/>
      </c>
      <c r="AC102" s="117" t="str">
        <f>IF(LEN(J102)&gt;1,concatll("#### Author's Note",J102,"-"&amp;B102),"")</f>
        <v/>
      </c>
      <c r="AD102" s="117" t="str">
        <f>IF(LEN(K102)&gt;1,concatll("#### Dedication",K102,"-"&amp;$B102),"")</f>
        <v/>
      </c>
      <c r="CA102" s="6" t="str">
        <f>IF(V102,concatll(concatl("---",W102,"---"),"*A collection of sites associated with this topic.*","#### Background",I102,AB102,AC102,AD102),"")</f>
        <v xml:space="preserve">---_x000D_
title: "Honduras"_x000D_
---_x000D_
_x000D_
_x000D_
*A collection of sites associated with this topic.*_x000D_
_x000D_
#### Background_x000D_
_x000D_
Catholic places of interest in Honduras_x000D_
_x000D_
</v>
      </c>
      <c r="CB102" s="6" t="str">
        <f t="shared" si="15"/>
        <v>tags\hn\_index.md</v>
      </c>
    </row>
    <row r="103" spans="1:80" x14ac:dyDescent="0.25">
      <c r="A103" s="129" t="s">
        <v>786</v>
      </c>
      <c r="C103" s="1" t="s">
        <v>293</v>
      </c>
      <c r="D103" s="7" t="s">
        <v>548</v>
      </c>
      <c r="E103" s="7" t="s">
        <v>548</v>
      </c>
      <c r="F103" s="33" t="s">
        <v>548</v>
      </c>
      <c r="G103" s="7" t="s">
        <v>293</v>
      </c>
      <c r="H103" s="86"/>
      <c r="I103" s="153" t="s">
        <v>1999</v>
      </c>
      <c r="L103" s="154" t="s">
        <v>53</v>
      </c>
      <c r="M103" s="154" t="s">
        <v>53</v>
      </c>
      <c r="N103" s="151" t="s">
        <v>53</v>
      </c>
      <c r="O103" s="40" t="s">
        <v>53</v>
      </c>
      <c r="P103" s="1" t="s">
        <v>53</v>
      </c>
      <c r="Q103" s="44" t="s">
        <v>53</v>
      </c>
      <c r="R103" s="1" t="s">
        <v>53</v>
      </c>
      <c r="S103" s="1" t="s">
        <v>53</v>
      </c>
      <c r="T103" s="30" t="s">
        <v>53</v>
      </c>
      <c r="U103" s="121" t="s">
        <v>53</v>
      </c>
      <c r="V103" s="116" t="b">
        <f t="shared" si="8"/>
        <v>1</v>
      </c>
      <c r="W103" s="117" t="str">
        <f t="shared" si="9"/>
        <v>title: "Croatia"</v>
      </c>
      <c r="X103" s="120" t="str">
        <f t="shared" si="10"/>
        <v/>
      </c>
      <c r="Y103" s="120" t="str">
        <f t="shared" si="11"/>
        <v/>
      </c>
      <c r="Z103" s="120" t="str">
        <f t="shared" si="12"/>
        <v/>
      </c>
      <c r="AA103" s="120" t="str">
        <f t="shared" si="13"/>
        <v/>
      </c>
      <c r="AB103" s="117" t="str">
        <f t="shared" si="14"/>
        <v/>
      </c>
      <c r="AC103" s="117" t="str">
        <f>IF(LEN(J103)&gt;1,concatll("#### Author's Note",J103,"-"&amp;B103),"")</f>
        <v/>
      </c>
      <c r="AD103" s="117" t="str">
        <f>IF(LEN(K103)&gt;1,concatll("#### Dedication",K103,"-"&amp;$B103),"")</f>
        <v/>
      </c>
      <c r="CA103" s="6" t="str">
        <f>IF(V103,concatll(concatl("---",W103,"---"),"*A collection of sites associated with this topic.*","#### Background",I103,AB103,AC103,AD103),"")</f>
        <v xml:space="preserve">---_x000D_
title: "Croatia"_x000D_
---_x000D_
_x000D_
_x000D_
*A collection of sites associated with this topic.*_x000D_
_x000D_
#### Background_x000D_
_x000D_
Catholic places of interest in Croatia_x000D_
_x000D_
</v>
      </c>
      <c r="CB103" s="6" t="str">
        <f t="shared" si="15"/>
        <v>tags\hr\_index.md</v>
      </c>
    </row>
    <row r="104" spans="1:80" x14ac:dyDescent="0.25">
      <c r="A104" s="129" t="s">
        <v>786</v>
      </c>
      <c r="C104" s="1" t="s">
        <v>294</v>
      </c>
      <c r="D104" s="7" t="s">
        <v>549</v>
      </c>
      <c r="E104" s="7" t="s">
        <v>549</v>
      </c>
      <c r="F104" s="33" t="s">
        <v>549</v>
      </c>
      <c r="G104" s="7" t="s">
        <v>294</v>
      </c>
      <c r="H104" s="86"/>
      <c r="I104" s="153" t="s">
        <v>2000</v>
      </c>
      <c r="L104" s="154" t="s">
        <v>53</v>
      </c>
      <c r="M104" s="154" t="s">
        <v>53</v>
      </c>
      <c r="N104" s="151" t="s">
        <v>53</v>
      </c>
      <c r="O104" s="40" t="s">
        <v>53</v>
      </c>
      <c r="P104" s="1" t="s">
        <v>53</v>
      </c>
      <c r="Q104" s="44" t="s">
        <v>53</v>
      </c>
      <c r="R104" s="1" t="s">
        <v>53</v>
      </c>
      <c r="S104" s="1" t="s">
        <v>53</v>
      </c>
      <c r="T104" s="30" t="s">
        <v>53</v>
      </c>
      <c r="U104" s="121" t="s">
        <v>53</v>
      </c>
      <c r="V104" s="116" t="b">
        <f t="shared" si="8"/>
        <v>1</v>
      </c>
      <c r="W104" s="117" t="str">
        <f t="shared" si="9"/>
        <v>title: "Haiti"</v>
      </c>
      <c r="X104" s="120" t="str">
        <f t="shared" si="10"/>
        <v/>
      </c>
      <c r="Y104" s="120" t="str">
        <f t="shared" si="11"/>
        <v/>
      </c>
      <c r="Z104" s="120" t="str">
        <f t="shared" si="12"/>
        <v/>
      </c>
      <c r="AA104" s="120" t="str">
        <f t="shared" si="13"/>
        <v/>
      </c>
      <c r="AB104" s="117" t="str">
        <f t="shared" si="14"/>
        <v/>
      </c>
      <c r="AC104" s="117" t="str">
        <f>IF(LEN(J104)&gt;1,concatll("#### Author's Note",J104,"-"&amp;B104),"")</f>
        <v/>
      </c>
      <c r="AD104" s="117" t="str">
        <f>IF(LEN(K104)&gt;1,concatll("#### Dedication",K104,"-"&amp;$B104),"")</f>
        <v/>
      </c>
      <c r="CA104" s="6" t="str">
        <f>IF(V104,concatll(concatl("---",W104,"---"),"*A collection of sites associated with this topic.*","#### Background",I104,AB104,AC104,AD104),"")</f>
        <v xml:space="preserve">---_x000D_
title: "Haiti"_x000D_
---_x000D_
_x000D_
_x000D_
*A collection of sites associated with this topic.*_x000D_
_x000D_
#### Background_x000D_
_x000D_
Catholic places of interest in Haiti_x000D_
_x000D_
</v>
      </c>
      <c r="CB104" s="6" t="str">
        <f t="shared" si="15"/>
        <v>tags\ht\_index.md</v>
      </c>
    </row>
    <row r="105" spans="1:80" x14ac:dyDescent="0.25">
      <c r="A105" s="129" t="s">
        <v>786</v>
      </c>
      <c r="C105" s="1" t="s">
        <v>295</v>
      </c>
      <c r="D105" s="7" t="s">
        <v>550</v>
      </c>
      <c r="E105" s="7" t="s">
        <v>550</v>
      </c>
      <c r="F105" s="33" t="s">
        <v>550</v>
      </c>
      <c r="G105" s="7" t="s">
        <v>295</v>
      </c>
      <c r="H105" s="86"/>
      <c r="I105" s="153" t="s">
        <v>2001</v>
      </c>
      <c r="L105" s="154" t="s">
        <v>53</v>
      </c>
      <c r="M105" s="154" t="s">
        <v>53</v>
      </c>
      <c r="N105" s="151" t="s">
        <v>53</v>
      </c>
      <c r="O105" s="40" t="s">
        <v>53</v>
      </c>
      <c r="P105" s="1" t="s">
        <v>53</v>
      </c>
      <c r="Q105" s="44" t="s">
        <v>53</v>
      </c>
      <c r="R105" s="1" t="s">
        <v>53</v>
      </c>
      <c r="S105" s="1" t="s">
        <v>53</v>
      </c>
      <c r="T105" s="30" t="s">
        <v>53</v>
      </c>
      <c r="U105" s="121" t="s">
        <v>53</v>
      </c>
      <c r="V105" s="116" t="b">
        <f t="shared" si="8"/>
        <v>1</v>
      </c>
      <c r="W105" s="117" t="str">
        <f t="shared" si="9"/>
        <v>title: "Hungary"</v>
      </c>
      <c r="X105" s="120" t="str">
        <f t="shared" si="10"/>
        <v/>
      </c>
      <c r="Y105" s="120" t="str">
        <f t="shared" si="11"/>
        <v/>
      </c>
      <c r="Z105" s="120" t="str">
        <f t="shared" si="12"/>
        <v/>
      </c>
      <c r="AA105" s="120" t="str">
        <f t="shared" si="13"/>
        <v/>
      </c>
      <c r="AB105" s="117" t="str">
        <f t="shared" si="14"/>
        <v/>
      </c>
      <c r="AC105" s="117" t="str">
        <f>IF(LEN(J105)&gt;1,concatll("#### Author's Note",J105,"-"&amp;B105),"")</f>
        <v/>
      </c>
      <c r="AD105" s="117" t="str">
        <f>IF(LEN(K105)&gt;1,concatll("#### Dedication",K105,"-"&amp;$B105),"")</f>
        <v/>
      </c>
      <c r="CA105" s="6" t="str">
        <f>IF(V105,concatll(concatl("---",W105,"---"),"*A collection of sites associated with this topic.*","#### Background",I105,AB105,AC105,AD105),"")</f>
        <v xml:space="preserve">---_x000D_
title: "Hungary"_x000D_
---_x000D_
_x000D_
_x000D_
*A collection of sites associated with this topic.*_x000D_
_x000D_
#### Background_x000D_
_x000D_
Catholic places of interest in Hungary_x000D_
_x000D_
</v>
      </c>
      <c r="CB105" s="6" t="str">
        <f t="shared" si="15"/>
        <v>tags\hu\_index.md</v>
      </c>
    </row>
    <row r="106" spans="1:80" x14ac:dyDescent="0.25">
      <c r="A106" s="129" t="s">
        <v>786</v>
      </c>
      <c r="C106" s="1" t="s">
        <v>296</v>
      </c>
      <c r="D106" s="7" t="s">
        <v>167</v>
      </c>
      <c r="E106" s="7" t="s">
        <v>167</v>
      </c>
      <c r="F106" s="33" t="s">
        <v>167</v>
      </c>
      <c r="G106" s="7" t="s">
        <v>296</v>
      </c>
      <c r="I106" s="153" t="s">
        <v>2002</v>
      </c>
      <c r="L106" s="154" t="s">
        <v>53</v>
      </c>
      <c r="M106" s="154" t="s">
        <v>53</v>
      </c>
      <c r="N106" s="151" t="s">
        <v>53</v>
      </c>
      <c r="O106" s="40" t="s">
        <v>53</v>
      </c>
      <c r="P106" s="1" t="s">
        <v>53</v>
      </c>
      <c r="Q106" s="44" t="s">
        <v>53</v>
      </c>
      <c r="R106" s="1" t="s">
        <v>53</v>
      </c>
      <c r="S106" s="1" t="s">
        <v>53</v>
      </c>
      <c r="T106" s="30" t="s">
        <v>53</v>
      </c>
      <c r="U106" s="121" t="s">
        <v>53</v>
      </c>
      <c r="V106" s="116" t="b">
        <f t="shared" si="8"/>
        <v>1</v>
      </c>
      <c r="W106" s="117" t="str">
        <f t="shared" si="9"/>
        <v>title: "Indonesia"</v>
      </c>
      <c r="X106" s="120" t="str">
        <f t="shared" si="10"/>
        <v/>
      </c>
      <c r="Y106" s="120" t="str">
        <f t="shared" si="11"/>
        <v/>
      </c>
      <c r="Z106" s="120" t="str">
        <f t="shared" si="12"/>
        <v/>
      </c>
      <c r="AA106" s="120" t="str">
        <f t="shared" si="13"/>
        <v/>
      </c>
      <c r="AB106" s="117" t="str">
        <f t="shared" si="14"/>
        <v/>
      </c>
      <c r="AC106" s="117" t="str">
        <f>IF(LEN(J106)&gt;1,concatll("#### Author's Note",J106,"-"&amp;B106),"")</f>
        <v/>
      </c>
      <c r="AD106" s="117" t="str">
        <f>IF(LEN(K106)&gt;1,concatll("#### Dedication",K106,"-"&amp;$B106),"")</f>
        <v/>
      </c>
      <c r="CA106" s="6" t="str">
        <f>IF(V106,concatll(concatl("---",W106,"---"),"*A collection of sites associated with this topic.*","#### Background",I106,AB106,AC106,AD106),"")</f>
        <v xml:space="preserve">---_x000D_
title: "Indonesia"_x000D_
---_x000D_
_x000D_
_x000D_
*A collection of sites associated with this topic.*_x000D_
_x000D_
#### Background_x000D_
_x000D_
Catholic places of interest in Indonesia_x000D_
_x000D_
</v>
      </c>
      <c r="CB106" s="6" t="str">
        <f t="shared" si="15"/>
        <v>tags\id\_index.md</v>
      </c>
    </row>
    <row r="107" spans="1:80" x14ac:dyDescent="0.25">
      <c r="A107" s="129" t="s">
        <v>786</v>
      </c>
      <c r="C107" s="1" t="s">
        <v>297</v>
      </c>
      <c r="D107" s="7" t="s">
        <v>551</v>
      </c>
      <c r="E107" s="7" t="s">
        <v>551</v>
      </c>
      <c r="F107" s="33" t="s">
        <v>551</v>
      </c>
      <c r="G107" s="84" t="s">
        <v>297</v>
      </c>
      <c r="H107" s="86"/>
      <c r="I107" s="153" t="s">
        <v>2003</v>
      </c>
      <c r="L107" s="154" t="s">
        <v>53</v>
      </c>
      <c r="M107" s="154" t="s">
        <v>53</v>
      </c>
      <c r="N107" s="151" t="s">
        <v>53</v>
      </c>
      <c r="O107" s="40" t="s">
        <v>53</v>
      </c>
      <c r="P107" s="1" t="s">
        <v>53</v>
      </c>
      <c r="Q107" s="44" t="s">
        <v>53</v>
      </c>
      <c r="R107" s="1" t="s">
        <v>53</v>
      </c>
      <c r="S107" s="1" t="s">
        <v>53</v>
      </c>
      <c r="T107" s="30" t="s">
        <v>53</v>
      </c>
      <c r="U107" s="121" t="s">
        <v>53</v>
      </c>
      <c r="V107" s="116" t="b">
        <f t="shared" si="8"/>
        <v>1</v>
      </c>
      <c r="W107" s="117" t="str">
        <f t="shared" si="9"/>
        <v>title: "Ireland"</v>
      </c>
      <c r="X107" s="120" t="str">
        <f t="shared" si="10"/>
        <v/>
      </c>
      <c r="Y107" s="120" t="str">
        <f t="shared" si="11"/>
        <v/>
      </c>
      <c r="Z107" s="120" t="str">
        <f t="shared" si="12"/>
        <v/>
      </c>
      <c r="AA107" s="120" t="str">
        <f t="shared" si="13"/>
        <v/>
      </c>
      <c r="AB107" s="117" t="str">
        <f t="shared" si="14"/>
        <v/>
      </c>
      <c r="AC107" s="117" t="str">
        <f>IF(LEN(J107)&gt;1,concatll("#### Author's Note",J107,"-"&amp;B107),"")</f>
        <v/>
      </c>
      <c r="AD107" s="117" t="str">
        <f>IF(LEN(K107)&gt;1,concatll("#### Dedication",K107,"-"&amp;$B107),"")</f>
        <v/>
      </c>
      <c r="CA107" s="6" t="str">
        <f>IF(V107,concatll(concatl("---",W107,"---"),"*A collection of sites associated with this topic.*","#### Background",I107,AB107,AC107,AD107),"")</f>
        <v xml:space="preserve">---_x000D_
title: "Ireland"_x000D_
---_x000D_
_x000D_
_x000D_
*A collection of sites associated with this topic.*_x000D_
_x000D_
#### Background_x000D_
_x000D_
Catholic places of interest in Ireland_x000D_
_x000D_
</v>
      </c>
      <c r="CB107" s="6" t="str">
        <f t="shared" si="15"/>
        <v>tags\ie\_index.md</v>
      </c>
    </row>
    <row r="108" spans="1:80" x14ac:dyDescent="0.25">
      <c r="A108" s="129" t="s">
        <v>786</v>
      </c>
      <c r="C108" s="1" t="s">
        <v>298</v>
      </c>
      <c r="D108" s="7" t="s">
        <v>552</v>
      </c>
      <c r="E108" s="7" t="s">
        <v>552</v>
      </c>
      <c r="F108" s="33" t="s">
        <v>552</v>
      </c>
      <c r="G108" s="7" t="s">
        <v>298</v>
      </c>
      <c r="I108" s="153" t="s">
        <v>2004</v>
      </c>
      <c r="L108" s="154" t="s">
        <v>53</v>
      </c>
      <c r="M108" s="154" t="s">
        <v>53</v>
      </c>
      <c r="N108" s="151" t="s">
        <v>53</v>
      </c>
      <c r="O108" s="40" t="s">
        <v>53</v>
      </c>
      <c r="P108" s="1" t="s">
        <v>53</v>
      </c>
      <c r="Q108" s="44" t="s">
        <v>53</v>
      </c>
      <c r="R108" s="1" t="s">
        <v>53</v>
      </c>
      <c r="S108" s="1" t="s">
        <v>53</v>
      </c>
      <c r="T108" s="30" t="s">
        <v>53</v>
      </c>
      <c r="U108" s="121" t="s">
        <v>53</v>
      </c>
      <c r="V108" s="116" t="b">
        <f t="shared" si="8"/>
        <v>1</v>
      </c>
      <c r="W108" s="117" t="str">
        <f t="shared" si="9"/>
        <v>title: "Israel"</v>
      </c>
      <c r="X108" s="120" t="str">
        <f t="shared" si="10"/>
        <v/>
      </c>
      <c r="Y108" s="120" t="str">
        <f t="shared" si="11"/>
        <v/>
      </c>
      <c r="Z108" s="120" t="str">
        <f t="shared" si="12"/>
        <v/>
      </c>
      <c r="AA108" s="120" t="str">
        <f t="shared" si="13"/>
        <v/>
      </c>
      <c r="AB108" s="117" t="str">
        <f t="shared" si="14"/>
        <v/>
      </c>
      <c r="AC108" s="117" t="str">
        <f>IF(LEN(J108)&gt;1,concatll("#### Author's Note",J108,"-"&amp;B108),"")</f>
        <v/>
      </c>
      <c r="AD108" s="117" t="str">
        <f>IF(LEN(K108)&gt;1,concatll("#### Dedication",K108,"-"&amp;$B108),"")</f>
        <v/>
      </c>
      <c r="CA108" s="6" t="str">
        <f>IF(V108,concatll(concatl("---",W108,"---"),"*A collection of sites associated with this topic.*","#### Background",I108,AB108,AC108,AD108),"")</f>
        <v xml:space="preserve">---_x000D_
title: "Israel"_x000D_
---_x000D_
_x000D_
_x000D_
*A collection of sites associated with this topic.*_x000D_
_x000D_
#### Background_x000D_
_x000D_
Catholic places of interest in Israel_x000D_
_x000D_
</v>
      </c>
      <c r="CB108" s="6" t="str">
        <f t="shared" si="15"/>
        <v>tags\il\_index.md</v>
      </c>
    </row>
    <row r="109" spans="1:80" x14ac:dyDescent="0.25">
      <c r="A109" s="129" t="s">
        <v>786</v>
      </c>
      <c r="B109" s="130"/>
      <c r="C109" s="132" t="s">
        <v>299</v>
      </c>
      <c r="D109" s="130" t="s">
        <v>553</v>
      </c>
      <c r="E109" s="130" t="s">
        <v>553</v>
      </c>
      <c r="F109" s="61" t="s">
        <v>553</v>
      </c>
      <c r="G109" s="7" t="s">
        <v>299</v>
      </c>
      <c r="H109" s="61"/>
      <c r="I109" s="153" t="s">
        <v>2199</v>
      </c>
      <c r="L109" s="154" t="s">
        <v>53</v>
      </c>
      <c r="M109" s="154" t="s">
        <v>53</v>
      </c>
      <c r="N109" s="151" t="s">
        <v>53</v>
      </c>
      <c r="O109" s="40" t="s">
        <v>53</v>
      </c>
      <c r="P109" s="1" t="s">
        <v>53</v>
      </c>
      <c r="Q109" s="44" t="s">
        <v>53</v>
      </c>
      <c r="R109" s="1" t="s">
        <v>53</v>
      </c>
      <c r="S109" s="1" t="s">
        <v>53</v>
      </c>
      <c r="T109" s="30" t="s">
        <v>53</v>
      </c>
      <c r="U109" s="121" t="s">
        <v>53</v>
      </c>
      <c r="V109" s="116" t="b">
        <f t="shared" si="8"/>
        <v>1</v>
      </c>
      <c r="W109" s="117" t="str">
        <f t="shared" si="9"/>
        <v>title: "Isle of Man"</v>
      </c>
      <c r="X109" s="120" t="str">
        <f t="shared" si="10"/>
        <v/>
      </c>
      <c r="Y109" s="120" t="str">
        <f t="shared" si="11"/>
        <v/>
      </c>
      <c r="Z109" s="120" t="str">
        <f t="shared" si="12"/>
        <v/>
      </c>
      <c r="AA109" s="120" t="str">
        <f t="shared" si="13"/>
        <v/>
      </c>
      <c r="AB109" s="117" t="str">
        <f t="shared" si="14"/>
        <v/>
      </c>
      <c r="AC109" s="117" t="str">
        <f>IF(LEN(J109)&gt;1,concatll("#### Author's Note",J109,"-"&amp;B109),"")</f>
        <v/>
      </c>
      <c r="AD109" s="117" t="str">
        <f>IF(LEN(K109)&gt;1,concatll("#### Dedication",K109,"-"&amp;$B109),"")</f>
        <v/>
      </c>
      <c r="CA109" s="6" t="str">
        <f>IF(V109,concatll(concatl("---",W109,"---"),"*A collection of sites associated with this topic.*","#### Background",I109,AB109,AC109,AD109),"")</f>
        <v xml:space="preserve">---_x000D_
title: "Isle of Man"_x000D_
---_x000D_
_x000D_
_x000D_
*A collection of sites associated with this topic.*_x000D_
_x000D_
#### Background_x000D_
_x000D_
Catholic places of interest on the Isle of Man_x000D_
_x000D_
</v>
      </c>
      <c r="CB109" s="6" t="str">
        <f t="shared" si="15"/>
        <v>tags\im\_index.md</v>
      </c>
    </row>
    <row r="110" spans="1:80" x14ac:dyDescent="0.25">
      <c r="A110" s="129" t="s">
        <v>786</v>
      </c>
      <c r="B110" s="130"/>
      <c r="C110" s="132" t="s">
        <v>0</v>
      </c>
      <c r="D110" s="130" t="s">
        <v>554</v>
      </c>
      <c r="E110" s="130" t="s">
        <v>554</v>
      </c>
      <c r="F110" s="61" t="s">
        <v>554</v>
      </c>
      <c r="G110" s="7" t="s">
        <v>0</v>
      </c>
      <c r="H110" s="61"/>
      <c r="I110" s="153" t="s">
        <v>2005</v>
      </c>
      <c r="L110" s="154" t="s">
        <v>53</v>
      </c>
      <c r="M110" s="154" t="s">
        <v>53</v>
      </c>
      <c r="N110" s="151" t="s">
        <v>53</v>
      </c>
      <c r="O110" s="40" t="s">
        <v>53</v>
      </c>
      <c r="P110" s="1" t="s">
        <v>53</v>
      </c>
      <c r="Q110" s="44" t="s">
        <v>53</v>
      </c>
      <c r="R110" s="1" t="s">
        <v>53</v>
      </c>
      <c r="S110" s="1" t="s">
        <v>53</v>
      </c>
      <c r="T110" s="30" t="s">
        <v>53</v>
      </c>
      <c r="U110" s="121" t="s">
        <v>53</v>
      </c>
      <c r="V110" s="116" t="b">
        <f t="shared" si="8"/>
        <v>1</v>
      </c>
      <c r="W110" s="117" t="str">
        <f t="shared" si="9"/>
        <v>title: "India"</v>
      </c>
      <c r="X110" s="120" t="str">
        <f t="shared" si="10"/>
        <v/>
      </c>
      <c r="Y110" s="120" t="str">
        <f t="shared" si="11"/>
        <v/>
      </c>
      <c r="Z110" s="120" t="str">
        <f t="shared" si="12"/>
        <v/>
      </c>
      <c r="AA110" s="120" t="str">
        <f t="shared" si="13"/>
        <v/>
      </c>
      <c r="AB110" s="117" t="str">
        <f t="shared" si="14"/>
        <v/>
      </c>
      <c r="AC110" s="117" t="str">
        <f>IF(LEN(J110)&gt;1,concatll("#### Author's Note",J110,"-"&amp;B110),"")</f>
        <v/>
      </c>
      <c r="AD110" s="117" t="str">
        <f>IF(LEN(K110)&gt;1,concatll("#### Dedication",K110,"-"&amp;$B110),"")</f>
        <v/>
      </c>
      <c r="CA110" s="6" t="str">
        <f>IF(V110,concatll(concatl("---",W110,"---"),"*A collection of sites associated with this topic.*","#### Background",I110,AB110,AC110,AD110),"")</f>
        <v xml:space="preserve">---_x000D_
title: "India"_x000D_
---_x000D_
_x000D_
_x000D_
*A collection of sites associated with this topic.*_x000D_
_x000D_
#### Background_x000D_
_x000D_
Catholic places of interest in India_x000D_
_x000D_
</v>
      </c>
      <c r="CB110" s="6" t="str">
        <f t="shared" si="15"/>
        <v>tags\in\_index.md</v>
      </c>
    </row>
    <row r="111" spans="1:80" x14ac:dyDescent="0.25">
      <c r="A111" s="129" t="s">
        <v>786</v>
      </c>
      <c r="B111" s="130"/>
      <c r="C111" s="132" t="s">
        <v>300</v>
      </c>
      <c r="D111" s="130" t="s">
        <v>555</v>
      </c>
      <c r="E111" s="130" t="s">
        <v>555</v>
      </c>
      <c r="F111" s="61" t="s">
        <v>555</v>
      </c>
      <c r="G111" s="7" t="s">
        <v>300</v>
      </c>
      <c r="H111" s="61"/>
      <c r="I111" s="153" t="s">
        <v>2006</v>
      </c>
      <c r="L111" s="154" t="s">
        <v>53</v>
      </c>
      <c r="M111" s="154" t="s">
        <v>53</v>
      </c>
      <c r="N111" s="151" t="s">
        <v>53</v>
      </c>
      <c r="O111" s="40" t="s">
        <v>53</v>
      </c>
      <c r="P111" s="1" t="s">
        <v>53</v>
      </c>
      <c r="Q111" s="44" t="s">
        <v>53</v>
      </c>
      <c r="R111" s="1" t="s">
        <v>53</v>
      </c>
      <c r="S111" s="1" t="s">
        <v>53</v>
      </c>
      <c r="T111" s="30" t="s">
        <v>53</v>
      </c>
      <c r="U111" s="121" t="s">
        <v>53</v>
      </c>
      <c r="V111" s="116" t="b">
        <f t="shared" si="8"/>
        <v>1</v>
      </c>
      <c r="W111" s="117" t="str">
        <f t="shared" si="9"/>
        <v>title: "British Indian Ocean Territory"</v>
      </c>
      <c r="X111" s="120" t="str">
        <f t="shared" si="10"/>
        <v/>
      </c>
      <c r="Y111" s="120" t="str">
        <f t="shared" si="11"/>
        <v/>
      </c>
      <c r="Z111" s="120" t="str">
        <f t="shared" si="12"/>
        <v/>
      </c>
      <c r="AA111" s="120" t="str">
        <f t="shared" si="13"/>
        <v/>
      </c>
      <c r="AB111" s="117" t="str">
        <f t="shared" si="14"/>
        <v/>
      </c>
      <c r="AC111" s="117" t="str">
        <f>IF(LEN(J111)&gt;1,concatll("#### Author's Note",J111,"-"&amp;B111),"")</f>
        <v/>
      </c>
      <c r="AD111" s="117" t="str">
        <f>IF(LEN(K111)&gt;1,concatll("#### Dedication",K111,"-"&amp;$B111),"")</f>
        <v/>
      </c>
      <c r="CA111" s="6" t="str">
        <f>IF(V111,concatll(concatl("---",W111,"---"),"*A collection of sites associated with this topic.*","#### Background",I111,AB111,AC111,AD111),"")</f>
        <v xml:space="preserve">---_x000D_
title: "British Indian Ocean Territory"_x000D_
---_x000D_
_x000D_
_x000D_
*A collection of sites associated with this topic.*_x000D_
_x000D_
#### Background_x000D_
_x000D_
Catholic places of interest in British Indian Ocean Territory_x000D_
_x000D_
</v>
      </c>
      <c r="CB111" s="6" t="str">
        <f t="shared" si="15"/>
        <v>tags\io\_index.md</v>
      </c>
    </row>
    <row r="112" spans="1:80" x14ac:dyDescent="0.25">
      <c r="A112" s="129" t="s">
        <v>786</v>
      </c>
      <c r="B112" s="130"/>
      <c r="C112" s="132" t="s">
        <v>301</v>
      </c>
      <c r="D112" s="130" t="s">
        <v>556</v>
      </c>
      <c r="E112" s="130" t="s">
        <v>556</v>
      </c>
      <c r="F112" s="33" t="s">
        <v>556</v>
      </c>
      <c r="G112" s="55" t="s">
        <v>301</v>
      </c>
      <c r="I112" s="153" t="s">
        <v>2007</v>
      </c>
      <c r="L112" s="154" t="s">
        <v>53</v>
      </c>
      <c r="M112" s="154" t="s">
        <v>53</v>
      </c>
      <c r="N112" s="151" t="s">
        <v>53</v>
      </c>
      <c r="O112" s="40" t="s">
        <v>53</v>
      </c>
      <c r="P112" s="1" t="s">
        <v>53</v>
      </c>
      <c r="Q112" s="44" t="s">
        <v>53</v>
      </c>
      <c r="R112" s="1" t="s">
        <v>53</v>
      </c>
      <c r="S112" s="1" t="s">
        <v>53</v>
      </c>
      <c r="T112" s="30" t="s">
        <v>53</v>
      </c>
      <c r="U112" s="121" t="s">
        <v>53</v>
      </c>
      <c r="V112" s="116" t="b">
        <f t="shared" si="8"/>
        <v>1</v>
      </c>
      <c r="W112" s="117" t="str">
        <f t="shared" si="9"/>
        <v>title: "Iraq"</v>
      </c>
      <c r="X112" s="120" t="str">
        <f t="shared" si="10"/>
        <v/>
      </c>
      <c r="Y112" s="120" t="str">
        <f t="shared" si="11"/>
        <v/>
      </c>
      <c r="Z112" s="120" t="str">
        <f t="shared" si="12"/>
        <v/>
      </c>
      <c r="AA112" s="120" t="str">
        <f t="shared" si="13"/>
        <v/>
      </c>
      <c r="AB112" s="117" t="str">
        <f t="shared" si="14"/>
        <v/>
      </c>
      <c r="AC112" s="117" t="str">
        <f>IF(LEN(J112)&gt;1,concatll("#### Author's Note",J112,"-"&amp;B112),"")</f>
        <v/>
      </c>
      <c r="AD112" s="117" t="str">
        <f>IF(LEN(K112)&gt;1,concatll("#### Dedication",K112,"-"&amp;$B112),"")</f>
        <v/>
      </c>
      <c r="CA112" s="6" t="str">
        <f>IF(V112,concatll(concatl("---",W112,"---"),"*A collection of sites associated with this topic.*","#### Background",I112,AB112,AC112,AD112),"")</f>
        <v xml:space="preserve">---_x000D_
title: "Iraq"_x000D_
---_x000D_
_x000D_
_x000D_
*A collection of sites associated with this topic.*_x000D_
_x000D_
#### Background_x000D_
_x000D_
Catholic places of interest in Iraq_x000D_
_x000D_
</v>
      </c>
      <c r="CB112" s="6" t="str">
        <f t="shared" si="15"/>
        <v>tags\iq\_index.md</v>
      </c>
    </row>
    <row r="113" spans="1:80" x14ac:dyDescent="0.25">
      <c r="A113" s="129" t="s">
        <v>786</v>
      </c>
      <c r="B113" s="130"/>
      <c r="C113" s="132" t="s">
        <v>425</v>
      </c>
      <c r="D113" s="130" t="s">
        <v>557</v>
      </c>
      <c r="E113" s="130" t="s">
        <v>557</v>
      </c>
      <c r="F113" s="61" t="s">
        <v>557</v>
      </c>
      <c r="G113" s="55" t="s">
        <v>425</v>
      </c>
      <c r="H113" s="61"/>
      <c r="I113" s="153" t="s">
        <v>2008</v>
      </c>
      <c r="L113" s="154" t="s">
        <v>53</v>
      </c>
      <c r="M113" s="154" t="s">
        <v>53</v>
      </c>
      <c r="N113" s="151" t="s">
        <v>53</v>
      </c>
      <c r="O113" s="40" t="s">
        <v>53</v>
      </c>
      <c r="P113" s="1" t="s">
        <v>53</v>
      </c>
      <c r="Q113" s="44" t="s">
        <v>53</v>
      </c>
      <c r="R113" s="1" t="s">
        <v>53</v>
      </c>
      <c r="S113" s="1" t="s">
        <v>53</v>
      </c>
      <c r="T113" s="30" t="s">
        <v>53</v>
      </c>
      <c r="U113" s="121" t="s">
        <v>53</v>
      </c>
      <c r="V113" s="116" t="b">
        <f t="shared" si="8"/>
        <v>1</v>
      </c>
      <c r="W113" s="117" t="str">
        <f t="shared" si="9"/>
        <v>title: "Iran"</v>
      </c>
      <c r="X113" s="120" t="str">
        <f t="shared" si="10"/>
        <v/>
      </c>
      <c r="Y113" s="120" t="str">
        <f t="shared" si="11"/>
        <v/>
      </c>
      <c r="Z113" s="120" t="str">
        <f t="shared" si="12"/>
        <v/>
      </c>
      <c r="AA113" s="120" t="str">
        <f t="shared" si="13"/>
        <v/>
      </c>
      <c r="AB113" s="117" t="str">
        <f t="shared" si="14"/>
        <v/>
      </c>
      <c r="AC113" s="117" t="str">
        <f>IF(LEN(J113)&gt;1,concatll("#### Author's Note",J113,"-"&amp;B113),"")</f>
        <v/>
      </c>
      <c r="AD113" s="117" t="str">
        <f>IF(LEN(K113)&gt;1,concatll("#### Dedication",K113,"-"&amp;$B113),"")</f>
        <v/>
      </c>
      <c r="CA113" s="6" t="str">
        <f>IF(V113,concatll(concatl("---",W113,"---"),"*A collection of sites associated with this topic.*","#### Background",I113,AB113,AC113,AD113),"")</f>
        <v xml:space="preserve">---_x000D_
title: "Iran"_x000D_
---_x000D_
_x000D_
_x000D_
*A collection of sites associated with this topic.*_x000D_
_x000D_
#### Background_x000D_
_x000D_
Catholic places of interest in Iran_x000D_
_x000D_
</v>
      </c>
      <c r="CB113" s="6" t="str">
        <f t="shared" si="15"/>
        <v>tags\ir\_index.md</v>
      </c>
    </row>
    <row r="114" spans="1:80" x14ac:dyDescent="0.25">
      <c r="A114" s="129" t="s">
        <v>786</v>
      </c>
      <c r="C114" s="1" t="s">
        <v>302</v>
      </c>
      <c r="D114" s="7" t="s">
        <v>558</v>
      </c>
      <c r="E114" s="7" t="s">
        <v>558</v>
      </c>
      <c r="F114" s="61" t="s">
        <v>558</v>
      </c>
      <c r="G114" s="7" t="s">
        <v>302</v>
      </c>
      <c r="H114" s="61"/>
      <c r="I114" s="153" t="s">
        <v>2009</v>
      </c>
      <c r="L114" s="154" t="s">
        <v>53</v>
      </c>
      <c r="M114" s="154" t="s">
        <v>53</v>
      </c>
      <c r="N114" s="151" t="s">
        <v>53</v>
      </c>
      <c r="O114" s="40" t="s">
        <v>53</v>
      </c>
      <c r="P114" s="1" t="s">
        <v>53</v>
      </c>
      <c r="Q114" s="44" t="s">
        <v>53</v>
      </c>
      <c r="R114" s="1" t="s">
        <v>53</v>
      </c>
      <c r="S114" s="1" t="s">
        <v>53</v>
      </c>
      <c r="T114" s="30" t="s">
        <v>53</v>
      </c>
      <c r="U114" s="121" t="s">
        <v>53</v>
      </c>
      <c r="V114" s="116" t="b">
        <f t="shared" si="8"/>
        <v>1</v>
      </c>
      <c r="W114" s="117" t="str">
        <f t="shared" si="9"/>
        <v>title: "Iceland"</v>
      </c>
      <c r="X114" s="120" t="str">
        <f t="shared" si="10"/>
        <v/>
      </c>
      <c r="Y114" s="120" t="str">
        <f t="shared" si="11"/>
        <v/>
      </c>
      <c r="Z114" s="120" t="str">
        <f t="shared" si="12"/>
        <v/>
      </c>
      <c r="AA114" s="120" t="str">
        <f t="shared" si="13"/>
        <v/>
      </c>
      <c r="AB114" s="117" t="str">
        <f t="shared" si="14"/>
        <v/>
      </c>
      <c r="AC114" s="117" t="str">
        <f>IF(LEN(J114)&gt;1,concatll("#### Author's Note",J114,"-"&amp;B114),"")</f>
        <v/>
      </c>
      <c r="AD114" s="117" t="str">
        <f>IF(LEN(K114)&gt;1,concatll("#### Dedication",K114,"-"&amp;$B114),"")</f>
        <v/>
      </c>
      <c r="CA114" s="6" t="str">
        <f>IF(V114,concatll(concatl("---",W114,"---"),"*A collection of sites associated with this topic.*","#### Background",I114,AB114,AC114,AD114),"")</f>
        <v xml:space="preserve">---_x000D_
title: "Iceland"_x000D_
---_x000D_
_x000D_
_x000D_
*A collection of sites associated with this topic.*_x000D_
_x000D_
#### Background_x000D_
_x000D_
Catholic places of interest in Iceland_x000D_
_x000D_
</v>
      </c>
      <c r="CB114" s="6" t="str">
        <f t="shared" si="15"/>
        <v>tags\is\_index.md</v>
      </c>
    </row>
    <row r="115" spans="1:80" x14ac:dyDescent="0.25">
      <c r="A115" s="129" t="s">
        <v>786</v>
      </c>
      <c r="B115" s="55"/>
      <c r="C115" s="62" t="s">
        <v>1</v>
      </c>
      <c r="D115" s="55" t="s">
        <v>559</v>
      </c>
      <c r="E115" s="55" t="s">
        <v>559</v>
      </c>
      <c r="F115" s="61" t="s">
        <v>559</v>
      </c>
      <c r="G115" s="55" t="s">
        <v>1</v>
      </c>
      <c r="I115" s="153" t="s">
        <v>2010</v>
      </c>
      <c r="L115" s="154" t="s">
        <v>53</v>
      </c>
      <c r="M115" s="154" t="s">
        <v>53</v>
      </c>
      <c r="N115" s="151" t="s">
        <v>53</v>
      </c>
      <c r="O115" s="40" t="s">
        <v>53</v>
      </c>
      <c r="P115" s="1" t="s">
        <v>53</v>
      </c>
      <c r="Q115" s="44" t="s">
        <v>53</v>
      </c>
      <c r="R115" s="1" t="s">
        <v>53</v>
      </c>
      <c r="S115" s="1" t="s">
        <v>53</v>
      </c>
      <c r="T115" s="30" t="s">
        <v>53</v>
      </c>
      <c r="U115" s="121" t="s">
        <v>53</v>
      </c>
      <c r="V115" s="116" t="b">
        <f t="shared" si="8"/>
        <v>1</v>
      </c>
      <c r="W115" s="117" t="str">
        <f t="shared" si="9"/>
        <v>title: "Italy"</v>
      </c>
      <c r="X115" s="120" t="str">
        <f t="shared" si="10"/>
        <v/>
      </c>
      <c r="Y115" s="120" t="str">
        <f t="shared" si="11"/>
        <v/>
      </c>
      <c r="Z115" s="120" t="str">
        <f t="shared" si="12"/>
        <v/>
      </c>
      <c r="AA115" s="120" t="str">
        <f t="shared" si="13"/>
        <v/>
      </c>
      <c r="AB115" s="117" t="str">
        <f t="shared" si="14"/>
        <v/>
      </c>
      <c r="AC115" s="117" t="str">
        <f>IF(LEN(J115)&gt;1,concatll("#### Author's Note",J115,"-"&amp;B115),"")</f>
        <v/>
      </c>
      <c r="AD115" s="117" t="str">
        <f>IF(LEN(K115)&gt;1,concatll("#### Dedication",K115,"-"&amp;$B115),"")</f>
        <v/>
      </c>
      <c r="CA115" s="6" t="str">
        <f>IF(V115,concatll(concatl("---",W115,"---"),"*A collection of sites associated with this topic.*","#### Background",I115,AB115,AC115,AD115),"")</f>
        <v xml:space="preserve">---_x000D_
title: "Italy"_x000D_
---_x000D_
_x000D_
_x000D_
*A collection of sites associated with this topic.*_x000D_
_x000D_
#### Background_x000D_
_x000D_
Catholic places of interest in Italy_x000D_
_x000D_
</v>
      </c>
      <c r="CB115" s="6" t="str">
        <f t="shared" si="15"/>
        <v>tags\it\_index.md</v>
      </c>
    </row>
    <row r="116" spans="1:80" x14ac:dyDescent="0.25">
      <c r="A116" s="129" t="s">
        <v>786</v>
      </c>
      <c r="B116" s="130"/>
      <c r="C116" s="132" t="s">
        <v>303</v>
      </c>
      <c r="D116" s="130" t="s">
        <v>560</v>
      </c>
      <c r="E116" s="130" t="s">
        <v>560</v>
      </c>
      <c r="F116" s="61" t="s">
        <v>560</v>
      </c>
      <c r="G116" s="55" t="s">
        <v>303</v>
      </c>
      <c r="H116" s="61"/>
      <c r="I116" s="153" t="s">
        <v>2011</v>
      </c>
      <c r="L116" s="154" t="s">
        <v>53</v>
      </c>
      <c r="M116" s="154" t="s">
        <v>53</v>
      </c>
      <c r="N116" s="151" t="s">
        <v>53</v>
      </c>
      <c r="O116" s="40" t="s">
        <v>53</v>
      </c>
      <c r="P116" s="1" t="s">
        <v>53</v>
      </c>
      <c r="Q116" s="44" t="s">
        <v>53</v>
      </c>
      <c r="R116" s="1" t="s">
        <v>53</v>
      </c>
      <c r="S116" s="1" t="s">
        <v>53</v>
      </c>
      <c r="T116" s="30" t="s">
        <v>53</v>
      </c>
      <c r="U116" s="121" t="s">
        <v>53</v>
      </c>
      <c r="V116" s="116" t="b">
        <f t="shared" si="8"/>
        <v>1</v>
      </c>
      <c r="W116" s="117" t="str">
        <f t="shared" si="9"/>
        <v>title: "Jersey"</v>
      </c>
      <c r="X116" s="120" t="str">
        <f t="shared" si="10"/>
        <v/>
      </c>
      <c r="Y116" s="120" t="str">
        <f t="shared" si="11"/>
        <v/>
      </c>
      <c r="Z116" s="120" t="str">
        <f t="shared" si="12"/>
        <v/>
      </c>
      <c r="AA116" s="120" t="str">
        <f t="shared" si="13"/>
        <v/>
      </c>
      <c r="AB116" s="117" t="str">
        <f t="shared" si="14"/>
        <v/>
      </c>
      <c r="AC116" s="117" t="str">
        <f>IF(LEN(J116)&gt;1,concatll("#### Author's Note",J116,"-"&amp;B116),"")</f>
        <v/>
      </c>
      <c r="AD116" s="117" t="str">
        <f>IF(LEN(K116)&gt;1,concatll("#### Dedication",K116,"-"&amp;$B116),"")</f>
        <v/>
      </c>
      <c r="CA116" s="6" t="str">
        <f>IF(V116,concatll(concatl("---",W116,"---"),"*A collection of sites associated with this topic.*","#### Background",I116,AB116,AC116,AD116),"")</f>
        <v xml:space="preserve">---_x000D_
title: "Jersey"_x000D_
---_x000D_
_x000D_
_x000D_
*A collection of sites associated with this topic.*_x000D_
_x000D_
#### Background_x000D_
_x000D_
Catholic places of interest in Jersey_x000D_
_x000D_
</v>
      </c>
      <c r="CB116" s="6" t="str">
        <f t="shared" si="15"/>
        <v>tags\je\_index.md</v>
      </c>
    </row>
    <row r="117" spans="1:80" x14ac:dyDescent="0.25">
      <c r="A117" s="129" t="s">
        <v>786</v>
      </c>
      <c r="C117" s="1" t="s">
        <v>304</v>
      </c>
      <c r="D117" s="7" t="s">
        <v>561</v>
      </c>
      <c r="E117" s="7" t="s">
        <v>561</v>
      </c>
      <c r="F117" s="33" t="s">
        <v>561</v>
      </c>
      <c r="G117" s="55" t="s">
        <v>304</v>
      </c>
      <c r="H117" s="61"/>
      <c r="I117" s="153" t="s">
        <v>2012</v>
      </c>
      <c r="J117" s="130"/>
      <c r="K117" s="139"/>
      <c r="L117" s="154" t="s">
        <v>53</v>
      </c>
      <c r="M117" s="154" t="s">
        <v>53</v>
      </c>
      <c r="N117" s="151" t="s">
        <v>53</v>
      </c>
      <c r="O117" s="40" t="s">
        <v>53</v>
      </c>
      <c r="P117" s="1" t="s">
        <v>53</v>
      </c>
      <c r="Q117" s="44" t="s">
        <v>53</v>
      </c>
      <c r="R117" s="1" t="s">
        <v>53</v>
      </c>
      <c r="S117" s="1" t="s">
        <v>53</v>
      </c>
      <c r="T117" s="30" t="s">
        <v>53</v>
      </c>
      <c r="U117" s="121" t="s">
        <v>53</v>
      </c>
      <c r="V117" s="116" t="b">
        <f t="shared" si="8"/>
        <v>1</v>
      </c>
      <c r="W117" s="117" t="str">
        <f t="shared" si="9"/>
        <v>title: "Jamaica"</v>
      </c>
      <c r="X117" s="120" t="str">
        <f t="shared" si="10"/>
        <v/>
      </c>
      <c r="Y117" s="120" t="str">
        <f t="shared" si="11"/>
        <v/>
      </c>
      <c r="Z117" s="120" t="str">
        <f t="shared" si="12"/>
        <v/>
      </c>
      <c r="AA117" s="120" t="str">
        <f t="shared" si="13"/>
        <v/>
      </c>
      <c r="AB117" s="117" t="str">
        <f t="shared" si="14"/>
        <v/>
      </c>
      <c r="AC117" s="117" t="str">
        <f>IF(LEN(J117)&gt;1,concatll("#### Author's Note",J117,"-"&amp;B117),"")</f>
        <v/>
      </c>
      <c r="AD117" s="117" t="str">
        <f>IF(LEN(K117)&gt;1,concatll("#### Dedication",K117,"-"&amp;$B117),"")</f>
        <v/>
      </c>
      <c r="CA117" s="6" t="str">
        <f>IF(V117,concatll(concatl("---",W117,"---"),"*A collection of sites associated with this topic.*","#### Background",I117,AB117,AC117,AD117),"")</f>
        <v xml:space="preserve">---_x000D_
title: "Jamaica"_x000D_
---_x000D_
_x000D_
_x000D_
*A collection of sites associated with this topic.*_x000D_
_x000D_
#### Background_x000D_
_x000D_
Catholic places of interest in Jamaica_x000D_
_x000D_
</v>
      </c>
      <c r="CB117" s="6" t="str">
        <f t="shared" si="15"/>
        <v>tags\jm\_index.md</v>
      </c>
    </row>
    <row r="118" spans="1:80" x14ac:dyDescent="0.25">
      <c r="A118" s="129" t="s">
        <v>786</v>
      </c>
      <c r="C118" s="1" t="s">
        <v>305</v>
      </c>
      <c r="D118" s="7" t="s">
        <v>562</v>
      </c>
      <c r="E118" s="7" t="s">
        <v>562</v>
      </c>
      <c r="F118" s="33" t="s">
        <v>562</v>
      </c>
      <c r="G118" s="7" t="s">
        <v>305</v>
      </c>
      <c r="H118" s="61"/>
      <c r="I118" s="153" t="s">
        <v>2013</v>
      </c>
      <c r="L118" s="154" t="s">
        <v>53</v>
      </c>
      <c r="M118" s="154" t="s">
        <v>53</v>
      </c>
      <c r="N118" s="151" t="s">
        <v>53</v>
      </c>
      <c r="O118" s="40" t="s">
        <v>53</v>
      </c>
      <c r="P118" s="1" t="s">
        <v>53</v>
      </c>
      <c r="Q118" s="44" t="s">
        <v>53</v>
      </c>
      <c r="R118" s="1" t="s">
        <v>53</v>
      </c>
      <c r="S118" s="1" t="s">
        <v>53</v>
      </c>
      <c r="T118" s="30" t="s">
        <v>53</v>
      </c>
      <c r="U118" s="121" t="s">
        <v>53</v>
      </c>
      <c r="V118" s="116" t="b">
        <f t="shared" si="8"/>
        <v>1</v>
      </c>
      <c r="W118" s="117" t="str">
        <f t="shared" si="9"/>
        <v>title: "Jordan"</v>
      </c>
      <c r="X118" s="120" t="str">
        <f t="shared" si="10"/>
        <v/>
      </c>
      <c r="Y118" s="120" t="str">
        <f t="shared" si="11"/>
        <v/>
      </c>
      <c r="Z118" s="120" t="str">
        <f t="shared" si="12"/>
        <v/>
      </c>
      <c r="AA118" s="120" t="str">
        <f t="shared" si="13"/>
        <v/>
      </c>
      <c r="AB118" s="117" t="str">
        <f t="shared" si="14"/>
        <v/>
      </c>
      <c r="AC118" s="117" t="str">
        <f>IF(LEN(J118)&gt;1,concatll("#### Author's Note",J118,"-"&amp;B118),"")</f>
        <v/>
      </c>
      <c r="AD118" s="117" t="str">
        <f>IF(LEN(K118)&gt;1,concatll("#### Dedication",K118,"-"&amp;$B118),"")</f>
        <v/>
      </c>
      <c r="CA118" s="6" t="str">
        <f>IF(V118,concatll(concatl("---",W118,"---"),"*A collection of sites associated with this topic.*","#### Background",I118,AB118,AC118,AD118),"")</f>
        <v xml:space="preserve">---_x000D_
title: "Jordan"_x000D_
---_x000D_
_x000D_
_x000D_
*A collection of sites associated with this topic.*_x000D_
_x000D_
#### Background_x000D_
_x000D_
Catholic places of interest in Jordan_x000D_
_x000D_
</v>
      </c>
      <c r="CB118" s="6" t="str">
        <f t="shared" si="15"/>
        <v>tags\jo\_index.md</v>
      </c>
    </row>
    <row r="119" spans="1:80" x14ac:dyDescent="0.25">
      <c r="A119" s="129" t="s">
        <v>786</v>
      </c>
      <c r="C119" s="1" t="s">
        <v>306</v>
      </c>
      <c r="D119" s="7" t="s">
        <v>563</v>
      </c>
      <c r="E119" s="7" t="s">
        <v>563</v>
      </c>
      <c r="F119" s="33" t="s">
        <v>563</v>
      </c>
      <c r="G119" s="55" t="s">
        <v>306</v>
      </c>
      <c r="H119" s="61"/>
      <c r="I119" s="153" t="s">
        <v>2014</v>
      </c>
      <c r="L119" s="154" t="s">
        <v>53</v>
      </c>
      <c r="M119" s="154" t="s">
        <v>53</v>
      </c>
      <c r="N119" s="151" t="s">
        <v>53</v>
      </c>
      <c r="O119" s="40" t="s">
        <v>53</v>
      </c>
      <c r="P119" s="1" t="s">
        <v>53</v>
      </c>
      <c r="Q119" s="44" t="s">
        <v>53</v>
      </c>
      <c r="R119" s="1" t="s">
        <v>53</v>
      </c>
      <c r="S119" s="1" t="s">
        <v>53</v>
      </c>
      <c r="T119" s="30" t="s">
        <v>53</v>
      </c>
      <c r="U119" s="121" t="s">
        <v>53</v>
      </c>
      <c r="V119" s="116" t="b">
        <f t="shared" si="8"/>
        <v>1</v>
      </c>
      <c r="W119" s="117" t="str">
        <f t="shared" si="9"/>
        <v>title: "Japan"</v>
      </c>
      <c r="X119" s="120" t="str">
        <f t="shared" si="10"/>
        <v/>
      </c>
      <c r="Y119" s="120" t="str">
        <f t="shared" si="11"/>
        <v/>
      </c>
      <c r="Z119" s="120" t="str">
        <f t="shared" si="12"/>
        <v/>
      </c>
      <c r="AA119" s="120" t="str">
        <f t="shared" si="13"/>
        <v/>
      </c>
      <c r="AB119" s="117" t="str">
        <f t="shared" si="14"/>
        <v/>
      </c>
      <c r="AC119" s="117" t="str">
        <f>IF(LEN(J119)&gt;1,concatll("#### Author's Note",J119,"-"&amp;B119),"")</f>
        <v/>
      </c>
      <c r="AD119" s="117" t="str">
        <f>IF(LEN(K119)&gt;1,concatll("#### Dedication",K119,"-"&amp;$B119),"")</f>
        <v/>
      </c>
      <c r="CA119" s="6" t="str">
        <f>IF(V119,concatll(concatl("---",W119,"---"),"*A collection of sites associated with this topic.*","#### Background",I119,AB119,AC119,AD119),"")</f>
        <v xml:space="preserve">---_x000D_
title: "Japan"_x000D_
---_x000D_
_x000D_
_x000D_
*A collection of sites associated with this topic.*_x000D_
_x000D_
#### Background_x000D_
_x000D_
Catholic places of interest in Japan_x000D_
_x000D_
</v>
      </c>
      <c r="CB119" s="6" t="str">
        <f t="shared" si="15"/>
        <v>tags\jp\_index.md</v>
      </c>
    </row>
    <row r="120" spans="1:80" x14ac:dyDescent="0.25">
      <c r="A120" s="129" t="s">
        <v>786</v>
      </c>
      <c r="C120" s="1" t="s">
        <v>307</v>
      </c>
      <c r="D120" s="7" t="s">
        <v>564</v>
      </c>
      <c r="E120" s="7" t="s">
        <v>564</v>
      </c>
      <c r="F120" s="33" t="s">
        <v>564</v>
      </c>
      <c r="G120" s="7" t="s">
        <v>307</v>
      </c>
      <c r="H120" s="61"/>
      <c r="I120" s="153" t="s">
        <v>2015</v>
      </c>
      <c r="L120" s="154" t="s">
        <v>53</v>
      </c>
      <c r="M120" s="154" t="s">
        <v>53</v>
      </c>
      <c r="N120" s="151" t="s">
        <v>53</v>
      </c>
      <c r="O120" s="40" t="s">
        <v>53</v>
      </c>
      <c r="P120" s="1" t="s">
        <v>53</v>
      </c>
      <c r="Q120" s="44" t="s">
        <v>53</v>
      </c>
      <c r="R120" s="1" t="s">
        <v>53</v>
      </c>
      <c r="S120" s="1" t="s">
        <v>53</v>
      </c>
      <c r="T120" s="30" t="s">
        <v>53</v>
      </c>
      <c r="U120" s="121" t="s">
        <v>53</v>
      </c>
      <c r="V120" s="116" t="b">
        <f t="shared" si="8"/>
        <v>1</v>
      </c>
      <c r="W120" s="117" t="str">
        <f t="shared" si="9"/>
        <v>title: "Kenya"</v>
      </c>
      <c r="X120" s="120" t="str">
        <f t="shared" si="10"/>
        <v/>
      </c>
      <c r="Y120" s="120" t="str">
        <f t="shared" si="11"/>
        <v/>
      </c>
      <c r="Z120" s="120" t="str">
        <f t="shared" si="12"/>
        <v/>
      </c>
      <c r="AA120" s="120" t="str">
        <f t="shared" si="13"/>
        <v/>
      </c>
      <c r="AB120" s="117" t="str">
        <f t="shared" si="14"/>
        <v/>
      </c>
      <c r="AC120" s="117" t="str">
        <f>IF(LEN(J120)&gt;1,concatll("#### Author's Note",J120,"-"&amp;B120),"")</f>
        <v/>
      </c>
      <c r="AD120" s="117" t="str">
        <f>IF(LEN(K120)&gt;1,concatll("#### Dedication",K120,"-"&amp;$B120),"")</f>
        <v/>
      </c>
      <c r="CA120" s="6" t="str">
        <f>IF(V120,concatll(concatl("---",W120,"---"),"*A collection of sites associated with this topic.*","#### Background",I120,AB120,AC120,AD120),"")</f>
        <v xml:space="preserve">---_x000D_
title: "Kenya"_x000D_
---_x000D_
_x000D_
_x000D_
*A collection of sites associated with this topic.*_x000D_
_x000D_
#### Background_x000D_
_x000D_
Catholic places of interest in Kenya_x000D_
_x000D_
</v>
      </c>
      <c r="CB120" s="6" t="str">
        <f t="shared" si="15"/>
        <v>tags\ke\_index.md</v>
      </c>
    </row>
    <row r="121" spans="1:80" x14ac:dyDescent="0.25">
      <c r="A121" s="129" t="s">
        <v>786</v>
      </c>
      <c r="C121" s="1" t="s">
        <v>308</v>
      </c>
      <c r="D121" s="7" t="s">
        <v>565</v>
      </c>
      <c r="E121" s="7" t="s">
        <v>565</v>
      </c>
      <c r="F121" s="33" t="s">
        <v>565</v>
      </c>
      <c r="G121" s="55" t="s">
        <v>308</v>
      </c>
      <c r="H121" s="61"/>
      <c r="I121" s="153" t="s">
        <v>2016</v>
      </c>
      <c r="L121" s="154" t="s">
        <v>53</v>
      </c>
      <c r="M121" s="154" t="s">
        <v>53</v>
      </c>
      <c r="N121" s="151" t="s">
        <v>53</v>
      </c>
      <c r="O121" s="40" t="s">
        <v>53</v>
      </c>
      <c r="P121" s="1" t="s">
        <v>53</v>
      </c>
      <c r="Q121" s="44" t="s">
        <v>53</v>
      </c>
      <c r="R121" s="1" t="s">
        <v>53</v>
      </c>
      <c r="S121" s="1" t="s">
        <v>53</v>
      </c>
      <c r="T121" s="30" t="s">
        <v>53</v>
      </c>
      <c r="U121" s="121" t="s">
        <v>53</v>
      </c>
      <c r="V121" s="116" t="b">
        <f t="shared" si="8"/>
        <v>1</v>
      </c>
      <c r="W121" s="117" t="str">
        <f t="shared" si="9"/>
        <v>title: "Kyrgyzstan"</v>
      </c>
      <c r="X121" s="120" t="str">
        <f t="shared" si="10"/>
        <v/>
      </c>
      <c r="Y121" s="120" t="str">
        <f t="shared" si="11"/>
        <v/>
      </c>
      <c r="Z121" s="120" t="str">
        <f t="shared" si="12"/>
        <v/>
      </c>
      <c r="AA121" s="120" t="str">
        <f t="shared" si="13"/>
        <v/>
      </c>
      <c r="AB121" s="117" t="str">
        <f t="shared" si="14"/>
        <v/>
      </c>
      <c r="AC121" s="117" t="str">
        <f>IF(LEN(J121)&gt;1,concatll("#### Author's Note",J121,"-"&amp;B121),"")</f>
        <v/>
      </c>
      <c r="AD121" s="117" t="str">
        <f>IF(LEN(K121)&gt;1,concatll("#### Dedication",K121,"-"&amp;$B121),"")</f>
        <v/>
      </c>
      <c r="CA121" s="6" t="str">
        <f>IF(V121,concatll(concatl("---",W121,"---"),"*A collection of sites associated with this topic.*","#### Background",I121,AB121,AC121,AD121),"")</f>
        <v xml:space="preserve">---_x000D_
title: "Kyrgyzstan"_x000D_
---_x000D_
_x000D_
_x000D_
*A collection of sites associated with this topic.*_x000D_
_x000D_
#### Background_x000D_
_x000D_
Catholic places of interest in Kyrgyzstan_x000D_
_x000D_
</v>
      </c>
      <c r="CB121" s="6" t="str">
        <f t="shared" si="15"/>
        <v>tags\kg\_index.md</v>
      </c>
    </row>
    <row r="122" spans="1:80" x14ac:dyDescent="0.25">
      <c r="A122" s="129" t="s">
        <v>786</v>
      </c>
      <c r="C122" s="1" t="s">
        <v>309</v>
      </c>
      <c r="D122" s="7" t="s">
        <v>566</v>
      </c>
      <c r="E122" s="7" t="s">
        <v>566</v>
      </c>
      <c r="F122" s="33" t="s">
        <v>566</v>
      </c>
      <c r="G122" s="55" t="s">
        <v>309</v>
      </c>
      <c r="H122" s="61"/>
      <c r="I122" s="153" t="s">
        <v>2017</v>
      </c>
      <c r="L122" s="154" t="s">
        <v>53</v>
      </c>
      <c r="M122" s="154" t="s">
        <v>53</v>
      </c>
      <c r="N122" s="151" t="s">
        <v>53</v>
      </c>
      <c r="O122" s="40" t="s">
        <v>53</v>
      </c>
      <c r="P122" s="1" t="s">
        <v>53</v>
      </c>
      <c r="Q122" s="44" t="s">
        <v>53</v>
      </c>
      <c r="R122" s="1" t="s">
        <v>53</v>
      </c>
      <c r="S122" s="1" t="s">
        <v>53</v>
      </c>
      <c r="T122" s="30" t="s">
        <v>53</v>
      </c>
      <c r="U122" s="121" t="s">
        <v>53</v>
      </c>
      <c r="V122" s="116" t="b">
        <f t="shared" si="8"/>
        <v>1</v>
      </c>
      <c r="W122" s="117" t="str">
        <f t="shared" si="9"/>
        <v>title: "Cambodia"</v>
      </c>
      <c r="X122" s="120" t="str">
        <f t="shared" si="10"/>
        <v/>
      </c>
      <c r="Y122" s="120" t="str">
        <f t="shared" si="11"/>
        <v/>
      </c>
      <c r="Z122" s="120" t="str">
        <f t="shared" si="12"/>
        <v/>
      </c>
      <c r="AA122" s="120" t="str">
        <f t="shared" si="13"/>
        <v/>
      </c>
      <c r="AB122" s="117" t="str">
        <f t="shared" si="14"/>
        <v/>
      </c>
      <c r="AC122" s="117" t="str">
        <f>IF(LEN(J122)&gt;1,concatll("#### Author's Note",J122,"-"&amp;B122),"")</f>
        <v/>
      </c>
      <c r="AD122" s="117" t="str">
        <f>IF(LEN(K122)&gt;1,concatll("#### Dedication",K122,"-"&amp;$B122),"")</f>
        <v/>
      </c>
      <c r="CA122" s="6" t="str">
        <f>IF(V122,concatll(concatl("---",W122,"---"),"*A collection of sites associated with this topic.*","#### Background",I122,AB122,AC122,AD122),"")</f>
        <v xml:space="preserve">---_x000D_
title: "Cambodia"_x000D_
---_x000D_
_x000D_
_x000D_
*A collection of sites associated with this topic.*_x000D_
_x000D_
#### Background_x000D_
_x000D_
Catholic places of interest in Cambodia_x000D_
_x000D_
</v>
      </c>
      <c r="CB122" s="6" t="str">
        <f t="shared" si="15"/>
        <v>tags\kh\_index.md</v>
      </c>
    </row>
    <row r="123" spans="1:80" x14ac:dyDescent="0.25">
      <c r="A123" s="129" t="s">
        <v>786</v>
      </c>
      <c r="C123" s="1" t="s">
        <v>310</v>
      </c>
      <c r="D123" s="7" t="s">
        <v>567</v>
      </c>
      <c r="E123" s="7" t="s">
        <v>567</v>
      </c>
      <c r="F123" s="33" t="s">
        <v>567</v>
      </c>
      <c r="G123" s="55" t="s">
        <v>310</v>
      </c>
      <c r="H123" s="61"/>
      <c r="I123" s="153" t="s">
        <v>2018</v>
      </c>
      <c r="L123" s="154" t="s">
        <v>53</v>
      </c>
      <c r="M123" s="154" t="s">
        <v>53</v>
      </c>
      <c r="N123" s="151" t="s">
        <v>53</v>
      </c>
      <c r="O123" s="40" t="s">
        <v>53</v>
      </c>
      <c r="P123" s="1" t="s">
        <v>53</v>
      </c>
      <c r="Q123" s="44" t="s">
        <v>53</v>
      </c>
      <c r="R123" s="1" t="s">
        <v>53</v>
      </c>
      <c r="S123" s="1" t="s">
        <v>53</v>
      </c>
      <c r="T123" s="30" t="s">
        <v>53</v>
      </c>
      <c r="U123" s="121" t="s">
        <v>53</v>
      </c>
      <c r="V123" s="116" t="b">
        <f t="shared" si="8"/>
        <v>1</v>
      </c>
      <c r="W123" s="117" t="str">
        <f t="shared" si="9"/>
        <v>title: "Kiribati"</v>
      </c>
      <c r="X123" s="120" t="str">
        <f t="shared" si="10"/>
        <v/>
      </c>
      <c r="Y123" s="120" t="str">
        <f t="shared" si="11"/>
        <v/>
      </c>
      <c r="Z123" s="120" t="str">
        <f t="shared" si="12"/>
        <v/>
      </c>
      <c r="AA123" s="120" t="str">
        <f t="shared" si="13"/>
        <v/>
      </c>
      <c r="AB123" s="117" t="str">
        <f t="shared" si="14"/>
        <v/>
      </c>
      <c r="AC123" s="117" t="str">
        <f>IF(LEN(J123)&gt;1,concatll("#### Author's Note",J123,"-"&amp;B123),"")</f>
        <v/>
      </c>
      <c r="AD123" s="117" t="str">
        <f>IF(LEN(K123)&gt;1,concatll("#### Dedication",K123,"-"&amp;$B123),"")</f>
        <v/>
      </c>
      <c r="CA123" s="6" t="str">
        <f>IF(V123,concatll(concatl("---",W123,"---"),"*A collection of sites associated with this topic.*","#### Background",I123,AB123,AC123,AD123),"")</f>
        <v xml:space="preserve">---_x000D_
title: "Kiribati"_x000D_
---_x000D_
_x000D_
_x000D_
*A collection of sites associated with this topic.*_x000D_
_x000D_
#### Background_x000D_
_x000D_
Catholic places of interest in Kiribati_x000D_
_x000D_
</v>
      </c>
      <c r="CB123" s="6" t="str">
        <f t="shared" si="15"/>
        <v>tags\ki\_index.md</v>
      </c>
    </row>
    <row r="124" spans="1:80" x14ac:dyDescent="0.25">
      <c r="A124" s="129" t="s">
        <v>786</v>
      </c>
      <c r="C124" s="1" t="s">
        <v>311</v>
      </c>
      <c r="D124" s="7" t="s">
        <v>568</v>
      </c>
      <c r="E124" s="7" t="s">
        <v>568</v>
      </c>
      <c r="F124" s="33" t="s">
        <v>568</v>
      </c>
      <c r="G124" s="55" t="s">
        <v>311</v>
      </c>
      <c r="H124" s="61"/>
      <c r="I124" s="153" t="s">
        <v>2200</v>
      </c>
      <c r="L124" s="154" t="s">
        <v>53</v>
      </c>
      <c r="M124" s="154" t="s">
        <v>53</v>
      </c>
      <c r="N124" s="151" t="s">
        <v>53</v>
      </c>
      <c r="O124" s="40" t="s">
        <v>53</v>
      </c>
      <c r="P124" s="1" t="s">
        <v>53</v>
      </c>
      <c r="Q124" s="44" t="s">
        <v>53</v>
      </c>
      <c r="R124" s="1" t="s">
        <v>53</v>
      </c>
      <c r="S124" s="1" t="s">
        <v>53</v>
      </c>
      <c r="T124" s="30" t="s">
        <v>53</v>
      </c>
      <c r="U124" s="121" t="s">
        <v>53</v>
      </c>
      <c r="V124" s="116" t="b">
        <f t="shared" si="8"/>
        <v>1</v>
      </c>
      <c r="W124" s="117" t="str">
        <f t="shared" si="9"/>
        <v>title: "Comoros"</v>
      </c>
      <c r="X124" s="120" t="str">
        <f t="shared" si="10"/>
        <v/>
      </c>
      <c r="Y124" s="120" t="str">
        <f t="shared" si="11"/>
        <v/>
      </c>
      <c r="Z124" s="120" t="str">
        <f t="shared" si="12"/>
        <v/>
      </c>
      <c r="AA124" s="120" t="str">
        <f t="shared" si="13"/>
        <v/>
      </c>
      <c r="AB124" s="117" t="str">
        <f t="shared" si="14"/>
        <v/>
      </c>
      <c r="AC124" s="117" t="str">
        <f>IF(LEN(J124)&gt;1,concatll("#### Author's Note",J124,"-"&amp;B124),"")</f>
        <v/>
      </c>
      <c r="AD124" s="117" t="str">
        <f>IF(LEN(K124)&gt;1,concatll("#### Dedication",K124,"-"&amp;$B124),"")</f>
        <v/>
      </c>
      <c r="CA124" s="6" t="str">
        <f>IF(V124,concatll(concatl("---",W124,"---"),"*A collection of sites associated with this topic.*","#### Background",I124,AB124,AC124,AD124),"")</f>
        <v xml:space="preserve">---_x000D_
title: "Comoros"_x000D_
---_x000D_
_x000D_
_x000D_
*A collection of sites associated with this topic.*_x000D_
_x000D_
#### Background_x000D_
_x000D_
Catholic places of interest in the Comoros_x000D_
_x000D_
</v>
      </c>
      <c r="CB124" s="6" t="str">
        <f t="shared" si="15"/>
        <v>tags\km\_index.md</v>
      </c>
    </row>
    <row r="125" spans="1:80" x14ac:dyDescent="0.25">
      <c r="A125" s="129" t="s">
        <v>786</v>
      </c>
      <c r="C125" s="1" t="s">
        <v>312</v>
      </c>
      <c r="D125" s="7" t="s">
        <v>569</v>
      </c>
      <c r="E125" s="7" t="s">
        <v>569</v>
      </c>
      <c r="F125" s="33" t="s">
        <v>569</v>
      </c>
      <c r="G125" s="7" t="s">
        <v>312</v>
      </c>
      <c r="H125" s="61"/>
      <c r="I125" s="153" t="s">
        <v>2019</v>
      </c>
      <c r="L125" s="154" t="s">
        <v>53</v>
      </c>
      <c r="M125" s="154" t="s">
        <v>53</v>
      </c>
      <c r="N125" s="151" t="s">
        <v>53</v>
      </c>
      <c r="O125" s="40" t="s">
        <v>53</v>
      </c>
      <c r="P125" s="1" t="s">
        <v>53</v>
      </c>
      <c r="Q125" s="44" t="s">
        <v>53</v>
      </c>
      <c r="R125" s="1" t="s">
        <v>53</v>
      </c>
      <c r="S125" s="1" t="s">
        <v>53</v>
      </c>
      <c r="T125" s="30" t="s">
        <v>53</v>
      </c>
      <c r="U125" s="121" t="s">
        <v>53</v>
      </c>
      <c r="V125" s="116" t="b">
        <f t="shared" si="8"/>
        <v>1</v>
      </c>
      <c r="W125" s="117" t="str">
        <f t="shared" si="9"/>
        <v>title: "Saint Kitts and Nevis"</v>
      </c>
      <c r="X125" s="120" t="str">
        <f t="shared" si="10"/>
        <v/>
      </c>
      <c r="Y125" s="120" t="str">
        <f t="shared" si="11"/>
        <v/>
      </c>
      <c r="Z125" s="120" t="str">
        <f t="shared" si="12"/>
        <v/>
      </c>
      <c r="AA125" s="120" t="str">
        <f t="shared" si="13"/>
        <v/>
      </c>
      <c r="AB125" s="117" t="str">
        <f t="shared" si="14"/>
        <v/>
      </c>
      <c r="AC125" s="117" t="str">
        <f>IF(LEN(J125)&gt;1,concatll("#### Author's Note",J125,"-"&amp;B125),"")</f>
        <v/>
      </c>
      <c r="AD125" s="117" t="str">
        <f>IF(LEN(K125)&gt;1,concatll("#### Dedication",K125,"-"&amp;$B125),"")</f>
        <v/>
      </c>
      <c r="CA125" s="6" t="str">
        <f>IF(V125,concatll(concatl("---",W125,"---"),"*A collection of sites associated with this topic.*","#### Background",I125,AB125,AC125,AD125),"")</f>
        <v xml:space="preserve">---_x000D_
title: "Saint Kitts and Nevis"_x000D_
---_x000D_
_x000D_
_x000D_
*A collection of sites associated with this topic.*_x000D_
_x000D_
#### Background_x000D_
_x000D_
Catholic places of interest in Saint Kitts and Nevis_x000D_
_x000D_
</v>
      </c>
      <c r="CB125" s="6" t="str">
        <f t="shared" si="15"/>
        <v>tags\kn\_index.md</v>
      </c>
    </row>
    <row r="126" spans="1:80" x14ac:dyDescent="0.25">
      <c r="A126" s="129" t="s">
        <v>786</v>
      </c>
      <c r="C126" s="1" t="s">
        <v>426</v>
      </c>
      <c r="D126" s="7" t="s">
        <v>570</v>
      </c>
      <c r="E126" s="7" t="s">
        <v>570</v>
      </c>
      <c r="F126" s="33" t="s">
        <v>570</v>
      </c>
      <c r="G126" s="55" t="s">
        <v>426</v>
      </c>
      <c r="H126" s="61"/>
      <c r="I126" s="153" t="s">
        <v>2020</v>
      </c>
      <c r="L126" s="154" t="s">
        <v>53</v>
      </c>
      <c r="M126" s="154" t="s">
        <v>53</v>
      </c>
      <c r="N126" s="151" t="s">
        <v>53</v>
      </c>
      <c r="O126" s="40" t="s">
        <v>53</v>
      </c>
      <c r="P126" s="1" t="s">
        <v>53</v>
      </c>
      <c r="Q126" s="44" t="s">
        <v>53</v>
      </c>
      <c r="R126" s="1" t="s">
        <v>53</v>
      </c>
      <c r="S126" s="1" t="s">
        <v>53</v>
      </c>
      <c r="T126" s="30" t="s">
        <v>53</v>
      </c>
      <c r="U126" s="121" t="s">
        <v>53</v>
      </c>
      <c r="V126" s="116" t="b">
        <f t="shared" si="8"/>
        <v>1</v>
      </c>
      <c r="W126" s="117" t="str">
        <f t="shared" si="9"/>
        <v>title: "North Korea"</v>
      </c>
      <c r="X126" s="120" t="str">
        <f t="shared" si="10"/>
        <v/>
      </c>
      <c r="Y126" s="120" t="str">
        <f t="shared" si="11"/>
        <v/>
      </c>
      <c r="Z126" s="120" t="str">
        <f t="shared" si="12"/>
        <v/>
      </c>
      <c r="AA126" s="120" t="str">
        <f t="shared" si="13"/>
        <v/>
      </c>
      <c r="AB126" s="117" t="str">
        <f t="shared" si="14"/>
        <v/>
      </c>
      <c r="AC126" s="117" t="str">
        <f>IF(LEN(J126)&gt;1,concatll("#### Author's Note",J126,"-"&amp;B126),"")</f>
        <v/>
      </c>
      <c r="AD126" s="117" t="str">
        <f>IF(LEN(K126)&gt;1,concatll("#### Dedication",K126,"-"&amp;$B126),"")</f>
        <v/>
      </c>
      <c r="CA126" s="6" t="str">
        <f>IF(V126,concatll(concatl("---",W126,"---"),"*A collection of sites associated with this topic.*","#### Background",I126,AB126,AC126,AD126),"")</f>
        <v xml:space="preserve">---_x000D_
title: "North Korea"_x000D_
---_x000D_
_x000D_
_x000D_
*A collection of sites associated with this topic.*_x000D_
_x000D_
#### Background_x000D_
_x000D_
Catholic places of interest in North Korea_x000D_
_x000D_
</v>
      </c>
      <c r="CB126" s="6" t="str">
        <f t="shared" si="15"/>
        <v>tags\kp\_index.md</v>
      </c>
    </row>
    <row r="127" spans="1:80" x14ac:dyDescent="0.25">
      <c r="A127" s="129" t="s">
        <v>786</v>
      </c>
      <c r="B127" s="130"/>
      <c r="C127" s="132" t="s">
        <v>432</v>
      </c>
      <c r="D127" s="130" t="s">
        <v>571</v>
      </c>
      <c r="E127" s="130" t="s">
        <v>571</v>
      </c>
      <c r="F127" s="33" t="s">
        <v>571</v>
      </c>
      <c r="G127" s="94" t="s">
        <v>432</v>
      </c>
      <c r="H127" s="96"/>
      <c r="I127" s="153" t="s">
        <v>2021</v>
      </c>
      <c r="L127" s="154" t="s">
        <v>53</v>
      </c>
      <c r="M127" s="154" t="s">
        <v>53</v>
      </c>
      <c r="N127" s="151" t="s">
        <v>53</v>
      </c>
      <c r="O127" s="40" t="s">
        <v>53</v>
      </c>
      <c r="P127" s="1" t="s">
        <v>53</v>
      </c>
      <c r="Q127" s="44" t="s">
        <v>53</v>
      </c>
      <c r="R127" s="1" t="s">
        <v>53</v>
      </c>
      <c r="S127" s="1" t="s">
        <v>53</v>
      </c>
      <c r="T127" s="30" t="s">
        <v>53</v>
      </c>
      <c r="U127" s="121" t="s">
        <v>53</v>
      </c>
      <c r="V127" s="116" t="b">
        <f t="shared" si="8"/>
        <v>1</v>
      </c>
      <c r="W127" s="117" t="str">
        <f t="shared" si="9"/>
        <v>title: "South Korea"</v>
      </c>
      <c r="X127" s="120" t="str">
        <f t="shared" si="10"/>
        <v/>
      </c>
      <c r="Y127" s="120" t="str">
        <f t="shared" si="11"/>
        <v/>
      </c>
      <c r="Z127" s="120" t="str">
        <f t="shared" si="12"/>
        <v/>
      </c>
      <c r="AA127" s="120" t="str">
        <f t="shared" si="13"/>
        <v/>
      </c>
      <c r="AB127" s="117" t="str">
        <f t="shared" si="14"/>
        <v/>
      </c>
      <c r="AC127" s="117" t="str">
        <f>IF(LEN(J127)&gt;1,concatll("#### Author's Note",J127,"-"&amp;B127),"")</f>
        <v/>
      </c>
      <c r="AD127" s="117" t="str">
        <f>IF(LEN(K127)&gt;1,concatll("#### Dedication",K127,"-"&amp;$B127),"")</f>
        <v/>
      </c>
      <c r="CA127" s="6" t="str">
        <f>IF(V127,concatll(concatl("---",W127,"---"),"*A collection of sites associated with this topic.*","#### Background",I127,AB127,AC127,AD127),"")</f>
        <v xml:space="preserve">---_x000D_
title: "South Korea"_x000D_
---_x000D_
_x000D_
_x000D_
*A collection of sites associated with this topic.*_x000D_
_x000D_
#### Background_x000D_
_x000D_
Catholic places of interest in South Korea_x000D_
_x000D_
</v>
      </c>
      <c r="CB127" s="6" t="str">
        <f t="shared" si="15"/>
        <v>tags\kr\_index.md</v>
      </c>
    </row>
    <row r="128" spans="1:80" x14ac:dyDescent="0.25">
      <c r="A128" s="129" t="s">
        <v>786</v>
      </c>
      <c r="C128" s="1" t="s">
        <v>313</v>
      </c>
      <c r="D128" s="7" t="s">
        <v>572</v>
      </c>
      <c r="E128" s="7" t="s">
        <v>572</v>
      </c>
      <c r="F128" s="33" t="s">
        <v>572</v>
      </c>
      <c r="G128" s="7" t="s">
        <v>313</v>
      </c>
      <c r="I128" s="153" t="s">
        <v>2022</v>
      </c>
      <c r="J128" s="130"/>
      <c r="K128" s="139"/>
      <c r="L128" s="154" t="s">
        <v>53</v>
      </c>
      <c r="M128" s="154" t="s">
        <v>53</v>
      </c>
      <c r="N128" s="151" t="s">
        <v>53</v>
      </c>
      <c r="O128" s="40" t="s">
        <v>53</v>
      </c>
      <c r="P128" s="1" t="s">
        <v>53</v>
      </c>
      <c r="Q128" s="44" t="s">
        <v>53</v>
      </c>
      <c r="R128" s="1" t="s">
        <v>53</v>
      </c>
      <c r="S128" s="1" t="s">
        <v>53</v>
      </c>
      <c r="T128" s="30" t="s">
        <v>53</v>
      </c>
      <c r="U128" s="121" t="s">
        <v>53</v>
      </c>
      <c r="V128" s="116" t="b">
        <f t="shared" si="8"/>
        <v>1</v>
      </c>
      <c r="W128" s="117" t="str">
        <f t="shared" si="9"/>
        <v>title: "Kuwait"</v>
      </c>
      <c r="X128" s="120" t="str">
        <f t="shared" si="10"/>
        <v/>
      </c>
      <c r="Y128" s="120" t="str">
        <f t="shared" si="11"/>
        <v/>
      </c>
      <c r="Z128" s="120" t="str">
        <f t="shared" si="12"/>
        <v/>
      </c>
      <c r="AA128" s="120" t="str">
        <f t="shared" si="13"/>
        <v/>
      </c>
      <c r="AB128" s="117" t="str">
        <f t="shared" si="14"/>
        <v/>
      </c>
      <c r="AC128" s="117" t="str">
        <f>IF(LEN(J128)&gt;1,concatll("#### Author's Note",J128,"-"&amp;B128),"")</f>
        <v/>
      </c>
      <c r="AD128" s="117" t="str">
        <f>IF(LEN(K128)&gt;1,concatll("#### Dedication",K128,"-"&amp;$B128),"")</f>
        <v/>
      </c>
      <c r="CA128" s="6" t="str">
        <f>IF(V128,concatll(concatl("---",W128,"---"),"*A collection of sites associated with this topic.*","#### Background",I128,AB128,AC128,AD128),"")</f>
        <v xml:space="preserve">---_x000D_
title: "Kuwait"_x000D_
---_x000D_
_x000D_
_x000D_
*A collection of sites associated with this topic.*_x000D_
_x000D_
#### Background_x000D_
_x000D_
Catholic places of interest in Kuwait_x000D_
_x000D_
</v>
      </c>
      <c r="CB128" s="6" t="str">
        <f t="shared" si="15"/>
        <v>tags\kw\_index.md</v>
      </c>
    </row>
    <row r="129" spans="1:80" x14ac:dyDescent="0.25">
      <c r="A129" s="129" t="s">
        <v>786</v>
      </c>
      <c r="B129" s="130"/>
      <c r="C129" s="132" t="s">
        <v>314</v>
      </c>
      <c r="D129" s="130" t="s">
        <v>573</v>
      </c>
      <c r="E129" s="130" t="s">
        <v>573</v>
      </c>
      <c r="F129" s="33" t="s">
        <v>573</v>
      </c>
      <c r="G129" s="94" t="s">
        <v>314</v>
      </c>
      <c r="H129" s="101"/>
      <c r="I129" s="153" t="s">
        <v>2201</v>
      </c>
      <c r="J129" s="130"/>
      <c r="K129" s="139"/>
      <c r="L129" s="154" t="s">
        <v>53</v>
      </c>
      <c r="M129" s="154" t="s">
        <v>53</v>
      </c>
      <c r="N129" s="151" t="s">
        <v>53</v>
      </c>
      <c r="O129" s="40" t="s">
        <v>53</v>
      </c>
      <c r="P129" s="1" t="s">
        <v>53</v>
      </c>
      <c r="Q129" s="44" t="s">
        <v>53</v>
      </c>
      <c r="R129" s="1" t="s">
        <v>53</v>
      </c>
      <c r="S129" s="1" t="s">
        <v>53</v>
      </c>
      <c r="T129" s="30" t="s">
        <v>53</v>
      </c>
      <c r="U129" s="121" t="s">
        <v>53</v>
      </c>
      <c r="V129" s="116" t="b">
        <f t="shared" si="8"/>
        <v>1</v>
      </c>
      <c r="W129" s="117" t="str">
        <f t="shared" si="9"/>
        <v>title: "Cayman Islands"</v>
      </c>
      <c r="X129" s="120" t="str">
        <f t="shared" si="10"/>
        <v/>
      </c>
      <c r="Y129" s="120" t="str">
        <f t="shared" si="11"/>
        <v/>
      </c>
      <c r="Z129" s="120" t="str">
        <f t="shared" si="12"/>
        <v/>
      </c>
      <c r="AA129" s="120" t="str">
        <f t="shared" si="13"/>
        <v/>
      </c>
      <c r="AB129" s="117" t="str">
        <f t="shared" si="14"/>
        <v/>
      </c>
      <c r="AC129" s="117" t="str">
        <f>IF(LEN(J129)&gt;1,concatll("#### Author's Note",J129,"-"&amp;B129),"")</f>
        <v/>
      </c>
      <c r="AD129" s="117" t="str">
        <f>IF(LEN(K129)&gt;1,concatll("#### Dedication",K129,"-"&amp;$B129),"")</f>
        <v/>
      </c>
      <c r="CA129" s="6" t="str">
        <f>IF(V129,concatll(concatl("---",W129,"---"),"*A collection of sites associated with this topic.*","#### Background",I129,AB129,AC129,AD129),"")</f>
        <v xml:space="preserve">---_x000D_
title: "Cayman Islands"_x000D_
---_x000D_
_x000D_
_x000D_
*A collection of sites associated with this topic.*_x000D_
_x000D_
#### Background_x000D_
_x000D_
Catholic places of interest in the Cayman Islands_x000D_
_x000D_
</v>
      </c>
      <c r="CB129" s="6" t="str">
        <f t="shared" si="15"/>
        <v>tags\ky\_index.md</v>
      </c>
    </row>
    <row r="130" spans="1:80" x14ac:dyDescent="0.25">
      <c r="A130" s="129" t="s">
        <v>786</v>
      </c>
      <c r="C130" s="1" t="s">
        <v>315</v>
      </c>
      <c r="D130" s="7" t="s">
        <v>574</v>
      </c>
      <c r="E130" s="7" t="s">
        <v>574</v>
      </c>
      <c r="F130" s="33" t="s">
        <v>574</v>
      </c>
      <c r="G130" s="7" t="s">
        <v>315</v>
      </c>
      <c r="I130" s="153" t="s">
        <v>2023</v>
      </c>
      <c r="L130" s="154" t="s">
        <v>53</v>
      </c>
      <c r="M130" s="154" t="s">
        <v>53</v>
      </c>
      <c r="N130" s="151" t="s">
        <v>53</v>
      </c>
      <c r="O130" s="40" t="s">
        <v>53</v>
      </c>
      <c r="P130" s="1" t="s">
        <v>53</v>
      </c>
      <c r="Q130" s="44" t="s">
        <v>53</v>
      </c>
      <c r="R130" s="1" t="s">
        <v>53</v>
      </c>
      <c r="S130" s="1" t="s">
        <v>53</v>
      </c>
      <c r="T130" s="30" t="s">
        <v>53</v>
      </c>
      <c r="U130" s="121" t="s">
        <v>53</v>
      </c>
      <c r="V130" s="116" t="b">
        <f t="shared" si="8"/>
        <v>1</v>
      </c>
      <c r="W130" s="117" t="str">
        <f t="shared" si="9"/>
        <v>title: "Kazakhstan"</v>
      </c>
      <c r="X130" s="120" t="str">
        <f t="shared" si="10"/>
        <v/>
      </c>
      <c r="Y130" s="120" t="str">
        <f t="shared" si="11"/>
        <v/>
      </c>
      <c r="Z130" s="120" t="str">
        <f t="shared" si="12"/>
        <v/>
      </c>
      <c r="AA130" s="120" t="str">
        <f t="shared" si="13"/>
        <v/>
      </c>
      <c r="AB130" s="117" t="str">
        <f t="shared" si="14"/>
        <v/>
      </c>
      <c r="AC130" s="117" t="str">
        <f>IF(LEN(J130)&gt;1,concatll("#### Author's Note",J130,"-"&amp;B130),"")</f>
        <v/>
      </c>
      <c r="AD130" s="117" t="str">
        <f>IF(LEN(K130)&gt;1,concatll("#### Dedication",K130,"-"&amp;$B130),"")</f>
        <v/>
      </c>
      <c r="CA130" s="6" t="str">
        <f>IF(V130,concatll(concatl("---",W130,"---"),"*A collection of sites associated with this topic.*","#### Background",I130,AB130,AC130,AD130),"")</f>
        <v xml:space="preserve">---_x000D_
title: "Kazakhstan"_x000D_
---_x000D_
_x000D_
_x000D_
*A collection of sites associated with this topic.*_x000D_
_x000D_
#### Background_x000D_
_x000D_
Catholic places of interest in Kazakhstan_x000D_
_x000D_
</v>
      </c>
      <c r="CB130" s="6" t="str">
        <f t="shared" si="15"/>
        <v>tags\kz\_index.md</v>
      </c>
    </row>
    <row r="131" spans="1:80" x14ac:dyDescent="0.25">
      <c r="A131" s="129" t="s">
        <v>786</v>
      </c>
      <c r="C131" s="1" t="s">
        <v>446</v>
      </c>
      <c r="D131" s="7" t="s">
        <v>575</v>
      </c>
      <c r="E131" s="7" t="s">
        <v>575</v>
      </c>
      <c r="F131" s="33" t="s">
        <v>575</v>
      </c>
      <c r="G131" s="10" t="s">
        <v>446</v>
      </c>
      <c r="I131" s="153" t="s">
        <v>2024</v>
      </c>
      <c r="L131" s="154" t="s">
        <v>53</v>
      </c>
      <c r="M131" s="154" t="s">
        <v>53</v>
      </c>
      <c r="N131" s="151" t="s">
        <v>53</v>
      </c>
      <c r="O131" s="40" t="s">
        <v>53</v>
      </c>
      <c r="P131" s="1" t="s">
        <v>53</v>
      </c>
      <c r="Q131" s="44" t="s">
        <v>53</v>
      </c>
      <c r="R131" s="1" t="s">
        <v>53</v>
      </c>
      <c r="S131" s="1" t="s">
        <v>53</v>
      </c>
      <c r="T131" s="30" t="s">
        <v>53</v>
      </c>
      <c r="U131" s="121" t="s">
        <v>53</v>
      </c>
      <c r="V131" s="116" t="b">
        <f t="shared" si="8"/>
        <v>1</v>
      </c>
      <c r="W131" s="117" t="str">
        <f t="shared" si="9"/>
        <v>title: "Laos"</v>
      </c>
      <c r="X131" s="120" t="str">
        <f t="shared" si="10"/>
        <v/>
      </c>
      <c r="Y131" s="120" t="str">
        <f t="shared" si="11"/>
        <v/>
      </c>
      <c r="Z131" s="120" t="str">
        <f t="shared" si="12"/>
        <v/>
      </c>
      <c r="AA131" s="120" t="str">
        <f t="shared" si="13"/>
        <v/>
      </c>
      <c r="AB131" s="117" t="str">
        <f t="shared" si="14"/>
        <v/>
      </c>
      <c r="AC131" s="117" t="str">
        <f>IF(LEN(J131)&gt;1,concatll("#### Author's Note",J131,"-"&amp;B131),"")</f>
        <v/>
      </c>
      <c r="AD131" s="117" t="str">
        <f>IF(LEN(K131)&gt;1,concatll("#### Dedication",K131,"-"&amp;$B131),"")</f>
        <v/>
      </c>
      <c r="CA131" s="6" t="str">
        <f>IF(V131,concatll(concatl("---",W131,"---"),"*A collection of sites associated with this topic.*","#### Background",I131,AB131,AC131,AD131),"")</f>
        <v xml:space="preserve">---_x000D_
title: "Laos"_x000D_
---_x000D_
_x000D_
_x000D_
*A collection of sites associated with this topic.*_x000D_
_x000D_
#### Background_x000D_
_x000D_
Catholic places of interest in Laos_x000D_
_x000D_
</v>
      </c>
      <c r="CB131" s="6" t="str">
        <f t="shared" si="15"/>
        <v>tags\la\_index.md</v>
      </c>
    </row>
    <row r="132" spans="1:80" x14ac:dyDescent="0.25">
      <c r="A132" s="129" t="s">
        <v>786</v>
      </c>
      <c r="B132" s="26"/>
      <c r="C132" s="18" t="s">
        <v>198</v>
      </c>
      <c r="D132" s="26" t="s">
        <v>576</v>
      </c>
      <c r="E132" s="26" t="s">
        <v>576</v>
      </c>
      <c r="F132" s="61" t="s">
        <v>576</v>
      </c>
      <c r="G132" s="26" t="s">
        <v>198</v>
      </c>
      <c r="H132" s="38"/>
      <c r="I132" s="153" t="s">
        <v>2025</v>
      </c>
      <c r="J132" s="130"/>
      <c r="K132" s="139"/>
      <c r="L132" s="154" t="s">
        <v>53</v>
      </c>
      <c r="M132" s="154" t="s">
        <v>53</v>
      </c>
      <c r="N132" s="151" t="s">
        <v>53</v>
      </c>
      <c r="O132" s="40" t="s">
        <v>53</v>
      </c>
      <c r="P132" s="1" t="s">
        <v>53</v>
      </c>
      <c r="Q132" s="44" t="s">
        <v>53</v>
      </c>
      <c r="R132" s="1" t="s">
        <v>53</v>
      </c>
      <c r="S132" s="1" t="s">
        <v>53</v>
      </c>
      <c r="T132" s="30" t="s">
        <v>53</v>
      </c>
      <c r="U132" s="121" t="s">
        <v>53</v>
      </c>
      <c r="V132" s="116" t="b">
        <f t="shared" si="8"/>
        <v>1</v>
      </c>
      <c r="W132" s="117" t="str">
        <f t="shared" si="9"/>
        <v>title: "Lebanon"</v>
      </c>
      <c r="X132" s="120" t="str">
        <f t="shared" si="10"/>
        <v/>
      </c>
      <c r="Y132" s="120" t="str">
        <f t="shared" si="11"/>
        <v/>
      </c>
      <c r="Z132" s="120" t="str">
        <f t="shared" si="12"/>
        <v/>
      </c>
      <c r="AA132" s="120" t="str">
        <f t="shared" si="13"/>
        <v/>
      </c>
      <c r="AB132" s="117" t="str">
        <f t="shared" si="14"/>
        <v/>
      </c>
      <c r="AC132" s="117" t="str">
        <f>IF(LEN(J132)&gt;1,concatll("#### Author's Note",J132,"-"&amp;B132),"")</f>
        <v/>
      </c>
      <c r="AD132" s="117" t="str">
        <f>IF(LEN(K132)&gt;1,concatll("#### Dedication",K132,"-"&amp;$B132),"")</f>
        <v/>
      </c>
      <c r="CA132" s="6" t="str">
        <f>IF(V132,concatll(concatl("---",W132,"---"),"*A collection of sites associated with this topic.*","#### Background",I132,AB132,AC132,AD132),"")</f>
        <v xml:space="preserve">---_x000D_
title: "Lebanon"_x000D_
---_x000D_
_x000D_
_x000D_
*A collection of sites associated with this topic.*_x000D_
_x000D_
#### Background_x000D_
_x000D_
Catholic places of interest in Lebanon_x000D_
_x000D_
</v>
      </c>
      <c r="CB132" s="6" t="str">
        <f t="shared" si="15"/>
        <v>tags\lb\_index.md</v>
      </c>
    </row>
    <row r="133" spans="1:80" x14ac:dyDescent="0.25">
      <c r="A133" s="129" t="s">
        <v>786</v>
      </c>
      <c r="C133" s="1" t="s">
        <v>316</v>
      </c>
      <c r="D133" s="7" t="s">
        <v>577</v>
      </c>
      <c r="E133" s="7" t="s">
        <v>577</v>
      </c>
      <c r="F133" s="33" t="s">
        <v>577</v>
      </c>
      <c r="G133" s="23" t="s">
        <v>316</v>
      </c>
      <c r="H133" s="34"/>
      <c r="I133" s="153" t="s">
        <v>2026</v>
      </c>
      <c r="L133" s="154" t="s">
        <v>53</v>
      </c>
      <c r="M133" s="154" t="s">
        <v>53</v>
      </c>
      <c r="N133" s="151" t="s">
        <v>53</v>
      </c>
      <c r="O133" s="40" t="s">
        <v>53</v>
      </c>
      <c r="P133" s="1" t="s">
        <v>53</v>
      </c>
      <c r="Q133" s="44" t="s">
        <v>53</v>
      </c>
      <c r="R133" s="1" t="s">
        <v>53</v>
      </c>
      <c r="S133" s="1" t="s">
        <v>53</v>
      </c>
      <c r="T133" s="30" t="s">
        <v>53</v>
      </c>
      <c r="U133" s="121" t="s">
        <v>53</v>
      </c>
      <c r="V133" s="116" t="b">
        <f t="shared" si="8"/>
        <v>1</v>
      </c>
      <c r="W133" s="117" t="str">
        <f t="shared" si="9"/>
        <v>title: "Saint Lucia"</v>
      </c>
      <c r="X133" s="120" t="str">
        <f t="shared" si="10"/>
        <v/>
      </c>
      <c r="Y133" s="120" t="str">
        <f t="shared" si="11"/>
        <v/>
      </c>
      <c r="Z133" s="120" t="str">
        <f t="shared" si="12"/>
        <v/>
      </c>
      <c r="AA133" s="120" t="str">
        <f t="shared" si="13"/>
        <v/>
      </c>
      <c r="AB133" s="117" t="str">
        <f t="shared" si="14"/>
        <v/>
      </c>
      <c r="AC133" s="117" t="str">
        <f>IF(LEN(J133)&gt;1,concatll("#### Author's Note",J133,"-"&amp;B133),"")</f>
        <v/>
      </c>
      <c r="AD133" s="117" t="str">
        <f>IF(LEN(K133)&gt;1,concatll("#### Dedication",K133,"-"&amp;$B133),"")</f>
        <v/>
      </c>
      <c r="CA133" s="6" t="str">
        <f>IF(V133,concatll(concatl("---",W133,"---"),"*A collection of sites associated with this topic.*","#### Background",I133,AB133,AC133,AD133),"")</f>
        <v xml:space="preserve">---_x000D_
title: "Saint Lucia"_x000D_
---_x000D_
_x000D_
_x000D_
*A collection of sites associated with this topic.*_x000D_
_x000D_
#### Background_x000D_
_x000D_
Catholic places of interest in Saint Lucia_x000D_
_x000D_
</v>
      </c>
      <c r="CB133" s="6" t="str">
        <f t="shared" si="15"/>
        <v>tags\lc\_index.md</v>
      </c>
    </row>
    <row r="134" spans="1:80" x14ac:dyDescent="0.25">
      <c r="A134" s="129" t="s">
        <v>786</v>
      </c>
      <c r="C134" s="1" t="s">
        <v>317</v>
      </c>
      <c r="D134" s="7" t="s">
        <v>578</v>
      </c>
      <c r="E134" s="7" t="s">
        <v>578</v>
      </c>
      <c r="F134" s="38" t="s">
        <v>578</v>
      </c>
      <c r="G134" s="7" t="s">
        <v>317</v>
      </c>
      <c r="I134" s="153" t="s">
        <v>2027</v>
      </c>
      <c r="L134" s="154" t="s">
        <v>53</v>
      </c>
      <c r="M134" s="154" t="s">
        <v>53</v>
      </c>
      <c r="N134" s="151" t="s">
        <v>53</v>
      </c>
      <c r="O134" s="40" t="s">
        <v>53</v>
      </c>
      <c r="P134" s="1" t="s">
        <v>53</v>
      </c>
      <c r="Q134" s="44" t="s">
        <v>53</v>
      </c>
      <c r="R134" s="1" t="s">
        <v>53</v>
      </c>
      <c r="S134" s="1" t="s">
        <v>53</v>
      </c>
      <c r="T134" s="30" t="s">
        <v>53</v>
      </c>
      <c r="U134" s="121" t="s">
        <v>53</v>
      </c>
      <c r="V134" s="116" t="b">
        <f t="shared" si="8"/>
        <v>1</v>
      </c>
      <c r="W134" s="117" t="str">
        <f t="shared" si="9"/>
        <v>title: "Liechtenstein"</v>
      </c>
      <c r="X134" s="120" t="str">
        <f t="shared" si="10"/>
        <v/>
      </c>
      <c r="Y134" s="120" t="str">
        <f t="shared" si="11"/>
        <v/>
      </c>
      <c r="Z134" s="120" t="str">
        <f t="shared" si="12"/>
        <v/>
      </c>
      <c r="AA134" s="120" t="str">
        <f t="shared" si="13"/>
        <v/>
      </c>
      <c r="AB134" s="117" t="str">
        <f t="shared" si="14"/>
        <v/>
      </c>
      <c r="AC134" s="117" t="str">
        <f>IF(LEN(J134)&gt;1,concatll("#### Author's Note",J134,"-"&amp;B134),"")</f>
        <v/>
      </c>
      <c r="AD134" s="117" t="str">
        <f>IF(LEN(K134)&gt;1,concatll("#### Dedication",K134,"-"&amp;$B134),"")</f>
        <v/>
      </c>
      <c r="CA134" s="6" t="str">
        <f>IF(V134,concatll(concatl("---",W134,"---"),"*A collection of sites associated with this topic.*","#### Background",I134,AB134,AC134,AD134),"")</f>
        <v xml:space="preserve">---_x000D_
title: "Liechtenstein"_x000D_
---_x000D_
_x000D_
_x000D_
*A collection of sites associated with this topic.*_x000D_
_x000D_
#### Background_x000D_
_x000D_
Catholic places of interest in Liechtenstein_x000D_
_x000D_
</v>
      </c>
      <c r="CB134" s="6" t="str">
        <f t="shared" si="15"/>
        <v>tags\li\_index.md</v>
      </c>
    </row>
    <row r="135" spans="1:80" x14ac:dyDescent="0.25">
      <c r="A135" s="129" t="s">
        <v>786</v>
      </c>
      <c r="C135" s="1" t="s">
        <v>318</v>
      </c>
      <c r="D135" s="7" t="s">
        <v>579</v>
      </c>
      <c r="E135" s="7" t="s">
        <v>579</v>
      </c>
      <c r="F135" s="33" t="s">
        <v>579</v>
      </c>
      <c r="G135" s="7" t="s">
        <v>318</v>
      </c>
      <c r="H135" s="34"/>
      <c r="I135" s="153" t="s">
        <v>2028</v>
      </c>
      <c r="L135" s="154" t="s">
        <v>53</v>
      </c>
      <c r="M135" s="154" t="s">
        <v>53</v>
      </c>
      <c r="N135" s="151" t="s">
        <v>53</v>
      </c>
      <c r="O135" s="40" t="s">
        <v>53</v>
      </c>
      <c r="P135" s="1" t="s">
        <v>53</v>
      </c>
      <c r="Q135" s="44" t="s">
        <v>53</v>
      </c>
      <c r="R135" s="1" t="s">
        <v>53</v>
      </c>
      <c r="S135" s="1" t="s">
        <v>53</v>
      </c>
      <c r="T135" s="30" t="s">
        <v>53</v>
      </c>
      <c r="U135" s="121" t="s">
        <v>53</v>
      </c>
      <c r="V135" s="116" t="b">
        <f t="shared" ref="V135:V198" si="16">IF(OR(A135="Done",A135="In Progress"),TRUE)</f>
        <v>1</v>
      </c>
      <c r="W135" s="117" t="str">
        <f t="shared" ref="W135:W198" si="17">"title: """&amp;G135&amp;""""</f>
        <v>title: "Sri Lanka"</v>
      </c>
      <c r="X135" s="120" t="str">
        <f t="shared" ref="X135:X198" si="18">IF(LEN(M135)&gt;0,TRIM(CONCATENATE("["&amp;L135&amp;"](",M135,") ",IF(LEN(N135)&gt;0,"- "&amp;N135,N135))),"")</f>
        <v/>
      </c>
      <c r="Y135" s="120" t="str">
        <f t="shared" ref="Y135:Y198" si="19">IF(LEN(P135)&gt;0,TRIM(CONCATENATE("["&amp;O135&amp;"](",P135,") ",IF(LEN(Q135)&gt;0,"- "&amp;Q135,Q135))),"")</f>
        <v/>
      </c>
      <c r="Z135" s="120" t="str">
        <f t="shared" ref="Z135:Z198" si="20">IF(LEN(S135)&gt;0,TRIM(CONCATENATE("["&amp;R135&amp;"](",S135,") ",IF(LEN(T135)&gt;0,"- "&amp;T135,T135))),"")</f>
        <v/>
      </c>
      <c r="AA135" s="120" t="str">
        <f t="shared" ref="AA135:AA198" si="21">IF(LEN(X135)&gt;0,"* "&amp;X135&amp;CHAR(10),"")&amp;
IF(LEN(Y135)&gt;0,"* "&amp;Y135&amp;CHAR(10),"")&amp;
IF(LEN(Z135)&gt;0,"* "&amp;Z135&amp;CHAR(10),"")</f>
        <v/>
      </c>
      <c r="AB135" s="117" t="str">
        <f t="shared" ref="AB135:AB198" si="22">IF(LEN(AA135)&gt;0,concatl("#### More Information",AA135),"")</f>
        <v/>
      </c>
      <c r="AC135" s="117" t="str">
        <f>IF(LEN(J135)&gt;1,concatll("#### Author's Note",J135,"-"&amp;B135),"")</f>
        <v/>
      </c>
      <c r="AD135" s="117" t="str">
        <f>IF(LEN(K135)&gt;1,concatll("#### Dedication",K135,"-"&amp;$B135),"")</f>
        <v/>
      </c>
      <c r="CA135" s="6" t="str">
        <f>IF(V135,concatll(concatl("---",W135,"---"),"*A collection of sites associated with this topic.*","#### Background",I135,AB135,AC135,AD135),"")</f>
        <v xml:space="preserve">---_x000D_
title: "Sri Lanka"_x000D_
---_x000D_
_x000D_
_x000D_
*A collection of sites associated with this topic.*_x000D_
_x000D_
#### Background_x000D_
_x000D_
Catholic places of interest in Sri Lanka_x000D_
_x000D_
</v>
      </c>
      <c r="CB135" s="6" t="str">
        <f t="shared" ref="CB135:CB198" si="23">IF(V135,"tags\"&amp;F135&amp;"\_index.md","")</f>
        <v>tags\lk\_index.md</v>
      </c>
    </row>
    <row r="136" spans="1:80" x14ac:dyDescent="0.25">
      <c r="A136" s="129" t="s">
        <v>786</v>
      </c>
      <c r="C136" s="1" t="s">
        <v>319</v>
      </c>
      <c r="D136" s="7" t="s">
        <v>580</v>
      </c>
      <c r="E136" s="7" t="s">
        <v>580</v>
      </c>
      <c r="F136" s="33" t="s">
        <v>580</v>
      </c>
      <c r="G136" s="7" t="s">
        <v>319</v>
      </c>
      <c r="I136" s="153" t="s">
        <v>2029</v>
      </c>
      <c r="J136" s="130"/>
      <c r="K136" s="139"/>
      <c r="L136" s="154" t="s">
        <v>53</v>
      </c>
      <c r="M136" s="154" t="s">
        <v>53</v>
      </c>
      <c r="N136" s="151" t="s">
        <v>53</v>
      </c>
      <c r="O136" s="40" t="s">
        <v>53</v>
      </c>
      <c r="P136" s="1" t="s">
        <v>53</v>
      </c>
      <c r="Q136" s="44" t="s">
        <v>53</v>
      </c>
      <c r="R136" s="1" t="s">
        <v>53</v>
      </c>
      <c r="S136" s="1" t="s">
        <v>53</v>
      </c>
      <c r="T136" s="30" t="s">
        <v>53</v>
      </c>
      <c r="U136" s="121" t="s">
        <v>53</v>
      </c>
      <c r="V136" s="116" t="b">
        <f t="shared" si="16"/>
        <v>1</v>
      </c>
      <c r="W136" s="117" t="str">
        <f t="shared" si="17"/>
        <v>title: "Liberia"</v>
      </c>
      <c r="X136" s="120" t="str">
        <f t="shared" si="18"/>
        <v/>
      </c>
      <c r="Y136" s="120" t="str">
        <f t="shared" si="19"/>
        <v/>
      </c>
      <c r="Z136" s="120" t="str">
        <f t="shared" si="20"/>
        <v/>
      </c>
      <c r="AA136" s="120" t="str">
        <f t="shared" si="21"/>
        <v/>
      </c>
      <c r="AB136" s="117" t="str">
        <f t="shared" si="22"/>
        <v/>
      </c>
      <c r="AC136" s="117" t="str">
        <f>IF(LEN(J136)&gt;1,concatll("#### Author's Note",J136,"-"&amp;B136),"")</f>
        <v/>
      </c>
      <c r="AD136" s="117" t="str">
        <f>IF(LEN(K136)&gt;1,concatll("#### Dedication",K136,"-"&amp;$B136),"")</f>
        <v/>
      </c>
      <c r="CA136" s="6" t="str">
        <f>IF(V136,concatll(concatl("---",W136,"---"),"*A collection of sites associated with this topic.*","#### Background",I136,AB136,AC136,AD136),"")</f>
        <v xml:space="preserve">---_x000D_
title: "Liberia"_x000D_
---_x000D_
_x000D_
_x000D_
*A collection of sites associated with this topic.*_x000D_
_x000D_
#### Background_x000D_
_x000D_
Catholic places of interest in Liberia_x000D_
_x000D_
</v>
      </c>
      <c r="CB136" s="6" t="str">
        <f t="shared" si="23"/>
        <v>tags\lr\_index.md</v>
      </c>
    </row>
    <row r="137" spans="1:80" x14ac:dyDescent="0.25">
      <c r="A137" s="129" t="s">
        <v>786</v>
      </c>
      <c r="C137" s="1" t="s">
        <v>320</v>
      </c>
      <c r="D137" s="7" t="s">
        <v>581</v>
      </c>
      <c r="E137" s="7" t="s">
        <v>581</v>
      </c>
      <c r="F137" s="33" t="s">
        <v>581</v>
      </c>
      <c r="G137" s="7" t="s">
        <v>320</v>
      </c>
      <c r="I137" s="153" t="s">
        <v>2030</v>
      </c>
      <c r="J137" s="130"/>
      <c r="K137" s="139"/>
      <c r="L137" s="154" t="s">
        <v>53</v>
      </c>
      <c r="M137" s="154" t="s">
        <v>53</v>
      </c>
      <c r="N137" s="151" t="s">
        <v>53</v>
      </c>
      <c r="O137" s="40" t="s">
        <v>53</v>
      </c>
      <c r="P137" s="1" t="s">
        <v>53</v>
      </c>
      <c r="Q137" s="44" t="s">
        <v>53</v>
      </c>
      <c r="R137" s="1" t="s">
        <v>53</v>
      </c>
      <c r="S137" s="1" t="s">
        <v>53</v>
      </c>
      <c r="T137" s="30" t="s">
        <v>53</v>
      </c>
      <c r="U137" s="121" t="s">
        <v>53</v>
      </c>
      <c r="V137" s="116" t="b">
        <f t="shared" si="16"/>
        <v>1</v>
      </c>
      <c r="W137" s="117" t="str">
        <f t="shared" si="17"/>
        <v>title: "Lesotho"</v>
      </c>
      <c r="X137" s="120" t="str">
        <f t="shared" si="18"/>
        <v/>
      </c>
      <c r="Y137" s="120" t="str">
        <f t="shared" si="19"/>
        <v/>
      </c>
      <c r="Z137" s="120" t="str">
        <f t="shared" si="20"/>
        <v/>
      </c>
      <c r="AA137" s="120" t="str">
        <f t="shared" si="21"/>
        <v/>
      </c>
      <c r="AB137" s="117" t="str">
        <f t="shared" si="22"/>
        <v/>
      </c>
      <c r="AC137" s="117" t="str">
        <f>IF(LEN(J137)&gt;1,concatll("#### Author's Note",J137,"-"&amp;B137),"")</f>
        <v/>
      </c>
      <c r="AD137" s="117" t="str">
        <f>IF(LEN(K137)&gt;1,concatll("#### Dedication",K137,"-"&amp;$B137),"")</f>
        <v/>
      </c>
      <c r="CA137" s="6" t="str">
        <f>IF(V137,concatll(concatl("---",W137,"---"),"*A collection of sites associated with this topic.*","#### Background",I137,AB137,AC137,AD137),"")</f>
        <v xml:space="preserve">---_x000D_
title: "Lesotho"_x000D_
---_x000D_
_x000D_
_x000D_
*A collection of sites associated with this topic.*_x000D_
_x000D_
#### Background_x000D_
_x000D_
Catholic places of interest in Lesotho_x000D_
_x000D_
</v>
      </c>
      <c r="CB137" s="6" t="str">
        <f t="shared" si="23"/>
        <v>tags\ls\_index.md</v>
      </c>
    </row>
    <row r="138" spans="1:80" x14ac:dyDescent="0.25">
      <c r="A138" s="129" t="s">
        <v>786</v>
      </c>
      <c r="C138" s="1" t="s">
        <v>321</v>
      </c>
      <c r="D138" s="7" t="s">
        <v>582</v>
      </c>
      <c r="E138" s="7" t="s">
        <v>582</v>
      </c>
      <c r="F138" s="33" t="s">
        <v>582</v>
      </c>
      <c r="G138" s="7" t="s">
        <v>321</v>
      </c>
      <c r="I138" s="153" t="s">
        <v>2031</v>
      </c>
      <c r="J138" s="10"/>
      <c r="K138" s="35"/>
      <c r="L138" s="154" t="s">
        <v>53</v>
      </c>
      <c r="M138" s="154" t="s">
        <v>53</v>
      </c>
      <c r="N138" s="151" t="s">
        <v>53</v>
      </c>
      <c r="O138" s="40" t="s">
        <v>53</v>
      </c>
      <c r="P138" s="1" t="s">
        <v>53</v>
      </c>
      <c r="Q138" s="44" t="s">
        <v>53</v>
      </c>
      <c r="R138" s="1" t="s">
        <v>53</v>
      </c>
      <c r="S138" s="1" t="s">
        <v>53</v>
      </c>
      <c r="T138" s="30" t="s">
        <v>53</v>
      </c>
      <c r="U138" s="121" t="s">
        <v>53</v>
      </c>
      <c r="V138" s="116" t="b">
        <f t="shared" si="16"/>
        <v>1</v>
      </c>
      <c r="W138" s="117" t="str">
        <f t="shared" si="17"/>
        <v>title: "Lithuania"</v>
      </c>
      <c r="X138" s="120" t="str">
        <f t="shared" si="18"/>
        <v/>
      </c>
      <c r="Y138" s="120" t="str">
        <f t="shared" si="19"/>
        <v/>
      </c>
      <c r="Z138" s="120" t="str">
        <f t="shared" si="20"/>
        <v/>
      </c>
      <c r="AA138" s="120" t="str">
        <f t="shared" si="21"/>
        <v/>
      </c>
      <c r="AB138" s="117" t="str">
        <f t="shared" si="22"/>
        <v/>
      </c>
      <c r="AC138" s="117" t="str">
        <f>IF(LEN(J138)&gt;1,concatll("#### Author's Note",J138,"-"&amp;B138),"")</f>
        <v/>
      </c>
      <c r="AD138" s="117" t="str">
        <f>IF(LEN(K138)&gt;1,concatll("#### Dedication",K138,"-"&amp;$B138),"")</f>
        <v/>
      </c>
      <c r="CA138" s="6" t="str">
        <f>IF(V138,concatll(concatl("---",W138,"---"),"*A collection of sites associated with this topic.*","#### Background",I138,AB138,AC138,AD138),"")</f>
        <v xml:space="preserve">---_x000D_
title: "Lithuania"_x000D_
---_x000D_
_x000D_
_x000D_
*A collection of sites associated with this topic.*_x000D_
_x000D_
#### Background_x000D_
_x000D_
Catholic places of interest in Lithuania_x000D_
_x000D_
</v>
      </c>
      <c r="CB138" s="6" t="str">
        <f t="shared" si="23"/>
        <v>tags\lt\_index.md</v>
      </c>
    </row>
    <row r="139" spans="1:80" x14ac:dyDescent="0.25">
      <c r="A139" s="129" t="s">
        <v>786</v>
      </c>
      <c r="C139" s="1" t="s">
        <v>322</v>
      </c>
      <c r="D139" s="7" t="s">
        <v>583</v>
      </c>
      <c r="E139" s="7" t="s">
        <v>583</v>
      </c>
      <c r="F139" s="33" t="s">
        <v>583</v>
      </c>
      <c r="G139" s="7" t="s">
        <v>322</v>
      </c>
      <c r="I139" s="153" t="s">
        <v>2032</v>
      </c>
      <c r="L139" s="154" t="s">
        <v>53</v>
      </c>
      <c r="M139" s="154" t="s">
        <v>53</v>
      </c>
      <c r="N139" s="151" t="s">
        <v>53</v>
      </c>
      <c r="O139" s="40" t="s">
        <v>53</v>
      </c>
      <c r="P139" s="1" t="s">
        <v>53</v>
      </c>
      <c r="Q139" s="44" t="s">
        <v>53</v>
      </c>
      <c r="R139" s="1" t="s">
        <v>53</v>
      </c>
      <c r="S139" s="1" t="s">
        <v>53</v>
      </c>
      <c r="T139" s="30" t="s">
        <v>53</v>
      </c>
      <c r="U139" s="121" t="s">
        <v>53</v>
      </c>
      <c r="V139" s="116" t="b">
        <f t="shared" si="16"/>
        <v>1</v>
      </c>
      <c r="W139" s="117" t="str">
        <f t="shared" si="17"/>
        <v>title: "Luxembourg"</v>
      </c>
      <c r="X139" s="120" t="str">
        <f t="shared" si="18"/>
        <v/>
      </c>
      <c r="Y139" s="120" t="str">
        <f t="shared" si="19"/>
        <v/>
      </c>
      <c r="Z139" s="120" t="str">
        <f t="shared" si="20"/>
        <v/>
      </c>
      <c r="AA139" s="120" t="str">
        <f t="shared" si="21"/>
        <v/>
      </c>
      <c r="AB139" s="117" t="str">
        <f t="shared" si="22"/>
        <v/>
      </c>
      <c r="AC139" s="117" t="str">
        <f>IF(LEN(J139)&gt;1,concatll("#### Author's Note",J139,"-"&amp;B139),"")</f>
        <v/>
      </c>
      <c r="AD139" s="117" t="str">
        <f>IF(LEN(K139)&gt;1,concatll("#### Dedication",K139,"-"&amp;$B139),"")</f>
        <v/>
      </c>
      <c r="CA139" s="6" t="str">
        <f>IF(V139,concatll(concatl("---",W139,"---"),"*A collection of sites associated with this topic.*","#### Background",I139,AB139,AC139,AD139),"")</f>
        <v xml:space="preserve">---_x000D_
title: "Luxembourg"_x000D_
---_x000D_
_x000D_
_x000D_
*A collection of sites associated with this topic.*_x000D_
_x000D_
#### Background_x000D_
_x000D_
Catholic places of interest in Luxembourg_x000D_
_x000D_
</v>
      </c>
      <c r="CB139" s="6" t="str">
        <f t="shared" si="23"/>
        <v>tags\lu\_index.md</v>
      </c>
    </row>
    <row r="140" spans="1:80" x14ac:dyDescent="0.25">
      <c r="A140" s="129" t="s">
        <v>786</v>
      </c>
      <c r="C140" s="1" t="s">
        <v>323</v>
      </c>
      <c r="D140" s="7" t="s">
        <v>584</v>
      </c>
      <c r="E140" s="7" t="s">
        <v>584</v>
      </c>
      <c r="F140" s="33" t="s">
        <v>584</v>
      </c>
      <c r="G140" s="15" t="s">
        <v>323</v>
      </c>
      <c r="H140" s="37"/>
      <c r="I140" s="153" t="s">
        <v>2033</v>
      </c>
      <c r="L140" s="154" t="s">
        <v>53</v>
      </c>
      <c r="M140" s="154" t="s">
        <v>53</v>
      </c>
      <c r="N140" s="151" t="s">
        <v>53</v>
      </c>
      <c r="O140" s="40" t="s">
        <v>53</v>
      </c>
      <c r="P140" s="1" t="s">
        <v>53</v>
      </c>
      <c r="Q140" s="44" t="s">
        <v>53</v>
      </c>
      <c r="R140" s="1" t="s">
        <v>53</v>
      </c>
      <c r="S140" s="1" t="s">
        <v>53</v>
      </c>
      <c r="T140" s="30" t="s">
        <v>53</v>
      </c>
      <c r="U140" s="121" t="s">
        <v>53</v>
      </c>
      <c r="V140" s="116" t="b">
        <f t="shared" si="16"/>
        <v>1</v>
      </c>
      <c r="W140" s="117" t="str">
        <f t="shared" si="17"/>
        <v>title: "Latvia"</v>
      </c>
      <c r="X140" s="120" t="str">
        <f t="shared" si="18"/>
        <v/>
      </c>
      <c r="Y140" s="120" t="str">
        <f t="shared" si="19"/>
        <v/>
      </c>
      <c r="Z140" s="120" t="str">
        <f t="shared" si="20"/>
        <v/>
      </c>
      <c r="AA140" s="120" t="str">
        <f t="shared" si="21"/>
        <v/>
      </c>
      <c r="AB140" s="117" t="str">
        <f t="shared" si="22"/>
        <v/>
      </c>
      <c r="AC140" s="117" t="str">
        <f>IF(LEN(J140)&gt;1,concatll("#### Author's Note",J140,"-"&amp;B140),"")</f>
        <v/>
      </c>
      <c r="AD140" s="117" t="str">
        <f>IF(LEN(K140)&gt;1,concatll("#### Dedication",K140,"-"&amp;$B140),"")</f>
        <v/>
      </c>
      <c r="CA140" s="6" t="str">
        <f>IF(V140,concatll(concatl("---",W140,"---"),"*A collection of sites associated with this topic.*","#### Background",I140,AB140,AC140,AD140),"")</f>
        <v xml:space="preserve">---_x000D_
title: "Latvia"_x000D_
---_x000D_
_x000D_
_x000D_
*A collection of sites associated with this topic.*_x000D_
_x000D_
#### Background_x000D_
_x000D_
Catholic places of interest in Latvia_x000D_
_x000D_
</v>
      </c>
      <c r="CB140" s="6" t="str">
        <f t="shared" si="23"/>
        <v>tags\lv\_index.md</v>
      </c>
    </row>
    <row r="141" spans="1:80" x14ac:dyDescent="0.25">
      <c r="A141" s="129" t="s">
        <v>786</v>
      </c>
      <c r="C141" s="1" t="s">
        <v>324</v>
      </c>
      <c r="D141" s="7" t="s">
        <v>585</v>
      </c>
      <c r="E141" s="7" t="s">
        <v>585</v>
      </c>
      <c r="F141" s="33" t="s">
        <v>585</v>
      </c>
      <c r="G141" s="7" t="s">
        <v>324</v>
      </c>
      <c r="I141" s="153" t="s">
        <v>2034</v>
      </c>
      <c r="L141" s="154" t="s">
        <v>53</v>
      </c>
      <c r="M141" s="154" t="s">
        <v>53</v>
      </c>
      <c r="N141" s="151" t="s">
        <v>53</v>
      </c>
      <c r="O141" s="40" t="s">
        <v>53</v>
      </c>
      <c r="P141" s="1" t="s">
        <v>53</v>
      </c>
      <c r="Q141" s="44" t="s">
        <v>53</v>
      </c>
      <c r="R141" s="1" t="s">
        <v>53</v>
      </c>
      <c r="S141" s="1" t="s">
        <v>53</v>
      </c>
      <c r="T141" s="30" t="s">
        <v>53</v>
      </c>
      <c r="U141" s="121" t="s">
        <v>53</v>
      </c>
      <c r="V141" s="116" t="b">
        <f t="shared" si="16"/>
        <v>1</v>
      </c>
      <c r="W141" s="117" t="str">
        <f t="shared" si="17"/>
        <v>title: "Libya"</v>
      </c>
      <c r="X141" s="120" t="str">
        <f t="shared" si="18"/>
        <v/>
      </c>
      <c r="Y141" s="120" t="str">
        <f t="shared" si="19"/>
        <v/>
      </c>
      <c r="Z141" s="120" t="str">
        <f t="shared" si="20"/>
        <v/>
      </c>
      <c r="AA141" s="120" t="str">
        <f t="shared" si="21"/>
        <v/>
      </c>
      <c r="AB141" s="117" t="str">
        <f t="shared" si="22"/>
        <v/>
      </c>
      <c r="AC141" s="117" t="str">
        <f>IF(LEN(J141)&gt;1,concatll("#### Author's Note",J141,"-"&amp;B141),"")</f>
        <v/>
      </c>
      <c r="AD141" s="117" t="str">
        <f>IF(LEN(K141)&gt;1,concatll("#### Dedication",K141,"-"&amp;$B141),"")</f>
        <v/>
      </c>
      <c r="CA141" s="6" t="str">
        <f>IF(V141,concatll(concatl("---",W141,"---"),"*A collection of sites associated with this topic.*","#### Background",I141,AB141,AC141,AD141),"")</f>
        <v xml:space="preserve">---_x000D_
title: "Libya"_x000D_
---_x000D_
_x000D_
_x000D_
*A collection of sites associated with this topic.*_x000D_
_x000D_
#### Background_x000D_
_x000D_
Catholic places of interest in Libya_x000D_
_x000D_
</v>
      </c>
      <c r="CB141" s="6" t="str">
        <f t="shared" si="23"/>
        <v>tags\ly\_index.md</v>
      </c>
    </row>
    <row r="142" spans="1:80" x14ac:dyDescent="0.25">
      <c r="A142" s="129" t="s">
        <v>786</v>
      </c>
      <c r="C142" s="1" t="s">
        <v>325</v>
      </c>
      <c r="D142" s="7" t="s">
        <v>586</v>
      </c>
      <c r="E142" s="7" t="s">
        <v>586</v>
      </c>
      <c r="F142" s="33" t="s">
        <v>586</v>
      </c>
      <c r="G142" s="7" t="s">
        <v>325</v>
      </c>
      <c r="I142" s="153" t="s">
        <v>2035</v>
      </c>
      <c r="L142" s="154" t="s">
        <v>53</v>
      </c>
      <c r="M142" s="154" t="s">
        <v>53</v>
      </c>
      <c r="N142" s="151" t="s">
        <v>53</v>
      </c>
      <c r="O142" s="40" t="s">
        <v>53</v>
      </c>
      <c r="P142" s="1" t="s">
        <v>53</v>
      </c>
      <c r="Q142" s="44" t="s">
        <v>53</v>
      </c>
      <c r="R142" s="1" t="s">
        <v>53</v>
      </c>
      <c r="S142" s="1" t="s">
        <v>53</v>
      </c>
      <c r="T142" s="30" t="s">
        <v>53</v>
      </c>
      <c r="U142" s="121" t="s">
        <v>53</v>
      </c>
      <c r="V142" s="116" t="b">
        <f t="shared" si="16"/>
        <v>1</v>
      </c>
      <c r="W142" s="117" t="str">
        <f t="shared" si="17"/>
        <v>title: "Morocco"</v>
      </c>
      <c r="X142" s="120" t="str">
        <f t="shared" si="18"/>
        <v/>
      </c>
      <c r="Y142" s="120" t="str">
        <f t="shared" si="19"/>
        <v/>
      </c>
      <c r="Z142" s="120" t="str">
        <f t="shared" si="20"/>
        <v/>
      </c>
      <c r="AA142" s="120" t="str">
        <f t="shared" si="21"/>
        <v/>
      </c>
      <c r="AB142" s="117" t="str">
        <f t="shared" si="22"/>
        <v/>
      </c>
      <c r="AC142" s="117" t="str">
        <f>IF(LEN(J142)&gt;1,concatll("#### Author's Note",J142,"-"&amp;B142),"")</f>
        <v/>
      </c>
      <c r="AD142" s="117" t="str">
        <f>IF(LEN(K142)&gt;1,concatll("#### Dedication",K142,"-"&amp;$B142),"")</f>
        <v/>
      </c>
      <c r="CA142" s="6" t="str">
        <f>IF(V142,concatll(concatl("---",W142,"---"),"*A collection of sites associated with this topic.*","#### Background",I142,AB142,AC142,AD142),"")</f>
        <v xml:space="preserve">---_x000D_
title: "Morocco"_x000D_
---_x000D_
_x000D_
_x000D_
*A collection of sites associated with this topic.*_x000D_
_x000D_
#### Background_x000D_
_x000D_
Catholic places of interest in Morocco_x000D_
_x000D_
</v>
      </c>
      <c r="CB142" s="6" t="str">
        <f t="shared" si="23"/>
        <v>tags\ma\_index.md</v>
      </c>
    </row>
    <row r="143" spans="1:80" x14ac:dyDescent="0.25">
      <c r="A143" s="129" t="s">
        <v>786</v>
      </c>
      <c r="C143" s="1" t="s">
        <v>326</v>
      </c>
      <c r="D143" s="7" t="s">
        <v>587</v>
      </c>
      <c r="E143" s="7" t="s">
        <v>587</v>
      </c>
      <c r="F143" s="33" t="s">
        <v>587</v>
      </c>
      <c r="G143" s="7" t="s">
        <v>326</v>
      </c>
      <c r="I143" s="153" t="s">
        <v>2036</v>
      </c>
      <c r="L143" s="154" t="s">
        <v>53</v>
      </c>
      <c r="M143" s="154" t="s">
        <v>53</v>
      </c>
      <c r="N143" s="151" t="s">
        <v>53</v>
      </c>
      <c r="O143" s="40" t="s">
        <v>53</v>
      </c>
      <c r="P143" s="1" t="s">
        <v>53</v>
      </c>
      <c r="Q143" s="44" t="s">
        <v>53</v>
      </c>
      <c r="R143" s="1" t="s">
        <v>53</v>
      </c>
      <c r="S143" s="1" t="s">
        <v>53</v>
      </c>
      <c r="T143" s="30" t="s">
        <v>53</v>
      </c>
      <c r="U143" s="121" t="s">
        <v>53</v>
      </c>
      <c r="V143" s="116" t="b">
        <f t="shared" si="16"/>
        <v>1</v>
      </c>
      <c r="W143" s="117" t="str">
        <f t="shared" si="17"/>
        <v>title: "Monaco"</v>
      </c>
      <c r="X143" s="120" t="str">
        <f t="shared" si="18"/>
        <v/>
      </c>
      <c r="Y143" s="120" t="str">
        <f t="shared" si="19"/>
        <v/>
      </c>
      <c r="Z143" s="120" t="str">
        <f t="shared" si="20"/>
        <v/>
      </c>
      <c r="AA143" s="120" t="str">
        <f t="shared" si="21"/>
        <v/>
      </c>
      <c r="AB143" s="117" t="str">
        <f t="shared" si="22"/>
        <v/>
      </c>
      <c r="AC143" s="117" t="str">
        <f>IF(LEN(J143)&gt;1,concatll("#### Author's Note",J143,"-"&amp;B143),"")</f>
        <v/>
      </c>
      <c r="AD143" s="117" t="str">
        <f>IF(LEN(K143)&gt;1,concatll("#### Dedication",K143,"-"&amp;$B143),"")</f>
        <v/>
      </c>
      <c r="CA143" s="6" t="str">
        <f>IF(V143,concatll(concatl("---",W143,"---"),"*A collection of sites associated with this topic.*","#### Background",I143,AB143,AC143,AD143),"")</f>
        <v xml:space="preserve">---_x000D_
title: "Monaco"_x000D_
---_x000D_
_x000D_
_x000D_
*A collection of sites associated with this topic.*_x000D_
_x000D_
#### Background_x000D_
_x000D_
Catholic places of interest in Monaco_x000D_
_x000D_
</v>
      </c>
      <c r="CB143" s="6" t="str">
        <f t="shared" si="23"/>
        <v>tags\mc\_index.md</v>
      </c>
    </row>
    <row r="144" spans="1:80" x14ac:dyDescent="0.25">
      <c r="A144" s="129" t="s">
        <v>786</v>
      </c>
      <c r="C144" s="1" t="s">
        <v>433</v>
      </c>
      <c r="D144" s="7" t="s">
        <v>588</v>
      </c>
      <c r="E144" s="7" t="s">
        <v>588</v>
      </c>
      <c r="F144" s="33" t="s">
        <v>588</v>
      </c>
      <c r="G144" s="7" t="s">
        <v>433</v>
      </c>
      <c r="I144" s="153" t="s">
        <v>2037</v>
      </c>
      <c r="L144" s="154" t="s">
        <v>53</v>
      </c>
      <c r="M144" s="154" t="s">
        <v>53</v>
      </c>
      <c r="N144" s="151" t="s">
        <v>53</v>
      </c>
      <c r="O144" s="40" t="s">
        <v>53</v>
      </c>
      <c r="P144" s="1" t="s">
        <v>53</v>
      </c>
      <c r="Q144" s="44" t="s">
        <v>53</v>
      </c>
      <c r="R144" s="1" t="s">
        <v>53</v>
      </c>
      <c r="S144" s="1" t="s">
        <v>53</v>
      </c>
      <c r="T144" s="30" t="s">
        <v>53</v>
      </c>
      <c r="U144" s="121" t="s">
        <v>53</v>
      </c>
      <c r="V144" s="116" t="b">
        <f t="shared" si="16"/>
        <v>1</v>
      </c>
      <c r="W144" s="117" t="str">
        <f t="shared" si="17"/>
        <v>title: "Moldova"</v>
      </c>
      <c r="X144" s="120" t="str">
        <f t="shared" si="18"/>
        <v/>
      </c>
      <c r="Y144" s="120" t="str">
        <f t="shared" si="19"/>
        <v/>
      </c>
      <c r="Z144" s="120" t="str">
        <f t="shared" si="20"/>
        <v/>
      </c>
      <c r="AA144" s="120" t="str">
        <f t="shared" si="21"/>
        <v/>
      </c>
      <c r="AB144" s="117" t="str">
        <f t="shared" si="22"/>
        <v/>
      </c>
      <c r="AC144" s="117" t="str">
        <f>IF(LEN(J144)&gt;1,concatll("#### Author's Note",J144,"-"&amp;B144),"")</f>
        <v/>
      </c>
      <c r="AD144" s="117" t="str">
        <f>IF(LEN(K144)&gt;1,concatll("#### Dedication",K144,"-"&amp;$B144),"")</f>
        <v/>
      </c>
      <c r="CA144" s="6" t="str">
        <f>IF(V144,concatll(concatl("---",W144,"---"),"*A collection of sites associated with this topic.*","#### Background",I144,AB144,AC144,AD144),"")</f>
        <v xml:space="preserve">---_x000D_
title: "Moldova"_x000D_
---_x000D_
_x000D_
_x000D_
*A collection of sites associated with this topic.*_x000D_
_x000D_
#### Background_x000D_
_x000D_
Catholic places of interest in Moldova_x000D_
_x000D_
</v>
      </c>
      <c r="CB144" s="6" t="str">
        <f t="shared" si="23"/>
        <v>tags\md\_index.md</v>
      </c>
    </row>
    <row r="145" spans="1:80" x14ac:dyDescent="0.25">
      <c r="A145" s="129" t="s">
        <v>786</v>
      </c>
      <c r="C145" s="1" t="s">
        <v>327</v>
      </c>
      <c r="D145" s="7" t="s">
        <v>589</v>
      </c>
      <c r="E145" s="7" t="s">
        <v>589</v>
      </c>
      <c r="F145" s="33" t="s">
        <v>589</v>
      </c>
      <c r="G145" s="7" t="s">
        <v>327</v>
      </c>
      <c r="I145" s="153" t="s">
        <v>2038</v>
      </c>
      <c r="L145" s="154" t="s">
        <v>53</v>
      </c>
      <c r="M145" s="154" t="s">
        <v>53</v>
      </c>
      <c r="N145" s="151" t="s">
        <v>53</v>
      </c>
      <c r="O145" s="40" t="s">
        <v>53</v>
      </c>
      <c r="P145" s="1" t="s">
        <v>53</v>
      </c>
      <c r="Q145" s="44" t="s">
        <v>53</v>
      </c>
      <c r="R145" s="1" t="s">
        <v>53</v>
      </c>
      <c r="S145" s="1" t="s">
        <v>53</v>
      </c>
      <c r="T145" s="30" t="s">
        <v>53</v>
      </c>
      <c r="U145" s="121" t="s">
        <v>53</v>
      </c>
      <c r="V145" s="116" t="b">
        <f t="shared" si="16"/>
        <v>1</v>
      </c>
      <c r="W145" s="117" t="str">
        <f t="shared" si="17"/>
        <v>title: "Montenegro"</v>
      </c>
      <c r="X145" s="120" t="str">
        <f t="shared" si="18"/>
        <v/>
      </c>
      <c r="Y145" s="120" t="str">
        <f t="shared" si="19"/>
        <v/>
      </c>
      <c r="Z145" s="120" t="str">
        <f t="shared" si="20"/>
        <v/>
      </c>
      <c r="AA145" s="120" t="str">
        <f t="shared" si="21"/>
        <v/>
      </c>
      <c r="AB145" s="117" t="str">
        <f t="shared" si="22"/>
        <v/>
      </c>
      <c r="AC145" s="117" t="str">
        <f>IF(LEN(J145)&gt;1,concatll("#### Author's Note",J145,"-"&amp;B145),"")</f>
        <v/>
      </c>
      <c r="AD145" s="117" t="str">
        <f>IF(LEN(K145)&gt;1,concatll("#### Dedication",K145,"-"&amp;$B145),"")</f>
        <v/>
      </c>
      <c r="CA145" s="6" t="str">
        <f>IF(V145,concatll(concatl("---",W145,"---"),"*A collection of sites associated with this topic.*","#### Background",I145,AB145,AC145,AD145),"")</f>
        <v xml:space="preserve">---_x000D_
title: "Montenegro"_x000D_
---_x000D_
_x000D_
_x000D_
*A collection of sites associated with this topic.*_x000D_
_x000D_
#### Background_x000D_
_x000D_
Catholic places of interest in Montenegro_x000D_
_x000D_
</v>
      </c>
      <c r="CB145" s="6" t="str">
        <f t="shared" si="23"/>
        <v>tags\me\_index.md</v>
      </c>
    </row>
    <row r="146" spans="1:80" x14ac:dyDescent="0.25">
      <c r="A146" s="129" t="s">
        <v>786</v>
      </c>
      <c r="C146" s="1" t="s">
        <v>427</v>
      </c>
      <c r="D146" s="7" t="s">
        <v>590</v>
      </c>
      <c r="E146" s="7" t="s">
        <v>590</v>
      </c>
      <c r="F146" s="33" t="s">
        <v>590</v>
      </c>
      <c r="G146" s="7" t="s">
        <v>427</v>
      </c>
      <c r="I146" s="153" t="s">
        <v>2039</v>
      </c>
      <c r="L146" s="154" t="s">
        <v>53</v>
      </c>
      <c r="M146" s="154" t="s">
        <v>53</v>
      </c>
      <c r="N146" s="151" t="s">
        <v>53</v>
      </c>
      <c r="O146" s="40" t="s">
        <v>53</v>
      </c>
      <c r="P146" s="1" t="s">
        <v>53</v>
      </c>
      <c r="Q146" s="44" t="s">
        <v>53</v>
      </c>
      <c r="R146" s="1" t="s">
        <v>53</v>
      </c>
      <c r="S146" s="1" t="s">
        <v>53</v>
      </c>
      <c r="T146" s="30" t="s">
        <v>53</v>
      </c>
      <c r="U146" s="121" t="s">
        <v>53</v>
      </c>
      <c r="V146" s="116" t="b">
        <f t="shared" si="16"/>
        <v>1</v>
      </c>
      <c r="W146" s="117" t="str">
        <f t="shared" si="17"/>
        <v>title: "Saint Martin"</v>
      </c>
      <c r="X146" s="120" t="str">
        <f t="shared" si="18"/>
        <v/>
      </c>
      <c r="Y146" s="120" t="str">
        <f t="shared" si="19"/>
        <v/>
      </c>
      <c r="Z146" s="120" t="str">
        <f t="shared" si="20"/>
        <v/>
      </c>
      <c r="AA146" s="120" t="str">
        <f t="shared" si="21"/>
        <v/>
      </c>
      <c r="AB146" s="117" t="str">
        <f t="shared" si="22"/>
        <v/>
      </c>
      <c r="AC146" s="117" t="str">
        <f>IF(LEN(J146)&gt;1,concatll("#### Author's Note",J146,"-"&amp;B146),"")</f>
        <v/>
      </c>
      <c r="AD146" s="117" t="str">
        <f>IF(LEN(K146)&gt;1,concatll("#### Dedication",K146,"-"&amp;$B146),"")</f>
        <v/>
      </c>
      <c r="CA146" s="6" t="str">
        <f>IF(V146,concatll(concatl("---",W146,"---"),"*A collection of sites associated with this topic.*","#### Background",I146,AB146,AC146,AD146),"")</f>
        <v xml:space="preserve">---_x000D_
title: "Saint Martin"_x000D_
---_x000D_
_x000D_
_x000D_
*A collection of sites associated with this topic.*_x000D_
_x000D_
#### Background_x000D_
_x000D_
Catholic places of interest in Saint Martin_x000D_
_x000D_
</v>
      </c>
      <c r="CB146" s="6" t="str">
        <f t="shared" si="23"/>
        <v>tags\mf\_index.md</v>
      </c>
    </row>
    <row r="147" spans="1:80" x14ac:dyDescent="0.25">
      <c r="A147" s="129" t="s">
        <v>786</v>
      </c>
      <c r="C147" s="1" t="s">
        <v>328</v>
      </c>
      <c r="D147" s="7" t="s">
        <v>591</v>
      </c>
      <c r="E147" s="7" t="s">
        <v>591</v>
      </c>
      <c r="F147" s="33" t="s">
        <v>591</v>
      </c>
      <c r="G147" s="7" t="s">
        <v>328</v>
      </c>
      <c r="I147" s="153" t="s">
        <v>2040</v>
      </c>
      <c r="L147" s="154" t="s">
        <v>53</v>
      </c>
      <c r="M147" s="154" t="s">
        <v>53</v>
      </c>
      <c r="N147" s="151" t="s">
        <v>53</v>
      </c>
      <c r="O147" s="40" t="s">
        <v>53</v>
      </c>
      <c r="P147" s="1" t="s">
        <v>53</v>
      </c>
      <c r="Q147" s="44" t="s">
        <v>53</v>
      </c>
      <c r="R147" s="1" t="s">
        <v>53</v>
      </c>
      <c r="S147" s="1" t="s">
        <v>53</v>
      </c>
      <c r="T147" s="30" t="s">
        <v>53</v>
      </c>
      <c r="U147" s="121" t="s">
        <v>53</v>
      </c>
      <c r="V147" s="116" t="b">
        <f t="shared" si="16"/>
        <v>1</v>
      </c>
      <c r="W147" s="117" t="str">
        <f t="shared" si="17"/>
        <v>title: "Madagascar"</v>
      </c>
      <c r="X147" s="120" t="str">
        <f t="shared" si="18"/>
        <v/>
      </c>
      <c r="Y147" s="120" t="str">
        <f t="shared" si="19"/>
        <v/>
      </c>
      <c r="Z147" s="120" t="str">
        <f t="shared" si="20"/>
        <v/>
      </c>
      <c r="AA147" s="120" t="str">
        <f t="shared" si="21"/>
        <v/>
      </c>
      <c r="AB147" s="117" t="str">
        <f t="shared" si="22"/>
        <v/>
      </c>
      <c r="AC147" s="117" t="str">
        <f>IF(LEN(J147)&gt;1,concatll("#### Author's Note",J147,"-"&amp;B147),"")</f>
        <v/>
      </c>
      <c r="AD147" s="117" t="str">
        <f>IF(LEN(K147)&gt;1,concatll("#### Dedication",K147,"-"&amp;$B147),"")</f>
        <v/>
      </c>
      <c r="CA147" s="6" t="str">
        <f>IF(V147,concatll(concatl("---",W147,"---"),"*A collection of sites associated with this topic.*","#### Background",I147,AB147,AC147,AD147),"")</f>
        <v xml:space="preserve">---_x000D_
title: "Madagascar"_x000D_
---_x000D_
_x000D_
_x000D_
*A collection of sites associated with this topic.*_x000D_
_x000D_
#### Background_x000D_
_x000D_
Catholic places of interest in Madagascar_x000D_
_x000D_
</v>
      </c>
      <c r="CB147" s="6" t="str">
        <f t="shared" si="23"/>
        <v>tags\mg\_index.md</v>
      </c>
    </row>
    <row r="148" spans="1:80" x14ac:dyDescent="0.25">
      <c r="A148" s="129" t="s">
        <v>786</v>
      </c>
      <c r="C148" s="1" t="s">
        <v>329</v>
      </c>
      <c r="D148" s="7" t="s">
        <v>592</v>
      </c>
      <c r="E148" s="7" t="s">
        <v>592</v>
      </c>
      <c r="F148" s="33" t="s">
        <v>592</v>
      </c>
      <c r="G148" s="7" t="s">
        <v>329</v>
      </c>
      <c r="I148" s="153" t="s">
        <v>2202</v>
      </c>
      <c r="L148" s="154" t="s">
        <v>53</v>
      </c>
      <c r="M148" s="154" t="s">
        <v>53</v>
      </c>
      <c r="N148" s="151" t="s">
        <v>53</v>
      </c>
      <c r="O148" s="40" t="s">
        <v>53</v>
      </c>
      <c r="P148" s="1" t="s">
        <v>53</v>
      </c>
      <c r="Q148" s="44" t="s">
        <v>53</v>
      </c>
      <c r="R148" s="1" t="s">
        <v>53</v>
      </c>
      <c r="S148" s="1" t="s">
        <v>53</v>
      </c>
      <c r="T148" s="30" t="s">
        <v>53</v>
      </c>
      <c r="U148" s="121" t="s">
        <v>53</v>
      </c>
      <c r="V148" s="116" t="b">
        <f t="shared" si="16"/>
        <v>1</v>
      </c>
      <c r="W148" s="117" t="str">
        <f t="shared" si="17"/>
        <v>title: "Marshall Islands"</v>
      </c>
      <c r="X148" s="120" t="str">
        <f t="shared" si="18"/>
        <v/>
      </c>
      <c r="Y148" s="120" t="str">
        <f t="shared" si="19"/>
        <v/>
      </c>
      <c r="Z148" s="120" t="str">
        <f t="shared" si="20"/>
        <v/>
      </c>
      <c r="AA148" s="120" t="str">
        <f t="shared" si="21"/>
        <v/>
      </c>
      <c r="AB148" s="117" t="str">
        <f t="shared" si="22"/>
        <v/>
      </c>
      <c r="AC148" s="117" t="str">
        <f>IF(LEN(J148)&gt;1,concatll("#### Author's Note",J148,"-"&amp;B148),"")</f>
        <v/>
      </c>
      <c r="AD148" s="117" t="str">
        <f>IF(LEN(K148)&gt;1,concatll("#### Dedication",K148,"-"&amp;$B148),"")</f>
        <v/>
      </c>
      <c r="CA148" s="6" t="str">
        <f>IF(V148,concatll(concatl("---",W148,"---"),"*A collection of sites associated with this topic.*","#### Background",I148,AB148,AC148,AD148),"")</f>
        <v xml:space="preserve">---_x000D_
title: "Marshall Islands"_x000D_
---_x000D_
_x000D_
_x000D_
*A collection of sites associated with this topic.*_x000D_
_x000D_
#### Background_x000D_
_x000D_
Catholic places of interest in the Marshall Islands_x000D_
_x000D_
</v>
      </c>
      <c r="CB148" s="6" t="str">
        <f t="shared" si="23"/>
        <v>tags\mh\_index.md</v>
      </c>
    </row>
    <row r="149" spans="1:80" x14ac:dyDescent="0.25">
      <c r="A149" s="129" t="s">
        <v>786</v>
      </c>
      <c r="C149" s="1" t="s">
        <v>330</v>
      </c>
      <c r="D149" s="7" t="s">
        <v>593</v>
      </c>
      <c r="E149" s="7" t="s">
        <v>593</v>
      </c>
      <c r="F149" s="33" t="s">
        <v>593</v>
      </c>
      <c r="G149" s="7" t="s">
        <v>330</v>
      </c>
      <c r="I149" s="153" t="s">
        <v>2041</v>
      </c>
      <c r="L149" s="154" t="s">
        <v>53</v>
      </c>
      <c r="M149" s="154" t="s">
        <v>53</v>
      </c>
      <c r="N149" s="151" t="s">
        <v>53</v>
      </c>
      <c r="O149" s="40" t="s">
        <v>53</v>
      </c>
      <c r="P149" s="1" t="s">
        <v>53</v>
      </c>
      <c r="Q149" s="44" t="s">
        <v>53</v>
      </c>
      <c r="R149" s="1" t="s">
        <v>53</v>
      </c>
      <c r="S149" s="1" t="s">
        <v>53</v>
      </c>
      <c r="T149" s="30" t="s">
        <v>53</v>
      </c>
      <c r="U149" s="121" t="s">
        <v>53</v>
      </c>
      <c r="V149" s="116" t="b">
        <f t="shared" si="16"/>
        <v>1</v>
      </c>
      <c r="W149" s="117" t="str">
        <f t="shared" si="17"/>
        <v>title: "North Macedonia"</v>
      </c>
      <c r="X149" s="120" t="str">
        <f t="shared" si="18"/>
        <v/>
      </c>
      <c r="Y149" s="120" t="str">
        <f t="shared" si="19"/>
        <v/>
      </c>
      <c r="Z149" s="120" t="str">
        <f t="shared" si="20"/>
        <v/>
      </c>
      <c r="AA149" s="120" t="str">
        <f t="shared" si="21"/>
        <v/>
      </c>
      <c r="AB149" s="117" t="str">
        <f t="shared" si="22"/>
        <v/>
      </c>
      <c r="AC149" s="117" t="str">
        <f>IF(LEN(J149)&gt;1,concatll("#### Author's Note",J149,"-"&amp;B149),"")</f>
        <v/>
      </c>
      <c r="AD149" s="117" t="str">
        <f>IF(LEN(K149)&gt;1,concatll("#### Dedication",K149,"-"&amp;$B149),"")</f>
        <v/>
      </c>
      <c r="CA149" s="6" t="str">
        <f>IF(V149,concatll(concatl("---",W149,"---"),"*A collection of sites associated with this topic.*","#### Background",I149,AB149,AC149,AD149),"")</f>
        <v xml:space="preserve">---_x000D_
title: "North Macedonia"_x000D_
---_x000D_
_x000D_
_x000D_
*A collection of sites associated with this topic.*_x000D_
_x000D_
#### Background_x000D_
_x000D_
Catholic places of interest in North Macedonia_x000D_
_x000D_
</v>
      </c>
      <c r="CB149" s="6" t="str">
        <f t="shared" si="23"/>
        <v>tags\mk\_index.md</v>
      </c>
    </row>
    <row r="150" spans="1:80" x14ac:dyDescent="0.25">
      <c r="A150" s="129" t="s">
        <v>786</v>
      </c>
      <c r="C150" s="1" t="s">
        <v>331</v>
      </c>
      <c r="D150" s="7" t="s">
        <v>594</v>
      </c>
      <c r="E150" s="7" t="s">
        <v>594</v>
      </c>
      <c r="F150" s="33" t="s">
        <v>594</v>
      </c>
      <c r="G150" s="7" t="s">
        <v>331</v>
      </c>
      <c r="I150" s="153" t="s">
        <v>2042</v>
      </c>
      <c r="L150" s="154" t="s">
        <v>53</v>
      </c>
      <c r="M150" s="154" t="s">
        <v>53</v>
      </c>
      <c r="N150" s="151" t="s">
        <v>53</v>
      </c>
      <c r="O150" s="40" t="s">
        <v>53</v>
      </c>
      <c r="P150" s="1" t="s">
        <v>53</v>
      </c>
      <c r="Q150" s="44" t="s">
        <v>53</v>
      </c>
      <c r="R150" s="1" t="s">
        <v>53</v>
      </c>
      <c r="S150" s="1" t="s">
        <v>53</v>
      </c>
      <c r="T150" s="30" t="s">
        <v>53</v>
      </c>
      <c r="U150" s="121" t="s">
        <v>53</v>
      </c>
      <c r="V150" s="116" t="b">
        <f t="shared" si="16"/>
        <v>1</v>
      </c>
      <c r="W150" s="117" t="str">
        <f t="shared" si="17"/>
        <v>title: "Mali"</v>
      </c>
      <c r="X150" s="120" t="str">
        <f t="shared" si="18"/>
        <v/>
      </c>
      <c r="Y150" s="120" t="str">
        <f t="shared" si="19"/>
        <v/>
      </c>
      <c r="Z150" s="120" t="str">
        <f t="shared" si="20"/>
        <v/>
      </c>
      <c r="AA150" s="120" t="str">
        <f t="shared" si="21"/>
        <v/>
      </c>
      <c r="AB150" s="117" t="str">
        <f t="shared" si="22"/>
        <v/>
      </c>
      <c r="AC150" s="117" t="str">
        <f>IF(LEN(J150)&gt;1,concatll("#### Author's Note",J150,"-"&amp;B150),"")</f>
        <v/>
      </c>
      <c r="AD150" s="117" t="str">
        <f>IF(LEN(K150)&gt;1,concatll("#### Dedication",K150,"-"&amp;$B150),"")</f>
        <v/>
      </c>
      <c r="CA150" s="6" t="str">
        <f>IF(V150,concatll(concatl("---",W150,"---"),"*A collection of sites associated with this topic.*","#### Background",I150,AB150,AC150,AD150),"")</f>
        <v xml:space="preserve">---_x000D_
title: "Mali"_x000D_
---_x000D_
_x000D_
_x000D_
*A collection of sites associated with this topic.*_x000D_
_x000D_
#### Background_x000D_
_x000D_
Catholic places of interest in Mali_x000D_
_x000D_
</v>
      </c>
      <c r="CB150" s="6" t="str">
        <f t="shared" si="23"/>
        <v>tags\ml\_index.md</v>
      </c>
    </row>
    <row r="151" spans="1:80" x14ac:dyDescent="0.25">
      <c r="A151" s="129" t="s">
        <v>786</v>
      </c>
      <c r="C151" s="1" t="s">
        <v>332</v>
      </c>
      <c r="D151" s="7" t="s">
        <v>595</v>
      </c>
      <c r="E151" s="7" t="s">
        <v>595</v>
      </c>
      <c r="F151" s="33" t="s">
        <v>595</v>
      </c>
      <c r="G151" s="7" t="s">
        <v>332</v>
      </c>
      <c r="I151" s="153" t="s">
        <v>2043</v>
      </c>
      <c r="L151" s="154" t="s">
        <v>53</v>
      </c>
      <c r="M151" s="154" t="s">
        <v>53</v>
      </c>
      <c r="N151" s="151" t="s">
        <v>53</v>
      </c>
      <c r="O151" s="40" t="s">
        <v>53</v>
      </c>
      <c r="P151" s="1" t="s">
        <v>53</v>
      </c>
      <c r="Q151" s="44" t="s">
        <v>53</v>
      </c>
      <c r="R151" s="1" t="s">
        <v>53</v>
      </c>
      <c r="S151" s="1" t="s">
        <v>53</v>
      </c>
      <c r="T151" s="30" t="s">
        <v>53</v>
      </c>
      <c r="U151" s="121" t="s">
        <v>53</v>
      </c>
      <c r="V151" s="116" t="b">
        <f t="shared" si="16"/>
        <v>1</v>
      </c>
      <c r="W151" s="117" t="str">
        <f t="shared" si="17"/>
        <v>title: "Myanmar"</v>
      </c>
      <c r="X151" s="120" t="str">
        <f t="shared" si="18"/>
        <v/>
      </c>
      <c r="Y151" s="120" t="str">
        <f t="shared" si="19"/>
        <v/>
      </c>
      <c r="Z151" s="120" t="str">
        <f t="shared" si="20"/>
        <v/>
      </c>
      <c r="AA151" s="120" t="str">
        <f t="shared" si="21"/>
        <v/>
      </c>
      <c r="AB151" s="117" t="str">
        <f t="shared" si="22"/>
        <v/>
      </c>
      <c r="AC151" s="117" t="str">
        <f>IF(LEN(J151)&gt;1,concatll("#### Author's Note",J151,"-"&amp;B151),"")</f>
        <v/>
      </c>
      <c r="AD151" s="117" t="str">
        <f>IF(LEN(K151)&gt;1,concatll("#### Dedication",K151,"-"&amp;$B151),"")</f>
        <v/>
      </c>
      <c r="CA151" s="6" t="str">
        <f>IF(V151,concatll(concatl("---",W151,"---"),"*A collection of sites associated with this topic.*","#### Background",I151,AB151,AC151,AD151),"")</f>
        <v xml:space="preserve">---_x000D_
title: "Myanmar"_x000D_
---_x000D_
_x000D_
_x000D_
*A collection of sites associated with this topic.*_x000D_
_x000D_
#### Background_x000D_
_x000D_
Catholic places of interest in Myanmar_x000D_
_x000D_
</v>
      </c>
      <c r="CB151" s="6" t="str">
        <f t="shared" si="23"/>
        <v>tags\mm\_index.md</v>
      </c>
    </row>
    <row r="152" spans="1:80" x14ac:dyDescent="0.25">
      <c r="A152" s="129" t="s">
        <v>786</v>
      </c>
      <c r="C152" s="1" t="s">
        <v>333</v>
      </c>
      <c r="D152" s="7" t="s">
        <v>596</v>
      </c>
      <c r="E152" s="7" t="s">
        <v>596</v>
      </c>
      <c r="F152" s="33" t="s">
        <v>596</v>
      </c>
      <c r="G152" s="7" t="s">
        <v>333</v>
      </c>
      <c r="I152" s="153" t="s">
        <v>2044</v>
      </c>
      <c r="L152" s="154" t="s">
        <v>53</v>
      </c>
      <c r="M152" s="154" t="s">
        <v>53</v>
      </c>
      <c r="N152" s="151" t="s">
        <v>53</v>
      </c>
      <c r="O152" s="40" t="s">
        <v>53</v>
      </c>
      <c r="P152" s="1" t="s">
        <v>53</v>
      </c>
      <c r="Q152" s="44" t="s">
        <v>53</v>
      </c>
      <c r="R152" s="1" t="s">
        <v>53</v>
      </c>
      <c r="S152" s="1" t="s">
        <v>53</v>
      </c>
      <c r="T152" s="30" t="s">
        <v>53</v>
      </c>
      <c r="U152" s="121" t="s">
        <v>53</v>
      </c>
      <c r="V152" s="116" t="b">
        <f t="shared" si="16"/>
        <v>1</v>
      </c>
      <c r="W152" s="117" t="str">
        <f t="shared" si="17"/>
        <v>title: "Mongolia"</v>
      </c>
      <c r="X152" s="120" t="str">
        <f t="shared" si="18"/>
        <v/>
      </c>
      <c r="Y152" s="120" t="str">
        <f t="shared" si="19"/>
        <v/>
      </c>
      <c r="Z152" s="120" t="str">
        <f t="shared" si="20"/>
        <v/>
      </c>
      <c r="AA152" s="120" t="str">
        <f t="shared" si="21"/>
        <v/>
      </c>
      <c r="AB152" s="117" t="str">
        <f t="shared" si="22"/>
        <v/>
      </c>
      <c r="AC152" s="117" t="str">
        <f>IF(LEN(J152)&gt;1,concatll("#### Author's Note",J152,"-"&amp;B152),"")</f>
        <v/>
      </c>
      <c r="AD152" s="117" t="str">
        <f>IF(LEN(K152)&gt;1,concatll("#### Dedication",K152,"-"&amp;$B152),"")</f>
        <v/>
      </c>
      <c r="CA152" s="6" t="str">
        <f>IF(V152,concatll(concatl("---",W152,"---"),"*A collection of sites associated with this topic.*","#### Background",I152,AB152,AC152,AD152),"")</f>
        <v xml:space="preserve">---_x000D_
title: "Mongolia"_x000D_
---_x000D_
_x000D_
_x000D_
*A collection of sites associated with this topic.*_x000D_
_x000D_
#### Background_x000D_
_x000D_
Catholic places of interest in Mongolia_x000D_
_x000D_
</v>
      </c>
      <c r="CB152" s="6" t="str">
        <f t="shared" si="23"/>
        <v>tags\mn\_index.md</v>
      </c>
    </row>
    <row r="153" spans="1:80" x14ac:dyDescent="0.25">
      <c r="A153" s="129" t="s">
        <v>786</v>
      </c>
      <c r="C153" s="1" t="s">
        <v>334</v>
      </c>
      <c r="D153" s="7" t="s">
        <v>597</v>
      </c>
      <c r="E153" s="7" t="s">
        <v>597</v>
      </c>
      <c r="F153" s="33" t="s">
        <v>597</v>
      </c>
      <c r="G153" s="7" t="s">
        <v>334</v>
      </c>
      <c r="I153" s="153" t="s">
        <v>2045</v>
      </c>
      <c r="L153" s="154" t="s">
        <v>53</v>
      </c>
      <c r="M153" s="154" t="s">
        <v>53</v>
      </c>
      <c r="N153" s="151" t="s">
        <v>53</v>
      </c>
      <c r="O153" s="40" t="s">
        <v>53</v>
      </c>
      <c r="P153" s="1" t="s">
        <v>53</v>
      </c>
      <c r="Q153" s="44" t="s">
        <v>53</v>
      </c>
      <c r="R153" s="1" t="s">
        <v>53</v>
      </c>
      <c r="S153" s="1" t="s">
        <v>53</v>
      </c>
      <c r="T153" s="30" t="s">
        <v>53</v>
      </c>
      <c r="U153" s="121" t="s">
        <v>53</v>
      </c>
      <c r="V153" s="116" t="b">
        <f t="shared" si="16"/>
        <v>1</v>
      </c>
      <c r="W153" s="117" t="str">
        <f t="shared" si="17"/>
        <v>title: "Macao"</v>
      </c>
      <c r="X153" s="120" t="str">
        <f t="shared" si="18"/>
        <v/>
      </c>
      <c r="Y153" s="120" t="str">
        <f t="shared" si="19"/>
        <v/>
      </c>
      <c r="Z153" s="120" t="str">
        <f t="shared" si="20"/>
        <v/>
      </c>
      <c r="AA153" s="120" t="str">
        <f t="shared" si="21"/>
        <v/>
      </c>
      <c r="AB153" s="117" t="str">
        <f t="shared" si="22"/>
        <v/>
      </c>
      <c r="AC153" s="117" t="str">
        <f>IF(LEN(J153)&gt;1,concatll("#### Author's Note",J153,"-"&amp;B153),"")</f>
        <v/>
      </c>
      <c r="AD153" s="117" t="str">
        <f>IF(LEN(K153)&gt;1,concatll("#### Dedication",K153,"-"&amp;$B153),"")</f>
        <v/>
      </c>
      <c r="CA153" s="6" t="str">
        <f>IF(V153,concatll(concatl("---",W153,"---"),"*A collection of sites associated with this topic.*","#### Background",I153,AB153,AC153,AD153),"")</f>
        <v xml:space="preserve">---_x000D_
title: "Macao"_x000D_
---_x000D_
_x000D_
_x000D_
*A collection of sites associated with this topic.*_x000D_
_x000D_
#### Background_x000D_
_x000D_
Catholic places of interest in Macao_x000D_
_x000D_
</v>
      </c>
      <c r="CB153" s="6" t="str">
        <f t="shared" si="23"/>
        <v>tags\mo\_index.md</v>
      </c>
    </row>
    <row r="154" spans="1:80" x14ac:dyDescent="0.25">
      <c r="A154" s="129" t="s">
        <v>786</v>
      </c>
      <c r="C154" s="1" t="s">
        <v>336</v>
      </c>
      <c r="D154" s="7" t="s">
        <v>598</v>
      </c>
      <c r="E154" s="7" t="s">
        <v>598</v>
      </c>
      <c r="F154" s="33" t="s">
        <v>598</v>
      </c>
      <c r="G154" s="7" t="s">
        <v>336</v>
      </c>
      <c r="I154" s="153" t="s">
        <v>2203</v>
      </c>
      <c r="L154" s="154" t="s">
        <v>53</v>
      </c>
      <c r="M154" s="154" t="s">
        <v>53</v>
      </c>
      <c r="N154" s="151" t="s">
        <v>53</v>
      </c>
      <c r="O154" s="40" t="s">
        <v>53</v>
      </c>
      <c r="P154" s="1" t="s">
        <v>53</v>
      </c>
      <c r="Q154" s="44" t="s">
        <v>53</v>
      </c>
      <c r="R154" s="1" t="s">
        <v>53</v>
      </c>
      <c r="S154" s="1" t="s">
        <v>53</v>
      </c>
      <c r="T154" s="30" t="s">
        <v>53</v>
      </c>
      <c r="U154" s="121" t="s">
        <v>53</v>
      </c>
      <c r="V154" s="116" t="b">
        <f t="shared" si="16"/>
        <v>1</v>
      </c>
      <c r="W154" s="117" t="str">
        <f t="shared" si="17"/>
        <v>title: "Northern Mariana Islands"</v>
      </c>
      <c r="X154" s="120" t="str">
        <f t="shared" si="18"/>
        <v/>
      </c>
      <c r="Y154" s="120" t="str">
        <f t="shared" si="19"/>
        <v/>
      </c>
      <c r="Z154" s="120" t="str">
        <f t="shared" si="20"/>
        <v/>
      </c>
      <c r="AA154" s="120" t="str">
        <f t="shared" si="21"/>
        <v/>
      </c>
      <c r="AB154" s="117" t="str">
        <f t="shared" si="22"/>
        <v/>
      </c>
      <c r="AC154" s="117" t="str">
        <f>IF(LEN(J154)&gt;1,concatll("#### Author's Note",J154,"-"&amp;B154),"")</f>
        <v/>
      </c>
      <c r="AD154" s="117" t="str">
        <f>IF(LEN(K154)&gt;1,concatll("#### Dedication",K154,"-"&amp;$B154),"")</f>
        <v/>
      </c>
      <c r="CA154" s="6" t="str">
        <f>IF(V154,concatll(concatl("---",W154,"---"),"*A collection of sites associated with this topic.*","#### Background",I154,AB154,AC154,AD154),"")</f>
        <v xml:space="preserve">---_x000D_
title: "Northern Mariana Islands"_x000D_
---_x000D_
_x000D_
_x000D_
*A collection of sites associated with this topic.*_x000D_
_x000D_
#### Background_x000D_
_x000D_
Catholic places of interest in the Northern Mariana Islands_x000D_
_x000D_
</v>
      </c>
      <c r="CB154" s="6" t="str">
        <f t="shared" si="23"/>
        <v>tags\mp\_index.md</v>
      </c>
    </row>
    <row r="155" spans="1:80" x14ac:dyDescent="0.25">
      <c r="A155" s="129" t="s">
        <v>786</v>
      </c>
      <c r="C155" s="1" t="s">
        <v>337</v>
      </c>
      <c r="D155" s="7" t="s">
        <v>599</v>
      </c>
      <c r="E155" s="7" t="s">
        <v>599</v>
      </c>
      <c r="F155" s="33" t="s">
        <v>599</v>
      </c>
      <c r="G155" s="7" t="s">
        <v>337</v>
      </c>
      <c r="I155" s="153" t="s">
        <v>2046</v>
      </c>
      <c r="L155" s="154" t="s">
        <v>53</v>
      </c>
      <c r="M155" s="154" t="s">
        <v>53</v>
      </c>
      <c r="N155" s="151" t="s">
        <v>53</v>
      </c>
      <c r="O155" s="40" t="s">
        <v>53</v>
      </c>
      <c r="P155" s="1" t="s">
        <v>53</v>
      </c>
      <c r="Q155" s="44" t="s">
        <v>53</v>
      </c>
      <c r="R155" s="1" t="s">
        <v>53</v>
      </c>
      <c r="S155" s="1" t="s">
        <v>53</v>
      </c>
      <c r="T155" s="30" t="s">
        <v>53</v>
      </c>
      <c r="U155" s="121" t="s">
        <v>53</v>
      </c>
      <c r="V155" s="116" t="b">
        <f t="shared" si="16"/>
        <v>1</v>
      </c>
      <c r="W155" s="117" t="str">
        <f t="shared" si="17"/>
        <v>title: "Martinique"</v>
      </c>
      <c r="X155" s="120" t="str">
        <f t="shared" si="18"/>
        <v/>
      </c>
      <c r="Y155" s="120" t="str">
        <f t="shared" si="19"/>
        <v/>
      </c>
      <c r="Z155" s="120" t="str">
        <f t="shared" si="20"/>
        <v/>
      </c>
      <c r="AA155" s="120" t="str">
        <f t="shared" si="21"/>
        <v/>
      </c>
      <c r="AB155" s="117" t="str">
        <f t="shared" si="22"/>
        <v/>
      </c>
      <c r="AC155" s="117" t="str">
        <f>IF(LEN(J155)&gt;1,concatll("#### Author's Note",J155,"-"&amp;B155),"")</f>
        <v/>
      </c>
      <c r="AD155" s="117" t="str">
        <f>IF(LEN(K155)&gt;1,concatll("#### Dedication",K155,"-"&amp;$B155),"")</f>
        <v/>
      </c>
      <c r="CA155" s="6" t="str">
        <f>IF(V155,concatll(concatl("---",W155,"---"),"*A collection of sites associated with this topic.*","#### Background",I155,AB155,AC155,AD155),"")</f>
        <v xml:space="preserve">---_x000D_
title: "Martinique"_x000D_
---_x000D_
_x000D_
_x000D_
*A collection of sites associated with this topic.*_x000D_
_x000D_
#### Background_x000D_
_x000D_
Catholic places of interest in Martinique_x000D_
_x000D_
</v>
      </c>
      <c r="CB155" s="6" t="str">
        <f t="shared" si="23"/>
        <v>tags\mq\_index.md</v>
      </c>
    </row>
    <row r="156" spans="1:80" x14ac:dyDescent="0.25">
      <c r="A156" s="129" t="s">
        <v>786</v>
      </c>
      <c r="C156" s="1" t="s">
        <v>338</v>
      </c>
      <c r="D156" s="7" t="s">
        <v>600</v>
      </c>
      <c r="E156" s="7" t="s">
        <v>600</v>
      </c>
      <c r="F156" s="33" t="s">
        <v>600</v>
      </c>
      <c r="G156" s="7" t="s">
        <v>338</v>
      </c>
      <c r="I156" s="153" t="s">
        <v>2047</v>
      </c>
      <c r="L156" s="154" t="s">
        <v>53</v>
      </c>
      <c r="M156" s="154" t="s">
        <v>53</v>
      </c>
      <c r="N156" s="151" t="s">
        <v>53</v>
      </c>
      <c r="O156" s="40" t="s">
        <v>53</v>
      </c>
      <c r="P156" s="1" t="s">
        <v>53</v>
      </c>
      <c r="Q156" s="44" t="s">
        <v>53</v>
      </c>
      <c r="R156" s="1" t="s">
        <v>53</v>
      </c>
      <c r="S156" s="1" t="s">
        <v>53</v>
      </c>
      <c r="T156" s="30" t="s">
        <v>53</v>
      </c>
      <c r="U156" s="121" t="s">
        <v>53</v>
      </c>
      <c r="V156" s="116" t="b">
        <f t="shared" si="16"/>
        <v>1</v>
      </c>
      <c r="W156" s="117" t="str">
        <f t="shared" si="17"/>
        <v>title: "Mauritania"</v>
      </c>
      <c r="X156" s="120" t="str">
        <f t="shared" si="18"/>
        <v/>
      </c>
      <c r="Y156" s="120" t="str">
        <f t="shared" si="19"/>
        <v/>
      </c>
      <c r="Z156" s="120" t="str">
        <f t="shared" si="20"/>
        <v/>
      </c>
      <c r="AA156" s="120" t="str">
        <f t="shared" si="21"/>
        <v/>
      </c>
      <c r="AB156" s="117" t="str">
        <f t="shared" si="22"/>
        <v/>
      </c>
      <c r="AC156" s="117" t="str">
        <f>IF(LEN(J156)&gt;1,concatll("#### Author's Note",J156,"-"&amp;B156),"")</f>
        <v/>
      </c>
      <c r="AD156" s="117" t="str">
        <f>IF(LEN(K156)&gt;1,concatll("#### Dedication",K156,"-"&amp;$B156),"")</f>
        <v/>
      </c>
      <c r="CA156" s="6" t="str">
        <f>IF(V156,concatll(concatl("---",W156,"---"),"*A collection of sites associated with this topic.*","#### Background",I156,AB156,AC156,AD156),"")</f>
        <v xml:space="preserve">---_x000D_
title: "Mauritania"_x000D_
---_x000D_
_x000D_
_x000D_
*A collection of sites associated with this topic.*_x000D_
_x000D_
#### Background_x000D_
_x000D_
Catholic places of interest in Mauritania_x000D_
_x000D_
</v>
      </c>
      <c r="CB156" s="6" t="str">
        <f t="shared" si="23"/>
        <v>tags\mr\_index.md</v>
      </c>
    </row>
    <row r="157" spans="1:80" x14ac:dyDescent="0.25">
      <c r="A157" s="129" t="s">
        <v>786</v>
      </c>
      <c r="C157" s="1" t="s">
        <v>339</v>
      </c>
      <c r="D157" s="7" t="s">
        <v>601</v>
      </c>
      <c r="E157" s="7" t="s">
        <v>601</v>
      </c>
      <c r="F157" s="33" t="s">
        <v>601</v>
      </c>
      <c r="G157" s="7" t="s">
        <v>339</v>
      </c>
      <c r="I157" s="153" t="s">
        <v>2048</v>
      </c>
      <c r="L157" s="154" t="s">
        <v>53</v>
      </c>
      <c r="M157" s="154" t="s">
        <v>53</v>
      </c>
      <c r="N157" s="151" t="s">
        <v>53</v>
      </c>
      <c r="O157" s="40" t="s">
        <v>53</v>
      </c>
      <c r="P157" s="1" t="s">
        <v>53</v>
      </c>
      <c r="Q157" s="44" t="s">
        <v>53</v>
      </c>
      <c r="R157" s="1" t="s">
        <v>53</v>
      </c>
      <c r="S157" s="1" t="s">
        <v>53</v>
      </c>
      <c r="T157" s="30" t="s">
        <v>53</v>
      </c>
      <c r="U157" s="121" t="s">
        <v>53</v>
      </c>
      <c r="V157" s="116" t="b">
        <f t="shared" si="16"/>
        <v>1</v>
      </c>
      <c r="W157" s="117" t="str">
        <f t="shared" si="17"/>
        <v>title: "Montserrat"</v>
      </c>
      <c r="X157" s="120" t="str">
        <f t="shared" si="18"/>
        <v/>
      </c>
      <c r="Y157" s="120" t="str">
        <f t="shared" si="19"/>
        <v/>
      </c>
      <c r="Z157" s="120" t="str">
        <f t="shared" si="20"/>
        <v/>
      </c>
      <c r="AA157" s="120" t="str">
        <f t="shared" si="21"/>
        <v/>
      </c>
      <c r="AB157" s="117" t="str">
        <f t="shared" si="22"/>
        <v/>
      </c>
      <c r="AC157" s="117" t="str">
        <f>IF(LEN(J157)&gt;1,concatll("#### Author's Note",J157,"-"&amp;B157),"")</f>
        <v/>
      </c>
      <c r="AD157" s="117" t="str">
        <f>IF(LEN(K157)&gt;1,concatll("#### Dedication",K157,"-"&amp;$B157),"")</f>
        <v/>
      </c>
      <c r="CA157" s="6" t="str">
        <f>IF(V157,concatll(concatl("---",W157,"---"),"*A collection of sites associated with this topic.*","#### Background",I157,AB157,AC157,AD157),"")</f>
        <v xml:space="preserve">---_x000D_
title: "Montserrat"_x000D_
---_x000D_
_x000D_
_x000D_
*A collection of sites associated with this topic.*_x000D_
_x000D_
#### Background_x000D_
_x000D_
Catholic places of interest in Montserrat_x000D_
_x000D_
</v>
      </c>
      <c r="CB157" s="6" t="str">
        <f t="shared" si="23"/>
        <v>tags\ms\_index.md</v>
      </c>
    </row>
    <row r="158" spans="1:80" x14ac:dyDescent="0.25">
      <c r="A158" s="129" t="s">
        <v>786</v>
      </c>
      <c r="C158" s="1" t="s">
        <v>340</v>
      </c>
      <c r="D158" s="7" t="s">
        <v>602</v>
      </c>
      <c r="E158" s="7" t="s">
        <v>602</v>
      </c>
      <c r="F158" s="33" t="s">
        <v>602</v>
      </c>
      <c r="G158" s="7" t="s">
        <v>340</v>
      </c>
      <c r="I158" s="153" t="s">
        <v>2049</v>
      </c>
      <c r="L158" s="154" t="s">
        <v>53</v>
      </c>
      <c r="M158" s="154" t="s">
        <v>53</v>
      </c>
      <c r="N158" s="151" t="s">
        <v>53</v>
      </c>
      <c r="O158" s="40" t="s">
        <v>53</v>
      </c>
      <c r="P158" s="1" t="s">
        <v>53</v>
      </c>
      <c r="Q158" s="44" t="s">
        <v>53</v>
      </c>
      <c r="R158" s="1" t="s">
        <v>53</v>
      </c>
      <c r="S158" s="1" t="s">
        <v>53</v>
      </c>
      <c r="T158" s="30" t="s">
        <v>53</v>
      </c>
      <c r="U158" s="121" t="s">
        <v>53</v>
      </c>
      <c r="V158" s="116" t="b">
        <f t="shared" si="16"/>
        <v>1</v>
      </c>
      <c r="W158" s="117" t="str">
        <f t="shared" si="17"/>
        <v>title: "Malta"</v>
      </c>
      <c r="X158" s="120" t="str">
        <f t="shared" si="18"/>
        <v/>
      </c>
      <c r="Y158" s="120" t="str">
        <f t="shared" si="19"/>
        <v/>
      </c>
      <c r="Z158" s="120" t="str">
        <f t="shared" si="20"/>
        <v/>
      </c>
      <c r="AA158" s="120" t="str">
        <f t="shared" si="21"/>
        <v/>
      </c>
      <c r="AB158" s="117" t="str">
        <f t="shared" si="22"/>
        <v/>
      </c>
      <c r="AC158" s="117" t="str">
        <f>IF(LEN(J158)&gt;1,concatll("#### Author's Note",J158,"-"&amp;B158),"")</f>
        <v/>
      </c>
      <c r="AD158" s="117" t="str">
        <f>IF(LEN(K158)&gt;1,concatll("#### Dedication",K158,"-"&amp;$B158),"")</f>
        <v/>
      </c>
      <c r="CA158" s="6" t="str">
        <f>IF(V158,concatll(concatl("---",W158,"---"),"*A collection of sites associated with this topic.*","#### Background",I158,AB158,AC158,AD158),"")</f>
        <v xml:space="preserve">---_x000D_
title: "Malta"_x000D_
---_x000D_
_x000D_
_x000D_
*A collection of sites associated with this topic.*_x000D_
_x000D_
#### Background_x000D_
_x000D_
Catholic places of interest in Malta_x000D_
_x000D_
</v>
      </c>
      <c r="CB158" s="6" t="str">
        <f t="shared" si="23"/>
        <v>tags\mt\_index.md</v>
      </c>
    </row>
    <row r="159" spans="1:80" x14ac:dyDescent="0.25">
      <c r="A159" s="129" t="s">
        <v>786</v>
      </c>
      <c r="C159" s="1" t="s">
        <v>341</v>
      </c>
      <c r="D159" s="7" t="s">
        <v>603</v>
      </c>
      <c r="E159" s="7" t="s">
        <v>603</v>
      </c>
      <c r="F159" s="33" t="s">
        <v>603</v>
      </c>
      <c r="G159" s="7" t="s">
        <v>341</v>
      </c>
      <c r="I159" s="153" t="s">
        <v>2050</v>
      </c>
      <c r="L159" s="154" t="s">
        <v>53</v>
      </c>
      <c r="M159" s="154" t="s">
        <v>53</v>
      </c>
      <c r="N159" s="151" t="s">
        <v>53</v>
      </c>
      <c r="O159" s="40" t="s">
        <v>53</v>
      </c>
      <c r="P159" s="1" t="s">
        <v>53</v>
      </c>
      <c r="Q159" s="44" t="s">
        <v>53</v>
      </c>
      <c r="R159" s="1" t="s">
        <v>53</v>
      </c>
      <c r="S159" s="1" t="s">
        <v>53</v>
      </c>
      <c r="T159" s="30" t="s">
        <v>53</v>
      </c>
      <c r="U159" s="121" t="s">
        <v>53</v>
      </c>
      <c r="V159" s="116" t="b">
        <f t="shared" si="16"/>
        <v>1</v>
      </c>
      <c r="W159" s="117" t="str">
        <f t="shared" si="17"/>
        <v>title: "Mauritius"</v>
      </c>
      <c r="X159" s="120" t="str">
        <f t="shared" si="18"/>
        <v/>
      </c>
      <c r="Y159" s="120" t="str">
        <f t="shared" si="19"/>
        <v/>
      </c>
      <c r="Z159" s="120" t="str">
        <f t="shared" si="20"/>
        <v/>
      </c>
      <c r="AA159" s="120" t="str">
        <f t="shared" si="21"/>
        <v/>
      </c>
      <c r="AB159" s="117" t="str">
        <f t="shared" si="22"/>
        <v/>
      </c>
      <c r="AC159" s="117" t="str">
        <f>IF(LEN(J159)&gt;1,concatll("#### Author's Note",J159,"-"&amp;B159),"")</f>
        <v/>
      </c>
      <c r="AD159" s="117" t="str">
        <f>IF(LEN(K159)&gt;1,concatll("#### Dedication",K159,"-"&amp;$B159),"")</f>
        <v/>
      </c>
      <c r="CA159" s="6" t="str">
        <f>IF(V159,concatll(concatl("---",W159,"---"),"*A collection of sites associated with this topic.*","#### Background",I159,AB159,AC159,AD159),"")</f>
        <v xml:space="preserve">---_x000D_
title: "Mauritius"_x000D_
---_x000D_
_x000D_
_x000D_
*A collection of sites associated with this topic.*_x000D_
_x000D_
#### Background_x000D_
_x000D_
Catholic places of interest in Mauritius_x000D_
_x000D_
</v>
      </c>
      <c r="CB159" s="6" t="str">
        <f t="shared" si="23"/>
        <v>tags\mu\_index.md</v>
      </c>
    </row>
    <row r="160" spans="1:80" x14ac:dyDescent="0.25">
      <c r="A160" s="129" t="s">
        <v>786</v>
      </c>
      <c r="C160" s="1" t="s">
        <v>342</v>
      </c>
      <c r="D160" s="7" t="s">
        <v>604</v>
      </c>
      <c r="E160" s="7" t="s">
        <v>604</v>
      </c>
      <c r="F160" s="33" t="s">
        <v>604</v>
      </c>
      <c r="G160" s="7" t="s">
        <v>342</v>
      </c>
      <c r="I160" s="153" t="s">
        <v>2051</v>
      </c>
      <c r="L160" s="154" t="s">
        <v>53</v>
      </c>
      <c r="M160" s="154" t="s">
        <v>53</v>
      </c>
      <c r="N160" s="151" t="s">
        <v>53</v>
      </c>
      <c r="O160" s="40" t="s">
        <v>53</v>
      </c>
      <c r="P160" s="1" t="s">
        <v>53</v>
      </c>
      <c r="Q160" s="44" t="s">
        <v>53</v>
      </c>
      <c r="R160" s="1" t="s">
        <v>53</v>
      </c>
      <c r="S160" s="1" t="s">
        <v>53</v>
      </c>
      <c r="T160" s="30" t="s">
        <v>53</v>
      </c>
      <c r="U160" s="121" t="s">
        <v>53</v>
      </c>
      <c r="V160" s="116" t="b">
        <f t="shared" si="16"/>
        <v>1</v>
      </c>
      <c r="W160" s="117" t="str">
        <f t="shared" si="17"/>
        <v>title: "Maldives"</v>
      </c>
      <c r="X160" s="120" t="str">
        <f t="shared" si="18"/>
        <v/>
      </c>
      <c r="Y160" s="120" t="str">
        <f t="shared" si="19"/>
        <v/>
      </c>
      <c r="Z160" s="120" t="str">
        <f t="shared" si="20"/>
        <v/>
      </c>
      <c r="AA160" s="120" t="str">
        <f t="shared" si="21"/>
        <v/>
      </c>
      <c r="AB160" s="117" t="str">
        <f t="shared" si="22"/>
        <v/>
      </c>
      <c r="AC160" s="117" t="str">
        <f>IF(LEN(J160)&gt;1,concatll("#### Author's Note",J160,"-"&amp;B160),"")</f>
        <v/>
      </c>
      <c r="AD160" s="117" t="str">
        <f>IF(LEN(K160)&gt;1,concatll("#### Dedication",K160,"-"&amp;$B160),"")</f>
        <v/>
      </c>
      <c r="CA160" s="6" t="str">
        <f>IF(V160,concatll(concatl("---",W160,"---"),"*A collection of sites associated with this topic.*","#### Background",I160,AB160,AC160,AD160),"")</f>
        <v xml:space="preserve">---_x000D_
title: "Maldives"_x000D_
---_x000D_
_x000D_
_x000D_
*A collection of sites associated with this topic.*_x000D_
_x000D_
#### Background_x000D_
_x000D_
Catholic places of interest in Maldives_x000D_
_x000D_
</v>
      </c>
      <c r="CB160" s="6" t="str">
        <f t="shared" si="23"/>
        <v>tags\mv\_index.md</v>
      </c>
    </row>
    <row r="161" spans="1:80" x14ac:dyDescent="0.25">
      <c r="A161" s="129" t="s">
        <v>786</v>
      </c>
      <c r="C161" s="1" t="s">
        <v>343</v>
      </c>
      <c r="D161" s="7" t="s">
        <v>605</v>
      </c>
      <c r="E161" s="7" t="s">
        <v>605</v>
      </c>
      <c r="F161" s="33" t="s">
        <v>605</v>
      </c>
      <c r="G161" s="7" t="s">
        <v>343</v>
      </c>
      <c r="I161" s="153" t="s">
        <v>2052</v>
      </c>
      <c r="L161" s="154" t="s">
        <v>53</v>
      </c>
      <c r="M161" s="154" t="s">
        <v>53</v>
      </c>
      <c r="N161" s="151" t="s">
        <v>53</v>
      </c>
      <c r="O161" s="40" t="s">
        <v>53</v>
      </c>
      <c r="P161" s="1" t="s">
        <v>53</v>
      </c>
      <c r="Q161" s="44" t="s">
        <v>53</v>
      </c>
      <c r="R161" s="1" t="s">
        <v>53</v>
      </c>
      <c r="S161" s="1" t="s">
        <v>53</v>
      </c>
      <c r="T161" s="30" t="s">
        <v>53</v>
      </c>
      <c r="U161" s="121" t="s">
        <v>53</v>
      </c>
      <c r="V161" s="116" t="b">
        <f t="shared" si="16"/>
        <v>1</v>
      </c>
      <c r="W161" s="117" t="str">
        <f t="shared" si="17"/>
        <v>title: "Malawi"</v>
      </c>
      <c r="X161" s="120" t="str">
        <f t="shared" si="18"/>
        <v/>
      </c>
      <c r="Y161" s="120" t="str">
        <f t="shared" si="19"/>
        <v/>
      </c>
      <c r="Z161" s="120" t="str">
        <f t="shared" si="20"/>
        <v/>
      </c>
      <c r="AA161" s="120" t="str">
        <f t="shared" si="21"/>
        <v/>
      </c>
      <c r="AB161" s="117" t="str">
        <f t="shared" si="22"/>
        <v/>
      </c>
      <c r="AC161" s="117" t="str">
        <f>IF(LEN(J161)&gt;1,concatll("#### Author's Note",J161,"-"&amp;B161),"")</f>
        <v/>
      </c>
      <c r="AD161" s="117" t="str">
        <f>IF(LEN(K161)&gt;1,concatll("#### Dedication",K161,"-"&amp;$B161),"")</f>
        <v/>
      </c>
      <c r="CA161" s="6" t="str">
        <f>IF(V161,concatll(concatl("---",W161,"---"),"*A collection of sites associated with this topic.*","#### Background",I161,AB161,AC161,AD161),"")</f>
        <v xml:space="preserve">---_x000D_
title: "Malawi"_x000D_
---_x000D_
_x000D_
_x000D_
*A collection of sites associated with this topic.*_x000D_
_x000D_
#### Background_x000D_
_x000D_
Catholic places of interest in Malawi_x000D_
_x000D_
</v>
      </c>
      <c r="CB161" s="6" t="str">
        <f t="shared" si="23"/>
        <v>tags\mw\_index.md</v>
      </c>
    </row>
    <row r="162" spans="1:80" x14ac:dyDescent="0.25">
      <c r="A162" s="129" t="s">
        <v>786</v>
      </c>
      <c r="C162" s="1" t="s">
        <v>344</v>
      </c>
      <c r="D162" s="7" t="s">
        <v>606</v>
      </c>
      <c r="E162" s="7" t="s">
        <v>606</v>
      </c>
      <c r="F162" s="33" t="s">
        <v>606</v>
      </c>
      <c r="G162" s="7" t="s">
        <v>344</v>
      </c>
      <c r="I162" s="153" t="s">
        <v>2053</v>
      </c>
      <c r="L162" s="154" t="s">
        <v>53</v>
      </c>
      <c r="M162" s="154" t="s">
        <v>53</v>
      </c>
      <c r="N162" s="151" t="s">
        <v>53</v>
      </c>
      <c r="O162" s="40" t="s">
        <v>53</v>
      </c>
      <c r="P162" s="1" t="s">
        <v>53</v>
      </c>
      <c r="Q162" s="44" t="s">
        <v>53</v>
      </c>
      <c r="R162" s="1" t="s">
        <v>53</v>
      </c>
      <c r="S162" s="1" t="s">
        <v>53</v>
      </c>
      <c r="T162" s="30" t="s">
        <v>53</v>
      </c>
      <c r="U162" s="121" t="s">
        <v>53</v>
      </c>
      <c r="V162" s="116" t="b">
        <f t="shared" si="16"/>
        <v>1</v>
      </c>
      <c r="W162" s="117" t="str">
        <f t="shared" si="17"/>
        <v>title: "Mexico"</v>
      </c>
      <c r="X162" s="120" t="str">
        <f t="shared" si="18"/>
        <v/>
      </c>
      <c r="Y162" s="120" t="str">
        <f t="shared" si="19"/>
        <v/>
      </c>
      <c r="Z162" s="120" t="str">
        <f t="shared" si="20"/>
        <v/>
      </c>
      <c r="AA162" s="120" t="str">
        <f t="shared" si="21"/>
        <v/>
      </c>
      <c r="AB162" s="117" t="str">
        <f t="shared" si="22"/>
        <v/>
      </c>
      <c r="AC162" s="117" t="str">
        <f>IF(LEN(J162)&gt;1,concatll("#### Author's Note",J162,"-"&amp;B162),"")</f>
        <v/>
      </c>
      <c r="AD162" s="117" t="str">
        <f>IF(LEN(K162)&gt;1,concatll("#### Dedication",K162,"-"&amp;$B162),"")</f>
        <v/>
      </c>
      <c r="CA162" s="6" t="str">
        <f>IF(V162,concatll(concatl("---",W162,"---"),"*A collection of sites associated with this topic.*","#### Background",I162,AB162,AC162,AD162),"")</f>
        <v xml:space="preserve">---_x000D_
title: "Mexico"_x000D_
---_x000D_
_x000D_
_x000D_
*A collection of sites associated with this topic.*_x000D_
_x000D_
#### Background_x000D_
_x000D_
Catholic places of interest in Mexico_x000D_
_x000D_
</v>
      </c>
      <c r="CB162" s="6" t="str">
        <f t="shared" si="23"/>
        <v>tags\mx\_index.md</v>
      </c>
    </row>
    <row r="163" spans="1:80" x14ac:dyDescent="0.25">
      <c r="A163" s="129" t="s">
        <v>786</v>
      </c>
      <c r="C163" s="1" t="s">
        <v>345</v>
      </c>
      <c r="D163" s="7" t="s">
        <v>607</v>
      </c>
      <c r="E163" s="7" t="s">
        <v>607</v>
      </c>
      <c r="F163" s="33" t="s">
        <v>607</v>
      </c>
      <c r="G163" s="7" t="s">
        <v>345</v>
      </c>
      <c r="I163" s="153" t="s">
        <v>2054</v>
      </c>
      <c r="L163" s="154" t="s">
        <v>53</v>
      </c>
      <c r="M163" s="154" t="s">
        <v>53</v>
      </c>
      <c r="N163" s="151" t="s">
        <v>53</v>
      </c>
      <c r="O163" s="40" t="s">
        <v>53</v>
      </c>
      <c r="P163" s="1" t="s">
        <v>53</v>
      </c>
      <c r="Q163" s="44" t="s">
        <v>53</v>
      </c>
      <c r="R163" s="1" t="s">
        <v>53</v>
      </c>
      <c r="S163" s="1" t="s">
        <v>53</v>
      </c>
      <c r="T163" s="30" t="s">
        <v>53</v>
      </c>
      <c r="U163" s="121" t="s">
        <v>53</v>
      </c>
      <c r="V163" s="116" t="b">
        <f t="shared" si="16"/>
        <v>1</v>
      </c>
      <c r="W163" s="117" t="str">
        <f t="shared" si="17"/>
        <v>title: "Malaysia"</v>
      </c>
      <c r="X163" s="120" t="str">
        <f t="shared" si="18"/>
        <v/>
      </c>
      <c r="Y163" s="120" t="str">
        <f t="shared" si="19"/>
        <v/>
      </c>
      <c r="Z163" s="120" t="str">
        <f t="shared" si="20"/>
        <v/>
      </c>
      <c r="AA163" s="120" t="str">
        <f t="shared" si="21"/>
        <v/>
      </c>
      <c r="AB163" s="117" t="str">
        <f t="shared" si="22"/>
        <v/>
      </c>
      <c r="AC163" s="117" t="str">
        <f>IF(LEN(J163)&gt;1,concatll("#### Author's Note",J163,"-"&amp;B163),"")</f>
        <v/>
      </c>
      <c r="AD163" s="117" t="str">
        <f>IF(LEN(K163)&gt;1,concatll("#### Dedication",K163,"-"&amp;$B163),"")</f>
        <v/>
      </c>
      <c r="CA163" s="6" t="str">
        <f>IF(V163,concatll(concatl("---",W163,"---"),"*A collection of sites associated with this topic.*","#### Background",I163,AB163,AC163,AD163),"")</f>
        <v xml:space="preserve">---_x000D_
title: "Malaysia"_x000D_
---_x000D_
_x000D_
_x000D_
*A collection of sites associated with this topic.*_x000D_
_x000D_
#### Background_x000D_
_x000D_
Catholic places of interest in Malaysia_x000D_
_x000D_
</v>
      </c>
      <c r="CB163" s="6" t="str">
        <f t="shared" si="23"/>
        <v>tags\my\_index.md</v>
      </c>
    </row>
    <row r="164" spans="1:80" x14ac:dyDescent="0.25">
      <c r="A164" s="129" t="s">
        <v>786</v>
      </c>
      <c r="C164" s="1" t="s">
        <v>346</v>
      </c>
      <c r="D164" s="7" t="s">
        <v>608</v>
      </c>
      <c r="E164" s="7" t="s">
        <v>608</v>
      </c>
      <c r="F164" s="33" t="s">
        <v>608</v>
      </c>
      <c r="G164" s="7" t="s">
        <v>346</v>
      </c>
      <c r="I164" s="153" t="s">
        <v>2055</v>
      </c>
      <c r="L164" s="154" t="s">
        <v>53</v>
      </c>
      <c r="M164" s="154" t="s">
        <v>53</v>
      </c>
      <c r="N164" s="151" t="s">
        <v>53</v>
      </c>
      <c r="O164" s="40" t="s">
        <v>53</v>
      </c>
      <c r="P164" s="1" t="s">
        <v>53</v>
      </c>
      <c r="Q164" s="44" t="s">
        <v>53</v>
      </c>
      <c r="R164" s="1" t="s">
        <v>53</v>
      </c>
      <c r="S164" s="1" t="s">
        <v>53</v>
      </c>
      <c r="T164" s="30" t="s">
        <v>53</v>
      </c>
      <c r="U164" s="121" t="s">
        <v>53</v>
      </c>
      <c r="V164" s="116" t="b">
        <f t="shared" si="16"/>
        <v>1</v>
      </c>
      <c r="W164" s="117" t="str">
        <f t="shared" si="17"/>
        <v>title: "Mozambique"</v>
      </c>
      <c r="X164" s="120" t="str">
        <f t="shared" si="18"/>
        <v/>
      </c>
      <c r="Y164" s="120" t="str">
        <f t="shared" si="19"/>
        <v/>
      </c>
      <c r="Z164" s="120" t="str">
        <f t="shared" si="20"/>
        <v/>
      </c>
      <c r="AA164" s="120" t="str">
        <f t="shared" si="21"/>
        <v/>
      </c>
      <c r="AB164" s="117" t="str">
        <f t="shared" si="22"/>
        <v/>
      </c>
      <c r="AC164" s="117" t="str">
        <f>IF(LEN(J164)&gt;1,concatll("#### Author's Note",J164,"-"&amp;B164),"")</f>
        <v/>
      </c>
      <c r="AD164" s="117" t="str">
        <f>IF(LEN(K164)&gt;1,concatll("#### Dedication",K164,"-"&amp;$B164),"")</f>
        <v/>
      </c>
      <c r="CA164" s="6" t="str">
        <f>IF(V164,concatll(concatl("---",W164,"---"),"*A collection of sites associated with this topic.*","#### Background",I164,AB164,AC164,AD164),"")</f>
        <v xml:space="preserve">---_x000D_
title: "Mozambique"_x000D_
---_x000D_
_x000D_
_x000D_
*A collection of sites associated with this topic.*_x000D_
_x000D_
#### Background_x000D_
_x000D_
Catholic places of interest in Mozambique_x000D_
_x000D_
</v>
      </c>
      <c r="CB164" s="6" t="str">
        <f t="shared" si="23"/>
        <v>tags\mz\_index.md</v>
      </c>
    </row>
    <row r="165" spans="1:80" x14ac:dyDescent="0.25">
      <c r="A165" s="129" t="s">
        <v>786</v>
      </c>
      <c r="C165" s="1" t="s">
        <v>347</v>
      </c>
      <c r="D165" s="7" t="s">
        <v>609</v>
      </c>
      <c r="E165" s="7" t="s">
        <v>609</v>
      </c>
      <c r="F165" s="33" t="s">
        <v>609</v>
      </c>
      <c r="G165" s="7" t="s">
        <v>347</v>
      </c>
      <c r="I165" s="153" t="s">
        <v>2056</v>
      </c>
      <c r="L165" s="154" t="s">
        <v>53</v>
      </c>
      <c r="M165" s="154" t="s">
        <v>53</v>
      </c>
      <c r="N165" s="151" t="s">
        <v>53</v>
      </c>
      <c r="O165" s="40" t="s">
        <v>53</v>
      </c>
      <c r="P165" s="1" t="s">
        <v>53</v>
      </c>
      <c r="Q165" s="44" t="s">
        <v>53</v>
      </c>
      <c r="R165" s="1" t="s">
        <v>53</v>
      </c>
      <c r="S165" s="1" t="s">
        <v>53</v>
      </c>
      <c r="T165" s="30" t="s">
        <v>53</v>
      </c>
      <c r="U165" s="121" t="s">
        <v>53</v>
      </c>
      <c r="V165" s="116" t="b">
        <f t="shared" si="16"/>
        <v>1</v>
      </c>
      <c r="W165" s="117" t="str">
        <f t="shared" si="17"/>
        <v>title: "Namibia"</v>
      </c>
      <c r="X165" s="120" t="str">
        <f t="shared" si="18"/>
        <v/>
      </c>
      <c r="Y165" s="120" t="str">
        <f t="shared" si="19"/>
        <v/>
      </c>
      <c r="Z165" s="120" t="str">
        <f t="shared" si="20"/>
        <v/>
      </c>
      <c r="AA165" s="120" t="str">
        <f t="shared" si="21"/>
        <v/>
      </c>
      <c r="AB165" s="117" t="str">
        <f t="shared" si="22"/>
        <v/>
      </c>
      <c r="AC165" s="117" t="str">
        <f>IF(LEN(J165)&gt;1,concatll("#### Author's Note",J165,"-"&amp;B165),"")</f>
        <v/>
      </c>
      <c r="AD165" s="117" t="str">
        <f>IF(LEN(K165)&gt;1,concatll("#### Dedication",K165,"-"&amp;$B165),"")</f>
        <v/>
      </c>
      <c r="CA165" s="6" t="str">
        <f>IF(V165,concatll(concatl("---",W165,"---"),"*A collection of sites associated with this topic.*","#### Background",I165,AB165,AC165,AD165),"")</f>
        <v xml:space="preserve">---_x000D_
title: "Namibia"_x000D_
---_x000D_
_x000D_
_x000D_
*A collection of sites associated with this topic.*_x000D_
_x000D_
#### Background_x000D_
_x000D_
Catholic places of interest in Namibia_x000D_
_x000D_
</v>
      </c>
      <c r="CB165" s="6" t="str">
        <f t="shared" si="23"/>
        <v>tags\na\_index.md</v>
      </c>
    </row>
    <row r="166" spans="1:80" x14ac:dyDescent="0.25">
      <c r="A166" s="129" t="s">
        <v>786</v>
      </c>
      <c r="C166" s="1" t="s">
        <v>348</v>
      </c>
      <c r="D166" s="7" t="s">
        <v>610</v>
      </c>
      <c r="E166" s="7" t="s">
        <v>610</v>
      </c>
      <c r="F166" s="33" t="s">
        <v>610</v>
      </c>
      <c r="G166" s="7" t="s">
        <v>348</v>
      </c>
      <c r="I166" s="153" t="s">
        <v>2057</v>
      </c>
      <c r="L166" s="154" t="s">
        <v>53</v>
      </c>
      <c r="M166" s="154" t="s">
        <v>53</v>
      </c>
      <c r="N166" s="151" t="s">
        <v>53</v>
      </c>
      <c r="O166" s="40" t="s">
        <v>53</v>
      </c>
      <c r="P166" s="1" t="s">
        <v>53</v>
      </c>
      <c r="Q166" s="44" t="s">
        <v>53</v>
      </c>
      <c r="R166" s="1" t="s">
        <v>53</v>
      </c>
      <c r="S166" s="1" t="s">
        <v>53</v>
      </c>
      <c r="T166" s="30" t="s">
        <v>53</v>
      </c>
      <c r="U166" s="121" t="s">
        <v>53</v>
      </c>
      <c r="V166" s="116" t="b">
        <f t="shared" si="16"/>
        <v>1</v>
      </c>
      <c r="W166" s="117" t="str">
        <f t="shared" si="17"/>
        <v>title: "New Caledonia"</v>
      </c>
      <c r="X166" s="120" t="str">
        <f t="shared" si="18"/>
        <v/>
      </c>
      <c r="Y166" s="120" t="str">
        <f t="shared" si="19"/>
        <v/>
      </c>
      <c r="Z166" s="120" t="str">
        <f t="shared" si="20"/>
        <v/>
      </c>
      <c r="AA166" s="120" t="str">
        <f t="shared" si="21"/>
        <v/>
      </c>
      <c r="AB166" s="117" t="str">
        <f t="shared" si="22"/>
        <v/>
      </c>
      <c r="AC166" s="117" t="str">
        <f>IF(LEN(J166)&gt;1,concatll("#### Author's Note",J166,"-"&amp;B166),"")</f>
        <v/>
      </c>
      <c r="AD166" s="117" t="str">
        <f>IF(LEN(K166)&gt;1,concatll("#### Dedication",K166,"-"&amp;$B166),"")</f>
        <v/>
      </c>
      <c r="CA166" s="6" t="str">
        <f>IF(V166,concatll(concatl("---",W166,"---"),"*A collection of sites associated with this topic.*","#### Background",I166,AB166,AC166,AD166),"")</f>
        <v xml:space="preserve">---_x000D_
title: "New Caledonia"_x000D_
---_x000D_
_x000D_
_x000D_
*A collection of sites associated with this topic.*_x000D_
_x000D_
#### Background_x000D_
_x000D_
Catholic places of interest in New Caledonia_x000D_
_x000D_
</v>
      </c>
      <c r="CB166" s="6" t="str">
        <f t="shared" si="23"/>
        <v>tags\nc\_index.md</v>
      </c>
    </row>
    <row r="167" spans="1:80" x14ac:dyDescent="0.25">
      <c r="A167" s="129" t="s">
        <v>786</v>
      </c>
      <c r="C167" s="1" t="s">
        <v>349</v>
      </c>
      <c r="D167" s="7" t="s">
        <v>611</v>
      </c>
      <c r="E167" s="7" t="s">
        <v>611</v>
      </c>
      <c r="F167" s="33" t="s">
        <v>611</v>
      </c>
      <c r="G167" s="7" t="s">
        <v>349</v>
      </c>
      <c r="I167" s="153" t="s">
        <v>2058</v>
      </c>
      <c r="L167" s="154" t="s">
        <v>53</v>
      </c>
      <c r="M167" s="154" t="s">
        <v>53</v>
      </c>
      <c r="N167" s="151" t="s">
        <v>53</v>
      </c>
      <c r="O167" s="40" t="s">
        <v>53</v>
      </c>
      <c r="P167" s="1" t="s">
        <v>53</v>
      </c>
      <c r="Q167" s="44" t="s">
        <v>53</v>
      </c>
      <c r="R167" s="1" t="s">
        <v>53</v>
      </c>
      <c r="S167" s="1" t="s">
        <v>53</v>
      </c>
      <c r="T167" s="30" t="s">
        <v>53</v>
      </c>
      <c r="U167" s="121" t="s">
        <v>53</v>
      </c>
      <c r="V167" s="116" t="b">
        <f t="shared" si="16"/>
        <v>1</v>
      </c>
      <c r="W167" s="117" t="str">
        <f t="shared" si="17"/>
        <v>title: "Niger"</v>
      </c>
      <c r="X167" s="120" t="str">
        <f t="shared" si="18"/>
        <v/>
      </c>
      <c r="Y167" s="120" t="str">
        <f t="shared" si="19"/>
        <v/>
      </c>
      <c r="Z167" s="120" t="str">
        <f t="shared" si="20"/>
        <v/>
      </c>
      <c r="AA167" s="120" t="str">
        <f t="shared" si="21"/>
        <v/>
      </c>
      <c r="AB167" s="117" t="str">
        <f t="shared" si="22"/>
        <v/>
      </c>
      <c r="AC167" s="117" t="str">
        <f>IF(LEN(J167)&gt;1,concatll("#### Author's Note",J167,"-"&amp;B167),"")</f>
        <v/>
      </c>
      <c r="AD167" s="117" t="str">
        <f>IF(LEN(K167)&gt;1,concatll("#### Dedication",K167,"-"&amp;$B167),"")</f>
        <v/>
      </c>
      <c r="CA167" s="6" t="str">
        <f>IF(V167,concatll(concatl("---",W167,"---"),"*A collection of sites associated with this topic.*","#### Background",I167,AB167,AC167,AD167),"")</f>
        <v xml:space="preserve">---_x000D_
title: "Niger"_x000D_
---_x000D_
_x000D_
_x000D_
*A collection of sites associated with this topic.*_x000D_
_x000D_
#### Background_x000D_
_x000D_
Catholic places of interest in Niger_x000D_
_x000D_
</v>
      </c>
      <c r="CB167" s="6" t="str">
        <f t="shared" si="23"/>
        <v>tags\ne\_index.md</v>
      </c>
    </row>
    <row r="168" spans="1:80" x14ac:dyDescent="0.25">
      <c r="A168" s="129" t="s">
        <v>786</v>
      </c>
      <c r="C168" s="1" t="s">
        <v>350</v>
      </c>
      <c r="D168" s="7" t="s">
        <v>612</v>
      </c>
      <c r="E168" s="7" t="s">
        <v>612</v>
      </c>
      <c r="F168" s="33" t="s">
        <v>612</v>
      </c>
      <c r="G168" s="7" t="s">
        <v>350</v>
      </c>
      <c r="I168" s="153" t="s">
        <v>2059</v>
      </c>
      <c r="L168" s="154" t="s">
        <v>53</v>
      </c>
      <c r="M168" s="154" t="s">
        <v>53</v>
      </c>
      <c r="N168" s="151" t="s">
        <v>53</v>
      </c>
      <c r="O168" s="40" t="s">
        <v>53</v>
      </c>
      <c r="P168" s="1" t="s">
        <v>53</v>
      </c>
      <c r="Q168" s="44" t="s">
        <v>53</v>
      </c>
      <c r="R168" s="1" t="s">
        <v>53</v>
      </c>
      <c r="S168" s="1" t="s">
        <v>53</v>
      </c>
      <c r="T168" s="30" t="s">
        <v>53</v>
      </c>
      <c r="U168" s="121" t="s">
        <v>53</v>
      </c>
      <c r="V168" s="116" t="b">
        <f t="shared" si="16"/>
        <v>1</v>
      </c>
      <c r="W168" s="117" t="str">
        <f t="shared" si="17"/>
        <v>title: "Norfolk Island"</v>
      </c>
      <c r="X168" s="120" t="str">
        <f t="shared" si="18"/>
        <v/>
      </c>
      <c r="Y168" s="120" t="str">
        <f t="shared" si="19"/>
        <v/>
      </c>
      <c r="Z168" s="120" t="str">
        <f t="shared" si="20"/>
        <v/>
      </c>
      <c r="AA168" s="120" t="str">
        <f t="shared" si="21"/>
        <v/>
      </c>
      <c r="AB168" s="117" t="str">
        <f t="shared" si="22"/>
        <v/>
      </c>
      <c r="AC168" s="117" t="str">
        <f>IF(LEN(J168)&gt;1,concatll("#### Author's Note",J168,"-"&amp;B168),"")</f>
        <v/>
      </c>
      <c r="AD168" s="117" t="str">
        <f>IF(LEN(K168)&gt;1,concatll("#### Dedication",K168,"-"&amp;$B168),"")</f>
        <v/>
      </c>
      <c r="CA168" s="6" t="str">
        <f>IF(V168,concatll(concatl("---",W168,"---"),"*A collection of sites associated with this topic.*","#### Background",I168,AB168,AC168,AD168),"")</f>
        <v xml:space="preserve">---_x000D_
title: "Norfolk Island"_x000D_
---_x000D_
_x000D_
_x000D_
*A collection of sites associated with this topic.*_x000D_
_x000D_
#### Background_x000D_
_x000D_
Catholic places of interest in Norfolk Island_x000D_
_x000D_
</v>
      </c>
      <c r="CB168" s="6" t="str">
        <f t="shared" si="23"/>
        <v>tags\nf\_index.md</v>
      </c>
    </row>
    <row r="169" spans="1:80" x14ac:dyDescent="0.25">
      <c r="A169" s="129" t="s">
        <v>786</v>
      </c>
      <c r="C169" s="1" t="s">
        <v>351</v>
      </c>
      <c r="D169" s="7" t="s">
        <v>613</v>
      </c>
      <c r="E169" s="7" t="s">
        <v>613</v>
      </c>
      <c r="F169" s="33" t="s">
        <v>613</v>
      </c>
      <c r="G169" s="7" t="s">
        <v>351</v>
      </c>
      <c r="I169" s="153" t="s">
        <v>2060</v>
      </c>
      <c r="L169" s="154" t="s">
        <v>53</v>
      </c>
      <c r="M169" s="154" t="s">
        <v>53</v>
      </c>
      <c r="N169" s="151" t="s">
        <v>53</v>
      </c>
      <c r="O169" s="40" t="s">
        <v>53</v>
      </c>
      <c r="P169" s="1" t="s">
        <v>53</v>
      </c>
      <c r="Q169" s="44" t="s">
        <v>53</v>
      </c>
      <c r="R169" s="1" t="s">
        <v>53</v>
      </c>
      <c r="S169" s="1" t="s">
        <v>53</v>
      </c>
      <c r="T169" s="30" t="s">
        <v>53</v>
      </c>
      <c r="U169" s="121" t="s">
        <v>53</v>
      </c>
      <c r="V169" s="116" t="b">
        <f t="shared" si="16"/>
        <v>1</v>
      </c>
      <c r="W169" s="117" t="str">
        <f t="shared" si="17"/>
        <v>title: "Nigeria"</v>
      </c>
      <c r="X169" s="120" t="str">
        <f t="shared" si="18"/>
        <v/>
      </c>
      <c r="Y169" s="120" t="str">
        <f t="shared" si="19"/>
        <v/>
      </c>
      <c r="Z169" s="120" t="str">
        <f t="shared" si="20"/>
        <v/>
      </c>
      <c r="AA169" s="120" t="str">
        <f t="shared" si="21"/>
        <v/>
      </c>
      <c r="AB169" s="117" t="str">
        <f t="shared" si="22"/>
        <v/>
      </c>
      <c r="AC169" s="117" t="str">
        <f>IF(LEN(J169)&gt;1,concatll("#### Author's Note",J169,"-"&amp;B169),"")</f>
        <v/>
      </c>
      <c r="AD169" s="117" t="str">
        <f>IF(LEN(K169)&gt;1,concatll("#### Dedication",K169,"-"&amp;$B169),"")</f>
        <v/>
      </c>
      <c r="CA169" s="6" t="str">
        <f>IF(V169,concatll(concatl("---",W169,"---"),"*A collection of sites associated with this topic.*","#### Background",I169,AB169,AC169,AD169),"")</f>
        <v xml:space="preserve">---_x000D_
title: "Nigeria"_x000D_
---_x000D_
_x000D_
_x000D_
*A collection of sites associated with this topic.*_x000D_
_x000D_
#### Background_x000D_
_x000D_
Catholic places of interest in Nigeria_x000D_
_x000D_
</v>
      </c>
      <c r="CB169" s="6" t="str">
        <f t="shared" si="23"/>
        <v>tags\ng\_index.md</v>
      </c>
    </row>
    <row r="170" spans="1:80" x14ac:dyDescent="0.25">
      <c r="A170" s="129" t="s">
        <v>786</v>
      </c>
      <c r="C170" s="1" t="s">
        <v>352</v>
      </c>
      <c r="D170" s="7" t="s">
        <v>614</v>
      </c>
      <c r="E170" s="7" t="s">
        <v>614</v>
      </c>
      <c r="F170" s="33" t="s">
        <v>614</v>
      </c>
      <c r="G170" s="7" t="s">
        <v>352</v>
      </c>
      <c r="I170" s="153" t="s">
        <v>2061</v>
      </c>
      <c r="L170" s="154" t="s">
        <v>53</v>
      </c>
      <c r="M170" s="154" t="s">
        <v>53</v>
      </c>
      <c r="N170" s="151" t="s">
        <v>53</v>
      </c>
      <c r="O170" s="40" t="s">
        <v>53</v>
      </c>
      <c r="P170" s="1" t="s">
        <v>53</v>
      </c>
      <c r="Q170" s="44" t="s">
        <v>53</v>
      </c>
      <c r="R170" s="1" t="s">
        <v>53</v>
      </c>
      <c r="S170" s="1" t="s">
        <v>53</v>
      </c>
      <c r="T170" s="30" t="s">
        <v>53</v>
      </c>
      <c r="U170" s="121" t="s">
        <v>53</v>
      </c>
      <c r="V170" s="116" t="b">
        <f t="shared" si="16"/>
        <v>1</v>
      </c>
      <c r="W170" s="117" t="str">
        <f t="shared" si="17"/>
        <v>title: "Nicaragua"</v>
      </c>
      <c r="X170" s="120" t="str">
        <f t="shared" si="18"/>
        <v/>
      </c>
      <c r="Y170" s="120" t="str">
        <f t="shared" si="19"/>
        <v/>
      </c>
      <c r="Z170" s="120" t="str">
        <f t="shared" si="20"/>
        <v/>
      </c>
      <c r="AA170" s="120" t="str">
        <f t="shared" si="21"/>
        <v/>
      </c>
      <c r="AB170" s="117" t="str">
        <f t="shared" si="22"/>
        <v/>
      </c>
      <c r="AC170" s="117" t="str">
        <f>IF(LEN(J170)&gt;1,concatll("#### Author's Note",J170,"-"&amp;B170),"")</f>
        <v/>
      </c>
      <c r="AD170" s="117" t="str">
        <f>IF(LEN(K170)&gt;1,concatll("#### Dedication",K170,"-"&amp;$B170),"")</f>
        <v/>
      </c>
      <c r="CA170" s="6" t="str">
        <f>IF(V170,concatll(concatl("---",W170,"---"),"*A collection of sites associated with this topic.*","#### Background",I170,AB170,AC170,AD170),"")</f>
        <v xml:space="preserve">---_x000D_
title: "Nicaragua"_x000D_
---_x000D_
_x000D_
_x000D_
*A collection of sites associated with this topic.*_x000D_
_x000D_
#### Background_x000D_
_x000D_
Catholic places of interest in Nicaragua_x000D_
_x000D_
</v>
      </c>
      <c r="CB170" s="6" t="str">
        <f t="shared" si="23"/>
        <v>tags\ni\_index.md</v>
      </c>
    </row>
    <row r="171" spans="1:80" x14ac:dyDescent="0.25">
      <c r="A171" s="129" t="s">
        <v>786</v>
      </c>
      <c r="C171" s="1" t="s">
        <v>434</v>
      </c>
      <c r="D171" s="7" t="s">
        <v>615</v>
      </c>
      <c r="E171" s="7" t="s">
        <v>615</v>
      </c>
      <c r="F171" s="33" t="s">
        <v>615</v>
      </c>
      <c r="G171" s="7" t="s">
        <v>434</v>
      </c>
      <c r="I171" s="153" t="s">
        <v>2062</v>
      </c>
      <c r="L171" s="154" t="s">
        <v>53</v>
      </c>
      <c r="M171" s="154" t="s">
        <v>53</v>
      </c>
      <c r="N171" s="151" t="s">
        <v>53</v>
      </c>
      <c r="O171" s="40" t="s">
        <v>53</v>
      </c>
      <c r="P171" s="1" t="s">
        <v>53</v>
      </c>
      <c r="Q171" s="44" t="s">
        <v>53</v>
      </c>
      <c r="R171" s="1" t="s">
        <v>53</v>
      </c>
      <c r="S171" s="1" t="s">
        <v>53</v>
      </c>
      <c r="T171" s="30" t="s">
        <v>53</v>
      </c>
      <c r="U171" s="121" t="s">
        <v>53</v>
      </c>
      <c r="V171" s="116" t="b">
        <f t="shared" si="16"/>
        <v>1</v>
      </c>
      <c r="W171" s="117" t="str">
        <f t="shared" si="17"/>
        <v>title: "Netherlands"</v>
      </c>
      <c r="X171" s="120" t="str">
        <f t="shared" si="18"/>
        <v/>
      </c>
      <c r="Y171" s="120" t="str">
        <f t="shared" si="19"/>
        <v/>
      </c>
      <c r="Z171" s="120" t="str">
        <f t="shared" si="20"/>
        <v/>
      </c>
      <c r="AA171" s="120" t="str">
        <f t="shared" si="21"/>
        <v/>
      </c>
      <c r="AB171" s="117" t="str">
        <f t="shared" si="22"/>
        <v/>
      </c>
      <c r="AC171" s="117" t="str">
        <f>IF(LEN(J171)&gt;1,concatll("#### Author's Note",J171,"-"&amp;B171),"")</f>
        <v/>
      </c>
      <c r="AD171" s="117" t="str">
        <f>IF(LEN(K171)&gt;1,concatll("#### Dedication",K171,"-"&amp;$B171),"")</f>
        <v/>
      </c>
      <c r="CA171" s="6" t="str">
        <f>IF(V171,concatll(concatl("---",W171,"---"),"*A collection of sites associated with this topic.*","#### Background",I171,AB171,AC171,AD171),"")</f>
        <v xml:space="preserve">---_x000D_
title: "Netherlands"_x000D_
---_x000D_
_x000D_
_x000D_
*A collection of sites associated with this topic.*_x000D_
_x000D_
#### Background_x000D_
_x000D_
Catholic places of interest in Netherlands_x000D_
_x000D_
</v>
      </c>
      <c r="CB171" s="6" t="str">
        <f t="shared" si="23"/>
        <v>tags\nl\_index.md</v>
      </c>
    </row>
    <row r="172" spans="1:80" x14ac:dyDescent="0.25">
      <c r="A172" s="129" t="s">
        <v>786</v>
      </c>
      <c r="C172" s="1" t="s">
        <v>353</v>
      </c>
      <c r="D172" s="7" t="s">
        <v>616</v>
      </c>
      <c r="E172" s="7" t="s">
        <v>616</v>
      </c>
      <c r="F172" s="33" t="s">
        <v>616</v>
      </c>
      <c r="G172" s="7" t="s">
        <v>353</v>
      </c>
      <c r="I172" s="153" t="s">
        <v>2063</v>
      </c>
      <c r="L172" s="154" t="s">
        <v>53</v>
      </c>
      <c r="M172" s="154" t="s">
        <v>53</v>
      </c>
      <c r="N172" s="151" t="s">
        <v>53</v>
      </c>
      <c r="O172" s="40" t="s">
        <v>53</v>
      </c>
      <c r="P172" s="1" t="s">
        <v>53</v>
      </c>
      <c r="Q172" s="44" t="s">
        <v>53</v>
      </c>
      <c r="R172" s="1" t="s">
        <v>53</v>
      </c>
      <c r="S172" s="1" t="s">
        <v>53</v>
      </c>
      <c r="T172" s="30" t="s">
        <v>53</v>
      </c>
      <c r="U172" s="121" t="s">
        <v>53</v>
      </c>
      <c r="V172" s="116" t="b">
        <f t="shared" si="16"/>
        <v>1</v>
      </c>
      <c r="W172" s="117" t="str">
        <f t="shared" si="17"/>
        <v>title: "Norway"</v>
      </c>
      <c r="X172" s="120" t="str">
        <f t="shared" si="18"/>
        <v/>
      </c>
      <c r="Y172" s="120" t="str">
        <f t="shared" si="19"/>
        <v/>
      </c>
      <c r="Z172" s="120" t="str">
        <f t="shared" si="20"/>
        <v/>
      </c>
      <c r="AA172" s="120" t="str">
        <f t="shared" si="21"/>
        <v/>
      </c>
      <c r="AB172" s="117" t="str">
        <f t="shared" si="22"/>
        <v/>
      </c>
      <c r="AC172" s="117" t="str">
        <f>IF(LEN(J172)&gt;1,concatll("#### Author's Note",J172,"-"&amp;B172),"")</f>
        <v/>
      </c>
      <c r="AD172" s="117" t="str">
        <f>IF(LEN(K172)&gt;1,concatll("#### Dedication",K172,"-"&amp;$B172),"")</f>
        <v/>
      </c>
      <c r="CA172" s="6" t="str">
        <f>IF(V172,concatll(concatl("---",W172,"---"),"*A collection of sites associated with this topic.*","#### Background",I172,AB172,AC172,AD172),"")</f>
        <v xml:space="preserve">---_x000D_
title: "Norway"_x000D_
---_x000D_
_x000D_
_x000D_
*A collection of sites associated with this topic.*_x000D_
_x000D_
#### Background_x000D_
_x000D_
Catholic places of interest in Norway_x000D_
_x000D_
</v>
      </c>
      <c r="CB172" s="6" t="str">
        <f t="shared" si="23"/>
        <v>tags\no\_index.md</v>
      </c>
    </row>
    <row r="173" spans="1:80" x14ac:dyDescent="0.25">
      <c r="A173" s="129" t="s">
        <v>786</v>
      </c>
      <c r="C173" s="1" t="s">
        <v>354</v>
      </c>
      <c r="D173" s="7" t="s">
        <v>617</v>
      </c>
      <c r="E173" s="7" t="s">
        <v>617</v>
      </c>
      <c r="F173" s="33" t="s">
        <v>617</v>
      </c>
      <c r="G173" s="7" t="s">
        <v>354</v>
      </c>
      <c r="I173" s="153" t="s">
        <v>2064</v>
      </c>
      <c r="L173" s="154" t="s">
        <v>53</v>
      </c>
      <c r="M173" s="154" t="s">
        <v>53</v>
      </c>
      <c r="N173" s="151" t="s">
        <v>53</v>
      </c>
      <c r="O173" s="40" t="s">
        <v>53</v>
      </c>
      <c r="P173" s="1" t="s">
        <v>53</v>
      </c>
      <c r="Q173" s="44" t="s">
        <v>53</v>
      </c>
      <c r="R173" s="1" t="s">
        <v>53</v>
      </c>
      <c r="S173" s="1" t="s">
        <v>53</v>
      </c>
      <c r="T173" s="30" t="s">
        <v>53</v>
      </c>
      <c r="U173" s="121" t="s">
        <v>53</v>
      </c>
      <c r="V173" s="116" t="b">
        <f t="shared" si="16"/>
        <v>1</v>
      </c>
      <c r="W173" s="117" t="str">
        <f t="shared" si="17"/>
        <v>title: "Nepal"</v>
      </c>
      <c r="X173" s="120" t="str">
        <f t="shared" si="18"/>
        <v/>
      </c>
      <c r="Y173" s="120" t="str">
        <f t="shared" si="19"/>
        <v/>
      </c>
      <c r="Z173" s="120" t="str">
        <f t="shared" si="20"/>
        <v/>
      </c>
      <c r="AA173" s="120" t="str">
        <f t="shared" si="21"/>
        <v/>
      </c>
      <c r="AB173" s="117" t="str">
        <f t="shared" si="22"/>
        <v/>
      </c>
      <c r="AC173" s="117" t="str">
        <f>IF(LEN(J173)&gt;1,concatll("#### Author's Note",J173,"-"&amp;B173),"")</f>
        <v/>
      </c>
      <c r="AD173" s="117" t="str">
        <f>IF(LEN(K173)&gt;1,concatll("#### Dedication",K173,"-"&amp;$B173),"")</f>
        <v/>
      </c>
      <c r="CA173" s="6" t="str">
        <f>IF(V173,concatll(concatl("---",W173,"---"),"*A collection of sites associated with this topic.*","#### Background",I173,AB173,AC173,AD173),"")</f>
        <v xml:space="preserve">---_x000D_
title: "Nepal"_x000D_
---_x000D_
_x000D_
_x000D_
*A collection of sites associated with this topic.*_x000D_
_x000D_
#### Background_x000D_
_x000D_
Catholic places of interest in Nepal_x000D_
_x000D_
</v>
      </c>
      <c r="CB173" s="6" t="str">
        <f t="shared" si="23"/>
        <v>tags\np\_index.md</v>
      </c>
    </row>
    <row r="174" spans="1:80" x14ac:dyDescent="0.25">
      <c r="A174" s="129" t="s">
        <v>786</v>
      </c>
      <c r="C174" s="1" t="s">
        <v>355</v>
      </c>
      <c r="D174" s="7" t="s">
        <v>618</v>
      </c>
      <c r="E174" s="7" t="s">
        <v>618</v>
      </c>
      <c r="F174" s="33" t="s">
        <v>618</v>
      </c>
      <c r="G174" s="7" t="s">
        <v>355</v>
      </c>
      <c r="I174" s="153" t="s">
        <v>2065</v>
      </c>
      <c r="L174" s="154" t="s">
        <v>53</v>
      </c>
      <c r="M174" s="154" t="s">
        <v>53</v>
      </c>
      <c r="N174" s="151" t="s">
        <v>53</v>
      </c>
      <c r="O174" s="40" t="s">
        <v>53</v>
      </c>
      <c r="P174" s="1" t="s">
        <v>53</v>
      </c>
      <c r="Q174" s="44" t="s">
        <v>53</v>
      </c>
      <c r="R174" s="1" t="s">
        <v>53</v>
      </c>
      <c r="S174" s="1" t="s">
        <v>53</v>
      </c>
      <c r="T174" s="30" t="s">
        <v>53</v>
      </c>
      <c r="U174" s="121" t="s">
        <v>53</v>
      </c>
      <c r="V174" s="116" t="b">
        <f t="shared" si="16"/>
        <v>1</v>
      </c>
      <c r="W174" s="117" t="str">
        <f t="shared" si="17"/>
        <v>title: "Nauru"</v>
      </c>
      <c r="X174" s="120" t="str">
        <f t="shared" si="18"/>
        <v/>
      </c>
      <c r="Y174" s="120" t="str">
        <f t="shared" si="19"/>
        <v/>
      </c>
      <c r="Z174" s="120" t="str">
        <f t="shared" si="20"/>
        <v/>
      </c>
      <c r="AA174" s="120" t="str">
        <f t="shared" si="21"/>
        <v/>
      </c>
      <c r="AB174" s="117" t="str">
        <f t="shared" si="22"/>
        <v/>
      </c>
      <c r="AC174" s="117" t="str">
        <f>IF(LEN(J174)&gt;1,concatll("#### Author's Note",J174,"-"&amp;B174),"")</f>
        <v/>
      </c>
      <c r="AD174" s="117" t="str">
        <f>IF(LEN(K174)&gt;1,concatll("#### Dedication",K174,"-"&amp;$B174),"")</f>
        <v/>
      </c>
      <c r="CA174" s="6" t="str">
        <f>IF(V174,concatll(concatl("---",W174,"---"),"*A collection of sites associated with this topic.*","#### Background",I174,AB174,AC174,AD174),"")</f>
        <v xml:space="preserve">---_x000D_
title: "Nauru"_x000D_
---_x000D_
_x000D_
_x000D_
*A collection of sites associated with this topic.*_x000D_
_x000D_
#### Background_x000D_
_x000D_
Catholic places of interest in Nauru_x000D_
_x000D_
</v>
      </c>
      <c r="CB174" s="6" t="str">
        <f t="shared" si="23"/>
        <v>tags\nr\_index.md</v>
      </c>
    </row>
    <row r="175" spans="1:80" x14ac:dyDescent="0.25">
      <c r="A175" s="129" t="s">
        <v>786</v>
      </c>
      <c r="C175" s="1" t="s">
        <v>356</v>
      </c>
      <c r="D175" s="7" t="s">
        <v>619</v>
      </c>
      <c r="E175" s="7" t="s">
        <v>619</v>
      </c>
      <c r="F175" s="33" t="s">
        <v>619</v>
      </c>
      <c r="G175" s="7" t="s">
        <v>356</v>
      </c>
      <c r="I175" s="153" t="s">
        <v>2066</v>
      </c>
      <c r="L175" s="154" t="s">
        <v>53</v>
      </c>
      <c r="M175" s="154" t="s">
        <v>53</v>
      </c>
      <c r="N175" s="151" t="s">
        <v>53</v>
      </c>
      <c r="O175" s="40" t="s">
        <v>53</v>
      </c>
      <c r="P175" s="1" t="s">
        <v>53</v>
      </c>
      <c r="Q175" s="44" t="s">
        <v>53</v>
      </c>
      <c r="R175" s="1" t="s">
        <v>53</v>
      </c>
      <c r="S175" s="1" t="s">
        <v>53</v>
      </c>
      <c r="T175" s="30" t="s">
        <v>53</v>
      </c>
      <c r="U175" s="121" t="s">
        <v>53</v>
      </c>
      <c r="V175" s="116" t="b">
        <f t="shared" si="16"/>
        <v>1</v>
      </c>
      <c r="W175" s="117" t="str">
        <f t="shared" si="17"/>
        <v>title: "Niue"</v>
      </c>
      <c r="X175" s="120" t="str">
        <f t="shared" si="18"/>
        <v/>
      </c>
      <c r="Y175" s="120" t="str">
        <f t="shared" si="19"/>
        <v/>
      </c>
      <c r="Z175" s="120" t="str">
        <f t="shared" si="20"/>
        <v/>
      </c>
      <c r="AA175" s="120" t="str">
        <f t="shared" si="21"/>
        <v/>
      </c>
      <c r="AB175" s="117" t="str">
        <f t="shared" si="22"/>
        <v/>
      </c>
      <c r="AC175" s="117" t="str">
        <f>IF(LEN(J175)&gt;1,concatll("#### Author's Note",J175,"-"&amp;B175),"")</f>
        <v/>
      </c>
      <c r="AD175" s="117" t="str">
        <f>IF(LEN(K175)&gt;1,concatll("#### Dedication",K175,"-"&amp;$B175),"")</f>
        <v/>
      </c>
      <c r="CA175" s="6" t="str">
        <f>IF(V175,concatll(concatl("---",W175,"---"),"*A collection of sites associated with this topic.*","#### Background",I175,AB175,AC175,AD175),"")</f>
        <v xml:space="preserve">---_x000D_
title: "Niue"_x000D_
---_x000D_
_x000D_
_x000D_
*A collection of sites associated with this topic.*_x000D_
_x000D_
#### Background_x000D_
_x000D_
Catholic places of interest in Niue_x000D_
_x000D_
</v>
      </c>
      <c r="CB175" s="6" t="str">
        <f t="shared" si="23"/>
        <v>tags\nu\_index.md</v>
      </c>
    </row>
    <row r="176" spans="1:80" x14ac:dyDescent="0.25">
      <c r="A176" s="129" t="s">
        <v>786</v>
      </c>
      <c r="C176" s="1" t="s">
        <v>357</v>
      </c>
      <c r="D176" s="7" t="s">
        <v>620</v>
      </c>
      <c r="E176" s="7" t="s">
        <v>620</v>
      </c>
      <c r="F176" s="33" t="s">
        <v>620</v>
      </c>
      <c r="G176" s="7" t="s">
        <v>357</v>
      </c>
      <c r="I176" s="153" t="s">
        <v>2067</v>
      </c>
      <c r="L176" s="154" t="s">
        <v>53</v>
      </c>
      <c r="M176" s="154" t="s">
        <v>53</v>
      </c>
      <c r="N176" s="151" t="s">
        <v>53</v>
      </c>
      <c r="O176" s="40" t="s">
        <v>53</v>
      </c>
      <c r="P176" s="1" t="s">
        <v>53</v>
      </c>
      <c r="Q176" s="44" t="s">
        <v>53</v>
      </c>
      <c r="R176" s="1" t="s">
        <v>53</v>
      </c>
      <c r="S176" s="1" t="s">
        <v>53</v>
      </c>
      <c r="T176" s="30" t="s">
        <v>53</v>
      </c>
      <c r="U176" s="121" t="s">
        <v>53</v>
      </c>
      <c r="V176" s="116" t="b">
        <f t="shared" si="16"/>
        <v>1</v>
      </c>
      <c r="W176" s="117" t="str">
        <f t="shared" si="17"/>
        <v>title: "New Zealand"</v>
      </c>
      <c r="X176" s="120" t="str">
        <f t="shared" si="18"/>
        <v/>
      </c>
      <c r="Y176" s="120" t="str">
        <f t="shared" si="19"/>
        <v/>
      </c>
      <c r="Z176" s="120" t="str">
        <f t="shared" si="20"/>
        <v/>
      </c>
      <c r="AA176" s="120" t="str">
        <f t="shared" si="21"/>
        <v/>
      </c>
      <c r="AB176" s="117" t="str">
        <f t="shared" si="22"/>
        <v/>
      </c>
      <c r="AC176" s="117" t="str">
        <f>IF(LEN(J176)&gt;1,concatll("#### Author's Note",J176,"-"&amp;B176),"")</f>
        <v/>
      </c>
      <c r="AD176" s="117" t="str">
        <f>IF(LEN(K176)&gt;1,concatll("#### Dedication",K176,"-"&amp;$B176),"")</f>
        <v/>
      </c>
      <c r="CA176" s="6" t="str">
        <f>IF(V176,concatll(concatl("---",W176,"---"),"*A collection of sites associated with this topic.*","#### Background",I176,AB176,AC176,AD176),"")</f>
        <v xml:space="preserve">---_x000D_
title: "New Zealand"_x000D_
---_x000D_
_x000D_
_x000D_
*A collection of sites associated with this topic.*_x000D_
_x000D_
#### Background_x000D_
_x000D_
Catholic places of interest in New Zealand_x000D_
_x000D_
</v>
      </c>
      <c r="CB176" s="6" t="str">
        <f t="shared" si="23"/>
        <v>tags\nz\_index.md</v>
      </c>
    </row>
    <row r="177" spans="1:80" x14ac:dyDescent="0.25">
      <c r="A177" s="129" t="s">
        <v>786</v>
      </c>
      <c r="C177" s="1" t="s">
        <v>358</v>
      </c>
      <c r="D177" s="7" t="s">
        <v>621</v>
      </c>
      <c r="E177" s="7" t="s">
        <v>621</v>
      </c>
      <c r="F177" s="33" t="s">
        <v>621</v>
      </c>
      <c r="G177" s="7" t="s">
        <v>358</v>
      </c>
      <c r="I177" s="153" t="s">
        <v>2068</v>
      </c>
      <c r="L177" s="154" t="s">
        <v>53</v>
      </c>
      <c r="M177" s="154" t="s">
        <v>53</v>
      </c>
      <c r="N177" s="151" t="s">
        <v>53</v>
      </c>
      <c r="O177" s="40" t="s">
        <v>53</v>
      </c>
      <c r="P177" s="1" t="s">
        <v>53</v>
      </c>
      <c r="Q177" s="44" t="s">
        <v>53</v>
      </c>
      <c r="R177" s="1" t="s">
        <v>53</v>
      </c>
      <c r="S177" s="1" t="s">
        <v>53</v>
      </c>
      <c r="T177" s="30" t="s">
        <v>53</v>
      </c>
      <c r="U177" s="121" t="s">
        <v>53</v>
      </c>
      <c r="V177" s="116" t="b">
        <f t="shared" si="16"/>
        <v>1</v>
      </c>
      <c r="W177" s="117" t="str">
        <f t="shared" si="17"/>
        <v>title: "Oman"</v>
      </c>
      <c r="X177" s="120" t="str">
        <f t="shared" si="18"/>
        <v/>
      </c>
      <c r="Y177" s="120" t="str">
        <f t="shared" si="19"/>
        <v/>
      </c>
      <c r="Z177" s="120" t="str">
        <f t="shared" si="20"/>
        <v/>
      </c>
      <c r="AA177" s="120" t="str">
        <f t="shared" si="21"/>
        <v/>
      </c>
      <c r="AB177" s="117" t="str">
        <f t="shared" si="22"/>
        <v/>
      </c>
      <c r="AC177" s="117" t="str">
        <f>IF(LEN(J177)&gt;1,concatll("#### Author's Note",J177,"-"&amp;B177),"")</f>
        <v/>
      </c>
      <c r="AD177" s="117" t="str">
        <f>IF(LEN(K177)&gt;1,concatll("#### Dedication",K177,"-"&amp;$B177),"")</f>
        <v/>
      </c>
      <c r="CA177" s="6" t="str">
        <f>IF(V177,concatll(concatl("---",W177,"---"),"*A collection of sites associated with this topic.*","#### Background",I177,AB177,AC177,AD177),"")</f>
        <v xml:space="preserve">---_x000D_
title: "Oman"_x000D_
---_x000D_
_x000D_
_x000D_
*A collection of sites associated with this topic.*_x000D_
_x000D_
#### Background_x000D_
_x000D_
Catholic places of interest in Oman_x000D_
_x000D_
</v>
      </c>
      <c r="CB177" s="6" t="str">
        <f t="shared" si="23"/>
        <v>tags\om\_index.md</v>
      </c>
    </row>
    <row r="178" spans="1:80" x14ac:dyDescent="0.25">
      <c r="A178" s="129" t="s">
        <v>786</v>
      </c>
      <c r="C178" s="1" t="s">
        <v>359</v>
      </c>
      <c r="D178" s="7" t="s">
        <v>622</v>
      </c>
      <c r="E178" s="7" t="s">
        <v>622</v>
      </c>
      <c r="F178" s="33" t="s">
        <v>622</v>
      </c>
      <c r="G178" s="7" t="s">
        <v>359</v>
      </c>
      <c r="I178" s="153" t="s">
        <v>2069</v>
      </c>
      <c r="L178" s="154" t="s">
        <v>53</v>
      </c>
      <c r="M178" s="154" t="s">
        <v>53</v>
      </c>
      <c r="N178" s="151" t="s">
        <v>53</v>
      </c>
      <c r="O178" s="40" t="s">
        <v>53</v>
      </c>
      <c r="P178" s="1" t="s">
        <v>53</v>
      </c>
      <c r="Q178" s="44" t="s">
        <v>53</v>
      </c>
      <c r="R178" s="1" t="s">
        <v>53</v>
      </c>
      <c r="S178" s="1" t="s">
        <v>53</v>
      </c>
      <c r="T178" s="30" t="s">
        <v>53</v>
      </c>
      <c r="U178" s="121" t="s">
        <v>53</v>
      </c>
      <c r="V178" s="116" t="b">
        <f t="shared" si="16"/>
        <v>1</v>
      </c>
      <c r="W178" s="117" t="str">
        <f t="shared" si="17"/>
        <v>title: "Panama"</v>
      </c>
      <c r="X178" s="120" t="str">
        <f t="shared" si="18"/>
        <v/>
      </c>
      <c r="Y178" s="120" t="str">
        <f t="shared" si="19"/>
        <v/>
      </c>
      <c r="Z178" s="120" t="str">
        <f t="shared" si="20"/>
        <v/>
      </c>
      <c r="AA178" s="120" t="str">
        <f t="shared" si="21"/>
        <v/>
      </c>
      <c r="AB178" s="117" t="str">
        <f t="shared" si="22"/>
        <v/>
      </c>
      <c r="AC178" s="117" t="str">
        <f>IF(LEN(J178)&gt;1,concatll("#### Author's Note",J178,"-"&amp;B178),"")</f>
        <v/>
      </c>
      <c r="AD178" s="117" t="str">
        <f>IF(LEN(K178)&gt;1,concatll("#### Dedication",K178,"-"&amp;$B178),"")</f>
        <v/>
      </c>
      <c r="CA178" s="6" t="str">
        <f>IF(V178,concatll(concatl("---",W178,"---"),"*A collection of sites associated with this topic.*","#### Background",I178,AB178,AC178,AD178),"")</f>
        <v xml:space="preserve">---_x000D_
title: "Panama"_x000D_
---_x000D_
_x000D_
_x000D_
*A collection of sites associated with this topic.*_x000D_
_x000D_
#### Background_x000D_
_x000D_
Catholic places of interest in Panama_x000D_
_x000D_
</v>
      </c>
      <c r="CB178" s="6" t="str">
        <f t="shared" si="23"/>
        <v>tags\pa\_index.md</v>
      </c>
    </row>
    <row r="179" spans="1:80" x14ac:dyDescent="0.25">
      <c r="A179" s="129" t="s">
        <v>786</v>
      </c>
      <c r="C179" s="1" t="s">
        <v>360</v>
      </c>
      <c r="D179" s="7" t="s">
        <v>623</v>
      </c>
      <c r="E179" s="7" t="s">
        <v>623</v>
      </c>
      <c r="F179" s="33" t="s">
        <v>623</v>
      </c>
      <c r="G179" s="7" t="s">
        <v>360</v>
      </c>
      <c r="I179" s="153" t="s">
        <v>2070</v>
      </c>
      <c r="L179" s="154" t="s">
        <v>53</v>
      </c>
      <c r="M179" s="154" t="s">
        <v>53</v>
      </c>
      <c r="N179" s="151" t="s">
        <v>53</v>
      </c>
      <c r="O179" s="40" t="s">
        <v>53</v>
      </c>
      <c r="P179" s="1" t="s">
        <v>53</v>
      </c>
      <c r="Q179" s="44" t="s">
        <v>53</v>
      </c>
      <c r="R179" s="1" t="s">
        <v>53</v>
      </c>
      <c r="S179" s="1" t="s">
        <v>53</v>
      </c>
      <c r="T179" s="30" t="s">
        <v>53</v>
      </c>
      <c r="U179" s="121" t="s">
        <v>53</v>
      </c>
      <c r="V179" s="116" t="b">
        <f t="shared" si="16"/>
        <v>1</v>
      </c>
      <c r="W179" s="117" t="str">
        <f t="shared" si="17"/>
        <v>title: "Peru"</v>
      </c>
      <c r="X179" s="120" t="str">
        <f t="shared" si="18"/>
        <v/>
      </c>
      <c r="Y179" s="120" t="str">
        <f t="shared" si="19"/>
        <v/>
      </c>
      <c r="Z179" s="120" t="str">
        <f t="shared" si="20"/>
        <v/>
      </c>
      <c r="AA179" s="120" t="str">
        <f t="shared" si="21"/>
        <v/>
      </c>
      <c r="AB179" s="117" t="str">
        <f t="shared" si="22"/>
        <v/>
      </c>
      <c r="AC179" s="117" t="str">
        <f>IF(LEN(J179)&gt;1,concatll("#### Author's Note",J179,"-"&amp;B179),"")</f>
        <v/>
      </c>
      <c r="AD179" s="117" t="str">
        <f>IF(LEN(K179)&gt;1,concatll("#### Dedication",K179,"-"&amp;$B179),"")</f>
        <v/>
      </c>
      <c r="CA179" s="6" t="str">
        <f>IF(V179,concatll(concatl("---",W179,"---"),"*A collection of sites associated with this topic.*","#### Background",I179,AB179,AC179,AD179),"")</f>
        <v xml:space="preserve">---_x000D_
title: "Peru"_x000D_
---_x000D_
_x000D_
_x000D_
*A collection of sites associated with this topic.*_x000D_
_x000D_
#### Background_x000D_
_x000D_
Catholic places of interest in Peru_x000D_
_x000D_
</v>
      </c>
      <c r="CB179" s="6" t="str">
        <f t="shared" si="23"/>
        <v>tags\pe\_index.md</v>
      </c>
    </row>
    <row r="180" spans="1:80" x14ac:dyDescent="0.25">
      <c r="A180" s="129" t="s">
        <v>786</v>
      </c>
      <c r="C180" s="1" t="s">
        <v>361</v>
      </c>
      <c r="D180" s="7" t="s">
        <v>624</v>
      </c>
      <c r="E180" s="7" t="s">
        <v>624</v>
      </c>
      <c r="F180" s="33" t="s">
        <v>624</v>
      </c>
      <c r="G180" s="7" t="s">
        <v>361</v>
      </c>
      <c r="I180" s="153" t="s">
        <v>2071</v>
      </c>
      <c r="L180" s="154" t="s">
        <v>53</v>
      </c>
      <c r="M180" s="154" t="s">
        <v>53</v>
      </c>
      <c r="N180" s="151" t="s">
        <v>53</v>
      </c>
      <c r="O180" s="40" t="s">
        <v>53</v>
      </c>
      <c r="P180" s="1" t="s">
        <v>53</v>
      </c>
      <c r="Q180" s="44" t="s">
        <v>53</v>
      </c>
      <c r="R180" s="1" t="s">
        <v>53</v>
      </c>
      <c r="S180" s="1" t="s">
        <v>53</v>
      </c>
      <c r="T180" s="30" t="s">
        <v>53</v>
      </c>
      <c r="U180" s="121" t="s">
        <v>53</v>
      </c>
      <c r="V180" s="116" t="b">
        <f t="shared" si="16"/>
        <v>1</v>
      </c>
      <c r="W180" s="117" t="str">
        <f t="shared" si="17"/>
        <v>title: "French Polynesia"</v>
      </c>
      <c r="X180" s="120" t="str">
        <f t="shared" si="18"/>
        <v/>
      </c>
      <c r="Y180" s="120" t="str">
        <f t="shared" si="19"/>
        <v/>
      </c>
      <c r="Z180" s="120" t="str">
        <f t="shared" si="20"/>
        <v/>
      </c>
      <c r="AA180" s="120" t="str">
        <f t="shared" si="21"/>
        <v/>
      </c>
      <c r="AB180" s="117" t="str">
        <f t="shared" si="22"/>
        <v/>
      </c>
      <c r="AC180" s="117" t="str">
        <f>IF(LEN(J180)&gt;1,concatll("#### Author's Note",J180,"-"&amp;B180),"")</f>
        <v/>
      </c>
      <c r="AD180" s="117" t="str">
        <f>IF(LEN(K180)&gt;1,concatll("#### Dedication",K180,"-"&amp;$B180),"")</f>
        <v/>
      </c>
      <c r="CA180" s="6" t="str">
        <f>IF(V180,concatll(concatl("---",W180,"---"),"*A collection of sites associated with this topic.*","#### Background",I180,AB180,AC180,AD180),"")</f>
        <v xml:space="preserve">---_x000D_
title: "French Polynesia"_x000D_
---_x000D_
_x000D_
_x000D_
*A collection of sites associated with this topic.*_x000D_
_x000D_
#### Background_x000D_
_x000D_
Catholic places of interest in French Polynesia_x000D_
_x000D_
</v>
      </c>
      <c r="CB180" s="6" t="str">
        <f t="shared" si="23"/>
        <v>tags\pf\_index.md</v>
      </c>
    </row>
    <row r="181" spans="1:80" x14ac:dyDescent="0.25">
      <c r="A181" s="129" t="s">
        <v>786</v>
      </c>
      <c r="C181" s="1" t="s">
        <v>362</v>
      </c>
      <c r="D181" s="7" t="s">
        <v>625</v>
      </c>
      <c r="E181" s="7" t="s">
        <v>625</v>
      </c>
      <c r="F181" s="33" t="s">
        <v>625</v>
      </c>
      <c r="G181" s="7" t="s">
        <v>362</v>
      </c>
      <c r="I181" s="153" t="s">
        <v>2072</v>
      </c>
      <c r="L181" s="154" t="s">
        <v>53</v>
      </c>
      <c r="M181" s="154" t="s">
        <v>53</v>
      </c>
      <c r="N181" s="151" t="s">
        <v>53</v>
      </c>
      <c r="O181" s="40" t="s">
        <v>53</v>
      </c>
      <c r="P181" s="1" t="s">
        <v>53</v>
      </c>
      <c r="Q181" s="44" t="s">
        <v>53</v>
      </c>
      <c r="R181" s="1" t="s">
        <v>53</v>
      </c>
      <c r="S181" s="1" t="s">
        <v>53</v>
      </c>
      <c r="T181" s="30" t="s">
        <v>53</v>
      </c>
      <c r="U181" s="121" t="s">
        <v>53</v>
      </c>
      <c r="V181" s="116" t="b">
        <f t="shared" si="16"/>
        <v>1</v>
      </c>
      <c r="W181" s="117" t="str">
        <f t="shared" si="17"/>
        <v>title: "Papua New Guinea"</v>
      </c>
      <c r="X181" s="120" t="str">
        <f t="shared" si="18"/>
        <v/>
      </c>
      <c r="Y181" s="120" t="str">
        <f t="shared" si="19"/>
        <v/>
      </c>
      <c r="Z181" s="120" t="str">
        <f t="shared" si="20"/>
        <v/>
      </c>
      <c r="AA181" s="120" t="str">
        <f t="shared" si="21"/>
        <v/>
      </c>
      <c r="AB181" s="117" t="str">
        <f t="shared" si="22"/>
        <v/>
      </c>
      <c r="AC181" s="117" t="str">
        <f>IF(LEN(J181)&gt;1,concatll("#### Author's Note",J181,"-"&amp;B181),"")</f>
        <v/>
      </c>
      <c r="AD181" s="117" t="str">
        <f>IF(LEN(K181)&gt;1,concatll("#### Dedication",K181,"-"&amp;$B181),"")</f>
        <v/>
      </c>
      <c r="CA181" s="6" t="str">
        <f>IF(V181,concatll(concatl("---",W181,"---"),"*A collection of sites associated with this topic.*","#### Background",I181,AB181,AC181,AD181),"")</f>
        <v xml:space="preserve">---_x000D_
title: "Papua New Guinea"_x000D_
---_x000D_
_x000D_
_x000D_
*A collection of sites associated with this topic.*_x000D_
_x000D_
#### Background_x000D_
_x000D_
Catholic places of interest in Papua New Guinea_x000D_
_x000D_
</v>
      </c>
      <c r="CB181" s="6" t="str">
        <f t="shared" si="23"/>
        <v>tags\pg\_index.md</v>
      </c>
    </row>
    <row r="182" spans="1:80" x14ac:dyDescent="0.25">
      <c r="A182" s="129" t="s">
        <v>786</v>
      </c>
      <c r="C182" s="1" t="s">
        <v>363</v>
      </c>
      <c r="D182" s="7" t="s">
        <v>626</v>
      </c>
      <c r="E182" s="7" t="s">
        <v>626</v>
      </c>
      <c r="F182" s="33" t="s">
        <v>626</v>
      </c>
      <c r="G182" s="7" t="s">
        <v>363</v>
      </c>
      <c r="I182" s="153" t="s">
        <v>2204</v>
      </c>
      <c r="L182" s="154" t="s">
        <v>53</v>
      </c>
      <c r="M182" s="154" t="s">
        <v>53</v>
      </c>
      <c r="N182" s="151" t="s">
        <v>53</v>
      </c>
      <c r="O182" s="40" t="s">
        <v>53</v>
      </c>
      <c r="P182" s="1" t="s">
        <v>53</v>
      </c>
      <c r="Q182" s="44" t="s">
        <v>53</v>
      </c>
      <c r="R182" s="1" t="s">
        <v>53</v>
      </c>
      <c r="S182" s="1" t="s">
        <v>53</v>
      </c>
      <c r="T182" s="30" t="s">
        <v>53</v>
      </c>
      <c r="U182" s="121" t="s">
        <v>53</v>
      </c>
      <c r="V182" s="116" t="b">
        <f t="shared" si="16"/>
        <v>1</v>
      </c>
      <c r="W182" s="117" t="str">
        <f t="shared" si="17"/>
        <v>title: "Philippines"</v>
      </c>
      <c r="X182" s="120" t="str">
        <f t="shared" si="18"/>
        <v/>
      </c>
      <c r="Y182" s="120" t="str">
        <f t="shared" si="19"/>
        <v/>
      </c>
      <c r="Z182" s="120" t="str">
        <f t="shared" si="20"/>
        <v/>
      </c>
      <c r="AA182" s="120" t="str">
        <f t="shared" si="21"/>
        <v/>
      </c>
      <c r="AB182" s="117" t="str">
        <f t="shared" si="22"/>
        <v/>
      </c>
      <c r="AC182" s="117" t="str">
        <f>IF(LEN(J182)&gt;1,concatll("#### Author's Note",J182,"-"&amp;B182),"")</f>
        <v/>
      </c>
      <c r="AD182" s="117" t="str">
        <f>IF(LEN(K182)&gt;1,concatll("#### Dedication",K182,"-"&amp;$B182),"")</f>
        <v/>
      </c>
      <c r="CA182" s="6" t="str">
        <f>IF(V182,concatll(concatl("---",W182,"---"),"*A collection of sites associated with this topic.*","#### Background",I182,AB182,AC182,AD182),"")</f>
        <v xml:space="preserve">---_x000D_
title: "Philippines"_x000D_
---_x000D_
_x000D_
_x000D_
*A collection of sites associated with this topic.*_x000D_
_x000D_
#### Background_x000D_
_x000D_
Catholic places of interest in the Philippines_x000D_
_x000D_
</v>
      </c>
      <c r="CB182" s="6" t="str">
        <f t="shared" si="23"/>
        <v>tags\ph\_index.md</v>
      </c>
    </row>
    <row r="183" spans="1:80" x14ac:dyDescent="0.25">
      <c r="A183" s="129" t="s">
        <v>786</v>
      </c>
      <c r="C183" s="1" t="s">
        <v>364</v>
      </c>
      <c r="D183" s="7" t="s">
        <v>627</v>
      </c>
      <c r="E183" s="7" t="s">
        <v>627</v>
      </c>
      <c r="F183" s="33" t="s">
        <v>627</v>
      </c>
      <c r="G183" s="7" t="s">
        <v>364</v>
      </c>
      <c r="I183" s="153" t="s">
        <v>2073</v>
      </c>
      <c r="L183" s="154" t="s">
        <v>53</v>
      </c>
      <c r="M183" s="154" t="s">
        <v>53</v>
      </c>
      <c r="N183" s="151" t="s">
        <v>53</v>
      </c>
      <c r="O183" s="40" t="s">
        <v>53</v>
      </c>
      <c r="P183" s="1" t="s">
        <v>53</v>
      </c>
      <c r="Q183" s="44" t="s">
        <v>53</v>
      </c>
      <c r="R183" s="1" t="s">
        <v>53</v>
      </c>
      <c r="S183" s="1" t="s">
        <v>53</v>
      </c>
      <c r="T183" s="30" t="s">
        <v>53</v>
      </c>
      <c r="U183" s="121" t="s">
        <v>53</v>
      </c>
      <c r="V183" s="116" t="b">
        <f t="shared" si="16"/>
        <v>1</v>
      </c>
      <c r="W183" s="117" t="str">
        <f t="shared" si="17"/>
        <v>title: "Pakistan"</v>
      </c>
      <c r="X183" s="120" t="str">
        <f t="shared" si="18"/>
        <v/>
      </c>
      <c r="Y183" s="120" t="str">
        <f t="shared" si="19"/>
        <v/>
      </c>
      <c r="Z183" s="120" t="str">
        <f t="shared" si="20"/>
        <v/>
      </c>
      <c r="AA183" s="120" t="str">
        <f t="shared" si="21"/>
        <v/>
      </c>
      <c r="AB183" s="117" t="str">
        <f t="shared" si="22"/>
        <v/>
      </c>
      <c r="AC183" s="117" t="str">
        <f>IF(LEN(J183)&gt;1,concatll("#### Author's Note",J183,"-"&amp;B183),"")</f>
        <v/>
      </c>
      <c r="AD183" s="117" t="str">
        <f>IF(LEN(K183)&gt;1,concatll("#### Dedication",K183,"-"&amp;$B183),"")</f>
        <v/>
      </c>
      <c r="CA183" s="6" t="str">
        <f>IF(V183,concatll(concatl("---",W183,"---"),"*A collection of sites associated with this topic.*","#### Background",I183,AB183,AC183,AD183),"")</f>
        <v xml:space="preserve">---_x000D_
title: "Pakistan"_x000D_
---_x000D_
_x000D_
_x000D_
*A collection of sites associated with this topic.*_x000D_
_x000D_
#### Background_x000D_
_x000D_
Catholic places of interest in Pakistan_x000D_
_x000D_
</v>
      </c>
      <c r="CB183" s="6" t="str">
        <f t="shared" si="23"/>
        <v>tags\pk\_index.md</v>
      </c>
    </row>
    <row r="184" spans="1:80" x14ac:dyDescent="0.25">
      <c r="A184" s="129" t="s">
        <v>786</v>
      </c>
      <c r="C184" s="1" t="s">
        <v>365</v>
      </c>
      <c r="D184" s="7" t="s">
        <v>628</v>
      </c>
      <c r="E184" s="7" t="s">
        <v>628</v>
      </c>
      <c r="F184" s="33" t="s">
        <v>628</v>
      </c>
      <c r="G184" s="7" t="s">
        <v>365</v>
      </c>
      <c r="I184" s="153" t="s">
        <v>2074</v>
      </c>
      <c r="L184" s="154" t="s">
        <v>53</v>
      </c>
      <c r="M184" s="154" t="s">
        <v>53</v>
      </c>
      <c r="N184" s="151" t="s">
        <v>53</v>
      </c>
      <c r="O184" s="40" t="s">
        <v>53</v>
      </c>
      <c r="P184" s="1" t="s">
        <v>53</v>
      </c>
      <c r="Q184" s="44" t="s">
        <v>53</v>
      </c>
      <c r="R184" s="1" t="s">
        <v>53</v>
      </c>
      <c r="S184" s="1" t="s">
        <v>53</v>
      </c>
      <c r="T184" s="30" t="s">
        <v>53</v>
      </c>
      <c r="U184" s="121" t="s">
        <v>53</v>
      </c>
      <c r="V184" s="116" t="b">
        <f t="shared" si="16"/>
        <v>1</v>
      </c>
      <c r="W184" s="117" t="str">
        <f t="shared" si="17"/>
        <v>title: "Poland"</v>
      </c>
      <c r="X184" s="120" t="str">
        <f t="shared" si="18"/>
        <v/>
      </c>
      <c r="Y184" s="120" t="str">
        <f t="shared" si="19"/>
        <v/>
      </c>
      <c r="Z184" s="120" t="str">
        <f t="shared" si="20"/>
        <v/>
      </c>
      <c r="AA184" s="120" t="str">
        <f t="shared" si="21"/>
        <v/>
      </c>
      <c r="AB184" s="117" t="str">
        <f t="shared" si="22"/>
        <v/>
      </c>
      <c r="AC184" s="117" t="str">
        <f>IF(LEN(J184)&gt;1,concatll("#### Author's Note",J184,"-"&amp;B184),"")</f>
        <v/>
      </c>
      <c r="AD184" s="117" t="str">
        <f>IF(LEN(K184)&gt;1,concatll("#### Dedication",K184,"-"&amp;$B184),"")</f>
        <v/>
      </c>
      <c r="CA184" s="6" t="str">
        <f>IF(V184,concatll(concatl("---",W184,"---"),"*A collection of sites associated with this topic.*","#### Background",I184,AB184,AC184,AD184),"")</f>
        <v xml:space="preserve">---_x000D_
title: "Poland"_x000D_
---_x000D_
_x000D_
_x000D_
*A collection of sites associated with this topic.*_x000D_
_x000D_
#### Background_x000D_
_x000D_
Catholic places of interest in Poland_x000D_
_x000D_
</v>
      </c>
      <c r="CB184" s="6" t="str">
        <f t="shared" si="23"/>
        <v>tags\pl\_index.md</v>
      </c>
    </row>
    <row r="185" spans="1:80" x14ac:dyDescent="0.25">
      <c r="A185" s="129" t="s">
        <v>786</v>
      </c>
      <c r="C185" s="1" t="s">
        <v>366</v>
      </c>
      <c r="D185" s="7" t="s">
        <v>629</v>
      </c>
      <c r="E185" s="7" t="s">
        <v>629</v>
      </c>
      <c r="F185" s="33" t="s">
        <v>629</v>
      </c>
      <c r="G185" s="7" t="s">
        <v>366</v>
      </c>
      <c r="I185" s="153" t="s">
        <v>2075</v>
      </c>
      <c r="L185" s="154" t="s">
        <v>53</v>
      </c>
      <c r="M185" s="154" t="s">
        <v>53</v>
      </c>
      <c r="N185" s="151" t="s">
        <v>53</v>
      </c>
      <c r="O185" s="40" t="s">
        <v>53</v>
      </c>
      <c r="P185" s="1" t="s">
        <v>53</v>
      </c>
      <c r="Q185" s="44" t="s">
        <v>53</v>
      </c>
      <c r="R185" s="1" t="s">
        <v>53</v>
      </c>
      <c r="S185" s="1" t="s">
        <v>53</v>
      </c>
      <c r="T185" s="30" t="s">
        <v>53</v>
      </c>
      <c r="U185" s="121" t="s">
        <v>53</v>
      </c>
      <c r="V185" s="116" t="b">
        <f t="shared" si="16"/>
        <v>1</v>
      </c>
      <c r="W185" s="117" t="str">
        <f t="shared" si="17"/>
        <v>title: "Saint Pierre and Miquelon"</v>
      </c>
      <c r="X185" s="120" t="str">
        <f t="shared" si="18"/>
        <v/>
      </c>
      <c r="Y185" s="120" t="str">
        <f t="shared" si="19"/>
        <v/>
      </c>
      <c r="Z185" s="120" t="str">
        <f t="shared" si="20"/>
        <v/>
      </c>
      <c r="AA185" s="120" t="str">
        <f t="shared" si="21"/>
        <v/>
      </c>
      <c r="AB185" s="117" t="str">
        <f t="shared" si="22"/>
        <v/>
      </c>
      <c r="AC185" s="117" t="str">
        <f>IF(LEN(J185)&gt;1,concatll("#### Author's Note",J185,"-"&amp;B185),"")</f>
        <v/>
      </c>
      <c r="AD185" s="117" t="str">
        <f>IF(LEN(K185)&gt;1,concatll("#### Dedication",K185,"-"&amp;$B185),"")</f>
        <v/>
      </c>
      <c r="CA185" s="6" t="str">
        <f>IF(V185,concatll(concatl("---",W185,"---"),"*A collection of sites associated with this topic.*","#### Background",I185,AB185,AC185,AD185),"")</f>
        <v xml:space="preserve">---_x000D_
title: "Saint Pierre and Miquelon"_x000D_
---_x000D_
_x000D_
_x000D_
*A collection of sites associated with this topic.*_x000D_
_x000D_
#### Background_x000D_
_x000D_
Catholic places of interest in Saint Pierre and Miquelon_x000D_
_x000D_
</v>
      </c>
      <c r="CB185" s="6" t="str">
        <f t="shared" si="23"/>
        <v>tags\pm\_index.md</v>
      </c>
    </row>
    <row r="186" spans="1:80" x14ac:dyDescent="0.25">
      <c r="A186" s="129" t="s">
        <v>786</v>
      </c>
      <c r="C186" s="1" t="s">
        <v>367</v>
      </c>
      <c r="D186" s="7" t="s">
        <v>630</v>
      </c>
      <c r="E186" s="7" t="s">
        <v>630</v>
      </c>
      <c r="F186" s="33" t="s">
        <v>630</v>
      </c>
      <c r="G186" s="7" t="s">
        <v>367</v>
      </c>
      <c r="I186" s="153" t="s">
        <v>2076</v>
      </c>
      <c r="L186" s="154" t="s">
        <v>53</v>
      </c>
      <c r="M186" s="154" t="s">
        <v>53</v>
      </c>
      <c r="N186" s="151" t="s">
        <v>53</v>
      </c>
      <c r="O186" s="40" t="s">
        <v>53</v>
      </c>
      <c r="P186" s="1" t="s">
        <v>53</v>
      </c>
      <c r="Q186" s="44" t="s">
        <v>53</v>
      </c>
      <c r="R186" s="1" t="s">
        <v>53</v>
      </c>
      <c r="S186" s="1" t="s">
        <v>53</v>
      </c>
      <c r="T186" s="30" t="s">
        <v>53</v>
      </c>
      <c r="U186" s="121" t="s">
        <v>53</v>
      </c>
      <c r="V186" s="116" t="b">
        <f t="shared" si="16"/>
        <v>1</v>
      </c>
      <c r="W186" s="117" t="str">
        <f t="shared" si="17"/>
        <v>title: "Pitcairn"</v>
      </c>
      <c r="X186" s="120" t="str">
        <f t="shared" si="18"/>
        <v/>
      </c>
      <c r="Y186" s="120" t="str">
        <f t="shared" si="19"/>
        <v/>
      </c>
      <c r="Z186" s="120" t="str">
        <f t="shared" si="20"/>
        <v/>
      </c>
      <c r="AA186" s="120" t="str">
        <f t="shared" si="21"/>
        <v/>
      </c>
      <c r="AB186" s="117" t="str">
        <f t="shared" si="22"/>
        <v/>
      </c>
      <c r="AC186" s="117" t="str">
        <f>IF(LEN(J186)&gt;1,concatll("#### Author's Note",J186,"-"&amp;B186),"")</f>
        <v/>
      </c>
      <c r="AD186" s="117" t="str">
        <f>IF(LEN(K186)&gt;1,concatll("#### Dedication",K186,"-"&amp;$B186),"")</f>
        <v/>
      </c>
      <c r="CA186" s="6" t="str">
        <f>IF(V186,concatll(concatl("---",W186,"---"),"*A collection of sites associated with this topic.*","#### Background",I186,AB186,AC186,AD186),"")</f>
        <v xml:space="preserve">---_x000D_
title: "Pitcairn"_x000D_
---_x000D_
_x000D_
_x000D_
*A collection of sites associated with this topic.*_x000D_
_x000D_
#### Background_x000D_
_x000D_
Catholic places of interest in Pitcairn_x000D_
_x000D_
</v>
      </c>
      <c r="CB186" s="6" t="str">
        <f t="shared" si="23"/>
        <v>tags\pn\_index.md</v>
      </c>
    </row>
    <row r="187" spans="1:80" x14ac:dyDescent="0.25">
      <c r="A187" s="129" t="s">
        <v>786</v>
      </c>
      <c r="C187" s="1" t="s">
        <v>368</v>
      </c>
      <c r="D187" s="7" t="s">
        <v>631</v>
      </c>
      <c r="E187" s="7" t="s">
        <v>631</v>
      </c>
      <c r="F187" s="33" t="s">
        <v>631</v>
      </c>
      <c r="G187" s="7" t="s">
        <v>368</v>
      </c>
      <c r="I187" s="153" t="s">
        <v>2077</v>
      </c>
      <c r="L187" s="154" t="s">
        <v>53</v>
      </c>
      <c r="M187" s="154" t="s">
        <v>53</v>
      </c>
      <c r="N187" s="151" t="s">
        <v>53</v>
      </c>
      <c r="O187" s="40" t="s">
        <v>53</v>
      </c>
      <c r="P187" s="1" t="s">
        <v>53</v>
      </c>
      <c r="Q187" s="44" t="s">
        <v>53</v>
      </c>
      <c r="R187" s="1" t="s">
        <v>53</v>
      </c>
      <c r="S187" s="1" t="s">
        <v>53</v>
      </c>
      <c r="T187" s="30" t="s">
        <v>53</v>
      </c>
      <c r="U187" s="121" t="s">
        <v>53</v>
      </c>
      <c r="V187" s="116" t="b">
        <f t="shared" si="16"/>
        <v>1</v>
      </c>
      <c r="W187" s="117" t="str">
        <f t="shared" si="17"/>
        <v>title: "Puerto Rico"</v>
      </c>
      <c r="X187" s="120" t="str">
        <f t="shared" si="18"/>
        <v/>
      </c>
      <c r="Y187" s="120" t="str">
        <f t="shared" si="19"/>
        <v/>
      </c>
      <c r="Z187" s="120" t="str">
        <f t="shared" si="20"/>
        <v/>
      </c>
      <c r="AA187" s="120" t="str">
        <f t="shared" si="21"/>
        <v/>
      </c>
      <c r="AB187" s="117" t="str">
        <f t="shared" si="22"/>
        <v/>
      </c>
      <c r="AC187" s="117" t="str">
        <f>IF(LEN(J187)&gt;1,concatll("#### Author's Note",J187,"-"&amp;B187),"")</f>
        <v/>
      </c>
      <c r="AD187" s="117" t="str">
        <f>IF(LEN(K187)&gt;1,concatll("#### Dedication",K187,"-"&amp;$B187),"")</f>
        <v/>
      </c>
      <c r="CA187" s="6" t="str">
        <f>IF(V187,concatll(concatl("---",W187,"---"),"*A collection of sites associated with this topic.*","#### Background",I187,AB187,AC187,AD187),"")</f>
        <v xml:space="preserve">---_x000D_
title: "Puerto Rico"_x000D_
---_x000D_
_x000D_
_x000D_
*A collection of sites associated with this topic.*_x000D_
_x000D_
#### Background_x000D_
_x000D_
Catholic places of interest in Puerto Rico_x000D_
_x000D_
</v>
      </c>
      <c r="CB187" s="6" t="str">
        <f t="shared" si="23"/>
        <v>tags\pr\_index.md</v>
      </c>
    </row>
    <row r="188" spans="1:80" x14ac:dyDescent="0.25">
      <c r="A188" s="129" t="s">
        <v>786</v>
      </c>
      <c r="C188" s="1" t="s">
        <v>435</v>
      </c>
      <c r="D188" s="7" t="s">
        <v>632</v>
      </c>
      <c r="E188" s="7" t="s">
        <v>632</v>
      </c>
      <c r="F188" s="33" t="s">
        <v>632</v>
      </c>
      <c r="G188" s="7" t="s">
        <v>435</v>
      </c>
      <c r="I188" s="153" t="s">
        <v>2078</v>
      </c>
      <c r="L188" s="154" t="s">
        <v>53</v>
      </c>
      <c r="M188" s="154" t="s">
        <v>53</v>
      </c>
      <c r="N188" s="151" t="s">
        <v>53</v>
      </c>
      <c r="O188" s="40" t="s">
        <v>53</v>
      </c>
      <c r="P188" s="1" t="s">
        <v>53</v>
      </c>
      <c r="Q188" s="44" t="s">
        <v>53</v>
      </c>
      <c r="R188" s="1" t="s">
        <v>53</v>
      </c>
      <c r="S188" s="1" t="s">
        <v>53</v>
      </c>
      <c r="T188" s="30" t="s">
        <v>53</v>
      </c>
      <c r="U188" s="121" t="s">
        <v>53</v>
      </c>
      <c r="V188" s="116" t="b">
        <f t="shared" si="16"/>
        <v>1</v>
      </c>
      <c r="W188" s="117" t="str">
        <f t="shared" si="17"/>
        <v>title: "Palestine"</v>
      </c>
      <c r="X188" s="120" t="str">
        <f t="shared" si="18"/>
        <v/>
      </c>
      <c r="Y188" s="120" t="str">
        <f t="shared" si="19"/>
        <v/>
      </c>
      <c r="Z188" s="120" t="str">
        <f t="shared" si="20"/>
        <v/>
      </c>
      <c r="AA188" s="120" t="str">
        <f t="shared" si="21"/>
        <v/>
      </c>
      <c r="AB188" s="117" t="str">
        <f t="shared" si="22"/>
        <v/>
      </c>
      <c r="AC188" s="117" t="str">
        <f>IF(LEN(J188)&gt;1,concatll("#### Author's Note",J188,"-"&amp;B188),"")</f>
        <v/>
      </c>
      <c r="AD188" s="117" t="str">
        <f>IF(LEN(K188)&gt;1,concatll("#### Dedication",K188,"-"&amp;$B188),"")</f>
        <v/>
      </c>
      <c r="CA188" s="6" t="str">
        <f>IF(V188,concatll(concatl("---",W188,"---"),"*A collection of sites associated with this topic.*","#### Background",I188,AB188,AC188,AD188),"")</f>
        <v xml:space="preserve">---_x000D_
title: "Palestine"_x000D_
---_x000D_
_x000D_
_x000D_
*A collection of sites associated with this topic.*_x000D_
_x000D_
#### Background_x000D_
_x000D_
Catholic places of interest in Palestine_x000D_
_x000D_
</v>
      </c>
      <c r="CB188" s="6" t="str">
        <f t="shared" si="23"/>
        <v>tags\ps\_index.md</v>
      </c>
    </row>
    <row r="189" spans="1:80" x14ac:dyDescent="0.25">
      <c r="A189" s="129" t="s">
        <v>786</v>
      </c>
      <c r="C189" s="1" t="s">
        <v>369</v>
      </c>
      <c r="D189" s="7" t="s">
        <v>633</v>
      </c>
      <c r="E189" s="7" t="s">
        <v>633</v>
      </c>
      <c r="F189" s="33" t="s">
        <v>633</v>
      </c>
      <c r="G189" s="7" t="s">
        <v>369</v>
      </c>
      <c r="I189" s="153" t="s">
        <v>2079</v>
      </c>
      <c r="L189" s="154" t="s">
        <v>53</v>
      </c>
      <c r="M189" s="154" t="s">
        <v>53</v>
      </c>
      <c r="N189" s="151" t="s">
        <v>53</v>
      </c>
      <c r="O189" s="40" t="s">
        <v>53</v>
      </c>
      <c r="P189" s="1" t="s">
        <v>53</v>
      </c>
      <c r="Q189" s="44" t="s">
        <v>53</v>
      </c>
      <c r="R189" s="1" t="s">
        <v>53</v>
      </c>
      <c r="S189" s="1" t="s">
        <v>53</v>
      </c>
      <c r="T189" s="30" t="s">
        <v>53</v>
      </c>
      <c r="U189" s="121" t="s">
        <v>53</v>
      </c>
      <c r="V189" s="116" t="b">
        <f t="shared" si="16"/>
        <v>1</v>
      </c>
      <c r="W189" s="117" t="str">
        <f t="shared" si="17"/>
        <v>title: "Portugal"</v>
      </c>
      <c r="X189" s="120" t="str">
        <f t="shared" si="18"/>
        <v/>
      </c>
      <c r="Y189" s="120" t="str">
        <f t="shared" si="19"/>
        <v/>
      </c>
      <c r="Z189" s="120" t="str">
        <f t="shared" si="20"/>
        <v/>
      </c>
      <c r="AA189" s="120" t="str">
        <f t="shared" si="21"/>
        <v/>
      </c>
      <c r="AB189" s="117" t="str">
        <f t="shared" si="22"/>
        <v/>
      </c>
      <c r="AC189" s="117" t="str">
        <f>IF(LEN(J189)&gt;1,concatll("#### Author's Note",J189,"-"&amp;B189),"")</f>
        <v/>
      </c>
      <c r="AD189" s="117" t="str">
        <f>IF(LEN(K189)&gt;1,concatll("#### Dedication",K189,"-"&amp;$B189),"")</f>
        <v/>
      </c>
      <c r="CA189" s="6" t="str">
        <f>IF(V189,concatll(concatl("---",W189,"---"),"*A collection of sites associated with this topic.*","#### Background",I189,AB189,AC189,AD189),"")</f>
        <v xml:space="preserve">---_x000D_
title: "Portugal"_x000D_
---_x000D_
_x000D_
_x000D_
*A collection of sites associated with this topic.*_x000D_
_x000D_
#### Background_x000D_
_x000D_
Catholic places of interest in Portugal_x000D_
_x000D_
</v>
      </c>
      <c r="CB189" s="6" t="str">
        <f t="shared" si="23"/>
        <v>tags\pt\_index.md</v>
      </c>
    </row>
    <row r="190" spans="1:80" x14ac:dyDescent="0.25">
      <c r="A190" s="129" t="s">
        <v>786</v>
      </c>
      <c r="C190" s="1" t="s">
        <v>370</v>
      </c>
      <c r="D190" s="7" t="s">
        <v>634</v>
      </c>
      <c r="E190" s="7" t="s">
        <v>634</v>
      </c>
      <c r="F190" s="33" t="s">
        <v>634</v>
      </c>
      <c r="G190" s="7" t="s">
        <v>370</v>
      </c>
      <c r="I190" s="153" t="s">
        <v>2080</v>
      </c>
      <c r="L190" s="154" t="s">
        <v>53</v>
      </c>
      <c r="M190" s="154" t="s">
        <v>53</v>
      </c>
      <c r="N190" s="151" t="s">
        <v>53</v>
      </c>
      <c r="O190" s="40" t="s">
        <v>53</v>
      </c>
      <c r="P190" s="1" t="s">
        <v>53</v>
      </c>
      <c r="Q190" s="44" t="s">
        <v>53</v>
      </c>
      <c r="R190" s="1" t="s">
        <v>53</v>
      </c>
      <c r="S190" s="1" t="s">
        <v>53</v>
      </c>
      <c r="T190" s="30" t="s">
        <v>53</v>
      </c>
      <c r="U190" s="121" t="s">
        <v>53</v>
      </c>
      <c r="V190" s="116" t="b">
        <f t="shared" si="16"/>
        <v>1</v>
      </c>
      <c r="W190" s="117" t="str">
        <f t="shared" si="17"/>
        <v>title: "Palau"</v>
      </c>
      <c r="X190" s="120" t="str">
        <f t="shared" si="18"/>
        <v/>
      </c>
      <c r="Y190" s="120" t="str">
        <f t="shared" si="19"/>
        <v/>
      </c>
      <c r="Z190" s="120" t="str">
        <f t="shared" si="20"/>
        <v/>
      </c>
      <c r="AA190" s="120" t="str">
        <f t="shared" si="21"/>
        <v/>
      </c>
      <c r="AB190" s="117" t="str">
        <f t="shared" si="22"/>
        <v/>
      </c>
      <c r="AC190" s="117" t="str">
        <f>IF(LEN(J190)&gt;1,concatll("#### Author's Note",J190,"-"&amp;B190),"")</f>
        <v/>
      </c>
      <c r="AD190" s="117" t="str">
        <f>IF(LEN(K190)&gt;1,concatll("#### Dedication",K190,"-"&amp;$B190),"")</f>
        <v/>
      </c>
      <c r="CA190" s="6" t="str">
        <f>IF(V190,concatll(concatl("---",W190,"---"),"*A collection of sites associated with this topic.*","#### Background",I190,AB190,AC190,AD190),"")</f>
        <v xml:space="preserve">---_x000D_
title: "Palau"_x000D_
---_x000D_
_x000D_
_x000D_
*A collection of sites associated with this topic.*_x000D_
_x000D_
#### Background_x000D_
_x000D_
Catholic places of interest in Palau_x000D_
_x000D_
</v>
      </c>
      <c r="CB190" s="6" t="str">
        <f t="shared" si="23"/>
        <v>tags\pw\_index.md</v>
      </c>
    </row>
    <row r="191" spans="1:80" x14ac:dyDescent="0.25">
      <c r="A191" s="129" t="s">
        <v>786</v>
      </c>
      <c r="C191" s="1" t="s">
        <v>371</v>
      </c>
      <c r="D191" s="7" t="s">
        <v>635</v>
      </c>
      <c r="E191" s="7" t="s">
        <v>635</v>
      </c>
      <c r="F191" s="33" t="s">
        <v>635</v>
      </c>
      <c r="G191" s="7" t="s">
        <v>371</v>
      </c>
      <c r="I191" s="153" t="s">
        <v>2081</v>
      </c>
      <c r="L191" s="154" t="s">
        <v>53</v>
      </c>
      <c r="M191" s="154" t="s">
        <v>53</v>
      </c>
      <c r="N191" s="151" t="s">
        <v>53</v>
      </c>
      <c r="O191" s="40" t="s">
        <v>53</v>
      </c>
      <c r="P191" s="1" t="s">
        <v>53</v>
      </c>
      <c r="Q191" s="44" t="s">
        <v>53</v>
      </c>
      <c r="R191" s="1" t="s">
        <v>53</v>
      </c>
      <c r="S191" s="1" t="s">
        <v>53</v>
      </c>
      <c r="T191" s="30" t="s">
        <v>53</v>
      </c>
      <c r="U191" s="121" t="s">
        <v>53</v>
      </c>
      <c r="V191" s="116" t="b">
        <f t="shared" si="16"/>
        <v>1</v>
      </c>
      <c r="W191" s="117" t="str">
        <f t="shared" si="17"/>
        <v>title: "Paraguay"</v>
      </c>
      <c r="X191" s="120" t="str">
        <f t="shared" si="18"/>
        <v/>
      </c>
      <c r="Y191" s="120" t="str">
        <f t="shared" si="19"/>
        <v/>
      </c>
      <c r="Z191" s="120" t="str">
        <f t="shared" si="20"/>
        <v/>
      </c>
      <c r="AA191" s="120" t="str">
        <f t="shared" si="21"/>
        <v/>
      </c>
      <c r="AB191" s="117" t="str">
        <f t="shared" si="22"/>
        <v/>
      </c>
      <c r="AC191" s="117" t="str">
        <f>IF(LEN(J191)&gt;1,concatll("#### Author's Note",J191,"-"&amp;B191),"")</f>
        <v/>
      </c>
      <c r="AD191" s="117" t="str">
        <f>IF(LEN(K191)&gt;1,concatll("#### Dedication",K191,"-"&amp;$B191),"")</f>
        <v/>
      </c>
      <c r="CA191" s="6" t="str">
        <f>IF(V191,concatll(concatl("---",W191,"---"),"*A collection of sites associated with this topic.*","#### Background",I191,AB191,AC191,AD191),"")</f>
        <v xml:space="preserve">---_x000D_
title: "Paraguay"_x000D_
---_x000D_
_x000D_
_x000D_
*A collection of sites associated with this topic.*_x000D_
_x000D_
#### Background_x000D_
_x000D_
Catholic places of interest in Paraguay_x000D_
_x000D_
</v>
      </c>
      <c r="CB191" s="6" t="str">
        <f t="shared" si="23"/>
        <v>tags\py\_index.md</v>
      </c>
    </row>
    <row r="192" spans="1:80" x14ac:dyDescent="0.25">
      <c r="A192" s="129" t="s">
        <v>786</v>
      </c>
      <c r="C192" s="1" t="s">
        <v>372</v>
      </c>
      <c r="D192" s="7" t="s">
        <v>636</v>
      </c>
      <c r="E192" s="7" t="s">
        <v>636</v>
      </c>
      <c r="F192" s="33" t="s">
        <v>636</v>
      </c>
      <c r="G192" s="7" t="s">
        <v>372</v>
      </c>
      <c r="I192" s="153" t="s">
        <v>2082</v>
      </c>
      <c r="L192" s="154" t="s">
        <v>53</v>
      </c>
      <c r="M192" s="154" t="s">
        <v>53</v>
      </c>
      <c r="N192" s="151" t="s">
        <v>53</v>
      </c>
      <c r="O192" s="40" t="s">
        <v>53</v>
      </c>
      <c r="P192" s="1" t="s">
        <v>53</v>
      </c>
      <c r="Q192" s="44" t="s">
        <v>53</v>
      </c>
      <c r="R192" s="1" t="s">
        <v>53</v>
      </c>
      <c r="S192" s="1" t="s">
        <v>53</v>
      </c>
      <c r="T192" s="30" t="s">
        <v>53</v>
      </c>
      <c r="U192" s="121" t="s">
        <v>53</v>
      </c>
      <c r="V192" s="116" t="b">
        <f t="shared" si="16"/>
        <v>1</v>
      </c>
      <c r="W192" s="117" t="str">
        <f t="shared" si="17"/>
        <v>title: "Qatar"</v>
      </c>
      <c r="X192" s="120" t="str">
        <f t="shared" si="18"/>
        <v/>
      </c>
      <c r="Y192" s="120" t="str">
        <f t="shared" si="19"/>
        <v/>
      </c>
      <c r="Z192" s="120" t="str">
        <f t="shared" si="20"/>
        <v/>
      </c>
      <c r="AA192" s="120" t="str">
        <f t="shared" si="21"/>
        <v/>
      </c>
      <c r="AB192" s="117" t="str">
        <f t="shared" si="22"/>
        <v/>
      </c>
      <c r="AC192" s="117" t="str">
        <f>IF(LEN(J192)&gt;1,concatll("#### Author's Note",J192,"-"&amp;B192),"")</f>
        <v/>
      </c>
      <c r="AD192" s="117" t="str">
        <f>IF(LEN(K192)&gt;1,concatll("#### Dedication",K192,"-"&amp;$B192),"")</f>
        <v/>
      </c>
      <c r="CA192" s="6" t="str">
        <f>IF(V192,concatll(concatl("---",W192,"---"),"*A collection of sites associated with this topic.*","#### Background",I192,AB192,AC192,AD192),"")</f>
        <v xml:space="preserve">---_x000D_
title: "Qatar"_x000D_
---_x000D_
_x000D_
_x000D_
*A collection of sites associated with this topic.*_x000D_
_x000D_
#### Background_x000D_
_x000D_
Catholic places of interest in Qatar_x000D_
_x000D_
</v>
      </c>
      <c r="CB192" s="6" t="str">
        <f t="shared" si="23"/>
        <v>tags\qa\_index.md</v>
      </c>
    </row>
    <row r="193" spans="1:80" x14ac:dyDescent="0.25">
      <c r="A193" s="129" t="s">
        <v>786</v>
      </c>
      <c r="C193" s="155" t="s">
        <v>2206</v>
      </c>
      <c r="D193" s="7" t="s">
        <v>637</v>
      </c>
      <c r="E193" s="153" t="s">
        <v>637</v>
      </c>
      <c r="F193" s="33" t="s">
        <v>637</v>
      </c>
      <c r="G193" s="153" t="s">
        <v>2206</v>
      </c>
      <c r="I193" s="153" t="s">
        <v>2205</v>
      </c>
      <c r="L193" s="154" t="s">
        <v>53</v>
      </c>
      <c r="M193" s="154" t="s">
        <v>53</v>
      </c>
      <c r="N193" s="151" t="s">
        <v>53</v>
      </c>
      <c r="O193" s="40" t="s">
        <v>53</v>
      </c>
      <c r="P193" s="1" t="s">
        <v>53</v>
      </c>
      <c r="Q193" s="44" t="s">
        <v>53</v>
      </c>
      <c r="R193" s="1" t="s">
        <v>53</v>
      </c>
      <c r="S193" s="1" t="s">
        <v>53</v>
      </c>
      <c r="T193" s="30" t="s">
        <v>53</v>
      </c>
      <c r="U193" s="121" t="s">
        <v>53</v>
      </c>
      <c r="V193" s="116" t="b">
        <f t="shared" si="16"/>
        <v>1</v>
      </c>
      <c r="W193" s="117" t="str">
        <f t="shared" si="17"/>
        <v>title: "Reunion"</v>
      </c>
      <c r="X193" s="120" t="str">
        <f t="shared" si="18"/>
        <v/>
      </c>
      <c r="Y193" s="120" t="str">
        <f t="shared" si="19"/>
        <v/>
      </c>
      <c r="Z193" s="120" t="str">
        <f t="shared" si="20"/>
        <v/>
      </c>
      <c r="AA193" s="120" t="str">
        <f t="shared" si="21"/>
        <v/>
      </c>
      <c r="AB193" s="117" t="str">
        <f t="shared" si="22"/>
        <v/>
      </c>
      <c r="AC193" s="117" t="str">
        <f>IF(LEN(J193)&gt;1,concatll("#### Author's Note",J193,"-"&amp;B193),"")</f>
        <v/>
      </c>
      <c r="AD193" s="117" t="str">
        <f>IF(LEN(K193)&gt;1,concatll("#### Dedication",K193,"-"&amp;$B193),"")</f>
        <v/>
      </c>
      <c r="CA193" s="6" t="str">
        <f>IF(V193,concatll(concatl("---",W193,"---"),"*A collection of sites associated with this topic.*","#### Background",I193,AB193,AC193,AD193),"")</f>
        <v xml:space="preserve">---_x000D_
title: "Reunion"_x000D_
---_x000D_
_x000D_
_x000D_
*A collection of sites associated with this topic.*_x000D_
_x000D_
#### Background_x000D_
_x000D_
Catholic places of interest in Reunion_x000D_
_x000D_
</v>
      </c>
      <c r="CB193" s="6" t="str">
        <f t="shared" si="23"/>
        <v>tags\re\_index.md</v>
      </c>
    </row>
    <row r="194" spans="1:80" x14ac:dyDescent="0.25">
      <c r="A194" s="129" t="s">
        <v>786</v>
      </c>
      <c r="C194" s="1" t="s">
        <v>373</v>
      </c>
      <c r="D194" s="7" t="s">
        <v>638</v>
      </c>
      <c r="E194" s="7" t="s">
        <v>638</v>
      </c>
      <c r="F194" s="33" t="s">
        <v>638</v>
      </c>
      <c r="G194" s="7" t="s">
        <v>373</v>
      </c>
      <c r="I194" s="153" t="s">
        <v>2083</v>
      </c>
      <c r="L194" s="154" t="s">
        <v>53</v>
      </c>
      <c r="M194" s="154" t="s">
        <v>53</v>
      </c>
      <c r="N194" s="151" t="s">
        <v>53</v>
      </c>
      <c r="O194" s="40" t="s">
        <v>53</v>
      </c>
      <c r="P194" s="1" t="s">
        <v>53</v>
      </c>
      <c r="Q194" s="44" t="s">
        <v>53</v>
      </c>
      <c r="R194" s="1" t="s">
        <v>53</v>
      </c>
      <c r="S194" s="1" t="s">
        <v>53</v>
      </c>
      <c r="T194" s="30" t="s">
        <v>53</v>
      </c>
      <c r="U194" s="121" t="s">
        <v>53</v>
      </c>
      <c r="V194" s="116" t="b">
        <f t="shared" si="16"/>
        <v>1</v>
      </c>
      <c r="W194" s="117" t="str">
        <f t="shared" si="17"/>
        <v>title: "Romania"</v>
      </c>
      <c r="X194" s="120" t="str">
        <f t="shared" si="18"/>
        <v/>
      </c>
      <c r="Y194" s="120" t="str">
        <f t="shared" si="19"/>
        <v/>
      </c>
      <c r="Z194" s="120" t="str">
        <f t="shared" si="20"/>
        <v/>
      </c>
      <c r="AA194" s="120" t="str">
        <f t="shared" si="21"/>
        <v/>
      </c>
      <c r="AB194" s="117" t="str">
        <f t="shared" si="22"/>
        <v/>
      </c>
      <c r="AC194" s="117" t="str">
        <f>IF(LEN(J194)&gt;1,concatll("#### Author's Note",J194,"-"&amp;B194),"")</f>
        <v/>
      </c>
      <c r="AD194" s="117" t="str">
        <f>IF(LEN(K194)&gt;1,concatll("#### Dedication",K194,"-"&amp;$B194),"")</f>
        <v/>
      </c>
      <c r="CA194" s="6" t="str">
        <f>IF(V194,concatll(concatl("---",W194,"---"),"*A collection of sites associated with this topic.*","#### Background",I194,AB194,AC194,AD194),"")</f>
        <v xml:space="preserve">---_x000D_
title: "Romania"_x000D_
---_x000D_
_x000D_
_x000D_
*A collection of sites associated with this topic.*_x000D_
_x000D_
#### Background_x000D_
_x000D_
Catholic places of interest in Romania_x000D_
_x000D_
</v>
      </c>
      <c r="CB194" s="6" t="str">
        <f t="shared" si="23"/>
        <v>tags\ro\_index.md</v>
      </c>
    </row>
    <row r="195" spans="1:80" x14ac:dyDescent="0.25">
      <c r="A195" s="129" t="s">
        <v>786</v>
      </c>
      <c r="C195" s="1" t="s">
        <v>374</v>
      </c>
      <c r="D195" s="7" t="s">
        <v>639</v>
      </c>
      <c r="E195" s="7" t="s">
        <v>639</v>
      </c>
      <c r="F195" s="33" t="s">
        <v>639</v>
      </c>
      <c r="G195" s="7" t="s">
        <v>374</v>
      </c>
      <c r="I195" s="153" t="s">
        <v>2084</v>
      </c>
      <c r="L195" s="154" t="s">
        <v>53</v>
      </c>
      <c r="M195" s="154" t="s">
        <v>53</v>
      </c>
      <c r="N195" s="151" t="s">
        <v>53</v>
      </c>
      <c r="O195" s="40" t="s">
        <v>53</v>
      </c>
      <c r="P195" s="1" t="s">
        <v>53</v>
      </c>
      <c r="Q195" s="44" t="s">
        <v>53</v>
      </c>
      <c r="R195" s="1" t="s">
        <v>53</v>
      </c>
      <c r="S195" s="1" t="s">
        <v>53</v>
      </c>
      <c r="T195" s="30" t="s">
        <v>53</v>
      </c>
      <c r="U195" s="121" t="s">
        <v>53</v>
      </c>
      <c r="V195" s="116" t="b">
        <f t="shared" si="16"/>
        <v>1</v>
      </c>
      <c r="W195" s="117" t="str">
        <f t="shared" si="17"/>
        <v>title: "Serbia"</v>
      </c>
      <c r="X195" s="120" t="str">
        <f t="shared" si="18"/>
        <v/>
      </c>
      <c r="Y195" s="120" t="str">
        <f t="shared" si="19"/>
        <v/>
      </c>
      <c r="Z195" s="120" t="str">
        <f t="shared" si="20"/>
        <v/>
      </c>
      <c r="AA195" s="120" t="str">
        <f t="shared" si="21"/>
        <v/>
      </c>
      <c r="AB195" s="117" t="str">
        <f t="shared" si="22"/>
        <v/>
      </c>
      <c r="AC195" s="117" t="str">
        <f>IF(LEN(J195)&gt;1,concatll("#### Author's Note",J195,"-"&amp;B195),"")</f>
        <v/>
      </c>
      <c r="AD195" s="117" t="str">
        <f>IF(LEN(K195)&gt;1,concatll("#### Dedication",K195,"-"&amp;$B195),"")</f>
        <v/>
      </c>
      <c r="CA195" s="6" t="str">
        <f>IF(V195,concatll(concatl("---",W195,"---"),"*A collection of sites associated with this topic.*","#### Background",I195,AB195,AC195,AD195),"")</f>
        <v xml:space="preserve">---_x000D_
title: "Serbia"_x000D_
---_x000D_
_x000D_
_x000D_
*A collection of sites associated with this topic.*_x000D_
_x000D_
#### Background_x000D_
_x000D_
Catholic places of interest in Serbia_x000D_
_x000D_
</v>
      </c>
      <c r="CB195" s="6" t="str">
        <f t="shared" si="23"/>
        <v>tags\rs\_index.md</v>
      </c>
    </row>
    <row r="196" spans="1:80" x14ac:dyDescent="0.25">
      <c r="A196" s="129" t="s">
        <v>786</v>
      </c>
      <c r="C196" s="1" t="s">
        <v>447</v>
      </c>
      <c r="D196" s="7" t="s">
        <v>640</v>
      </c>
      <c r="E196" s="7" t="s">
        <v>640</v>
      </c>
      <c r="F196" s="33" t="s">
        <v>640</v>
      </c>
      <c r="G196" s="7" t="s">
        <v>447</v>
      </c>
      <c r="I196" s="153" t="s">
        <v>2085</v>
      </c>
      <c r="L196" s="154" t="s">
        <v>53</v>
      </c>
      <c r="M196" s="154" t="s">
        <v>53</v>
      </c>
      <c r="N196" s="151" t="s">
        <v>53</v>
      </c>
      <c r="O196" s="40" t="s">
        <v>53</v>
      </c>
      <c r="P196" s="1" t="s">
        <v>53</v>
      </c>
      <c r="Q196" s="44" t="s">
        <v>53</v>
      </c>
      <c r="R196" s="1" t="s">
        <v>53</v>
      </c>
      <c r="S196" s="1" t="s">
        <v>53</v>
      </c>
      <c r="T196" s="30" t="s">
        <v>53</v>
      </c>
      <c r="U196" s="121" t="s">
        <v>53</v>
      </c>
      <c r="V196" s="116" t="b">
        <f t="shared" si="16"/>
        <v>1</v>
      </c>
      <c r="W196" s="117" t="str">
        <f t="shared" si="17"/>
        <v>title: "Russia"</v>
      </c>
      <c r="X196" s="120" t="str">
        <f t="shared" si="18"/>
        <v/>
      </c>
      <c r="Y196" s="120" t="str">
        <f t="shared" si="19"/>
        <v/>
      </c>
      <c r="Z196" s="120" t="str">
        <f t="shared" si="20"/>
        <v/>
      </c>
      <c r="AA196" s="120" t="str">
        <f t="shared" si="21"/>
        <v/>
      </c>
      <c r="AB196" s="117" t="str">
        <f t="shared" si="22"/>
        <v/>
      </c>
      <c r="AC196" s="117" t="str">
        <f>IF(LEN(J196)&gt;1,concatll("#### Author's Note",J196,"-"&amp;B196),"")</f>
        <v/>
      </c>
      <c r="AD196" s="117" t="str">
        <f>IF(LEN(K196)&gt;1,concatll("#### Dedication",K196,"-"&amp;$B196),"")</f>
        <v/>
      </c>
      <c r="CA196" s="6" t="str">
        <f>IF(V196,concatll(concatl("---",W196,"---"),"*A collection of sites associated with this topic.*","#### Background",I196,AB196,AC196,AD196),"")</f>
        <v xml:space="preserve">---_x000D_
title: "Russia"_x000D_
---_x000D_
_x000D_
_x000D_
*A collection of sites associated with this topic.*_x000D_
_x000D_
#### Background_x000D_
_x000D_
Catholic places of interest in Russia_x000D_
_x000D_
</v>
      </c>
      <c r="CB196" s="6" t="str">
        <f t="shared" si="23"/>
        <v>tags\ru\_index.md</v>
      </c>
    </row>
    <row r="197" spans="1:80" x14ac:dyDescent="0.25">
      <c r="A197" s="129" t="s">
        <v>786</v>
      </c>
      <c r="C197" s="1" t="s">
        <v>197</v>
      </c>
      <c r="D197" s="7" t="s">
        <v>641</v>
      </c>
      <c r="E197" s="7" t="s">
        <v>641</v>
      </c>
      <c r="F197" s="33" t="s">
        <v>641</v>
      </c>
      <c r="G197" s="7" t="s">
        <v>197</v>
      </c>
      <c r="I197" s="153" t="s">
        <v>2086</v>
      </c>
      <c r="L197" s="154" t="s">
        <v>53</v>
      </c>
      <c r="M197" s="154" t="s">
        <v>53</v>
      </c>
      <c r="N197" s="151" t="s">
        <v>53</v>
      </c>
      <c r="O197" s="40" t="s">
        <v>53</v>
      </c>
      <c r="P197" s="1" t="s">
        <v>53</v>
      </c>
      <c r="Q197" s="44" t="s">
        <v>53</v>
      </c>
      <c r="R197" s="1" t="s">
        <v>53</v>
      </c>
      <c r="S197" s="1" t="s">
        <v>53</v>
      </c>
      <c r="T197" s="30" t="s">
        <v>53</v>
      </c>
      <c r="U197" s="121" t="s">
        <v>53</v>
      </c>
      <c r="V197" s="116" t="b">
        <f t="shared" si="16"/>
        <v>1</v>
      </c>
      <c r="W197" s="117" t="str">
        <f t="shared" si="17"/>
        <v>title: "Rwanda"</v>
      </c>
      <c r="X197" s="120" t="str">
        <f t="shared" si="18"/>
        <v/>
      </c>
      <c r="Y197" s="120" t="str">
        <f t="shared" si="19"/>
        <v/>
      </c>
      <c r="Z197" s="120" t="str">
        <f t="shared" si="20"/>
        <v/>
      </c>
      <c r="AA197" s="120" t="str">
        <f t="shared" si="21"/>
        <v/>
      </c>
      <c r="AB197" s="117" t="str">
        <f t="shared" si="22"/>
        <v/>
      </c>
      <c r="AC197" s="117" t="str">
        <f>IF(LEN(J197)&gt;1,concatll("#### Author's Note",J197,"-"&amp;B197),"")</f>
        <v/>
      </c>
      <c r="AD197" s="117" t="str">
        <f>IF(LEN(K197)&gt;1,concatll("#### Dedication",K197,"-"&amp;$B197),"")</f>
        <v/>
      </c>
      <c r="CA197" s="6" t="str">
        <f>IF(V197,concatll(concatl("---",W197,"---"),"*A collection of sites associated with this topic.*","#### Background",I197,AB197,AC197,AD197),"")</f>
        <v xml:space="preserve">---_x000D_
title: "Rwanda"_x000D_
---_x000D_
_x000D_
_x000D_
*A collection of sites associated with this topic.*_x000D_
_x000D_
#### Background_x000D_
_x000D_
Catholic places of interest in Rwanda_x000D_
_x000D_
</v>
      </c>
      <c r="CB197" s="6" t="str">
        <f t="shared" si="23"/>
        <v>tags\rw\_index.md</v>
      </c>
    </row>
    <row r="198" spans="1:80" x14ac:dyDescent="0.25">
      <c r="A198" s="129" t="s">
        <v>786</v>
      </c>
      <c r="C198" s="1" t="s">
        <v>375</v>
      </c>
      <c r="D198" s="7" t="s">
        <v>642</v>
      </c>
      <c r="E198" s="7" t="s">
        <v>642</v>
      </c>
      <c r="F198" s="33" t="s">
        <v>642</v>
      </c>
      <c r="G198" s="7" t="s">
        <v>375</v>
      </c>
      <c r="I198" s="153" t="s">
        <v>2087</v>
      </c>
      <c r="L198" s="154" t="s">
        <v>53</v>
      </c>
      <c r="M198" s="154" t="s">
        <v>53</v>
      </c>
      <c r="N198" s="151" t="s">
        <v>53</v>
      </c>
      <c r="O198" s="40" t="s">
        <v>53</v>
      </c>
      <c r="P198" s="1" t="s">
        <v>53</v>
      </c>
      <c r="Q198" s="44" t="s">
        <v>53</v>
      </c>
      <c r="R198" s="1" t="s">
        <v>53</v>
      </c>
      <c r="S198" s="1" t="s">
        <v>53</v>
      </c>
      <c r="T198" s="30" t="s">
        <v>53</v>
      </c>
      <c r="U198" s="121" t="s">
        <v>53</v>
      </c>
      <c r="V198" s="116" t="b">
        <f t="shared" si="16"/>
        <v>1</v>
      </c>
      <c r="W198" s="117" t="str">
        <f t="shared" si="17"/>
        <v>title: "Saudi Arabia"</v>
      </c>
      <c r="X198" s="120" t="str">
        <f t="shared" si="18"/>
        <v/>
      </c>
      <c r="Y198" s="120" t="str">
        <f t="shared" si="19"/>
        <v/>
      </c>
      <c r="Z198" s="120" t="str">
        <f t="shared" si="20"/>
        <v/>
      </c>
      <c r="AA198" s="120" t="str">
        <f t="shared" si="21"/>
        <v/>
      </c>
      <c r="AB198" s="117" t="str">
        <f t="shared" si="22"/>
        <v/>
      </c>
      <c r="AC198" s="117" t="str">
        <f>IF(LEN(J198)&gt;1,concatll("#### Author's Note",J198,"-"&amp;B198),"")</f>
        <v/>
      </c>
      <c r="AD198" s="117" t="str">
        <f>IF(LEN(K198)&gt;1,concatll("#### Dedication",K198,"-"&amp;$B198),"")</f>
        <v/>
      </c>
      <c r="CA198" s="6" t="str">
        <f>IF(V198,concatll(concatl("---",W198,"---"),"*A collection of sites associated with this topic.*","#### Background",I198,AB198,AC198,AD198),"")</f>
        <v xml:space="preserve">---_x000D_
title: "Saudi Arabia"_x000D_
---_x000D_
_x000D_
_x000D_
*A collection of sites associated with this topic.*_x000D_
_x000D_
#### Background_x000D_
_x000D_
Catholic places of interest in Saudi Arabia_x000D_
_x000D_
</v>
      </c>
      <c r="CB198" s="6" t="str">
        <f t="shared" si="23"/>
        <v>tags\sa\_index.md</v>
      </c>
    </row>
    <row r="199" spans="1:80" x14ac:dyDescent="0.25">
      <c r="A199" s="129" t="s">
        <v>786</v>
      </c>
      <c r="C199" s="1" t="s">
        <v>376</v>
      </c>
      <c r="D199" s="7" t="s">
        <v>643</v>
      </c>
      <c r="E199" s="7" t="s">
        <v>643</v>
      </c>
      <c r="F199" s="33" t="s">
        <v>643</v>
      </c>
      <c r="G199" s="7" t="s">
        <v>376</v>
      </c>
      <c r="I199" s="153" t="s">
        <v>2207</v>
      </c>
      <c r="L199" s="154" t="s">
        <v>53</v>
      </c>
      <c r="M199" s="154" t="s">
        <v>53</v>
      </c>
      <c r="N199" s="151" t="s">
        <v>53</v>
      </c>
      <c r="O199" s="40" t="s">
        <v>53</v>
      </c>
      <c r="P199" s="1" t="s">
        <v>53</v>
      </c>
      <c r="Q199" s="44" t="s">
        <v>53</v>
      </c>
      <c r="R199" s="1" t="s">
        <v>53</v>
      </c>
      <c r="S199" s="1" t="s">
        <v>53</v>
      </c>
      <c r="T199" s="30" t="s">
        <v>53</v>
      </c>
      <c r="U199" s="121" t="s">
        <v>53</v>
      </c>
      <c r="V199" s="116" t="b">
        <f t="shared" ref="V199:V262" si="24">IF(OR(A199="Done",A199="In Progress"),TRUE)</f>
        <v>1</v>
      </c>
      <c r="W199" s="117" t="str">
        <f t="shared" ref="W199:W262" si="25">"title: """&amp;G199&amp;""""</f>
        <v>title: "Solomon Islands"</v>
      </c>
      <c r="X199" s="120" t="str">
        <f t="shared" ref="X199:X262" si="26">IF(LEN(M199)&gt;0,TRIM(CONCATENATE("["&amp;L199&amp;"](",M199,") ",IF(LEN(N199)&gt;0,"- "&amp;N199,N199))),"")</f>
        <v/>
      </c>
      <c r="Y199" s="120" t="str">
        <f t="shared" ref="Y199:Y262" si="27">IF(LEN(P199)&gt;0,TRIM(CONCATENATE("["&amp;O199&amp;"](",P199,") ",IF(LEN(Q199)&gt;0,"- "&amp;Q199,Q199))),"")</f>
        <v/>
      </c>
      <c r="Z199" s="120" t="str">
        <f t="shared" ref="Z199:Z262" si="28">IF(LEN(S199)&gt;0,TRIM(CONCATENATE("["&amp;R199&amp;"](",S199,") ",IF(LEN(T199)&gt;0,"- "&amp;T199,T199))),"")</f>
        <v/>
      </c>
      <c r="AA199" s="120" t="str">
        <f t="shared" ref="AA199:AA262" si="29">IF(LEN(X199)&gt;0,"* "&amp;X199&amp;CHAR(10),"")&amp;
IF(LEN(Y199)&gt;0,"* "&amp;Y199&amp;CHAR(10),"")&amp;
IF(LEN(Z199)&gt;0,"* "&amp;Z199&amp;CHAR(10),"")</f>
        <v/>
      </c>
      <c r="AB199" s="117" t="str">
        <f t="shared" ref="AB199:AB262" si="30">IF(LEN(AA199)&gt;0,concatl("#### More Information",AA199),"")</f>
        <v/>
      </c>
      <c r="AC199" s="117" t="str">
        <f>IF(LEN(J199)&gt;1,concatll("#### Author's Note",J199,"-"&amp;B199),"")</f>
        <v/>
      </c>
      <c r="AD199" s="117" t="str">
        <f>IF(LEN(K199)&gt;1,concatll("#### Dedication",K199,"-"&amp;$B199),"")</f>
        <v/>
      </c>
      <c r="CA199" s="6" t="str">
        <f>IF(V199,concatll(concatl("---",W199,"---"),"*A collection of sites associated with this topic.*","#### Background",I199,AB199,AC199,AD199),"")</f>
        <v xml:space="preserve">---_x000D_
title: "Solomon Islands"_x000D_
---_x000D_
_x000D_
_x000D_
*A collection of sites associated with this topic.*_x000D_
_x000D_
#### Background_x000D_
_x000D_
Catholic places of interest in the Solomon Islands_x000D_
_x000D_
</v>
      </c>
      <c r="CB199" s="6" t="str">
        <f t="shared" ref="CB199:CB262" si="31">IF(V199,"tags\"&amp;F199&amp;"\_index.md","")</f>
        <v>tags\sb\_index.md</v>
      </c>
    </row>
    <row r="200" spans="1:80" x14ac:dyDescent="0.25">
      <c r="A200" s="129" t="s">
        <v>786</v>
      </c>
      <c r="C200" s="1" t="s">
        <v>377</v>
      </c>
      <c r="D200" s="7" t="s">
        <v>644</v>
      </c>
      <c r="E200" s="7" t="s">
        <v>644</v>
      </c>
      <c r="F200" s="33" t="s">
        <v>644</v>
      </c>
      <c r="G200" s="7" t="s">
        <v>377</v>
      </c>
      <c r="I200" s="153" t="s">
        <v>2208</v>
      </c>
      <c r="L200" s="154" t="s">
        <v>53</v>
      </c>
      <c r="M200" s="154" t="s">
        <v>53</v>
      </c>
      <c r="N200" s="151" t="s">
        <v>53</v>
      </c>
      <c r="O200" s="40" t="s">
        <v>53</v>
      </c>
      <c r="P200" s="1" t="s">
        <v>53</v>
      </c>
      <c r="Q200" s="44" t="s">
        <v>53</v>
      </c>
      <c r="R200" s="1" t="s">
        <v>53</v>
      </c>
      <c r="S200" s="1" t="s">
        <v>53</v>
      </c>
      <c r="T200" s="30" t="s">
        <v>53</v>
      </c>
      <c r="U200" s="121" t="s">
        <v>53</v>
      </c>
      <c r="V200" s="116" t="b">
        <f t="shared" si="24"/>
        <v>1</v>
      </c>
      <c r="W200" s="117" t="str">
        <f t="shared" si="25"/>
        <v>title: "Seychelles"</v>
      </c>
      <c r="X200" s="120" t="str">
        <f t="shared" si="26"/>
        <v/>
      </c>
      <c r="Y200" s="120" t="str">
        <f t="shared" si="27"/>
        <v/>
      </c>
      <c r="Z200" s="120" t="str">
        <f t="shared" si="28"/>
        <v/>
      </c>
      <c r="AA200" s="120" t="str">
        <f t="shared" si="29"/>
        <v/>
      </c>
      <c r="AB200" s="117" t="str">
        <f t="shared" si="30"/>
        <v/>
      </c>
      <c r="AC200" s="117" t="str">
        <f>IF(LEN(J200)&gt;1,concatll("#### Author's Note",J200,"-"&amp;B200),"")</f>
        <v/>
      </c>
      <c r="AD200" s="117" t="str">
        <f>IF(LEN(K200)&gt;1,concatll("#### Dedication",K200,"-"&amp;$B200),"")</f>
        <v/>
      </c>
      <c r="CA200" s="6" t="str">
        <f>IF(V200,concatll(concatl("---",W200,"---"),"*A collection of sites associated with this topic.*","#### Background",I200,AB200,AC200,AD200),"")</f>
        <v xml:space="preserve">---_x000D_
title: "Seychelles"_x000D_
---_x000D_
_x000D_
_x000D_
*A collection of sites associated with this topic.*_x000D_
_x000D_
#### Background_x000D_
_x000D_
Catholic places of interest in the Seychelles_x000D_
_x000D_
</v>
      </c>
      <c r="CB200" s="6" t="str">
        <f t="shared" si="31"/>
        <v>tags\sc\_index.md</v>
      </c>
    </row>
    <row r="201" spans="1:80" x14ac:dyDescent="0.25">
      <c r="A201" s="129" t="s">
        <v>786</v>
      </c>
      <c r="C201" s="1" t="s">
        <v>378</v>
      </c>
      <c r="D201" s="7" t="s">
        <v>645</v>
      </c>
      <c r="E201" s="7" t="s">
        <v>645</v>
      </c>
      <c r="F201" s="33" t="s">
        <v>645</v>
      </c>
      <c r="G201" s="7" t="s">
        <v>378</v>
      </c>
      <c r="I201" s="153" t="s">
        <v>2088</v>
      </c>
      <c r="L201" s="154" t="s">
        <v>53</v>
      </c>
      <c r="M201" s="154" t="s">
        <v>53</v>
      </c>
      <c r="N201" s="151" t="s">
        <v>53</v>
      </c>
      <c r="O201" s="40" t="s">
        <v>53</v>
      </c>
      <c r="P201" s="1" t="s">
        <v>53</v>
      </c>
      <c r="Q201" s="44" t="s">
        <v>53</v>
      </c>
      <c r="R201" s="1" t="s">
        <v>53</v>
      </c>
      <c r="S201" s="1" t="s">
        <v>53</v>
      </c>
      <c r="T201" s="30" t="s">
        <v>53</v>
      </c>
      <c r="U201" s="121" t="s">
        <v>53</v>
      </c>
      <c r="V201" s="116" t="b">
        <f t="shared" si="24"/>
        <v>1</v>
      </c>
      <c r="W201" s="117" t="str">
        <f t="shared" si="25"/>
        <v>title: "Sudan"</v>
      </c>
      <c r="X201" s="120" t="str">
        <f t="shared" si="26"/>
        <v/>
      </c>
      <c r="Y201" s="120" t="str">
        <f t="shared" si="27"/>
        <v/>
      </c>
      <c r="Z201" s="120" t="str">
        <f t="shared" si="28"/>
        <v/>
      </c>
      <c r="AA201" s="120" t="str">
        <f t="shared" si="29"/>
        <v/>
      </c>
      <c r="AB201" s="117" t="str">
        <f t="shared" si="30"/>
        <v/>
      </c>
      <c r="AC201" s="117" t="str">
        <f>IF(LEN(J201)&gt;1,concatll("#### Author's Note",J201,"-"&amp;B201),"")</f>
        <v/>
      </c>
      <c r="AD201" s="117" t="str">
        <f>IF(LEN(K201)&gt;1,concatll("#### Dedication",K201,"-"&amp;$B201),"")</f>
        <v/>
      </c>
      <c r="CA201" s="6" t="str">
        <f>IF(V201,concatll(concatl("---",W201,"---"),"*A collection of sites associated with this topic.*","#### Background",I201,AB201,AC201,AD201),"")</f>
        <v xml:space="preserve">---_x000D_
title: "Sudan"_x000D_
---_x000D_
_x000D_
_x000D_
*A collection of sites associated with this topic.*_x000D_
_x000D_
#### Background_x000D_
_x000D_
Catholic places of interest in Sudan_x000D_
_x000D_
</v>
      </c>
      <c r="CB201" s="6" t="str">
        <f t="shared" si="31"/>
        <v>tags\sd\_index.md</v>
      </c>
    </row>
    <row r="202" spans="1:80" x14ac:dyDescent="0.25">
      <c r="A202" s="129" t="s">
        <v>786</v>
      </c>
      <c r="C202" s="1" t="s">
        <v>379</v>
      </c>
      <c r="D202" s="7" t="s">
        <v>646</v>
      </c>
      <c r="E202" s="7" t="s">
        <v>646</v>
      </c>
      <c r="F202" s="33" t="s">
        <v>646</v>
      </c>
      <c r="G202" s="7" t="s">
        <v>379</v>
      </c>
      <c r="I202" s="153" t="s">
        <v>2089</v>
      </c>
      <c r="L202" s="154" t="s">
        <v>53</v>
      </c>
      <c r="M202" s="154" t="s">
        <v>53</v>
      </c>
      <c r="N202" s="151" t="s">
        <v>53</v>
      </c>
      <c r="O202" s="40" t="s">
        <v>53</v>
      </c>
      <c r="P202" s="1" t="s">
        <v>53</v>
      </c>
      <c r="Q202" s="44" t="s">
        <v>53</v>
      </c>
      <c r="R202" s="1" t="s">
        <v>53</v>
      </c>
      <c r="S202" s="1" t="s">
        <v>53</v>
      </c>
      <c r="T202" s="30" t="s">
        <v>53</v>
      </c>
      <c r="U202" s="121" t="s">
        <v>53</v>
      </c>
      <c r="V202" s="116" t="b">
        <f t="shared" si="24"/>
        <v>1</v>
      </c>
      <c r="W202" s="117" t="str">
        <f t="shared" si="25"/>
        <v>title: "Sweden"</v>
      </c>
      <c r="X202" s="120" t="str">
        <f t="shared" si="26"/>
        <v/>
      </c>
      <c r="Y202" s="120" t="str">
        <f t="shared" si="27"/>
        <v/>
      </c>
      <c r="Z202" s="120" t="str">
        <f t="shared" si="28"/>
        <v/>
      </c>
      <c r="AA202" s="120" t="str">
        <f t="shared" si="29"/>
        <v/>
      </c>
      <c r="AB202" s="117" t="str">
        <f t="shared" si="30"/>
        <v/>
      </c>
      <c r="AC202" s="117" t="str">
        <f>IF(LEN(J202)&gt;1,concatll("#### Author's Note",J202,"-"&amp;B202),"")</f>
        <v/>
      </c>
      <c r="AD202" s="117" t="str">
        <f>IF(LEN(K202)&gt;1,concatll("#### Dedication",K202,"-"&amp;$B202),"")</f>
        <v/>
      </c>
      <c r="CA202" s="6" t="str">
        <f>IF(V202,concatll(concatl("---",W202,"---"),"*A collection of sites associated with this topic.*","#### Background",I202,AB202,AC202,AD202),"")</f>
        <v xml:space="preserve">---_x000D_
title: "Sweden"_x000D_
---_x000D_
_x000D_
_x000D_
*A collection of sites associated with this topic.*_x000D_
_x000D_
#### Background_x000D_
_x000D_
Catholic places of interest in Sweden_x000D_
_x000D_
</v>
      </c>
      <c r="CB202" s="6" t="str">
        <f t="shared" si="31"/>
        <v>tags\se\_index.md</v>
      </c>
    </row>
    <row r="203" spans="1:80" x14ac:dyDescent="0.25">
      <c r="A203" s="129" t="s">
        <v>786</v>
      </c>
      <c r="C203" s="1" t="s">
        <v>380</v>
      </c>
      <c r="D203" s="7" t="s">
        <v>647</v>
      </c>
      <c r="E203" s="7" t="s">
        <v>647</v>
      </c>
      <c r="F203" s="33" t="s">
        <v>647</v>
      </c>
      <c r="G203" s="7" t="s">
        <v>380</v>
      </c>
      <c r="I203" s="153" t="s">
        <v>2090</v>
      </c>
      <c r="L203" s="154" t="s">
        <v>53</v>
      </c>
      <c r="M203" s="154" t="s">
        <v>53</v>
      </c>
      <c r="N203" s="151" t="s">
        <v>53</v>
      </c>
      <c r="O203" s="40" t="s">
        <v>53</v>
      </c>
      <c r="P203" s="1" t="s">
        <v>53</v>
      </c>
      <c r="Q203" s="44" t="s">
        <v>53</v>
      </c>
      <c r="R203" s="1" t="s">
        <v>53</v>
      </c>
      <c r="S203" s="1" t="s">
        <v>53</v>
      </c>
      <c r="T203" s="30" t="s">
        <v>53</v>
      </c>
      <c r="U203" s="121" t="s">
        <v>53</v>
      </c>
      <c r="V203" s="116" t="b">
        <f t="shared" si="24"/>
        <v>1</v>
      </c>
      <c r="W203" s="117" t="str">
        <f t="shared" si="25"/>
        <v>title: "Singapore"</v>
      </c>
      <c r="X203" s="120" t="str">
        <f t="shared" si="26"/>
        <v/>
      </c>
      <c r="Y203" s="120" t="str">
        <f t="shared" si="27"/>
        <v/>
      </c>
      <c r="Z203" s="120" t="str">
        <f t="shared" si="28"/>
        <v/>
      </c>
      <c r="AA203" s="120" t="str">
        <f t="shared" si="29"/>
        <v/>
      </c>
      <c r="AB203" s="117" t="str">
        <f t="shared" si="30"/>
        <v/>
      </c>
      <c r="AC203" s="117" t="str">
        <f>IF(LEN(J203)&gt;1,concatll("#### Author's Note",J203,"-"&amp;B203),"")</f>
        <v/>
      </c>
      <c r="AD203" s="117" t="str">
        <f>IF(LEN(K203)&gt;1,concatll("#### Dedication",K203,"-"&amp;$B203),"")</f>
        <v/>
      </c>
      <c r="CA203" s="6" t="str">
        <f>IF(V203,concatll(concatl("---",W203,"---"),"*A collection of sites associated with this topic.*","#### Background",I203,AB203,AC203,AD203),"")</f>
        <v xml:space="preserve">---_x000D_
title: "Singapore"_x000D_
---_x000D_
_x000D_
_x000D_
*A collection of sites associated with this topic.*_x000D_
_x000D_
#### Background_x000D_
_x000D_
Catholic places of interest in Singapore_x000D_
_x000D_
</v>
      </c>
      <c r="CB203" s="6" t="str">
        <f t="shared" si="31"/>
        <v>tags\sg\_index.md</v>
      </c>
    </row>
    <row r="204" spans="1:80" x14ac:dyDescent="0.25">
      <c r="A204" s="129" t="s">
        <v>786</v>
      </c>
      <c r="C204" s="1" t="s">
        <v>381</v>
      </c>
      <c r="D204" s="7" t="s">
        <v>648</v>
      </c>
      <c r="E204" s="7" t="s">
        <v>648</v>
      </c>
      <c r="F204" s="33" t="s">
        <v>648</v>
      </c>
      <c r="G204" s="7" t="s">
        <v>381</v>
      </c>
      <c r="I204" s="153" t="s">
        <v>2091</v>
      </c>
      <c r="L204" s="154" t="s">
        <v>53</v>
      </c>
      <c r="M204" s="154" t="s">
        <v>53</v>
      </c>
      <c r="N204" s="151" t="s">
        <v>53</v>
      </c>
      <c r="O204" s="40" t="s">
        <v>53</v>
      </c>
      <c r="P204" s="1" t="s">
        <v>53</v>
      </c>
      <c r="Q204" s="44" t="s">
        <v>53</v>
      </c>
      <c r="R204" s="1" t="s">
        <v>53</v>
      </c>
      <c r="S204" s="1" t="s">
        <v>53</v>
      </c>
      <c r="T204" s="30" t="s">
        <v>53</v>
      </c>
      <c r="U204" s="121" t="s">
        <v>53</v>
      </c>
      <c r="V204" s="116" t="b">
        <f t="shared" si="24"/>
        <v>1</v>
      </c>
      <c r="W204" s="117" t="str">
        <f t="shared" si="25"/>
        <v>title: "Saint Helena, Ascension and Tristan da Cunha"</v>
      </c>
      <c r="X204" s="120" t="str">
        <f t="shared" si="26"/>
        <v/>
      </c>
      <c r="Y204" s="120" t="str">
        <f t="shared" si="27"/>
        <v/>
      </c>
      <c r="Z204" s="120" t="str">
        <f t="shared" si="28"/>
        <v/>
      </c>
      <c r="AA204" s="120" t="str">
        <f t="shared" si="29"/>
        <v/>
      </c>
      <c r="AB204" s="117" t="str">
        <f t="shared" si="30"/>
        <v/>
      </c>
      <c r="AC204" s="117" t="str">
        <f>IF(LEN(J204)&gt;1,concatll("#### Author's Note",J204,"-"&amp;B204),"")</f>
        <v/>
      </c>
      <c r="AD204" s="117" t="str">
        <f>IF(LEN(K204)&gt;1,concatll("#### Dedication",K204,"-"&amp;$B204),"")</f>
        <v/>
      </c>
      <c r="CA204" s="6" t="str">
        <f>IF(V204,concatll(concatl("---",W204,"---"),"*A collection of sites associated with this topic.*","#### Background",I204,AB204,AC204,AD204),"")</f>
        <v xml:space="preserve">---_x000D_
title: "Saint Helena, Ascension and Tristan da Cunha"_x000D_
---_x000D_
_x000D_
_x000D_
*A collection of sites associated with this topic.*_x000D_
_x000D_
#### Background_x000D_
_x000D_
Catholic places of interest in Saint Helena, Ascension and Tristan da Cunha_x000D_
_x000D_
</v>
      </c>
      <c r="CB204" s="6" t="str">
        <f t="shared" si="31"/>
        <v>tags\sh\_index.md</v>
      </c>
    </row>
    <row r="205" spans="1:80" x14ac:dyDescent="0.25">
      <c r="A205" s="129" t="s">
        <v>786</v>
      </c>
      <c r="C205" s="1" t="s">
        <v>382</v>
      </c>
      <c r="D205" s="7" t="s">
        <v>649</v>
      </c>
      <c r="E205" s="7" t="s">
        <v>649</v>
      </c>
      <c r="F205" s="33" t="s">
        <v>649</v>
      </c>
      <c r="G205" s="7" t="s">
        <v>382</v>
      </c>
      <c r="I205" s="153" t="s">
        <v>2092</v>
      </c>
      <c r="L205" s="154" t="s">
        <v>53</v>
      </c>
      <c r="M205" s="154" t="s">
        <v>53</v>
      </c>
      <c r="N205" s="151" t="s">
        <v>53</v>
      </c>
      <c r="O205" s="40" t="s">
        <v>53</v>
      </c>
      <c r="P205" s="1" t="s">
        <v>53</v>
      </c>
      <c r="Q205" s="44" t="s">
        <v>53</v>
      </c>
      <c r="R205" s="1" t="s">
        <v>53</v>
      </c>
      <c r="S205" s="1" t="s">
        <v>53</v>
      </c>
      <c r="T205" s="30" t="s">
        <v>53</v>
      </c>
      <c r="U205" s="121" t="s">
        <v>53</v>
      </c>
      <c r="V205" s="116" t="b">
        <f t="shared" si="24"/>
        <v>1</v>
      </c>
      <c r="W205" s="117" t="str">
        <f t="shared" si="25"/>
        <v>title: "Slovenia"</v>
      </c>
      <c r="X205" s="120" t="str">
        <f t="shared" si="26"/>
        <v/>
      </c>
      <c r="Y205" s="120" t="str">
        <f t="shared" si="27"/>
        <v/>
      </c>
      <c r="Z205" s="120" t="str">
        <f t="shared" si="28"/>
        <v/>
      </c>
      <c r="AA205" s="120" t="str">
        <f t="shared" si="29"/>
        <v/>
      </c>
      <c r="AB205" s="117" t="str">
        <f t="shared" si="30"/>
        <v/>
      </c>
      <c r="AC205" s="117" t="str">
        <f>IF(LEN(J205)&gt;1,concatll("#### Author's Note",J205,"-"&amp;B205),"")</f>
        <v/>
      </c>
      <c r="AD205" s="117" t="str">
        <f>IF(LEN(K205)&gt;1,concatll("#### Dedication",K205,"-"&amp;$B205),"")</f>
        <v/>
      </c>
      <c r="CA205" s="6" t="str">
        <f>IF(V205,concatll(concatl("---",W205,"---"),"*A collection of sites associated with this topic.*","#### Background",I205,AB205,AC205,AD205),"")</f>
        <v xml:space="preserve">---_x000D_
title: "Slovenia"_x000D_
---_x000D_
_x000D_
_x000D_
*A collection of sites associated with this topic.*_x000D_
_x000D_
#### Background_x000D_
_x000D_
Catholic places of interest in Slovenia_x000D_
_x000D_
</v>
      </c>
      <c r="CB205" s="6" t="str">
        <f t="shared" si="31"/>
        <v>tags\si\_index.md</v>
      </c>
    </row>
    <row r="206" spans="1:80" x14ac:dyDescent="0.25">
      <c r="A206" s="129" t="s">
        <v>786</v>
      </c>
      <c r="C206" s="1" t="s">
        <v>383</v>
      </c>
      <c r="D206" s="7" t="s">
        <v>650</v>
      </c>
      <c r="E206" s="7" t="s">
        <v>650</v>
      </c>
      <c r="F206" s="33" t="s">
        <v>650</v>
      </c>
      <c r="G206" s="7" t="s">
        <v>383</v>
      </c>
      <c r="I206" s="153" t="s">
        <v>2093</v>
      </c>
      <c r="L206" s="154" t="s">
        <v>53</v>
      </c>
      <c r="M206" s="154" t="s">
        <v>53</v>
      </c>
      <c r="N206" s="151" t="s">
        <v>53</v>
      </c>
      <c r="O206" s="40" t="s">
        <v>53</v>
      </c>
      <c r="P206" s="1" t="s">
        <v>53</v>
      </c>
      <c r="Q206" s="44" t="s">
        <v>53</v>
      </c>
      <c r="R206" s="1" t="s">
        <v>53</v>
      </c>
      <c r="S206" s="1" t="s">
        <v>53</v>
      </c>
      <c r="T206" s="30" t="s">
        <v>53</v>
      </c>
      <c r="U206" s="121" t="s">
        <v>53</v>
      </c>
      <c r="V206" s="116" t="b">
        <f t="shared" si="24"/>
        <v>1</v>
      </c>
      <c r="W206" s="117" t="str">
        <f t="shared" si="25"/>
        <v>title: "Svalbard and Jan Mayen"</v>
      </c>
      <c r="X206" s="120" t="str">
        <f t="shared" si="26"/>
        <v/>
      </c>
      <c r="Y206" s="120" t="str">
        <f t="shared" si="27"/>
        <v/>
      </c>
      <c r="Z206" s="120" t="str">
        <f t="shared" si="28"/>
        <v/>
      </c>
      <c r="AA206" s="120" t="str">
        <f t="shared" si="29"/>
        <v/>
      </c>
      <c r="AB206" s="117" t="str">
        <f t="shared" si="30"/>
        <v/>
      </c>
      <c r="AC206" s="117" t="str">
        <f>IF(LEN(J206)&gt;1,concatll("#### Author's Note",J206,"-"&amp;B206),"")</f>
        <v/>
      </c>
      <c r="AD206" s="117" t="str">
        <f>IF(LEN(K206)&gt;1,concatll("#### Dedication",K206,"-"&amp;$B206),"")</f>
        <v/>
      </c>
      <c r="CA206" s="6" t="str">
        <f>IF(V206,concatll(concatl("---",W206,"---"),"*A collection of sites associated with this topic.*","#### Background",I206,AB206,AC206,AD206),"")</f>
        <v xml:space="preserve">---_x000D_
title: "Svalbard and Jan Mayen"_x000D_
---_x000D_
_x000D_
_x000D_
*A collection of sites associated with this topic.*_x000D_
_x000D_
#### Background_x000D_
_x000D_
Catholic places of interest in Svalbard and Jan Mayen_x000D_
_x000D_
</v>
      </c>
      <c r="CB206" s="6" t="str">
        <f t="shared" si="31"/>
        <v>tags\sj\_index.md</v>
      </c>
    </row>
    <row r="207" spans="1:80" x14ac:dyDescent="0.25">
      <c r="A207" s="129" t="s">
        <v>786</v>
      </c>
      <c r="C207" s="1" t="s">
        <v>384</v>
      </c>
      <c r="D207" s="7" t="s">
        <v>651</v>
      </c>
      <c r="E207" s="7" t="s">
        <v>651</v>
      </c>
      <c r="F207" s="33" t="s">
        <v>651</v>
      </c>
      <c r="G207" s="7" t="s">
        <v>384</v>
      </c>
      <c r="I207" s="153" t="s">
        <v>2094</v>
      </c>
      <c r="L207" s="154" t="s">
        <v>53</v>
      </c>
      <c r="M207" s="154" t="s">
        <v>53</v>
      </c>
      <c r="N207" s="151" t="s">
        <v>53</v>
      </c>
      <c r="O207" s="40" t="s">
        <v>53</v>
      </c>
      <c r="P207" s="1" t="s">
        <v>53</v>
      </c>
      <c r="Q207" s="44" t="s">
        <v>53</v>
      </c>
      <c r="R207" s="1" t="s">
        <v>53</v>
      </c>
      <c r="S207" s="1" t="s">
        <v>53</v>
      </c>
      <c r="T207" s="30" t="s">
        <v>53</v>
      </c>
      <c r="U207" s="121" t="s">
        <v>53</v>
      </c>
      <c r="V207" s="116" t="b">
        <f t="shared" si="24"/>
        <v>1</v>
      </c>
      <c r="W207" s="117" t="str">
        <f t="shared" si="25"/>
        <v>title: "Slovakia"</v>
      </c>
      <c r="X207" s="120" t="str">
        <f t="shared" si="26"/>
        <v/>
      </c>
      <c r="Y207" s="120" t="str">
        <f t="shared" si="27"/>
        <v/>
      </c>
      <c r="Z207" s="120" t="str">
        <f t="shared" si="28"/>
        <v/>
      </c>
      <c r="AA207" s="120" t="str">
        <f t="shared" si="29"/>
        <v/>
      </c>
      <c r="AB207" s="117" t="str">
        <f t="shared" si="30"/>
        <v/>
      </c>
      <c r="AC207" s="117" t="str">
        <f>IF(LEN(J207)&gt;1,concatll("#### Author's Note",J207,"-"&amp;B207),"")</f>
        <v/>
      </c>
      <c r="AD207" s="117" t="str">
        <f>IF(LEN(K207)&gt;1,concatll("#### Dedication",K207,"-"&amp;$B207),"")</f>
        <v/>
      </c>
      <c r="CA207" s="6" t="str">
        <f>IF(V207,concatll(concatl("---",W207,"---"),"*A collection of sites associated with this topic.*","#### Background",I207,AB207,AC207,AD207),"")</f>
        <v xml:space="preserve">---_x000D_
title: "Slovakia"_x000D_
---_x000D_
_x000D_
_x000D_
*A collection of sites associated with this topic.*_x000D_
_x000D_
#### Background_x000D_
_x000D_
Catholic places of interest in Slovakia_x000D_
_x000D_
</v>
      </c>
      <c r="CB207" s="6" t="str">
        <f t="shared" si="31"/>
        <v>tags\sk\_index.md</v>
      </c>
    </row>
    <row r="208" spans="1:80" x14ac:dyDescent="0.25">
      <c r="A208" s="129" t="s">
        <v>786</v>
      </c>
      <c r="C208" s="1" t="s">
        <v>385</v>
      </c>
      <c r="D208" s="7" t="s">
        <v>652</v>
      </c>
      <c r="E208" s="7" t="s">
        <v>652</v>
      </c>
      <c r="F208" s="33" t="s">
        <v>652</v>
      </c>
      <c r="G208" s="7" t="s">
        <v>385</v>
      </c>
      <c r="I208" s="153" t="s">
        <v>2095</v>
      </c>
      <c r="L208" s="154" t="s">
        <v>53</v>
      </c>
      <c r="M208" s="154" t="s">
        <v>53</v>
      </c>
      <c r="N208" s="151" t="s">
        <v>53</v>
      </c>
      <c r="O208" s="40" t="s">
        <v>53</v>
      </c>
      <c r="P208" s="1" t="s">
        <v>53</v>
      </c>
      <c r="Q208" s="44" t="s">
        <v>53</v>
      </c>
      <c r="R208" s="1" t="s">
        <v>53</v>
      </c>
      <c r="S208" s="1" t="s">
        <v>53</v>
      </c>
      <c r="T208" s="30" t="s">
        <v>53</v>
      </c>
      <c r="U208" s="121" t="s">
        <v>53</v>
      </c>
      <c r="V208" s="116" t="b">
        <f t="shared" si="24"/>
        <v>1</v>
      </c>
      <c r="W208" s="117" t="str">
        <f t="shared" si="25"/>
        <v>title: "Sierra Leone"</v>
      </c>
      <c r="X208" s="120" t="str">
        <f t="shared" si="26"/>
        <v/>
      </c>
      <c r="Y208" s="120" t="str">
        <f t="shared" si="27"/>
        <v/>
      </c>
      <c r="Z208" s="120" t="str">
        <f t="shared" si="28"/>
        <v/>
      </c>
      <c r="AA208" s="120" t="str">
        <f t="shared" si="29"/>
        <v/>
      </c>
      <c r="AB208" s="117" t="str">
        <f t="shared" si="30"/>
        <v/>
      </c>
      <c r="AC208" s="117" t="str">
        <f>IF(LEN(J208)&gt;1,concatll("#### Author's Note",J208,"-"&amp;B208),"")</f>
        <v/>
      </c>
      <c r="AD208" s="117" t="str">
        <f>IF(LEN(K208)&gt;1,concatll("#### Dedication",K208,"-"&amp;$B208),"")</f>
        <v/>
      </c>
      <c r="CA208" s="6" t="str">
        <f>IF(V208,concatll(concatl("---",W208,"---"),"*A collection of sites associated with this topic.*","#### Background",I208,AB208,AC208,AD208),"")</f>
        <v xml:space="preserve">---_x000D_
title: "Sierra Leone"_x000D_
---_x000D_
_x000D_
_x000D_
*A collection of sites associated with this topic.*_x000D_
_x000D_
#### Background_x000D_
_x000D_
Catholic places of interest in Sierra Leone_x000D_
_x000D_
</v>
      </c>
      <c r="CB208" s="6" t="str">
        <f t="shared" si="31"/>
        <v>tags\sl\_index.md</v>
      </c>
    </row>
    <row r="209" spans="1:80" x14ac:dyDescent="0.25">
      <c r="A209" s="129" t="s">
        <v>786</v>
      </c>
      <c r="C209" s="1" t="s">
        <v>386</v>
      </c>
      <c r="D209" s="7" t="s">
        <v>653</v>
      </c>
      <c r="E209" s="7" t="s">
        <v>653</v>
      </c>
      <c r="F209" s="33" t="s">
        <v>653</v>
      </c>
      <c r="G209" s="7" t="s">
        <v>386</v>
      </c>
      <c r="I209" s="153" t="s">
        <v>2096</v>
      </c>
      <c r="L209" s="154" t="s">
        <v>53</v>
      </c>
      <c r="M209" s="154" t="s">
        <v>53</v>
      </c>
      <c r="N209" s="151" t="s">
        <v>53</v>
      </c>
      <c r="O209" s="40" t="s">
        <v>53</v>
      </c>
      <c r="P209" s="1" t="s">
        <v>53</v>
      </c>
      <c r="Q209" s="44" t="s">
        <v>53</v>
      </c>
      <c r="R209" s="1" t="s">
        <v>53</v>
      </c>
      <c r="S209" s="1" t="s">
        <v>53</v>
      </c>
      <c r="T209" s="30" t="s">
        <v>53</v>
      </c>
      <c r="U209" s="121" t="s">
        <v>53</v>
      </c>
      <c r="V209" s="116" t="b">
        <f t="shared" si="24"/>
        <v>1</v>
      </c>
      <c r="W209" s="117" t="str">
        <f t="shared" si="25"/>
        <v>title: "San Marino"</v>
      </c>
      <c r="X209" s="120" t="str">
        <f t="shared" si="26"/>
        <v/>
      </c>
      <c r="Y209" s="120" t="str">
        <f t="shared" si="27"/>
        <v/>
      </c>
      <c r="Z209" s="120" t="str">
        <f t="shared" si="28"/>
        <v/>
      </c>
      <c r="AA209" s="120" t="str">
        <f t="shared" si="29"/>
        <v/>
      </c>
      <c r="AB209" s="117" t="str">
        <f t="shared" si="30"/>
        <v/>
      </c>
      <c r="AC209" s="117" t="str">
        <f>IF(LEN(J209)&gt;1,concatll("#### Author's Note",J209,"-"&amp;B209),"")</f>
        <v/>
      </c>
      <c r="AD209" s="117" t="str">
        <f>IF(LEN(K209)&gt;1,concatll("#### Dedication",K209,"-"&amp;$B209),"")</f>
        <v/>
      </c>
      <c r="CA209" s="6" t="str">
        <f>IF(V209,concatll(concatl("---",W209,"---"),"*A collection of sites associated with this topic.*","#### Background",I209,AB209,AC209,AD209),"")</f>
        <v xml:space="preserve">---_x000D_
title: "San Marino"_x000D_
---_x000D_
_x000D_
_x000D_
*A collection of sites associated with this topic.*_x000D_
_x000D_
#### Background_x000D_
_x000D_
Catholic places of interest in San Marino_x000D_
_x000D_
</v>
      </c>
      <c r="CB209" s="6" t="str">
        <f t="shared" si="31"/>
        <v>tags\sm\_index.md</v>
      </c>
    </row>
    <row r="210" spans="1:80" x14ac:dyDescent="0.25">
      <c r="A210" s="129" t="s">
        <v>786</v>
      </c>
      <c r="C210" s="1" t="s">
        <v>387</v>
      </c>
      <c r="D210" s="7" t="s">
        <v>654</v>
      </c>
      <c r="E210" s="7" t="s">
        <v>654</v>
      </c>
      <c r="F210" s="33" t="s">
        <v>654</v>
      </c>
      <c r="G210" s="7" t="s">
        <v>387</v>
      </c>
      <c r="I210" s="153" t="s">
        <v>2097</v>
      </c>
      <c r="L210" s="154" t="s">
        <v>53</v>
      </c>
      <c r="M210" s="154" t="s">
        <v>53</v>
      </c>
      <c r="N210" s="151" t="s">
        <v>53</v>
      </c>
      <c r="O210" s="40" t="s">
        <v>53</v>
      </c>
      <c r="P210" s="1" t="s">
        <v>53</v>
      </c>
      <c r="Q210" s="44" t="s">
        <v>53</v>
      </c>
      <c r="R210" s="1" t="s">
        <v>53</v>
      </c>
      <c r="S210" s="1" t="s">
        <v>53</v>
      </c>
      <c r="T210" s="30" t="s">
        <v>53</v>
      </c>
      <c r="U210" s="121" t="s">
        <v>53</v>
      </c>
      <c r="V210" s="116" t="b">
        <f t="shared" si="24"/>
        <v>1</v>
      </c>
      <c r="W210" s="117" t="str">
        <f t="shared" si="25"/>
        <v>title: "Senegal"</v>
      </c>
      <c r="X210" s="120" t="str">
        <f t="shared" si="26"/>
        <v/>
      </c>
      <c r="Y210" s="120" t="str">
        <f t="shared" si="27"/>
        <v/>
      </c>
      <c r="Z210" s="120" t="str">
        <f t="shared" si="28"/>
        <v/>
      </c>
      <c r="AA210" s="120" t="str">
        <f t="shared" si="29"/>
        <v/>
      </c>
      <c r="AB210" s="117" t="str">
        <f t="shared" si="30"/>
        <v/>
      </c>
      <c r="AC210" s="117" t="str">
        <f>IF(LEN(J210)&gt;1,concatll("#### Author's Note",J210,"-"&amp;B210),"")</f>
        <v/>
      </c>
      <c r="AD210" s="117" t="str">
        <f>IF(LEN(K210)&gt;1,concatll("#### Dedication",K210,"-"&amp;$B210),"")</f>
        <v/>
      </c>
      <c r="CA210" s="6" t="str">
        <f>IF(V210,concatll(concatl("---",W210,"---"),"*A collection of sites associated with this topic.*","#### Background",I210,AB210,AC210,AD210),"")</f>
        <v xml:space="preserve">---_x000D_
title: "Senegal"_x000D_
---_x000D_
_x000D_
_x000D_
*A collection of sites associated with this topic.*_x000D_
_x000D_
#### Background_x000D_
_x000D_
Catholic places of interest in Senegal_x000D_
_x000D_
</v>
      </c>
      <c r="CB210" s="6" t="str">
        <f t="shared" si="31"/>
        <v>tags\sn\_index.md</v>
      </c>
    </row>
    <row r="211" spans="1:80" x14ac:dyDescent="0.25">
      <c r="A211" s="129" t="s">
        <v>786</v>
      </c>
      <c r="C211" s="1" t="s">
        <v>388</v>
      </c>
      <c r="D211" s="7" t="s">
        <v>655</v>
      </c>
      <c r="E211" s="7" t="s">
        <v>655</v>
      </c>
      <c r="F211" s="33" t="s">
        <v>655</v>
      </c>
      <c r="G211" s="7" t="s">
        <v>388</v>
      </c>
      <c r="I211" s="153" t="s">
        <v>2098</v>
      </c>
      <c r="L211" s="154" t="s">
        <v>53</v>
      </c>
      <c r="M211" s="154" t="s">
        <v>53</v>
      </c>
      <c r="N211" s="151" t="s">
        <v>53</v>
      </c>
      <c r="O211" s="40" t="s">
        <v>53</v>
      </c>
      <c r="P211" s="1" t="s">
        <v>53</v>
      </c>
      <c r="Q211" s="44" t="s">
        <v>53</v>
      </c>
      <c r="R211" s="1" t="s">
        <v>53</v>
      </c>
      <c r="S211" s="1" t="s">
        <v>53</v>
      </c>
      <c r="T211" s="30" t="s">
        <v>53</v>
      </c>
      <c r="U211" s="121" t="s">
        <v>53</v>
      </c>
      <c r="V211" s="116" t="b">
        <f t="shared" si="24"/>
        <v>1</v>
      </c>
      <c r="W211" s="117" t="str">
        <f t="shared" si="25"/>
        <v>title: "Somalia"</v>
      </c>
      <c r="X211" s="120" t="str">
        <f t="shared" si="26"/>
        <v/>
      </c>
      <c r="Y211" s="120" t="str">
        <f t="shared" si="27"/>
        <v/>
      </c>
      <c r="Z211" s="120" t="str">
        <f t="shared" si="28"/>
        <v/>
      </c>
      <c r="AA211" s="120" t="str">
        <f t="shared" si="29"/>
        <v/>
      </c>
      <c r="AB211" s="117" t="str">
        <f t="shared" si="30"/>
        <v/>
      </c>
      <c r="AC211" s="117" t="str">
        <f>IF(LEN(J211)&gt;1,concatll("#### Author's Note",J211,"-"&amp;B211),"")</f>
        <v/>
      </c>
      <c r="AD211" s="117" t="str">
        <f>IF(LEN(K211)&gt;1,concatll("#### Dedication",K211,"-"&amp;$B211),"")</f>
        <v/>
      </c>
      <c r="CA211" s="6" t="str">
        <f>IF(V211,concatll(concatl("---",W211,"---"),"*A collection of sites associated with this topic.*","#### Background",I211,AB211,AC211,AD211),"")</f>
        <v xml:space="preserve">---_x000D_
title: "Somalia"_x000D_
---_x000D_
_x000D_
_x000D_
*A collection of sites associated with this topic.*_x000D_
_x000D_
#### Background_x000D_
_x000D_
Catholic places of interest in Somalia_x000D_
_x000D_
</v>
      </c>
      <c r="CB211" s="6" t="str">
        <f t="shared" si="31"/>
        <v>tags\so\_index.md</v>
      </c>
    </row>
    <row r="212" spans="1:80" x14ac:dyDescent="0.25">
      <c r="A212" s="129" t="s">
        <v>786</v>
      </c>
      <c r="C212" s="1" t="s">
        <v>389</v>
      </c>
      <c r="D212" s="7" t="s">
        <v>656</v>
      </c>
      <c r="E212" s="7" t="s">
        <v>656</v>
      </c>
      <c r="F212" s="33" t="s">
        <v>656</v>
      </c>
      <c r="G212" s="7" t="s">
        <v>389</v>
      </c>
      <c r="I212" s="153" t="s">
        <v>2099</v>
      </c>
      <c r="L212" s="154" t="s">
        <v>53</v>
      </c>
      <c r="M212" s="154" t="s">
        <v>53</v>
      </c>
      <c r="N212" s="151" t="s">
        <v>53</v>
      </c>
      <c r="O212" s="40" t="s">
        <v>53</v>
      </c>
      <c r="P212" s="1" t="s">
        <v>53</v>
      </c>
      <c r="Q212" s="44" t="s">
        <v>53</v>
      </c>
      <c r="R212" s="1" t="s">
        <v>53</v>
      </c>
      <c r="S212" s="1" t="s">
        <v>53</v>
      </c>
      <c r="T212" s="30" t="s">
        <v>53</v>
      </c>
      <c r="U212" s="121" t="s">
        <v>53</v>
      </c>
      <c r="V212" s="116" t="b">
        <f t="shared" si="24"/>
        <v>1</v>
      </c>
      <c r="W212" s="117" t="str">
        <f t="shared" si="25"/>
        <v>title: "Suriname"</v>
      </c>
      <c r="X212" s="120" t="str">
        <f t="shared" si="26"/>
        <v/>
      </c>
      <c r="Y212" s="120" t="str">
        <f t="shared" si="27"/>
        <v/>
      </c>
      <c r="Z212" s="120" t="str">
        <f t="shared" si="28"/>
        <v/>
      </c>
      <c r="AA212" s="120" t="str">
        <f t="shared" si="29"/>
        <v/>
      </c>
      <c r="AB212" s="117" t="str">
        <f t="shared" si="30"/>
        <v/>
      </c>
      <c r="AC212" s="117" t="str">
        <f>IF(LEN(J212)&gt;1,concatll("#### Author's Note",J212,"-"&amp;B212),"")</f>
        <v/>
      </c>
      <c r="AD212" s="117" t="str">
        <f>IF(LEN(K212)&gt;1,concatll("#### Dedication",K212,"-"&amp;$B212),"")</f>
        <v/>
      </c>
      <c r="CA212" s="6" t="str">
        <f>IF(V212,concatll(concatl("---",W212,"---"),"*A collection of sites associated with this topic.*","#### Background",I212,AB212,AC212,AD212),"")</f>
        <v xml:space="preserve">---_x000D_
title: "Suriname"_x000D_
---_x000D_
_x000D_
_x000D_
*A collection of sites associated with this topic.*_x000D_
_x000D_
#### Background_x000D_
_x000D_
Catholic places of interest in Suriname_x000D_
_x000D_
</v>
      </c>
      <c r="CB212" s="6" t="str">
        <f t="shared" si="31"/>
        <v>tags\sr\_index.md</v>
      </c>
    </row>
    <row r="213" spans="1:80" x14ac:dyDescent="0.25">
      <c r="A213" s="129" t="s">
        <v>786</v>
      </c>
      <c r="C213" s="1" t="s">
        <v>390</v>
      </c>
      <c r="D213" s="7" t="s">
        <v>657</v>
      </c>
      <c r="E213" s="7" t="s">
        <v>657</v>
      </c>
      <c r="F213" s="33" t="s">
        <v>657</v>
      </c>
      <c r="G213" s="7" t="s">
        <v>390</v>
      </c>
      <c r="I213" s="153" t="s">
        <v>2100</v>
      </c>
      <c r="L213" s="154" t="s">
        <v>53</v>
      </c>
      <c r="M213" s="154" t="s">
        <v>53</v>
      </c>
      <c r="N213" s="151" t="s">
        <v>53</v>
      </c>
      <c r="O213" s="40" t="s">
        <v>53</v>
      </c>
      <c r="P213" s="1" t="s">
        <v>53</v>
      </c>
      <c r="Q213" s="44" t="s">
        <v>53</v>
      </c>
      <c r="R213" s="1" t="s">
        <v>53</v>
      </c>
      <c r="S213" s="1" t="s">
        <v>53</v>
      </c>
      <c r="T213" s="30" t="s">
        <v>53</v>
      </c>
      <c r="U213" s="121" t="s">
        <v>53</v>
      </c>
      <c r="V213" s="116" t="b">
        <f t="shared" si="24"/>
        <v>1</v>
      </c>
      <c r="W213" s="117" t="str">
        <f t="shared" si="25"/>
        <v>title: "South Sudan"</v>
      </c>
      <c r="X213" s="120" t="str">
        <f t="shared" si="26"/>
        <v/>
      </c>
      <c r="Y213" s="120" t="str">
        <f t="shared" si="27"/>
        <v/>
      </c>
      <c r="Z213" s="120" t="str">
        <f t="shared" si="28"/>
        <v/>
      </c>
      <c r="AA213" s="120" t="str">
        <f t="shared" si="29"/>
        <v/>
      </c>
      <c r="AB213" s="117" t="str">
        <f t="shared" si="30"/>
        <v/>
      </c>
      <c r="AC213" s="117" t="str">
        <f>IF(LEN(J213)&gt;1,concatll("#### Author's Note",J213,"-"&amp;B213),"")</f>
        <v/>
      </c>
      <c r="AD213" s="117" t="str">
        <f>IF(LEN(K213)&gt;1,concatll("#### Dedication",K213,"-"&amp;$B213),"")</f>
        <v/>
      </c>
      <c r="CA213" s="6" t="str">
        <f>IF(V213,concatll(concatl("---",W213,"---"),"*A collection of sites associated with this topic.*","#### Background",I213,AB213,AC213,AD213),"")</f>
        <v xml:space="preserve">---_x000D_
title: "South Sudan"_x000D_
---_x000D_
_x000D_
_x000D_
*A collection of sites associated with this topic.*_x000D_
_x000D_
#### Background_x000D_
_x000D_
Catholic places of interest in South Sudan_x000D_
_x000D_
</v>
      </c>
      <c r="CB213" s="6" t="str">
        <f t="shared" si="31"/>
        <v>tags\ss\_index.md</v>
      </c>
    </row>
    <row r="214" spans="1:80" x14ac:dyDescent="0.25">
      <c r="A214" s="129" t="s">
        <v>786</v>
      </c>
      <c r="C214" s="1" t="s">
        <v>391</v>
      </c>
      <c r="D214" s="7" t="s">
        <v>658</v>
      </c>
      <c r="E214" s="7" t="s">
        <v>658</v>
      </c>
      <c r="F214" s="33" t="s">
        <v>658</v>
      </c>
      <c r="G214" s="7" t="s">
        <v>391</v>
      </c>
      <c r="I214" s="153" t="s">
        <v>2101</v>
      </c>
      <c r="L214" s="154" t="s">
        <v>53</v>
      </c>
      <c r="M214" s="154" t="s">
        <v>53</v>
      </c>
      <c r="N214" s="151" t="s">
        <v>53</v>
      </c>
      <c r="O214" s="40" t="s">
        <v>53</v>
      </c>
      <c r="P214" s="1" t="s">
        <v>53</v>
      </c>
      <c r="Q214" s="44" t="s">
        <v>53</v>
      </c>
      <c r="R214" s="1" t="s">
        <v>53</v>
      </c>
      <c r="S214" s="1" t="s">
        <v>53</v>
      </c>
      <c r="T214" s="30" t="s">
        <v>53</v>
      </c>
      <c r="U214" s="121" t="s">
        <v>53</v>
      </c>
      <c r="V214" s="116" t="b">
        <f t="shared" si="24"/>
        <v>1</v>
      </c>
      <c r="W214" s="117" t="str">
        <f t="shared" si="25"/>
        <v>title: "Sao Tome and Principe"</v>
      </c>
      <c r="X214" s="120" t="str">
        <f t="shared" si="26"/>
        <v/>
      </c>
      <c r="Y214" s="120" t="str">
        <f t="shared" si="27"/>
        <v/>
      </c>
      <c r="Z214" s="120" t="str">
        <f t="shared" si="28"/>
        <v/>
      </c>
      <c r="AA214" s="120" t="str">
        <f t="shared" si="29"/>
        <v/>
      </c>
      <c r="AB214" s="117" t="str">
        <f t="shared" si="30"/>
        <v/>
      </c>
      <c r="AC214" s="117" t="str">
        <f>IF(LEN(J214)&gt;1,concatll("#### Author's Note",J214,"-"&amp;B214),"")</f>
        <v/>
      </c>
      <c r="AD214" s="117" t="str">
        <f>IF(LEN(K214)&gt;1,concatll("#### Dedication",K214,"-"&amp;$B214),"")</f>
        <v/>
      </c>
      <c r="CA214" s="6" t="str">
        <f>IF(V214,concatll(concatl("---",W214,"---"),"*A collection of sites associated with this topic.*","#### Background",I214,AB214,AC214,AD214),"")</f>
        <v xml:space="preserve">---_x000D_
title: "Sao Tome and Principe"_x000D_
---_x000D_
_x000D_
_x000D_
*A collection of sites associated with this topic.*_x000D_
_x000D_
#### Background_x000D_
_x000D_
Catholic places of interest in Sao Tome and Principe_x000D_
_x000D_
</v>
      </c>
      <c r="CB214" s="6" t="str">
        <f t="shared" si="31"/>
        <v>tags\st\_index.md</v>
      </c>
    </row>
    <row r="215" spans="1:80" x14ac:dyDescent="0.25">
      <c r="A215" s="129" t="s">
        <v>786</v>
      </c>
      <c r="C215" s="1" t="s">
        <v>392</v>
      </c>
      <c r="D215" s="7" t="s">
        <v>659</v>
      </c>
      <c r="E215" s="7" t="s">
        <v>659</v>
      </c>
      <c r="F215" s="33" t="s">
        <v>659</v>
      </c>
      <c r="G215" s="7" t="s">
        <v>392</v>
      </c>
      <c r="I215" s="153" t="s">
        <v>2102</v>
      </c>
      <c r="L215" s="154" t="s">
        <v>53</v>
      </c>
      <c r="M215" s="154" t="s">
        <v>53</v>
      </c>
      <c r="N215" s="151" t="s">
        <v>53</v>
      </c>
      <c r="O215" s="40" t="s">
        <v>53</v>
      </c>
      <c r="P215" s="1" t="s">
        <v>53</v>
      </c>
      <c r="Q215" s="44" t="s">
        <v>53</v>
      </c>
      <c r="R215" s="1" t="s">
        <v>53</v>
      </c>
      <c r="S215" s="1" t="s">
        <v>53</v>
      </c>
      <c r="T215" s="30" t="s">
        <v>53</v>
      </c>
      <c r="U215" s="121" t="s">
        <v>53</v>
      </c>
      <c r="V215" s="116" t="b">
        <f t="shared" si="24"/>
        <v>1</v>
      </c>
      <c r="W215" s="117" t="str">
        <f t="shared" si="25"/>
        <v>title: "El Salvador"</v>
      </c>
      <c r="X215" s="120" t="str">
        <f t="shared" si="26"/>
        <v/>
      </c>
      <c r="Y215" s="120" t="str">
        <f t="shared" si="27"/>
        <v/>
      </c>
      <c r="Z215" s="120" t="str">
        <f t="shared" si="28"/>
        <v/>
      </c>
      <c r="AA215" s="120" t="str">
        <f t="shared" si="29"/>
        <v/>
      </c>
      <c r="AB215" s="117" t="str">
        <f t="shared" si="30"/>
        <v/>
      </c>
      <c r="AC215" s="117" t="str">
        <f>IF(LEN(J215)&gt;1,concatll("#### Author's Note",J215,"-"&amp;B215),"")</f>
        <v/>
      </c>
      <c r="AD215" s="117" t="str">
        <f>IF(LEN(K215)&gt;1,concatll("#### Dedication",K215,"-"&amp;$B215),"")</f>
        <v/>
      </c>
      <c r="CA215" s="6" t="str">
        <f>IF(V215,concatll(concatl("---",W215,"---"),"*A collection of sites associated with this topic.*","#### Background",I215,AB215,AC215,AD215),"")</f>
        <v xml:space="preserve">---_x000D_
title: "El Salvador"_x000D_
---_x000D_
_x000D_
_x000D_
*A collection of sites associated with this topic.*_x000D_
_x000D_
#### Background_x000D_
_x000D_
Catholic places of interest in El Salvador_x000D_
_x000D_
</v>
      </c>
      <c r="CB215" s="6" t="str">
        <f t="shared" si="31"/>
        <v>tags\sv\_index.md</v>
      </c>
    </row>
    <row r="216" spans="1:80" x14ac:dyDescent="0.25">
      <c r="A216" s="129" t="s">
        <v>786</v>
      </c>
      <c r="C216" s="1" t="s">
        <v>428</v>
      </c>
      <c r="D216" s="7" t="s">
        <v>660</v>
      </c>
      <c r="E216" s="7" t="s">
        <v>660</v>
      </c>
      <c r="F216" s="33" t="s">
        <v>660</v>
      </c>
      <c r="G216" s="7" t="s">
        <v>428</v>
      </c>
      <c r="I216" s="153" t="s">
        <v>2103</v>
      </c>
      <c r="L216" s="154" t="s">
        <v>53</v>
      </c>
      <c r="M216" s="154" t="s">
        <v>53</v>
      </c>
      <c r="N216" s="151" t="s">
        <v>53</v>
      </c>
      <c r="O216" s="40" t="s">
        <v>53</v>
      </c>
      <c r="P216" s="1" t="s">
        <v>53</v>
      </c>
      <c r="Q216" s="44" t="s">
        <v>53</v>
      </c>
      <c r="R216" s="1" t="s">
        <v>53</v>
      </c>
      <c r="S216" s="1" t="s">
        <v>53</v>
      </c>
      <c r="T216" s="30" t="s">
        <v>53</v>
      </c>
      <c r="U216" s="121" t="s">
        <v>53</v>
      </c>
      <c r="V216" s="116" t="b">
        <f t="shared" si="24"/>
        <v>1</v>
      </c>
      <c r="W216" s="117" t="str">
        <f t="shared" si="25"/>
        <v>title: "Sint Maarten"</v>
      </c>
      <c r="X216" s="120" t="str">
        <f t="shared" si="26"/>
        <v/>
      </c>
      <c r="Y216" s="120" t="str">
        <f t="shared" si="27"/>
        <v/>
      </c>
      <c r="Z216" s="120" t="str">
        <f t="shared" si="28"/>
        <v/>
      </c>
      <c r="AA216" s="120" t="str">
        <f t="shared" si="29"/>
        <v/>
      </c>
      <c r="AB216" s="117" t="str">
        <f t="shared" si="30"/>
        <v/>
      </c>
      <c r="AC216" s="117" t="str">
        <f>IF(LEN(J216)&gt;1,concatll("#### Author's Note",J216,"-"&amp;B216),"")</f>
        <v/>
      </c>
      <c r="AD216" s="117" t="str">
        <f>IF(LEN(K216)&gt;1,concatll("#### Dedication",K216,"-"&amp;$B216),"")</f>
        <v/>
      </c>
      <c r="CA216" s="6" t="str">
        <f>IF(V216,concatll(concatl("---",W216,"---"),"*A collection of sites associated with this topic.*","#### Background",I216,AB216,AC216,AD216),"")</f>
        <v xml:space="preserve">---_x000D_
title: "Sint Maarten"_x000D_
---_x000D_
_x000D_
_x000D_
*A collection of sites associated with this topic.*_x000D_
_x000D_
#### Background_x000D_
_x000D_
Catholic places of interest in Sint Maarten_x000D_
_x000D_
</v>
      </c>
      <c r="CB216" s="6" t="str">
        <f t="shared" si="31"/>
        <v>tags\sx\_index.md</v>
      </c>
    </row>
    <row r="217" spans="1:80" x14ac:dyDescent="0.25">
      <c r="A217" s="129" t="s">
        <v>786</v>
      </c>
      <c r="C217" s="1" t="s">
        <v>448</v>
      </c>
      <c r="D217" s="7" t="s">
        <v>661</v>
      </c>
      <c r="E217" s="7" t="s">
        <v>661</v>
      </c>
      <c r="F217" s="33" t="s">
        <v>661</v>
      </c>
      <c r="G217" s="7" t="s">
        <v>448</v>
      </c>
      <c r="I217" s="153" t="s">
        <v>2104</v>
      </c>
      <c r="L217" s="154" t="s">
        <v>53</v>
      </c>
      <c r="M217" s="154" t="s">
        <v>53</v>
      </c>
      <c r="N217" s="151" t="s">
        <v>53</v>
      </c>
      <c r="O217" s="40" t="s">
        <v>53</v>
      </c>
      <c r="P217" s="1" t="s">
        <v>53</v>
      </c>
      <c r="Q217" s="44" t="s">
        <v>53</v>
      </c>
      <c r="R217" s="1" t="s">
        <v>53</v>
      </c>
      <c r="S217" s="1" t="s">
        <v>53</v>
      </c>
      <c r="T217" s="30" t="s">
        <v>53</v>
      </c>
      <c r="U217" s="121" t="s">
        <v>53</v>
      </c>
      <c r="V217" s="116" t="b">
        <f t="shared" si="24"/>
        <v>1</v>
      </c>
      <c r="W217" s="117" t="str">
        <f t="shared" si="25"/>
        <v>title: "Syria"</v>
      </c>
      <c r="X217" s="120" t="str">
        <f t="shared" si="26"/>
        <v/>
      </c>
      <c r="Y217" s="120" t="str">
        <f t="shared" si="27"/>
        <v/>
      </c>
      <c r="Z217" s="120" t="str">
        <f t="shared" si="28"/>
        <v/>
      </c>
      <c r="AA217" s="120" t="str">
        <f t="shared" si="29"/>
        <v/>
      </c>
      <c r="AB217" s="117" t="str">
        <f t="shared" si="30"/>
        <v/>
      </c>
      <c r="AC217" s="117" t="str">
        <f>IF(LEN(J217)&gt;1,concatll("#### Author's Note",J217,"-"&amp;B217),"")</f>
        <v/>
      </c>
      <c r="AD217" s="117" t="str">
        <f>IF(LEN(K217)&gt;1,concatll("#### Dedication",K217,"-"&amp;$B217),"")</f>
        <v/>
      </c>
      <c r="CA217" s="6" t="str">
        <f>IF(V217,concatll(concatl("---",W217,"---"),"*A collection of sites associated with this topic.*","#### Background",I217,AB217,AC217,AD217),"")</f>
        <v xml:space="preserve">---_x000D_
title: "Syria"_x000D_
---_x000D_
_x000D_
_x000D_
*A collection of sites associated with this topic.*_x000D_
_x000D_
#### Background_x000D_
_x000D_
Catholic places of interest in Syria_x000D_
_x000D_
</v>
      </c>
      <c r="CB217" s="6" t="str">
        <f t="shared" si="31"/>
        <v>tags\sy\_index.md</v>
      </c>
    </row>
    <row r="218" spans="1:80" x14ac:dyDescent="0.25">
      <c r="A218" s="129" t="s">
        <v>786</v>
      </c>
      <c r="C218" s="1" t="s">
        <v>393</v>
      </c>
      <c r="D218" s="7" t="s">
        <v>662</v>
      </c>
      <c r="E218" s="7" t="s">
        <v>662</v>
      </c>
      <c r="F218" s="33" t="s">
        <v>662</v>
      </c>
      <c r="G218" s="7" t="s">
        <v>393</v>
      </c>
      <c r="I218" s="153" t="s">
        <v>2105</v>
      </c>
      <c r="L218" s="154" t="s">
        <v>53</v>
      </c>
      <c r="M218" s="154" t="s">
        <v>53</v>
      </c>
      <c r="N218" s="151" t="s">
        <v>53</v>
      </c>
      <c r="O218" s="40" t="s">
        <v>53</v>
      </c>
      <c r="P218" s="1" t="s">
        <v>53</v>
      </c>
      <c r="Q218" s="44" t="s">
        <v>53</v>
      </c>
      <c r="R218" s="1" t="s">
        <v>53</v>
      </c>
      <c r="S218" s="1" t="s">
        <v>53</v>
      </c>
      <c r="T218" s="30" t="s">
        <v>53</v>
      </c>
      <c r="U218" s="121" t="s">
        <v>53</v>
      </c>
      <c r="V218" s="116" t="b">
        <f t="shared" si="24"/>
        <v>1</v>
      </c>
      <c r="W218" s="117" t="str">
        <f t="shared" si="25"/>
        <v>title: "Eswatini"</v>
      </c>
      <c r="X218" s="120" t="str">
        <f t="shared" si="26"/>
        <v/>
      </c>
      <c r="Y218" s="120" t="str">
        <f t="shared" si="27"/>
        <v/>
      </c>
      <c r="Z218" s="120" t="str">
        <f t="shared" si="28"/>
        <v/>
      </c>
      <c r="AA218" s="120" t="str">
        <f t="shared" si="29"/>
        <v/>
      </c>
      <c r="AB218" s="117" t="str">
        <f t="shared" si="30"/>
        <v/>
      </c>
      <c r="AC218" s="117" t="str">
        <f>IF(LEN(J218)&gt;1,concatll("#### Author's Note",J218,"-"&amp;B218),"")</f>
        <v/>
      </c>
      <c r="AD218" s="117" t="str">
        <f>IF(LEN(K218)&gt;1,concatll("#### Dedication",K218,"-"&amp;$B218),"")</f>
        <v/>
      </c>
      <c r="CA218" s="6" t="str">
        <f>IF(V218,concatll(concatl("---",W218,"---"),"*A collection of sites associated with this topic.*","#### Background",I218,AB218,AC218,AD218),"")</f>
        <v xml:space="preserve">---_x000D_
title: "Eswatini"_x000D_
---_x000D_
_x000D_
_x000D_
*A collection of sites associated with this topic.*_x000D_
_x000D_
#### Background_x000D_
_x000D_
Catholic places of interest in Eswatini_x000D_
_x000D_
</v>
      </c>
      <c r="CB218" s="6" t="str">
        <f t="shared" si="31"/>
        <v>tags\sz\_index.md</v>
      </c>
    </row>
    <row r="219" spans="1:80" x14ac:dyDescent="0.25">
      <c r="A219" s="129" t="s">
        <v>786</v>
      </c>
      <c r="C219" s="1" t="s">
        <v>449</v>
      </c>
      <c r="D219" s="7" t="s">
        <v>663</v>
      </c>
      <c r="E219" s="7" t="s">
        <v>663</v>
      </c>
      <c r="F219" s="33" t="s">
        <v>663</v>
      </c>
      <c r="G219" s="7" t="s">
        <v>449</v>
      </c>
      <c r="I219" s="153" t="s">
        <v>2106</v>
      </c>
      <c r="L219" s="154" t="s">
        <v>53</v>
      </c>
      <c r="M219" s="154" t="s">
        <v>53</v>
      </c>
      <c r="N219" s="151" t="s">
        <v>53</v>
      </c>
      <c r="O219" s="40" t="s">
        <v>53</v>
      </c>
      <c r="P219" s="1" t="s">
        <v>53</v>
      </c>
      <c r="Q219" s="44" t="s">
        <v>53</v>
      </c>
      <c r="R219" s="1" t="s">
        <v>53</v>
      </c>
      <c r="S219" s="1" t="s">
        <v>53</v>
      </c>
      <c r="T219" s="30" t="s">
        <v>53</v>
      </c>
      <c r="U219" s="121" t="s">
        <v>53</v>
      </c>
      <c r="V219" s="116" t="b">
        <f t="shared" si="24"/>
        <v>1</v>
      </c>
      <c r="W219" s="117" t="str">
        <f t="shared" si="25"/>
        <v>title: "Turks and Caicos"</v>
      </c>
      <c r="X219" s="120" t="str">
        <f t="shared" si="26"/>
        <v/>
      </c>
      <c r="Y219" s="120" t="str">
        <f t="shared" si="27"/>
        <v/>
      </c>
      <c r="Z219" s="120" t="str">
        <f t="shared" si="28"/>
        <v/>
      </c>
      <c r="AA219" s="120" t="str">
        <f t="shared" si="29"/>
        <v/>
      </c>
      <c r="AB219" s="117" t="str">
        <f t="shared" si="30"/>
        <v/>
      </c>
      <c r="AC219" s="117" t="str">
        <f>IF(LEN(J219)&gt;1,concatll("#### Author's Note",J219,"-"&amp;B219),"")</f>
        <v/>
      </c>
      <c r="AD219" s="117" t="str">
        <f>IF(LEN(K219)&gt;1,concatll("#### Dedication",K219,"-"&amp;$B219),"")</f>
        <v/>
      </c>
      <c r="CA219" s="6" t="str">
        <f>IF(V219,concatll(concatl("---",W219,"---"),"*A collection of sites associated with this topic.*","#### Background",I219,AB219,AC219,AD219),"")</f>
        <v xml:space="preserve">---_x000D_
title: "Turks and Caicos"_x000D_
---_x000D_
_x000D_
_x000D_
*A collection of sites associated with this topic.*_x000D_
_x000D_
#### Background_x000D_
_x000D_
Catholic places of interest in Turks and Caicos_x000D_
_x000D_
</v>
      </c>
      <c r="CB219" s="6" t="str">
        <f t="shared" si="31"/>
        <v>tags\tc\_index.md</v>
      </c>
    </row>
    <row r="220" spans="1:80" x14ac:dyDescent="0.25">
      <c r="A220" s="129" t="s">
        <v>786</v>
      </c>
      <c r="C220" s="1" t="s">
        <v>394</v>
      </c>
      <c r="D220" s="7" t="s">
        <v>664</v>
      </c>
      <c r="E220" s="7" t="s">
        <v>664</v>
      </c>
      <c r="F220" s="33" t="s">
        <v>664</v>
      </c>
      <c r="G220" s="7" t="s">
        <v>394</v>
      </c>
      <c r="I220" s="153" t="s">
        <v>2107</v>
      </c>
      <c r="L220" s="154" t="s">
        <v>53</v>
      </c>
      <c r="M220" s="154" t="s">
        <v>53</v>
      </c>
      <c r="N220" s="151" t="s">
        <v>53</v>
      </c>
      <c r="O220" s="40" t="s">
        <v>53</v>
      </c>
      <c r="P220" s="1" t="s">
        <v>53</v>
      </c>
      <c r="Q220" s="44" t="s">
        <v>53</v>
      </c>
      <c r="R220" s="1" t="s">
        <v>53</v>
      </c>
      <c r="S220" s="1" t="s">
        <v>53</v>
      </c>
      <c r="T220" s="30" t="s">
        <v>53</v>
      </c>
      <c r="U220" s="121" t="s">
        <v>53</v>
      </c>
      <c r="V220" s="116" t="b">
        <f t="shared" si="24"/>
        <v>1</v>
      </c>
      <c r="W220" s="117" t="str">
        <f t="shared" si="25"/>
        <v>title: "Chad"</v>
      </c>
      <c r="X220" s="120" t="str">
        <f t="shared" si="26"/>
        <v/>
      </c>
      <c r="Y220" s="120" t="str">
        <f t="shared" si="27"/>
        <v/>
      </c>
      <c r="Z220" s="120" t="str">
        <f t="shared" si="28"/>
        <v/>
      </c>
      <c r="AA220" s="120" t="str">
        <f t="shared" si="29"/>
        <v/>
      </c>
      <c r="AB220" s="117" t="str">
        <f t="shared" si="30"/>
        <v/>
      </c>
      <c r="AC220" s="117" t="str">
        <f>IF(LEN(J220)&gt;1,concatll("#### Author's Note",J220,"-"&amp;B220),"")</f>
        <v/>
      </c>
      <c r="AD220" s="117" t="str">
        <f>IF(LEN(K220)&gt;1,concatll("#### Dedication",K220,"-"&amp;$B220),"")</f>
        <v/>
      </c>
      <c r="CA220" s="6" t="str">
        <f>IF(V220,concatll(concatl("---",W220,"---"),"*A collection of sites associated with this topic.*","#### Background",I220,AB220,AC220,AD220),"")</f>
        <v xml:space="preserve">---_x000D_
title: "Chad"_x000D_
---_x000D_
_x000D_
_x000D_
*A collection of sites associated with this topic.*_x000D_
_x000D_
#### Background_x000D_
_x000D_
Catholic places of interest in Chad_x000D_
_x000D_
</v>
      </c>
      <c r="CB220" s="6" t="str">
        <f t="shared" si="31"/>
        <v>tags\td\_index.md</v>
      </c>
    </row>
    <row r="221" spans="1:80" x14ac:dyDescent="0.25">
      <c r="A221" s="129" t="s">
        <v>786</v>
      </c>
      <c r="C221" s="1" t="s">
        <v>395</v>
      </c>
      <c r="D221" s="7" t="s">
        <v>665</v>
      </c>
      <c r="E221" s="7" t="s">
        <v>665</v>
      </c>
      <c r="F221" s="33" t="s">
        <v>665</v>
      </c>
      <c r="G221" s="7" t="s">
        <v>395</v>
      </c>
      <c r="I221" s="153" t="s">
        <v>2209</v>
      </c>
      <c r="L221" s="154" t="s">
        <v>53</v>
      </c>
      <c r="M221" s="154" t="s">
        <v>53</v>
      </c>
      <c r="N221" s="151" t="s">
        <v>53</v>
      </c>
      <c r="O221" s="40" t="s">
        <v>53</v>
      </c>
      <c r="P221" s="1" t="s">
        <v>53</v>
      </c>
      <c r="Q221" s="44" t="s">
        <v>53</v>
      </c>
      <c r="R221" s="1" t="s">
        <v>53</v>
      </c>
      <c r="S221" s="1" t="s">
        <v>53</v>
      </c>
      <c r="T221" s="30" t="s">
        <v>53</v>
      </c>
      <c r="U221" s="121" t="s">
        <v>53</v>
      </c>
      <c r="V221" s="116" t="b">
        <f t="shared" si="24"/>
        <v>1</v>
      </c>
      <c r="W221" s="117" t="str">
        <f t="shared" si="25"/>
        <v>title: "French Southern Territories"</v>
      </c>
      <c r="X221" s="120" t="str">
        <f t="shared" si="26"/>
        <v/>
      </c>
      <c r="Y221" s="120" t="str">
        <f t="shared" si="27"/>
        <v/>
      </c>
      <c r="Z221" s="120" t="str">
        <f t="shared" si="28"/>
        <v/>
      </c>
      <c r="AA221" s="120" t="str">
        <f t="shared" si="29"/>
        <v/>
      </c>
      <c r="AB221" s="117" t="str">
        <f t="shared" si="30"/>
        <v/>
      </c>
      <c r="AC221" s="117" t="str">
        <f>IF(LEN(J221)&gt;1,concatll("#### Author's Note",J221,"-"&amp;B221),"")</f>
        <v/>
      </c>
      <c r="AD221" s="117" t="str">
        <f>IF(LEN(K221)&gt;1,concatll("#### Dedication",K221,"-"&amp;$B221),"")</f>
        <v/>
      </c>
      <c r="CA221" s="6" t="str">
        <f>IF(V221,concatll(concatl("---",W221,"---"),"*A collection of sites associated with this topic.*","#### Background",I221,AB221,AC221,AD221),"")</f>
        <v xml:space="preserve">---_x000D_
title: "French Southern Territories"_x000D_
---_x000D_
_x000D_
_x000D_
*A collection of sites associated with this topic.*_x000D_
_x000D_
#### Background_x000D_
_x000D_
Catholic places of interest in the French Southern Territories_x000D_
_x000D_
</v>
      </c>
      <c r="CB221" s="6" t="str">
        <f t="shared" si="31"/>
        <v>tags\tf\_index.md</v>
      </c>
    </row>
    <row r="222" spans="1:80" x14ac:dyDescent="0.25">
      <c r="A222" s="129" t="s">
        <v>786</v>
      </c>
      <c r="C222" s="1" t="s">
        <v>396</v>
      </c>
      <c r="D222" s="7" t="s">
        <v>666</v>
      </c>
      <c r="E222" s="7" t="s">
        <v>666</v>
      </c>
      <c r="F222" s="33" t="s">
        <v>666</v>
      </c>
      <c r="G222" s="7" t="s">
        <v>396</v>
      </c>
      <c r="H222" s="33" t="s">
        <v>200</v>
      </c>
      <c r="I222" s="153" t="s">
        <v>2108</v>
      </c>
      <c r="L222" s="154" t="s">
        <v>53</v>
      </c>
      <c r="M222" s="154" t="s">
        <v>53</v>
      </c>
      <c r="N222" s="151" t="s">
        <v>53</v>
      </c>
      <c r="O222" s="40" t="s">
        <v>53</v>
      </c>
      <c r="P222" s="1" t="s">
        <v>53</v>
      </c>
      <c r="Q222" s="44" t="s">
        <v>53</v>
      </c>
      <c r="R222" s="1" t="s">
        <v>53</v>
      </c>
      <c r="S222" s="1" t="s">
        <v>53</v>
      </c>
      <c r="T222" s="30" t="s">
        <v>53</v>
      </c>
      <c r="U222" s="121" t="s">
        <v>53</v>
      </c>
      <c r="V222" s="116" t="b">
        <f t="shared" si="24"/>
        <v>1</v>
      </c>
      <c r="W222" s="117" t="str">
        <f t="shared" si="25"/>
        <v>title: "Togo"</v>
      </c>
      <c r="X222" s="120" t="str">
        <f t="shared" si="26"/>
        <v/>
      </c>
      <c r="Y222" s="120" t="str">
        <f t="shared" si="27"/>
        <v/>
      </c>
      <c r="Z222" s="120" t="str">
        <f t="shared" si="28"/>
        <v/>
      </c>
      <c r="AA222" s="120" t="str">
        <f t="shared" si="29"/>
        <v/>
      </c>
      <c r="AB222" s="117" t="str">
        <f t="shared" si="30"/>
        <v/>
      </c>
      <c r="AC222" s="117" t="str">
        <f>IF(LEN(J222)&gt;1,concatll("#### Author's Note",J222,"-"&amp;B222),"")</f>
        <v/>
      </c>
      <c r="AD222" s="117" t="str">
        <f>IF(LEN(K222)&gt;1,concatll("#### Dedication",K222,"-"&amp;$B222),"")</f>
        <v/>
      </c>
      <c r="CA222" s="6" t="str">
        <f>IF(V222,concatll(concatl("---",W222,"---"),"*A collection of sites associated with this topic.*","#### Background",I222,AB222,AC222,AD222),"")</f>
        <v xml:space="preserve">---_x000D_
title: "Togo"_x000D_
---_x000D_
_x000D_
_x000D_
*A collection of sites associated with this topic.*_x000D_
_x000D_
#### Background_x000D_
_x000D_
Catholic places of interest in Togo_x000D_
_x000D_
</v>
      </c>
      <c r="CB222" s="6" t="str">
        <f t="shared" si="31"/>
        <v>tags\tg\_index.md</v>
      </c>
    </row>
    <row r="223" spans="1:80" x14ac:dyDescent="0.25">
      <c r="A223" s="129" t="s">
        <v>786</v>
      </c>
      <c r="C223" s="1" t="s">
        <v>397</v>
      </c>
      <c r="D223" s="7" t="s">
        <v>667</v>
      </c>
      <c r="E223" s="7" t="s">
        <v>667</v>
      </c>
      <c r="F223" s="33" t="s">
        <v>667</v>
      </c>
      <c r="G223" s="7" t="s">
        <v>397</v>
      </c>
      <c r="H223" s="33" t="s">
        <v>200</v>
      </c>
      <c r="I223" s="153" t="s">
        <v>2109</v>
      </c>
      <c r="L223" s="154" t="s">
        <v>53</v>
      </c>
      <c r="M223" s="154" t="s">
        <v>53</v>
      </c>
      <c r="N223" s="151" t="s">
        <v>53</v>
      </c>
      <c r="O223" s="40" t="s">
        <v>53</v>
      </c>
      <c r="P223" s="1" t="s">
        <v>53</v>
      </c>
      <c r="Q223" s="44" t="s">
        <v>53</v>
      </c>
      <c r="R223" s="1" t="s">
        <v>53</v>
      </c>
      <c r="S223" s="1" t="s">
        <v>53</v>
      </c>
      <c r="T223" s="30" t="s">
        <v>53</v>
      </c>
      <c r="U223" s="121" t="s">
        <v>53</v>
      </c>
      <c r="V223" s="116" t="b">
        <f t="shared" si="24"/>
        <v>1</v>
      </c>
      <c r="W223" s="117" t="str">
        <f t="shared" si="25"/>
        <v>title: "Thailand"</v>
      </c>
      <c r="X223" s="120" t="str">
        <f t="shared" si="26"/>
        <v/>
      </c>
      <c r="Y223" s="120" t="str">
        <f t="shared" si="27"/>
        <v/>
      </c>
      <c r="Z223" s="120" t="str">
        <f t="shared" si="28"/>
        <v/>
      </c>
      <c r="AA223" s="120" t="str">
        <f t="shared" si="29"/>
        <v/>
      </c>
      <c r="AB223" s="117" t="str">
        <f t="shared" si="30"/>
        <v/>
      </c>
      <c r="AC223" s="117" t="str">
        <f>IF(LEN(J223)&gt;1,concatll("#### Author's Note",J223,"-"&amp;B223),"")</f>
        <v/>
      </c>
      <c r="AD223" s="117" t="str">
        <f>IF(LEN(K223)&gt;1,concatll("#### Dedication",K223,"-"&amp;$B223),"")</f>
        <v/>
      </c>
      <c r="CA223" s="6" t="str">
        <f>IF(V223,concatll(concatl("---",W223,"---"),"*A collection of sites associated with this topic.*","#### Background",I223,AB223,AC223,AD223),"")</f>
        <v xml:space="preserve">---_x000D_
title: "Thailand"_x000D_
---_x000D_
_x000D_
_x000D_
*A collection of sites associated with this topic.*_x000D_
_x000D_
#### Background_x000D_
_x000D_
Catholic places of interest in Thailand_x000D_
_x000D_
</v>
      </c>
      <c r="CB223" s="6" t="str">
        <f t="shared" si="31"/>
        <v>tags\th\_index.md</v>
      </c>
    </row>
    <row r="224" spans="1:80" x14ac:dyDescent="0.25">
      <c r="A224" s="129" t="s">
        <v>786</v>
      </c>
      <c r="C224" s="1" t="s">
        <v>398</v>
      </c>
      <c r="D224" s="7" t="s">
        <v>668</v>
      </c>
      <c r="E224" s="7" t="s">
        <v>668</v>
      </c>
      <c r="F224" s="33" t="s">
        <v>668</v>
      </c>
      <c r="G224" s="7" t="s">
        <v>398</v>
      </c>
      <c r="H224" s="33" t="s">
        <v>200</v>
      </c>
      <c r="I224" s="153" t="s">
        <v>2110</v>
      </c>
      <c r="L224" s="154" t="s">
        <v>53</v>
      </c>
      <c r="M224" s="154" t="s">
        <v>53</v>
      </c>
      <c r="N224" s="151" t="s">
        <v>53</v>
      </c>
      <c r="O224" s="40" t="s">
        <v>53</v>
      </c>
      <c r="P224" s="1" t="s">
        <v>53</v>
      </c>
      <c r="Q224" s="44" t="s">
        <v>53</v>
      </c>
      <c r="R224" s="1" t="s">
        <v>53</v>
      </c>
      <c r="S224" s="1" t="s">
        <v>53</v>
      </c>
      <c r="T224" s="30" t="s">
        <v>53</v>
      </c>
      <c r="U224" s="121" t="s">
        <v>53</v>
      </c>
      <c r="V224" s="116" t="b">
        <f t="shared" si="24"/>
        <v>1</v>
      </c>
      <c r="W224" s="117" t="str">
        <f t="shared" si="25"/>
        <v>title: "Tajikistan"</v>
      </c>
      <c r="X224" s="120" t="str">
        <f t="shared" si="26"/>
        <v/>
      </c>
      <c r="Y224" s="120" t="str">
        <f t="shared" si="27"/>
        <v/>
      </c>
      <c r="Z224" s="120" t="str">
        <f t="shared" si="28"/>
        <v/>
      </c>
      <c r="AA224" s="120" t="str">
        <f t="shared" si="29"/>
        <v/>
      </c>
      <c r="AB224" s="117" t="str">
        <f t="shared" si="30"/>
        <v/>
      </c>
      <c r="AC224" s="117" t="str">
        <f>IF(LEN(J224)&gt;1,concatll("#### Author's Note",J224,"-"&amp;B224),"")</f>
        <v/>
      </c>
      <c r="AD224" s="117" t="str">
        <f>IF(LEN(K224)&gt;1,concatll("#### Dedication",K224,"-"&amp;$B224),"")</f>
        <v/>
      </c>
      <c r="CA224" s="6" t="str">
        <f>IF(V224,concatll(concatl("---",W224,"---"),"*A collection of sites associated with this topic.*","#### Background",I224,AB224,AC224,AD224),"")</f>
        <v xml:space="preserve">---_x000D_
title: "Tajikistan"_x000D_
---_x000D_
_x000D_
_x000D_
*A collection of sites associated with this topic.*_x000D_
_x000D_
#### Background_x000D_
_x000D_
Catholic places of interest in Tajikistan_x000D_
_x000D_
</v>
      </c>
      <c r="CB224" s="6" t="str">
        <f t="shared" si="31"/>
        <v>tags\tj\_index.md</v>
      </c>
    </row>
    <row r="225" spans="1:80" x14ac:dyDescent="0.25">
      <c r="A225" s="129" t="s">
        <v>786</v>
      </c>
      <c r="C225" s="1" t="s">
        <v>399</v>
      </c>
      <c r="D225" s="7" t="s">
        <v>669</v>
      </c>
      <c r="E225" s="7" t="s">
        <v>669</v>
      </c>
      <c r="F225" s="33" t="s">
        <v>669</v>
      </c>
      <c r="G225" s="7" t="s">
        <v>399</v>
      </c>
      <c r="H225" s="33" t="s">
        <v>200</v>
      </c>
      <c r="I225" s="153" t="s">
        <v>2111</v>
      </c>
      <c r="L225" s="154" t="s">
        <v>53</v>
      </c>
      <c r="M225" s="154" t="s">
        <v>53</v>
      </c>
      <c r="N225" s="151" t="s">
        <v>53</v>
      </c>
      <c r="O225" s="40" t="s">
        <v>53</v>
      </c>
      <c r="P225" s="1" t="s">
        <v>53</v>
      </c>
      <c r="Q225" s="44" t="s">
        <v>53</v>
      </c>
      <c r="R225" s="1" t="s">
        <v>53</v>
      </c>
      <c r="S225" s="1" t="s">
        <v>53</v>
      </c>
      <c r="T225" s="30" t="s">
        <v>53</v>
      </c>
      <c r="U225" s="121" t="s">
        <v>53</v>
      </c>
      <c r="V225" s="116" t="b">
        <f t="shared" si="24"/>
        <v>1</v>
      </c>
      <c r="W225" s="117" t="str">
        <f t="shared" si="25"/>
        <v>title: "Tokelau"</v>
      </c>
      <c r="X225" s="120" t="str">
        <f t="shared" si="26"/>
        <v/>
      </c>
      <c r="Y225" s="120" t="str">
        <f t="shared" si="27"/>
        <v/>
      </c>
      <c r="Z225" s="120" t="str">
        <f t="shared" si="28"/>
        <v/>
      </c>
      <c r="AA225" s="120" t="str">
        <f t="shared" si="29"/>
        <v/>
      </c>
      <c r="AB225" s="117" t="str">
        <f t="shared" si="30"/>
        <v/>
      </c>
      <c r="AC225" s="117" t="str">
        <f>IF(LEN(J225)&gt;1,concatll("#### Author's Note",J225,"-"&amp;B225),"")</f>
        <v/>
      </c>
      <c r="AD225" s="117" t="str">
        <f>IF(LEN(K225)&gt;1,concatll("#### Dedication",K225,"-"&amp;$B225),"")</f>
        <v/>
      </c>
      <c r="CA225" s="6" t="str">
        <f>IF(V225,concatll(concatl("---",W225,"---"),"*A collection of sites associated with this topic.*","#### Background",I225,AB225,AC225,AD225),"")</f>
        <v xml:space="preserve">---_x000D_
title: "Tokelau"_x000D_
---_x000D_
_x000D_
_x000D_
*A collection of sites associated with this topic.*_x000D_
_x000D_
#### Background_x000D_
_x000D_
Catholic places of interest in Tokelau_x000D_
_x000D_
</v>
      </c>
      <c r="CB225" s="6" t="str">
        <f t="shared" si="31"/>
        <v>tags\tk\_index.md</v>
      </c>
    </row>
    <row r="226" spans="1:80" x14ac:dyDescent="0.25">
      <c r="A226" s="129" t="s">
        <v>786</v>
      </c>
      <c r="C226" s="1" t="s">
        <v>400</v>
      </c>
      <c r="D226" s="7" t="s">
        <v>670</v>
      </c>
      <c r="E226" s="7" t="s">
        <v>670</v>
      </c>
      <c r="F226" s="33" t="s">
        <v>670</v>
      </c>
      <c r="G226" s="7" t="s">
        <v>400</v>
      </c>
      <c r="H226" s="33" t="s">
        <v>200</v>
      </c>
      <c r="I226" s="153" t="s">
        <v>2112</v>
      </c>
      <c r="L226" s="154" t="s">
        <v>53</v>
      </c>
      <c r="M226" s="154" t="s">
        <v>53</v>
      </c>
      <c r="N226" s="151" t="s">
        <v>53</v>
      </c>
      <c r="O226" s="40" t="s">
        <v>53</v>
      </c>
      <c r="P226" s="1" t="s">
        <v>53</v>
      </c>
      <c r="Q226" s="44" t="s">
        <v>53</v>
      </c>
      <c r="R226" s="1" t="s">
        <v>53</v>
      </c>
      <c r="S226" s="1" t="s">
        <v>53</v>
      </c>
      <c r="T226" s="30" t="s">
        <v>53</v>
      </c>
      <c r="U226" s="121" t="s">
        <v>53</v>
      </c>
      <c r="V226" s="116" t="b">
        <f t="shared" si="24"/>
        <v>1</v>
      </c>
      <c r="W226" s="117" t="str">
        <f t="shared" si="25"/>
        <v>title: "Timor-Leste"</v>
      </c>
      <c r="X226" s="120" t="str">
        <f t="shared" si="26"/>
        <v/>
      </c>
      <c r="Y226" s="120" t="str">
        <f t="shared" si="27"/>
        <v/>
      </c>
      <c r="Z226" s="120" t="str">
        <f t="shared" si="28"/>
        <v/>
      </c>
      <c r="AA226" s="120" t="str">
        <f t="shared" si="29"/>
        <v/>
      </c>
      <c r="AB226" s="117" t="str">
        <f t="shared" si="30"/>
        <v/>
      </c>
      <c r="AC226" s="117" t="str">
        <f>IF(LEN(J226)&gt;1,concatll("#### Author's Note",J226,"-"&amp;B226),"")</f>
        <v/>
      </c>
      <c r="AD226" s="117" t="str">
        <f>IF(LEN(K226)&gt;1,concatll("#### Dedication",K226,"-"&amp;$B226),"")</f>
        <v/>
      </c>
      <c r="CA226" s="6" t="str">
        <f>IF(V226,concatll(concatl("---",W226,"---"),"*A collection of sites associated with this topic.*","#### Background",I226,AB226,AC226,AD226),"")</f>
        <v xml:space="preserve">---_x000D_
title: "Timor-Leste"_x000D_
---_x000D_
_x000D_
_x000D_
*A collection of sites associated with this topic.*_x000D_
_x000D_
#### Background_x000D_
_x000D_
Catholic places of interest in Timor-Leste_x000D_
_x000D_
</v>
      </c>
      <c r="CB226" s="6" t="str">
        <f t="shared" si="31"/>
        <v>tags\tl\_index.md</v>
      </c>
    </row>
    <row r="227" spans="1:80" x14ac:dyDescent="0.25">
      <c r="A227" s="129" t="s">
        <v>786</v>
      </c>
      <c r="C227" s="1" t="s">
        <v>401</v>
      </c>
      <c r="D227" s="7" t="s">
        <v>671</v>
      </c>
      <c r="E227" s="7" t="s">
        <v>671</v>
      </c>
      <c r="F227" s="33" t="s">
        <v>671</v>
      </c>
      <c r="G227" s="7" t="s">
        <v>401</v>
      </c>
      <c r="H227" s="33" t="s">
        <v>200</v>
      </c>
      <c r="I227" s="153" t="s">
        <v>2113</v>
      </c>
      <c r="L227" s="154" t="s">
        <v>53</v>
      </c>
      <c r="M227" s="154" t="s">
        <v>53</v>
      </c>
      <c r="N227" s="151" t="s">
        <v>53</v>
      </c>
      <c r="O227" s="40" t="s">
        <v>53</v>
      </c>
      <c r="P227" s="1" t="s">
        <v>53</v>
      </c>
      <c r="Q227" s="44" t="s">
        <v>53</v>
      </c>
      <c r="R227" s="1" t="s">
        <v>53</v>
      </c>
      <c r="S227" s="1" t="s">
        <v>53</v>
      </c>
      <c r="T227" s="30" t="s">
        <v>53</v>
      </c>
      <c r="U227" s="121" t="s">
        <v>53</v>
      </c>
      <c r="V227" s="116" t="b">
        <f t="shared" si="24"/>
        <v>1</v>
      </c>
      <c r="W227" s="117" t="str">
        <f t="shared" si="25"/>
        <v>title: "Turkmenistan"</v>
      </c>
      <c r="X227" s="120" t="str">
        <f t="shared" si="26"/>
        <v/>
      </c>
      <c r="Y227" s="120" t="str">
        <f t="shared" si="27"/>
        <v/>
      </c>
      <c r="Z227" s="120" t="str">
        <f t="shared" si="28"/>
        <v/>
      </c>
      <c r="AA227" s="120" t="str">
        <f t="shared" si="29"/>
        <v/>
      </c>
      <c r="AB227" s="117" t="str">
        <f t="shared" si="30"/>
        <v/>
      </c>
      <c r="AC227" s="117" t="str">
        <f>IF(LEN(J227)&gt;1,concatll("#### Author's Note",J227,"-"&amp;B227),"")</f>
        <v/>
      </c>
      <c r="AD227" s="117" t="str">
        <f>IF(LEN(K227)&gt;1,concatll("#### Dedication",K227,"-"&amp;$B227),"")</f>
        <v/>
      </c>
      <c r="CA227" s="6" t="str">
        <f>IF(V227,concatll(concatl("---",W227,"---"),"*A collection of sites associated with this topic.*","#### Background",I227,AB227,AC227,AD227),"")</f>
        <v xml:space="preserve">---_x000D_
title: "Turkmenistan"_x000D_
---_x000D_
_x000D_
_x000D_
*A collection of sites associated with this topic.*_x000D_
_x000D_
#### Background_x000D_
_x000D_
Catholic places of interest in Turkmenistan_x000D_
_x000D_
</v>
      </c>
      <c r="CB227" s="6" t="str">
        <f t="shared" si="31"/>
        <v>tags\tm\_index.md</v>
      </c>
    </row>
    <row r="228" spans="1:80" x14ac:dyDescent="0.25">
      <c r="A228" s="129" t="s">
        <v>786</v>
      </c>
      <c r="C228" s="1" t="s">
        <v>402</v>
      </c>
      <c r="D228" s="7" t="s">
        <v>672</v>
      </c>
      <c r="E228" s="7" t="s">
        <v>672</v>
      </c>
      <c r="F228" s="33" t="s">
        <v>672</v>
      </c>
      <c r="G228" s="7" t="s">
        <v>402</v>
      </c>
      <c r="H228" s="33" t="s">
        <v>200</v>
      </c>
      <c r="I228" s="153" t="s">
        <v>2114</v>
      </c>
      <c r="L228" s="154" t="s">
        <v>53</v>
      </c>
      <c r="M228" s="154" t="s">
        <v>53</v>
      </c>
      <c r="N228" s="151" t="s">
        <v>53</v>
      </c>
      <c r="O228" s="40" t="s">
        <v>53</v>
      </c>
      <c r="P228" s="1" t="s">
        <v>53</v>
      </c>
      <c r="Q228" s="44" t="s">
        <v>53</v>
      </c>
      <c r="R228" s="1" t="s">
        <v>53</v>
      </c>
      <c r="S228" s="1" t="s">
        <v>53</v>
      </c>
      <c r="T228" s="30" t="s">
        <v>53</v>
      </c>
      <c r="U228" s="121" t="s">
        <v>53</v>
      </c>
      <c r="V228" s="116" t="b">
        <f t="shared" si="24"/>
        <v>1</v>
      </c>
      <c r="W228" s="117" t="str">
        <f t="shared" si="25"/>
        <v>title: "Tunisia"</v>
      </c>
      <c r="X228" s="120" t="str">
        <f t="shared" si="26"/>
        <v/>
      </c>
      <c r="Y228" s="120" t="str">
        <f t="shared" si="27"/>
        <v/>
      </c>
      <c r="Z228" s="120" t="str">
        <f t="shared" si="28"/>
        <v/>
      </c>
      <c r="AA228" s="120" t="str">
        <f t="shared" si="29"/>
        <v/>
      </c>
      <c r="AB228" s="117" t="str">
        <f t="shared" si="30"/>
        <v/>
      </c>
      <c r="AC228" s="117" t="str">
        <f>IF(LEN(J228)&gt;1,concatll("#### Author's Note",J228,"-"&amp;B228),"")</f>
        <v/>
      </c>
      <c r="AD228" s="117" t="str">
        <f>IF(LEN(K228)&gt;1,concatll("#### Dedication",K228,"-"&amp;$B228),"")</f>
        <v/>
      </c>
      <c r="CA228" s="6" t="str">
        <f>IF(V228,concatll(concatl("---",W228,"---"),"*A collection of sites associated with this topic.*","#### Background",I228,AB228,AC228,AD228),"")</f>
        <v xml:space="preserve">---_x000D_
title: "Tunisia"_x000D_
---_x000D_
_x000D_
_x000D_
*A collection of sites associated with this topic.*_x000D_
_x000D_
#### Background_x000D_
_x000D_
Catholic places of interest in Tunisia_x000D_
_x000D_
</v>
      </c>
      <c r="CB228" s="6" t="str">
        <f t="shared" si="31"/>
        <v>tags\tn\_index.md</v>
      </c>
    </row>
    <row r="229" spans="1:80" x14ac:dyDescent="0.25">
      <c r="A229" s="129" t="s">
        <v>786</v>
      </c>
      <c r="C229" s="1" t="s">
        <v>403</v>
      </c>
      <c r="D229" s="7" t="s">
        <v>673</v>
      </c>
      <c r="E229" s="7" t="s">
        <v>673</v>
      </c>
      <c r="F229" s="33" t="s">
        <v>673</v>
      </c>
      <c r="G229" s="7" t="s">
        <v>403</v>
      </c>
      <c r="H229" s="33" t="s">
        <v>200</v>
      </c>
      <c r="I229" s="153" t="s">
        <v>2115</v>
      </c>
      <c r="L229" s="154" t="s">
        <v>53</v>
      </c>
      <c r="M229" s="154" t="s">
        <v>53</v>
      </c>
      <c r="N229" s="151" t="s">
        <v>53</v>
      </c>
      <c r="O229" s="40" t="s">
        <v>53</v>
      </c>
      <c r="P229" s="1" t="s">
        <v>53</v>
      </c>
      <c r="Q229" s="44" t="s">
        <v>53</v>
      </c>
      <c r="R229" s="1" t="s">
        <v>53</v>
      </c>
      <c r="S229" s="1" t="s">
        <v>53</v>
      </c>
      <c r="T229" s="30" t="s">
        <v>53</v>
      </c>
      <c r="U229" s="121" t="s">
        <v>53</v>
      </c>
      <c r="V229" s="116" t="b">
        <f t="shared" si="24"/>
        <v>1</v>
      </c>
      <c r="W229" s="117" t="str">
        <f t="shared" si="25"/>
        <v>title: "Tonga"</v>
      </c>
      <c r="X229" s="120" t="str">
        <f t="shared" si="26"/>
        <v/>
      </c>
      <c r="Y229" s="120" t="str">
        <f t="shared" si="27"/>
        <v/>
      </c>
      <c r="Z229" s="120" t="str">
        <f t="shared" si="28"/>
        <v/>
      </c>
      <c r="AA229" s="120" t="str">
        <f t="shared" si="29"/>
        <v/>
      </c>
      <c r="AB229" s="117" t="str">
        <f t="shared" si="30"/>
        <v/>
      </c>
      <c r="AC229" s="117" t="str">
        <f>IF(LEN(J229)&gt;1,concatll("#### Author's Note",J229,"-"&amp;B229),"")</f>
        <v/>
      </c>
      <c r="AD229" s="117" t="str">
        <f>IF(LEN(K229)&gt;1,concatll("#### Dedication",K229,"-"&amp;$B229),"")</f>
        <v/>
      </c>
      <c r="CA229" s="6" t="str">
        <f>IF(V229,concatll(concatl("---",W229,"---"),"*A collection of sites associated with this topic.*","#### Background",I229,AB229,AC229,AD229),"")</f>
        <v xml:space="preserve">---_x000D_
title: "Tonga"_x000D_
---_x000D_
_x000D_
_x000D_
*A collection of sites associated with this topic.*_x000D_
_x000D_
#### Background_x000D_
_x000D_
Catholic places of interest in Tonga_x000D_
_x000D_
</v>
      </c>
      <c r="CB229" s="6" t="str">
        <f t="shared" si="31"/>
        <v>tags\to\_index.md</v>
      </c>
    </row>
    <row r="230" spans="1:80" x14ac:dyDescent="0.25">
      <c r="A230" s="129" t="s">
        <v>786</v>
      </c>
      <c r="C230" s="1" t="s">
        <v>1591</v>
      </c>
      <c r="D230" s="7" t="s">
        <v>674</v>
      </c>
      <c r="E230" s="7" t="s">
        <v>674</v>
      </c>
      <c r="F230" s="33" t="s">
        <v>674</v>
      </c>
      <c r="G230" s="7" t="s">
        <v>1591</v>
      </c>
      <c r="H230" s="33" t="s">
        <v>200</v>
      </c>
      <c r="I230" s="153" t="s">
        <v>2116</v>
      </c>
      <c r="L230" s="154" t="s">
        <v>53</v>
      </c>
      <c r="M230" s="154" t="s">
        <v>53</v>
      </c>
      <c r="N230" s="151" t="s">
        <v>53</v>
      </c>
      <c r="O230" s="40" t="s">
        <v>53</v>
      </c>
      <c r="P230" s="1" t="s">
        <v>53</v>
      </c>
      <c r="Q230" s="44" t="s">
        <v>53</v>
      </c>
      <c r="R230" s="1" t="s">
        <v>53</v>
      </c>
      <c r="S230" s="1" t="s">
        <v>53</v>
      </c>
      <c r="T230" s="30" t="s">
        <v>53</v>
      </c>
      <c r="U230" s="121" t="s">
        <v>53</v>
      </c>
      <c r="V230" s="116" t="b">
        <f t="shared" si="24"/>
        <v>1</v>
      </c>
      <c r="W230" s="117" t="str">
        <f t="shared" si="25"/>
        <v>title: "Turkey"</v>
      </c>
      <c r="X230" s="120" t="str">
        <f t="shared" si="26"/>
        <v/>
      </c>
      <c r="Y230" s="120" t="str">
        <f t="shared" si="27"/>
        <v/>
      </c>
      <c r="Z230" s="120" t="str">
        <f t="shared" si="28"/>
        <v/>
      </c>
      <c r="AA230" s="120" t="str">
        <f t="shared" si="29"/>
        <v/>
      </c>
      <c r="AB230" s="117" t="str">
        <f t="shared" si="30"/>
        <v/>
      </c>
      <c r="AC230" s="117" t="str">
        <f>IF(LEN(J230)&gt;1,concatll("#### Author's Note",J230,"-"&amp;B230),"")</f>
        <v/>
      </c>
      <c r="AD230" s="117" t="str">
        <f>IF(LEN(K230)&gt;1,concatll("#### Dedication",K230,"-"&amp;$B230),"")</f>
        <v/>
      </c>
      <c r="CA230" s="6" t="str">
        <f>IF(V230,concatll(concatl("---",W230,"---"),"*A collection of sites associated with this topic.*","#### Background",I230,AB230,AC230,AD230),"")</f>
        <v xml:space="preserve">---_x000D_
title: "Turkey"_x000D_
---_x000D_
_x000D_
_x000D_
*A collection of sites associated with this topic.*_x000D_
_x000D_
#### Background_x000D_
_x000D_
Catholic places of interest in Turkey_x000D_
_x000D_
</v>
      </c>
      <c r="CB230" s="6" t="str">
        <f t="shared" si="31"/>
        <v>tags\tr\_index.md</v>
      </c>
    </row>
    <row r="231" spans="1:80" x14ac:dyDescent="0.25">
      <c r="A231" s="129" t="s">
        <v>786</v>
      </c>
      <c r="C231" s="1" t="s">
        <v>404</v>
      </c>
      <c r="D231" s="7" t="s">
        <v>675</v>
      </c>
      <c r="E231" s="7" t="s">
        <v>675</v>
      </c>
      <c r="F231" s="33" t="s">
        <v>675</v>
      </c>
      <c r="G231" s="7" t="s">
        <v>404</v>
      </c>
      <c r="H231" s="33" t="s">
        <v>200</v>
      </c>
      <c r="I231" s="153" t="s">
        <v>2117</v>
      </c>
      <c r="L231" s="154" t="s">
        <v>53</v>
      </c>
      <c r="M231" s="154" t="s">
        <v>53</v>
      </c>
      <c r="N231" s="151" t="s">
        <v>53</v>
      </c>
      <c r="O231" s="40" t="s">
        <v>53</v>
      </c>
      <c r="P231" s="1" t="s">
        <v>53</v>
      </c>
      <c r="Q231" s="44" t="s">
        <v>53</v>
      </c>
      <c r="R231" s="1" t="s">
        <v>53</v>
      </c>
      <c r="S231" s="1" t="s">
        <v>53</v>
      </c>
      <c r="T231" s="30" t="s">
        <v>53</v>
      </c>
      <c r="U231" s="121" t="s">
        <v>53</v>
      </c>
      <c r="V231" s="116" t="b">
        <f t="shared" si="24"/>
        <v>1</v>
      </c>
      <c r="W231" s="117" t="str">
        <f t="shared" si="25"/>
        <v>title: "Trinidad and Tobago"</v>
      </c>
      <c r="X231" s="120" t="str">
        <f t="shared" si="26"/>
        <v/>
      </c>
      <c r="Y231" s="120" t="str">
        <f t="shared" si="27"/>
        <v/>
      </c>
      <c r="Z231" s="120" t="str">
        <f t="shared" si="28"/>
        <v/>
      </c>
      <c r="AA231" s="120" t="str">
        <f t="shared" si="29"/>
        <v/>
      </c>
      <c r="AB231" s="117" t="str">
        <f t="shared" si="30"/>
        <v/>
      </c>
      <c r="AC231" s="117" t="str">
        <f>IF(LEN(J231)&gt;1,concatll("#### Author's Note",J231,"-"&amp;B231),"")</f>
        <v/>
      </c>
      <c r="AD231" s="117" t="str">
        <f>IF(LEN(K231)&gt;1,concatll("#### Dedication",K231,"-"&amp;$B231),"")</f>
        <v/>
      </c>
      <c r="CA231" s="6" t="str">
        <f>IF(V231,concatll(concatl("---",W231,"---"),"*A collection of sites associated with this topic.*","#### Background",I231,AB231,AC231,AD231),"")</f>
        <v xml:space="preserve">---_x000D_
title: "Trinidad and Tobago"_x000D_
---_x000D_
_x000D_
_x000D_
*A collection of sites associated with this topic.*_x000D_
_x000D_
#### Background_x000D_
_x000D_
Catholic places of interest in Trinidad and Tobago_x000D_
_x000D_
</v>
      </c>
      <c r="CB231" s="6" t="str">
        <f t="shared" si="31"/>
        <v>tags\tt\_index.md</v>
      </c>
    </row>
    <row r="232" spans="1:80" x14ac:dyDescent="0.25">
      <c r="A232" s="129" t="s">
        <v>786</v>
      </c>
      <c r="C232" s="1" t="s">
        <v>405</v>
      </c>
      <c r="D232" s="7" t="s">
        <v>676</v>
      </c>
      <c r="E232" s="7" t="s">
        <v>676</v>
      </c>
      <c r="F232" s="33" t="s">
        <v>676</v>
      </c>
      <c r="G232" s="7" t="s">
        <v>405</v>
      </c>
      <c r="H232" s="33" t="s">
        <v>200</v>
      </c>
      <c r="I232" s="153" t="s">
        <v>2118</v>
      </c>
      <c r="L232" s="154" t="s">
        <v>53</v>
      </c>
      <c r="M232" s="154" t="s">
        <v>53</v>
      </c>
      <c r="N232" s="151" t="s">
        <v>53</v>
      </c>
      <c r="O232" s="40" t="s">
        <v>53</v>
      </c>
      <c r="P232" s="1" t="s">
        <v>53</v>
      </c>
      <c r="Q232" s="44" t="s">
        <v>53</v>
      </c>
      <c r="R232" s="1" t="s">
        <v>53</v>
      </c>
      <c r="S232" s="1" t="s">
        <v>53</v>
      </c>
      <c r="T232" s="30" t="s">
        <v>53</v>
      </c>
      <c r="U232" s="121" t="s">
        <v>53</v>
      </c>
      <c r="V232" s="116" t="b">
        <f t="shared" si="24"/>
        <v>1</v>
      </c>
      <c r="W232" s="117" t="str">
        <f t="shared" si="25"/>
        <v>title: "Tuvalu"</v>
      </c>
      <c r="X232" s="120" t="str">
        <f t="shared" si="26"/>
        <v/>
      </c>
      <c r="Y232" s="120" t="str">
        <f t="shared" si="27"/>
        <v/>
      </c>
      <c r="Z232" s="120" t="str">
        <f t="shared" si="28"/>
        <v/>
      </c>
      <c r="AA232" s="120" t="str">
        <f t="shared" si="29"/>
        <v/>
      </c>
      <c r="AB232" s="117" t="str">
        <f t="shared" si="30"/>
        <v/>
      </c>
      <c r="AC232" s="117" t="str">
        <f>IF(LEN(J232)&gt;1,concatll("#### Author's Note",J232,"-"&amp;B232),"")</f>
        <v/>
      </c>
      <c r="AD232" s="117" t="str">
        <f>IF(LEN(K232)&gt;1,concatll("#### Dedication",K232,"-"&amp;$B232),"")</f>
        <v/>
      </c>
      <c r="CA232" s="6" t="str">
        <f>IF(V232,concatll(concatl("---",W232,"---"),"*A collection of sites associated with this topic.*","#### Background",I232,AB232,AC232,AD232),"")</f>
        <v xml:space="preserve">---_x000D_
title: "Tuvalu"_x000D_
---_x000D_
_x000D_
_x000D_
*A collection of sites associated with this topic.*_x000D_
_x000D_
#### Background_x000D_
_x000D_
Catholic places of interest in Tuvalu_x000D_
_x000D_
</v>
      </c>
      <c r="CB232" s="6" t="str">
        <f t="shared" si="31"/>
        <v>tags\tv\_index.md</v>
      </c>
    </row>
    <row r="233" spans="1:80" x14ac:dyDescent="0.25">
      <c r="A233" s="129" t="s">
        <v>786</v>
      </c>
      <c r="C233" s="1" t="s">
        <v>436</v>
      </c>
      <c r="D233" s="7" t="s">
        <v>677</v>
      </c>
      <c r="E233" s="7" t="s">
        <v>677</v>
      </c>
      <c r="F233" s="33" t="s">
        <v>677</v>
      </c>
      <c r="G233" s="7" t="s">
        <v>436</v>
      </c>
      <c r="H233" s="33" t="s">
        <v>200</v>
      </c>
      <c r="I233" s="153" t="s">
        <v>2119</v>
      </c>
      <c r="L233" s="154" t="s">
        <v>53</v>
      </c>
      <c r="M233" s="154" t="s">
        <v>53</v>
      </c>
      <c r="N233" s="151" t="s">
        <v>53</v>
      </c>
      <c r="O233" s="40" t="s">
        <v>53</v>
      </c>
      <c r="P233" s="1" t="s">
        <v>53</v>
      </c>
      <c r="Q233" s="44" t="s">
        <v>53</v>
      </c>
      <c r="R233" s="1" t="s">
        <v>53</v>
      </c>
      <c r="S233" s="1" t="s">
        <v>53</v>
      </c>
      <c r="T233" s="30" t="s">
        <v>53</v>
      </c>
      <c r="U233" s="121" t="s">
        <v>53</v>
      </c>
      <c r="V233" s="116" t="b">
        <f t="shared" si="24"/>
        <v>1</v>
      </c>
      <c r="W233" s="117" t="str">
        <f t="shared" si="25"/>
        <v>title: "Taiwan"</v>
      </c>
      <c r="X233" s="120" t="str">
        <f t="shared" si="26"/>
        <v/>
      </c>
      <c r="Y233" s="120" t="str">
        <f t="shared" si="27"/>
        <v/>
      </c>
      <c r="Z233" s="120" t="str">
        <f t="shared" si="28"/>
        <v/>
      </c>
      <c r="AA233" s="120" t="str">
        <f t="shared" si="29"/>
        <v/>
      </c>
      <c r="AB233" s="117" t="str">
        <f t="shared" si="30"/>
        <v/>
      </c>
      <c r="AC233" s="117" t="str">
        <f>IF(LEN(J233)&gt;1,concatll("#### Author's Note",J233,"-"&amp;B233),"")</f>
        <v/>
      </c>
      <c r="AD233" s="117" t="str">
        <f>IF(LEN(K233)&gt;1,concatll("#### Dedication",K233,"-"&amp;$B233),"")</f>
        <v/>
      </c>
      <c r="CA233" s="6" t="str">
        <f>IF(V233,concatll(concatl("---",W233,"---"),"*A collection of sites associated with this topic.*","#### Background",I233,AB233,AC233,AD233),"")</f>
        <v xml:space="preserve">---_x000D_
title: "Taiwan"_x000D_
---_x000D_
_x000D_
_x000D_
*A collection of sites associated with this topic.*_x000D_
_x000D_
#### Background_x000D_
_x000D_
Catholic places of interest in Taiwan_x000D_
_x000D_
</v>
      </c>
      <c r="CB233" s="6" t="str">
        <f t="shared" si="31"/>
        <v>tags\tw\_index.md</v>
      </c>
    </row>
    <row r="234" spans="1:80" x14ac:dyDescent="0.25">
      <c r="A234" s="129" t="s">
        <v>786</v>
      </c>
      <c r="C234" s="1" t="s">
        <v>437</v>
      </c>
      <c r="D234" s="7" t="s">
        <v>678</v>
      </c>
      <c r="E234" s="7" t="s">
        <v>678</v>
      </c>
      <c r="F234" s="33" t="s">
        <v>678</v>
      </c>
      <c r="G234" s="7" t="s">
        <v>437</v>
      </c>
      <c r="H234" s="33" t="s">
        <v>200</v>
      </c>
      <c r="I234" s="153" t="s">
        <v>2120</v>
      </c>
      <c r="L234" s="154" t="s">
        <v>53</v>
      </c>
      <c r="M234" s="154" t="s">
        <v>53</v>
      </c>
      <c r="N234" s="151" t="s">
        <v>53</v>
      </c>
      <c r="O234" s="40" t="s">
        <v>53</v>
      </c>
      <c r="P234" s="1" t="s">
        <v>53</v>
      </c>
      <c r="Q234" s="44" t="s">
        <v>53</v>
      </c>
      <c r="R234" s="1" t="s">
        <v>53</v>
      </c>
      <c r="S234" s="1" t="s">
        <v>53</v>
      </c>
      <c r="T234" s="30" t="s">
        <v>53</v>
      </c>
      <c r="U234" s="121" t="s">
        <v>53</v>
      </c>
      <c r="V234" s="116" t="b">
        <f t="shared" si="24"/>
        <v>1</v>
      </c>
      <c r="W234" s="117" t="str">
        <f t="shared" si="25"/>
        <v>title: "Tanzania"</v>
      </c>
      <c r="X234" s="120" t="str">
        <f t="shared" si="26"/>
        <v/>
      </c>
      <c r="Y234" s="120" t="str">
        <f t="shared" si="27"/>
        <v/>
      </c>
      <c r="Z234" s="120" t="str">
        <f t="shared" si="28"/>
        <v/>
      </c>
      <c r="AA234" s="120" t="str">
        <f t="shared" si="29"/>
        <v/>
      </c>
      <c r="AB234" s="117" t="str">
        <f t="shared" si="30"/>
        <v/>
      </c>
      <c r="AC234" s="117" t="str">
        <f>IF(LEN(J234)&gt;1,concatll("#### Author's Note",J234,"-"&amp;B234),"")</f>
        <v/>
      </c>
      <c r="AD234" s="117" t="str">
        <f>IF(LEN(K234)&gt;1,concatll("#### Dedication",K234,"-"&amp;$B234),"")</f>
        <v/>
      </c>
      <c r="CA234" s="6" t="str">
        <f>IF(V234,concatll(concatl("---",W234,"---"),"*A collection of sites associated with this topic.*","#### Background",I234,AB234,AC234,AD234),"")</f>
        <v xml:space="preserve">---_x000D_
title: "Tanzania"_x000D_
---_x000D_
_x000D_
_x000D_
*A collection of sites associated with this topic.*_x000D_
_x000D_
#### Background_x000D_
_x000D_
Catholic places of interest in Tanzania_x000D_
_x000D_
</v>
      </c>
      <c r="CB234" s="6" t="str">
        <f t="shared" si="31"/>
        <v>tags\tz\_index.md</v>
      </c>
    </row>
    <row r="235" spans="1:80" x14ac:dyDescent="0.25">
      <c r="A235" s="129" t="s">
        <v>786</v>
      </c>
      <c r="C235" s="1" t="s">
        <v>406</v>
      </c>
      <c r="D235" s="7" t="s">
        <v>679</v>
      </c>
      <c r="E235" s="7" t="s">
        <v>679</v>
      </c>
      <c r="F235" s="33" t="s">
        <v>679</v>
      </c>
      <c r="G235" s="7" t="s">
        <v>406</v>
      </c>
      <c r="H235" s="33" t="s">
        <v>200</v>
      </c>
      <c r="I235" s="153" t="s">
        <v>2121</v>
      </c>
      <c r="L235" s="154" t="s">
        <v>53</v>
      </c>
      <c r="M235" s="154" t="s">
        <v>53</v>
      </c>
      <c r="N235" s="151" t="s">
        <v>53</v>
      </c>
      <c r="O235" s="40" t="s">
        <v>53</v>
      </c>
      <c r="P235" s="1" t="s">
        <v>53</v>
      </c>
      <c r="Q235" s="44" t="s">
        <v>53</v>
      </c>
      <c r="R235" s="1" t="s">
        <v>53</v>
      </c>
      <c r="S235" s="1" t="s">
        <v>53</v>
      </c>
      <c r="T235" s="30" t="s">
        <v>53</v>
      </c>
      <c r="U235" s="121" t="s">
        <v>53</v>
      </c>
      <c r="V235" s="116" t="b">
        <f t="shared" si="24"/>
        <v>1</v>
      </c>
      <c r="W235" s="117" t="str">
        <f t="shared" si="25"/>
        <v>title: "Ukraine"</v>
      </c>
      <c r="X235" s="120" t="str">
        <f t="shared" si="26"/>
        <v/>
      </c>
      <c r="Y235" s="120" t="str">
        <f t="shared" si="27"/>
        <v/>
      </c>
      <c r="Z235" s="120" t="str">
        <f t="shared" si="28"/>
        <v/>
      </c>
      <c r="AA235" s="120" t="str">
        <f t="shared" si="29"/>
        <v/>
      </c>
      <c r="AB235" s="117" t="str">
        <f t="shared" si="30"/>
        <v/>
      </c>
      <c r="AC235" s="117" t="str">
        <f>IF(LEN(J235)&gt;1,concatll("#### Author's Note",J235,"-"&amp;B235),"")</f>
        <v/>
      </c>
      <c r="AD235" s="117" t="str">
        <f>IF(LEN(K235)&gt;1,concatll("#### Dedication",K235,"-"&amp;$B235),"")</f>
        <v/>
      </c>
      <c r="CA235" s="6" t="str">
        <f>IF(V235,concatll(concatl("---",W235,"---"),"*A collection of sites associated with this topic.*","#### Background",I235,AB235,AC235,AD235),"")</f>
        <v xml:space="preserve">---_x000D_
title: "Ukraine"_x000D_
---_x000D_
_x000D_
_x000D_
*A collection of sites associated with this topic.*_x000D_
_x000D_
#### Background_x000D_
_x000D_
Catholic places of interest in Ukraine_x000D_
_x000D_
</v>
      </c>
      <c r="CB235" s="6" t="str">
        <f t="shared" si="31"/>
        <v>tags\ua\_index.md</v>
      </c>
    </row>
    <row r="236" spans="1:80" x14ac:dyDescent="0.25">
      <c r="A236" s="129" t="s">
        <v>786</v>
      </c>
      <c r="C236" s="1" t="s">
        <v>407</v>
      </c>
      <c r="D236" s="7" t="s">
        <v>680</v>
      </c>
      <c r="E236" s="7" t="s">
        <v>680</v>
      </c>
      <c r="F236" s="33" t="s">
        <v>680</v>
      </c>
      <c r="G236" s="7" t="s">
        <v>407</v>
      </c>
      <c r="H236" s="33" t="s">
        <v>200</v>
      </c>
      <c r="I236" s="153" t="s">
        <v>2122</v>
      </c>
      <c r="L236" s="154" t="s">
        <v>53</v>
      </c>
      <c r="M236" s="154" t="s">
        <v>53</v>
      </c>
      <c r="N236" s="151" t="s">
        <v>53</v>
      </c>
      <c r="O236" s="40" t="s">
        <v>53</v>
      </c>
      <c r="P236" s="1" t="s">
        <v>53</v>
      </c>
      <c r="Q236" s="44" t="s">
        <v>53</v>
      </c>
      <c r="R236" s="1" t="s">
        <v>53</v>
      </c>
      <c r="S236" s="1" t="s">
        <v>53</v>
      </c>
      <c r="T236" s="30" t="s">
        <v>53</v>
      </c>
      <c r="U236" s="121" t="s">
        <v>53</v>
      </c>
      <c r="V236" s="116" t="b">
        <f t="shared" si="24"/>
        <v>1</v>
      </c>
      <c r="W236" s="117" t="str">
        <f t="shared" si="25"/>
        <v>title: "Uganda"</v>
      </c>
      <c r="X236" s="120" t="str">
        <f t="shared" si="26"/>
        <v/>
      </c>
      <c r="Y236" s="120" t="str">
        <f t="shared" si="27"/>
        <v/>
      </c>
      <c r="Z236" s="120" t="str">
        <f t="shared" si="28"/>
        <v/>
      </c>
      <c r="AA236" s="120" t="str">
        <f t="shared" si="29"/>
        <v/>
      </c>
      <c r="AB236" s="117" t="str">
        <f t="shared" si="30"/>
        <v/>
      </c>
      <c r="AC236" s="117" t="str">
        <f>IF(LEN(J236)&gt;1,concatll("#### Author's Note",J236,"-"&amp;B236),"")</f>
        <v/>
      </c>
      <c r="AD236" s="117" t="str">
        <f>IF(LEN(K236)&gt;1,concatll("#### Dedication",K236,"-"&amp;$B236),"")</f>
        <v/>
      </c>
      <c r="CA236" s="6" t="str">
        <f>IF(V236,concatll(concatl("---",W236,"---"),"*A collection of sites associated with this topic.*","#### Background",I236,AB236,AC236,AD236),"")</f>
        <v xml:space="preserve">---_x000D_
title: "Uganda"_x000D_
---_x000D_
_x000D_
_x000D_
*A collection of sites associated with this topic.*_x000D_
_x000D_
#### Background_x000D_
_x000D_
Catholic places of interest in Uganda_x000D_
_x000D_
</v>
      </c>
      <c r="CB236" s="6" t="str">
        <f t="shared" si="31"/>
        <v>tags\ug\_index.md</v>
      </c>
    </row>
    <row r="237" spans="1:80" x14ac:dyDescent="0.25">
      <c r="A237" s="129" t="s">
        <v>786</v>
      </c>
      <c r="C237" s="1" t="s">
        <v>408</v>
      </c>
      <c r="D237" s="7" t="s">
        <v>681</v>
      </c>
      <c r="E237" s="153" t="s">
        <v>681</v>
      </c>
      <c r="F237" s="33" t="s">
        <v>681</v>
      </c>
      <c r="G237" s="7" t="s">
        <v>408</v>
      </c>
      <c r="H237" s="33" t="s">
        <v>200</v>
      </c>
      <c r="I237" s="153" t="s">
        <v>2210</v>
      </c>
      <c r="L237" s="154" t="s">
        <v>53</v>
      </c>
      <c r="M237" s="154" t="s">
        <v>53</v>
      </c>
      <c r="N237" s="151" t="s">
        <v>53</v>
      </c>
      <c r="O237" s="40" t="s">
        <v>53</v>
      </c>
      <c r="P237" s="1" t="s">
        <v>53</v>
      </c>
      <c r="Q237" s="44" t="s">
        <v>53</v>
      </c>
      <c r="R237" s="1" t="s">
        <v>53</v>
      </c>
      <c r="S237" s="1" t="s">
        <v>53</v>
      </c>
      <c r="T237" s="30" t="s">
        <v>53</v>
      </c>
      <c r="U237" s="121" t="s">
        <v>53</v>
      </c>
      <c r="V237" s="116" t="b">
        <f t="shared" si="24"/>
        <v>1</v>
      </c>
      <c r="W237" s="117" t="str">
        <f t="shared" si="25"/>
        <v>title: "United States Minor Outlying Islands"</v>
      </c>
      <c r="X237" s="120" t="str">
        <f t="shared" si="26"/>
        <v/>
      </c>
      <c r="Y237" s="120" t="str">
        <f t="shared" si="27"/>
        <v/>
      </c>
      <c r="Z237" s="120" t="str">
        <f t="shared" si="28"/>
        <v/>
      </c>
      <c r="AA237" s="120" t="str">
        <f t="shared" si="29"/>
        <v/>
      </c>
      <c r="AB237" s="117" t="str">
        <f t="shared" si="30"/>
        <v/>
      </c>
      <c r="AC237" s="117" t="str">
        <f>IF(LEN(J237)&gt;1,concatll("#### Author's Note",J237,"-"&amp;B237),"")</f>
        <v/>
      </c>
      <c r="AD237" s="117" t="str">
        <f>IF(LEN(K237)&gt;1,concatll("#### Dedication",K237,"-"&amp;$B237),"")</f>
        <v/>
      </c>
      <c r="CA237" s="6" t="str">
        <f>IF(V237,concatll(concatl("---",W237,"---"),"*A collection of sites associated with this topic.*","#### Background",I237,AB237,AC237,AD237),"")</f>
        <v xml:space="preserve">---_x000D_
title: "United States Minor Outlying Islands"_x000D_
---_x000D_
_x000D_
_x000D_
*A collection of sites associated with this topic.*_x000D_
_x000D_
#### Background_x000D_
_x000D_
Catholic places of interest in the United States Minor Outlying Islands_x000D_
_x000D_
</v>
      </c>
      <c r="CB237" s="6" t="str">
        <f t="shared" si="31"/>
        <v>tags\um\_index.md</v>
      </c>
    </row>
    <row r="238" spans="1:80" x14ac:dyDescent="0.25">
      <c r="A238" s="129" t="s">
        <v>786</v>
      </c>
      <c r="C238" s="1" t="s">
        <v>410</v>
      </c>
      <c r="D238" s="7" t="s">
        <v>683</v>
      </c>
      <c r="E238" s="7" t="s">
        <v>683</v>
      </c>
      <c r="F238" s="33" t="s">
        <v>683</v>
      </c>
      <c r="G238" s="7" t="s">
        <v>410</v>
      </c>
      <c r="H238" s="33" t="s">
        <v>200</v>
      </c>
      <c r="I238" s="153" t="s">
        <v>2123</v>
      </c>
      <c r="L238" s="154" t="s">
        <v>53</v>
      </c>
      <c r="M238" s="154" t="s">
        <v>53</v>
      </c>
      <c r="N238" s="151" t="s">
        <v>53</v>
      </c>
      <c r="O238" s="40" t="s">
        <v>53</v>
      </c>
      <c r="P238" s="1" t="s">
        <v>53</v>
      </c>
      <c r="Q238" s="44" t="s">
        <v>53</v>
      </c>
      <c r="R238" s="1" t="s">
        <v>53</v>
      </c>
      <c r="S238" s="1" t="s">
        <v>53</v>
      </c>
      <c r="T238" s="30" t="s">
        <v>53</v>
      </c>
      <c r="U238" s="121" t="s">
        <v>53</v>
      </c>
      <c r="V238" s="116" t="b">
        <f t="shared" si="24"/>
        <v>1</v>
      </c>
      <c r="W238" s="117" t="str">
        <f t="shared" si="25"/>
        <v>title: "Uruguay"</v>
      </c>
      <c r="X238" s="120" t="str">
        <f t="shared" si="26"/>
        <v/>
      </c>
      <c r="Y238" s="120" t="str">
        <f t="shared" si="27"/>
        <v/>
      </c>
      <c r="Z238" s="120" t="str">
        <f t="shared" si="28"/>
        <v/>
      </c>
      <c r="AA238" s="120" t="str">
        <f t="shared" si="29"/>
        <v/>
      </c>
      <c r="AB238" s="117" t="str">
        <f t="shared" si="30"/>
        <v/>
      </c>
      <c r="AC238" s="117" t="str">
        <f>IF(LEN(J238)&gt;1,concatll("#### Author's Note",J238,"-"&amp;B238),"")</f>
        <v/>
      </c>
      <c r="AD238" s="117" t="str">
        <f>IF(LEN(K238)&gt;1,concatll("#### Dedication",K238,"-"&amp;$B238),"")</f>
        <v/>
      </c>
      <c r="CA238" s="6" t="str">
        <f>IF(V238,concatll(concatl("---",W238,"---"),"*A collection of sites associated with this topic.*","#### Background",I238,AB238,AC238,AD238),"")</f>
        <v xml:space="preserve">---_x000D_
title: "Uruguay"_x000D_
---_x000D_
_x000D_
_x000D_
*A collection of sites associated with this topic.*_x000D_
_x000D_
#### Background_x000D_
_x000D_
Catholic places of interest in Uruguay_x000D_
_x000D_
</v>
      </c>
      <c r="CB238" s="6" t="str">
        <f t="shared" si="31"/>
        <v>tags\uy\_index.md</v>
      </c>
    </row>
    <row r="239" spans="1:80" x14ac:dyDescent="0.25">
      <c r="A239" s="129" t="s">
        <v>786</v>
      </c>
      <c r="C239" s="1" t="s">
        <v>411</v>
      </c>
      <c r="D239" s="7" t="s">
        <v>684</v>
      </c>
      <c r="E239" s="7" t="s">
        <v>684</v>
      </c>
      <c r="F239" s="33" t="s">
        <v>684</v>
      </c>
      <c r="G239" s="7" t="s">
        <v>411</v>
      </c>
      <c r="H239" s="33" t="s">
        <v>200</v>
      </c>
      <c r="I239" s="153" t="s">
        <v>2124</v>
      </c>
      <c r="L239" s="154" t="s">
        <v>53</v>
      </c>
      <c r="M239" s="154" t="s">
        <v>53</v>
      </c>
      <c r="N239" s="151" t="s">
        <v>53</v>
      </c>
      <c r="O239" s="40" t="s">
        <v>53</v>
      </c>
      <c r="P239" s="1" t="s">
        <v>53</v>
      </c>
      <c r="Q239" s="44" t="s">
        <v>53</v>
      </c>
      <c r="R239" s="1" t="s">
        <v>53</v>
      </c>
      <c r="S239" s="1" t="s">
        <v>53</v>
      </c>
      <c r="T239" s="30" t="s">
        <v>53</v>
      </c>
      <c r="U239" s="121" t="s">
        <v>53</v>
      </c>
      <c r="V239" s="116" t="b">
        <f t="shared" si="24"/>
        <v>1</v>
      </c>
      <c r="W239" s="117" t="str">
        <f t="shared" si="25"/>
        <v>title: "Uzbekistan"</v>
      </c>
      <c r="X239" s="120" t="str">
        <f t="shared" si="26"/>
        <v/>
      </c>
      <c r="Y239" s="120" t="str">
        <f t="shared" si="27"/>
        <v/>
      </c>
      <c r="Z239" s="120" t="str">
        <f t="shared" si="28"/>
        <v/>
      </c>
      <c r="AA239" s="120" t="str">
        <f t="shared" si="29"/>
        <v/>
      </c>
      <c r="AB239" s="117" t="str">
        <f t="shared" si="30"/>
        <v/>
      </c>
      <c r="AC239" s="117" t="str">
        <f>IF(LEN(J239)&gt;1,concatll("#### Author's Note",J239,"-"&amp;B239),"")</f>
        <v/>
      </c>
      <c r="AD239" s="117" t="str">
        <f>IF(LEN(K239)&gt;1,concatll("#### Dedication",K239,"-"&amp;$B239),"")</f>
        <v/>
      </c>
      <c r="CA239" s="6" t="str">
        <f>IF(V239,concatll(concatl("---",W239,"---"),"*A collection of sites associated with this topic.*","#### Background",I239,AB239,AC239,AD239),"")</f>
        <v xml:space="preserve">---_x000D_
title: "Uzbekistan"_x000D_
---_x000D_
_x000D_
_x000D_
*A collection of sites associated with this topic.*_x000D_
_x000D_
#### Background_x000D_
_x000D_
Catholic places of interest in Uzbekistan_x000D_
_x000D_
</v>
      </c>
      <c r="CB239" s="6" t="str">
        <f t="shared" si="31"/>
        <v>tags\uz\_index.md</v>
      </c>
    </row>
    <row r="240" spans="1:80" ht="25.5" x14ac:dyDescent="0.25">
      <c r="A240" s="129" t="s">
        <v>786</v>
      </c>
      <c r="C240" s="1" t="s">
        <v>1604</v>
      </c>
      <c r="D240" s="7" t="s">
        <v>685</v>
      </c>
      <c r="E240" s="156" t="s">
        <v>2215</v>
      </c>
      <c r="F240" s="157" t="s">
        <v>685</v>
      </c>
      <c r="G240" s="7" t="s">
        <v>1604</v>
      </c>
      <c r="H240" s="33" t="s">
        <v>200</v>
      </c>
      <c r="I240" s="153" t="s">
        <v>2125</v>
      </c>
      <c r="L240" s="154" t="s">
        <v>53</v>
      </c>
      <c r="M240" s="154" t="s">
        <v>53</v>
      </c>
      <c r="N240" s="151" t="s">
        <v>53</v>
      </c>
      <c r="O240" s="40" t="s">
        <v>53</v>
      </c>
      <c r="P240" s="1" t="s">
        <v>53</v>
      </c>
      <c r="Q240" s="44" t="s">
        <v>53</v>
      </c>
      <c r="R240" s="1" t="s">
        <v>53</v>
      </c>
      <c r="S240" s="1" t="s">
        <v>53</v>
      </c>
      <c r="T240" s="30" t="s">
        <v>53</v>
      </c>
      <c r="U240" s="121" t="s">
        <v>53</v>
      </c>
      <c r="V240" s="116" t="b">
        <f t="shared" si="24"/>
        <v>1</v>
      </c>
      <c r="W240" s="117" t="str">
        <f t="shared" si="25"/>
        <v>title: "Vatican City"</v>
      </c>
      <c r="X240" s="120" t="str">
        <f t="shared" si="26"/>
        <v/>
      </c>
      <c r="Y240" s="120" t="str">
        <f t="shared" si="27"/>
        <v/>
      </c>
      <c r="Z240" s="120" t="str">
        <f t="shared" si="28"/>
        <v/>
      </c>
      <c r="AA240" s="120" t="str">
        <f t="shared" si="29"/>
        <v/>
      </c>
      <c r="AB240" s="117" t="str">
        <f t="shared" si="30"/>
        <v/>
      </c>
      <c r="AC240" s="117" t="str">
        <f>IF(LEN(J240)&gt;1,concatll("#### Author's Note",J240,"-"&amp;B240),"")</f>
        <v/>
      </c>
      <c r="AD240" s="117" t="str">
        <f>IF(LEN(K240)&gt;1,concatll("#### Dedication",K240,"-"&amp;$B240),"")</f>
        <v/>
      </c>
      <c r="CA240" s="6" t="str">
        <f>IF(V240,concatll(concatl("---",W240,"---"),"*A collection of sites associated with this topic.*","#### Background",I240,AB240,AC240,AD240),"")</f>
        <v xml:space="preserve">---_x000D_
title: "Vatican City"_x000D_
---_x000D_
_x000D_
_x000D_
*A collection of sites associated with this topic.*_x000D_
_x000D_
#### Background_x000D_
_x000D_
Catholic places of interest in Vatican City_x000D_
_x000D_
</v>
      </c>
      <c r="CB240" s="6" t="str">
        <f t="shared" si="31"/>
        <v>tags\va\_index.md</v>
      </c>
    </row>
    <row r="241" spans="1:80" x14ac:dyDescent="0.25">
      <c r="A241" s="129" t="s">
        <v>786</v>
      </c>
      <c r="C241" s="1" t="s">
        <v>412</v>
      </c>
      <c r="D241" s="7" t="s">
        <v>686</v>
      </c>
      <c r="E241" s="153" t="s">
        <v>686</v>
      </c>
      <c r="F241" s="33" t="s">
        <v>686</v>
      </c>
      <c r="G241" s="7" t="s">
        <v>412</v>
      </c>
      <c r="H241" s="33" t="s">
        <v>200</v>
      </c>
      <c r="I241" s="153" t="s">
        <v>2126</v>
      </c>
      <c r="L241" s="154" t="s">
        <v>53</v>
      </c>
      <c r="M241" s="154" t="s">
        <v>53</v>
      </c>
      <c r="N241" s="151" t="s">
        <v>53</v>
      </c>
      <c r="O241" s="40" t="s">
        <v>53</v>
      </c>
      <c r="P241" s="1" t="s">
        <v>53</v>
      </c>
      <c r="Q241" s="44" t="s">
        <v>53</v>
      </c>
      <c r="R241" s="1" t="s">
        <v>53</v>
      </c>
      <c r="S241" s="1" t="s">
        <v>53</v>
      </c>
      <c r="T241" s="30" t="s">
        <v>53</v>
      </c>
      <c r="U241" s="121" t="s">
        <v>53</v>
      </c>
      <c r="V241" s="116" t="b">
        <f t="shared" si="24"/>
        <v>1</v>
      </c>
      <c r="W241" s="117" t="str">
        <f t="shared" si="25"/>
        <v>title: "Saint Vincent and the Grenadines"</v>
      </c>
      <c r="X241" s="120" t="str">
        <f t="shared" si="26"/>
        <v/>
      </c>
      <c r="Y241" s="120" t="str">
        <f t="shared" si="27"/>
        <v/>
      </c>
      <c r="Z241" s="120" t="str">
        <f t="shared" si="28"/>
        <v/>
      </c>
      <c r="AA241" s="120" t="str">
        <f t="shared" si="29"/>
        <v/>
      </c>
      <c r="AB241" s="117" t="str">
        <f t="shared" si="30"/>
        <v/>
      </c>
      <c r="AC241" s="117" t="str">
        <f>IF(LEN(J241)&gt;1,concatll("#### Author's Note",J241,"-"&amp;B241),"")</f>
        <v/>
      </c>
      <c r="AD241" s="117" t="str">
        <f>IF(LEN(K241)&gt;1,concatll("#### Dedication",K241,"-"&amp;$B241),"")</f>
        <v/>
      </c>
      <c r="CA241" s="6" t="str">
        <f>IF(V241,concatll(concatl("---",W241,"---"),"*A collection of sites associated with this topic.*","#### Background",I241,AB241,AC241,AD241),"")</f>
        <v xml:space="preserve">---_x000D_
title: "Saint Vincent and the Grenadines"_x000D_
---_x000D_
_x000D_
_x000D_
*A collection of sites associated with this topic.*_x000D_
_x000D_
#### Background_x000D_
_x000D_
Catholic places of interest in Saint Vincent and the Grenadines_x000D_
_x000D_
</v>
      </c>
      <c r="CB241" s="6" t="str">
        <f t="shared" si="31"/>
        <v>tags\vc\_index.md</v>
      </c>
    </row>
    <row r="242" spans="1:80" x14ac:dyDescent="0.25">
      <c r="A242" s="129" t="s">
        <v>786</v>
      </c>
      <c r="C242" s="1" t="s">
        <v>429</v>
      </c>
      <c r="D242" s="7" t="s">
        <v>687</v>
      </c>
      <c r="E242" s="7" t="s">
        <v>687</v>
      </c>
      <c r="F242" s="33" t="s">
        <v>687</v>
      </c>
      <c r="G242" s="7" t="s">
        <v>429</v>
      </c>
      <c r="H242" s="33" t="s">
        <v>200</v>
      </c>
      <c r="I242" s="153" t="s">
        <v>2127</v>
      </c>
      <c r="L242" s="154" t="s">
        <v>53</v>
      </c>
      <c r="M242" s="154" t="s">
        <v>53</v>
      </c>
      <c r="N242" s="151" t="s">
        <v>53</v>
      </c>
      <c r="O242" s="40" t="s">
        <v>53</v>
      </c>
      <c r="P242" s="1" t="s">
        <v>53</v>
      </c>
      <c r="Q242" s="44" t="s">
        <v>53</v>
      </c>
      <c r="R242" s="1" t="s">
        <v>53</v>
      </c>
      <c r="S242" s="1" t="s">
        <v>53</v>
      </c>
      <c r="T242" s="30" t="s">
        <v>53</v>
      </c>
      <c r="U242" s="121" t="s">
        <v>53</v>
      </c>
      <c r="V242" s="116" t="b">
        <f t="shared" si="24"/>
        <v>1</v>
      </c>
      <c r="W242" s="117" t="str">
        <f t="shared" si="25"/>
        <v>title: "Venezuela"</v>
      </c>
      <c r="X242" s="120" t="str">
        <f t="shared" si="26"/>
        <v/>
      </c>
      <c r="Y242" s="120" t="str">
        <f t="shared" si="27"/>
        <v/>
      </c>
      <c r="Z242" s="120" t="str">
        <f t="shared" si="28"/>
        <v/>
      </c>
      <c r="AA242" s="120" t="str">
        <f t="shared" si="29"/>
        <v/>
      </c>
      <c r="AB242" s="117" t="str">
        <f t="shared" si="30"/>
        <v/>
      </c>
      <c r="AC242" s="117" t="str">
        <f>IF(LEN(J242)&gt;1,concatll("#### Author's Note",J242,"-"&amp;B242),"")</f>
        <v/>
      </c>
      <c r="AD242" s="117" t="str">
        <f>IF(LEN(K242)&gt;1,concatll("#### Dedication",K242,"-"&amp;$B242),"")</f>
        <v/>
      </c>
      <c r="CA242" s="6" t="str">
        <f>IF(V242,concatll(concatl("---",W242,"---"),"*A collection of sites associated with this topic.*","#### Background",I242,AB242,AC242,AD242),"")</f>
        <v xml:space="preserve">---_x000D_
title: "Venezuela"_x000D_
---_x000D_
_x000D_
_x000D_
*A collection of sites associated with this topic.*_x000D_
_x000D_
#### Background_x000D_
_x000D_
Catholic places of interest in Venezuela_x000D_
_x000D_
</v>
      </c>
      <c r="CB242" s="6" t="str">
        <f t="shared" si="31"/>
        <v>tags\ve\_index.md</v>
      </c>
    </row>
    <row r="243" spans="1:80" x14ac:dyDescent="0.25">
      <c r="A243" s="129" t="s">
        <v>786</v>
      </c>
      <c r="C243" s="1" t="s">
        <v>430</v>
      </c>
      <c r="D243" s="7" t="s">
        <v>688</v>
      </c>
      <c r="E243" s="7" t="s">
        <v>688</v>
      </c>
      <c r="F243" s="33" t="s">
        <v>688</v>
      </c>
      <c r="G243" s="7" t="s">
        <v>430</v>
      </c>
      <c r="H243" s="33" t="s">
        <v>200</v>
      </c>
      <c r="I243" s="153" t="s">
        <v>2211</v>
      </c>
      <c r="L243" s="154" t="s">
        <v>53</v>
      </c>
      <c r="M243" s="154" t="s">
        <v>53</v>
      </c>
      <c r="N243" s="151" t="s">
        <v>53</v>
      </c>
      <c r="O243" s="40" t="s">
        <v>53</v>
      </c>
      <c r="P243" s="1" t="s">
        <v>53</v>
      </c>
      <c r="Q243" s="44" t="s">
        <v>53</v>
      </c>
      <c r="R243" s="1" t="s">
        <v>53</v>
      </c>
      <c r="S243" s="1" t="s">
        <v>53</v>
      </c>
      <c r="T243" s="30" t="s">
        <v>53</v>
      </c>
      <c r="U243" s="121" t="s">
        <v>53</v>
      </c>
      <c r="V243" s="116" t="b">
        <f t="shared" si="24"/>
        <v>1</v>
      </c>
      <c r="W243" s="117" t="str">
        <f t="shared" si="25"/>
        <v>title: "British Virgin Islands"</v>
      </c>
      <c r="X243" s="120" t="str">
        <f t="shared" si="26"/>
        <v/>
      </c>
      <c r="Y243" s="120" t="str">
        <f t="shared" si="27"/>
        <v/>
      </c>
      <c r="Z243" s="120" t="str">
        <f t="shared" si="28"/>
        <v/>
      </c>
      <c r="AA243" s="120" t="str">
        <f t="shared" si="29"/>
        <v/>
      </c>
      <c r="AB243" s="117" t="str">
        <f t="shared" si="30"/>
        <v/>
      </c>
      <c r="AC243" s="117" t="str">
        <f>IF(LEN(J243)&gt;1,concatll("#### Author's Note",J243,"-"&amp;B243),"")</f>
        <v/>
      </c>
      <c r="AD243" s="117" t="str">
        <f>IF(LEN(K243)&gt;1,concatll("#### Dedication",K243,"-"&amp;$B243),"")</f>
        <v/>
      </c>
      <c r="CA243" s="6" t="str">
        <f>IF(V243,concatll(concatl("---",W243,"---"),"*A collection of sites associated with this topic.*","#### Background",I243,AB243,AC243,AD243),"")</f>
        <v xml:space="preserve">---_x000D_
title: "British Virgin Islands"_x000D_
---_x000D_
_x000D_
_x000D_
*A collection of sites associated with this topic.*_x000D_
_x000D_
#### Background_x000D_
_x000D_
Catholic places of interest in the British Virgin Islands_x000D_
_x000D_
</v>
      </c>
      <c r="CB243" s="6" t="str">
        <f t="shared" si="31"/>
        <v>tags\vg\_index.md</v>
      </c>
    </row>
    <row r="244" spans="1:80" x14ac:dyDescent="0.25">
      <c r="A244" s="129" t="s">
        <v>786</v>
      </c>
      <c r="C244" s="1" t="s">
        <v>431</v>
      </c>
      <c r="D244" s="7" t="s">
        <v>689</v>
      </c>
      <c r="E244" s="7" t="s">
        <v>689</v>
      </c>
      <c r="F244" s="33" t="s">
        <v>689</v>
      </c>
      <c r="G244" s="7" t="s">
        <v>431</v>
      </c>
      <c r="H244" s="33" t="s">
        <v>200</v>
      </c>
      <c r="I244" s="153" t="s">
        <v>2212</v>
      </c>
      <c r="L244" s="154" t="s">
        <v>53</v>
      </c>
      <c r="M244" s="154" t="s">
        <v>53</v>
      </c>
      <c r="N244" s="151" t="s">
        <v>53</v>
      </c>
      <c r="O244" s="40" t="s">
        <v>53</v>
      </c>
      <c r="P244" s="1" t="s">
        <v>53</v>
      </c>
      <c r="Q244" s="44" t="s">
        <v>53</v>
      </c>
      <c r="R244" s="1" t="s">
        <v>53</v>
      </c>
      <c r="S244" s="1" t="s">
        <v>53</v>
      </c>
      <c r="T244" s="30" t="s">
        <v>53</v>
      </c>
      <c r="U244" s="121" t="s">
        <v>53</v>
      </c>
      <c r="V244" s="116" t="b">
        <f t="shared" si="24"/>
        <v>1</v>
      </c>
      <c r="W244" s="117" t="str">
        <f t="shared" si="25"/>
        <v>title: "US Virgin Islands"</v>
      </c>
      <c r="X244" s="120" t="str">
        <f t="shared" si="26"/>
        <v/>
      </c>
      <c r="Y244" s="120" t="str">
        <f t="shared" si="27"/>
        <v/>
      </c>
      <c r="Z244" s="120" t="str">
        <f t="shared" si="28"/>
        <v/>
      </c>
      <c r="AA244" s="120" t="str">
        <f t="shared" si="29"/>
        <v/>
      </c>
      <c r="AB244" s="117" t="str">
        <f t="shared" si="30"/>
        <v/>
      </c>
      <c r="AC244" s="117" t="str">
        <f>IF(LEN(J244)&gt;1,concatll("#### Author's Note",J244,"-"&amp;B244),"")</f>
        <v/>
      </c>
      <c r="AD244" s="117" t="str">
        <f>IF(LEN(K244)&gt;1,concatll("#### Dedication",K244,"-"&amp;$B244),"")</f>
        <v/>
      </c>
      <c r="CA244" s="6" t="str">
        <f>IF(V244,concatll(concatl("---",W244,"---"),"*A collection of sites associated with this topic.*","#### Background",I244,AB244,AC244,AD244),"")</f>
        <v xml:space="preserve">---_x000D_
title: "US Virgin Islands"_x000D_
---_x000D_
_x000D_
_x000D_
*A collection of sites associated with this topic.*_x000D_
_x000D_
#### Background_x000D_
_x000D_
Catholic places of interest in the US Virgin Islands_x000D_
_x000D_
</v>
      </c>
      <c r="CB244" s="6" t="str">
        <f t="shared" si="31"/>
        <v>tags\vi\_index.md</v>
      </c>
    </row>
    <row r="245" spans="1:80" x14ac:dyDescent="0.25">
      <c r="A245" s="129" t="s">
        <v>786</v>
      </c>
      <c r="C245" s="1" t="s">
        <v>450</v>
      </c>
      <c r="D245" s="7" t="s">
        <v>690</v>
      </c>
      <c r="E245" s="7" t="s">
        <v>690</v>
      </c>
      <c r="F245" s="33" t="s">
        <v>690</v>
      </c>
      <c r="G245" s="7" t="s">
        <v>450</v>
      </c>
      <c r="H245" s="33" t="s">
        <v>200</v>
      </c>
      <c r="I245" s="153" t="s">
        <v>2128</v>
      </c>
      <c r="L245" s="154" t="s">
        <v>53</v>
      </c>
      <c r="M245" s="154" t="s">
        <v>53</v>
      </c>
      <c r="N245" s="151" t="s">
        <v>53</v>
      </c>
      <c r="O245" s="40" t="s">
        <v>53</v>
      </c>
      <c r="P245" s="1" t="s">
        <v>53</v>
      </c>
      <c r="Q245" s="44" t="s">
        <v>53</v>
      </c>
      <c r="R245" s="1" t="s">
        <v>53</v>
      </c>
      <c r="S245" s="1" t="s">
        <v>53</v>
      </c>
      <c r="T245" s="30" t="s">
        <v>53</v>
      </c>
      <c r="U245" s="121" t="s">
        <v>53</v>
      </c>
      <c r="V245" s="116" t="b">
        <f t="shared" si="24"/>
        <v>1</v>
      </c>
      <c r="W245" s="117" t="str">
        <f t="shared" si="25"/>
        <v>title: "Vietnam"</v>
      </c>
      <c r="X245" s="120" t="str">
        <f t="shared" si="26"/>
        <v/>
      </c>
      <c r="Y245" s="120" t="str">
        <f t="shared" si="27"/>
        <v/>
      </c>
      <c r="Z245" s="120" t="str">
        <f t="shared" si="28"/>
        <v/>
      </c>
      <c r="AA245" s="120" t="str">
        <f t="shared" si="29"/>
        <v/>
      </c>
      <c r="AB245" s="117" t="str">
        <f t="shared" si="30"/>
        <v/>
      </c>
      <c r="AC245" s="117" t="str">
        <f>IF(LEN(J245)&gt;1,concatll("#### Author's Note",J245,"-"&amp;B245),"")</f>
        <v/>
      </c>
      <c r="AD245" s="117" t="str">
        <f>IF(LEN(K245)&gt;1,concatll("#### Dedication",K245,"-"&amp;$B245),"")</f>
        <v/>
      </c>
      <c r="CA245" s="6" t="str">
        <f>IF(V245,concatll(concatl("---",W245,"---"),"*A collection of sites associated with this topic.*","#### Background",I245,AB245,AC245,AD245),"")</f>
        <v xml:space="preserve">---_x000D_
title: "Vietnam"_x000D_
---_x000D_
_x000D_
_x000D_
*A collection of sites associated with this topic.*_x000D_
_x000D_
#### Background_x000D_
_x000D_
Catholic places of interest in Vietnam_x000D_
_x000D_
</v>
      </c>
      <c r="CB245" s="6" t="str">
        <f t="shared" si="31"/>
        <v>tags\vn\_index.md</v>
      </c>
    </row>
    <row r="246" spans="1:80" x14ac:dyDescent="0.25">
      <c r="A246" s="129" t="s">
        <v>786</v>
      </c>
      <c r="C246" s="1" t="s">
        <v>413</v>
      </c>
      <c r="D246" s="7" t="s">
        <v>691</v>
      </c>
      <c r="E246" s="7" t="s">
        <v>691</v>
      </c>
      <c r="F246" s="33" t="s">
        <v>691</v>
      </c>
      <c r="G246" s="7" t="s">
        <v>413</v>
      </c>
      <c r="H246" s="33" t="s">
        <v>200</v>
      </c>
      <c r="I246" s="153" t="s">
        <v>2129</v>
      </c>
      <c r="L246" s="154" t="s">
        <v>53</v>
      </c>
      <c r="M246" s="154" t="s">
        <v>53</v>
      </c>
      <c r="N246" s="151" t="s">
        <v>53</v>
      </c>
      <c r="O246" s="40" t="s">
        <v>53</v>
      </c>
      <c r="P246" s="1" t="s">
        <v>53</v>
      </c>
      <c r="Q246" s="44" t="s">
        <v>53</v>
      </c>
      <c r="R246" s="1" t="s">
        <v>53</v>
      </c>
      <c r="S246" s="1" t="s">
        <v>53</v>
      </c>
      <c r="T246" s="30" t="s">
        <v>53</v>
      </c>
      <c r="U246" s="121" t="s">
        <v>53</v>
      </c>
      <c r="V246" s="116" t="b">
        <f t="shared" si="24"/>
        <v>1</v>
      </c>
      <c r="W246" s="117" t="str">
        <f t="shared" si="25"/>
        <v>title: "Vanuatu"</v>
      </c>
      <c r="X246" s="120" t="str">
        <f t="shared" si="26"/>
        <v/>
      </c>
      <c r="Y246" s="120" t="str">
        <f t="shared" si="27"/>
        <v/>
      </c>
      <c r="Z246" s="120" t="str">
        <f t="shared" si="28"/>
        <v/>
      </c>
      <c r="AA246" s="120" t="str">
        <f t="shared" si="29"/>
        <v/>
      </c>
      <c r="AB246" s="117" t="str">
        <f t="shared" si="30"/>
        <v/>
      </c>
      <c r="AC246" s="117" t="str">
        <f>IF(LEN(J246)&gt;1,concatll("#### Author's Note",J246,"-"&amp;B246),"")</f>
        <v/>
      </c>
      <c r="AD246" s="117" t="str">
        <f>IF(LEN(K246)&gt;1,concatll("#### Dedication",K246,"-"&amp;$B246),"")</f>
        <v/>
      </c>
      <c r="CA246" s="6" t="str">
        <f>IF(V246,concatll(concatl("---",W246,"---"),"*A collection of sites associated with this topic.*","#### Background",I246,AB246,AC246,AD246),"")</f>
        <v xml:space="preserve">---_x000D_
title: "Vanuatu"_x000D_
---_x000D_
_x000D_
_x000D_
*A collection of sites associated with this topic.*_x000D_
_x000D_
#### Background_x000D_
_x000D_
Catholic places of interest in Vanuatu_x000D_
_x000D_
</v>
      </c>
      <c r="CB246" s="6" t="str">
        <f t="shared" si="31"/>
        <v>tags\vu\_index.md</v>
      </c>
    </row>
    <row r="247" spans="1:80" x14ac:dyDescent="0.25">
      <c r="A247" s="129" t="s">
        <v>786</v>
      </c>
      <c r="C247" s="1" t="s">
        <v>414</v>
      </c>
      <c r="D247" s="7" t="s">
        <v>692</v>
      </c>
      <c r="E247" s="7" t="s">
        <v>692</v>
      </c>
      <c r="F247" s="33" t="s">
        <v>692</v>
      </c>
      <c r="G247" s="7" t="s">
        <v>414</v>
      </c>
      <c r="H247" s="33" t="s">
        <v>200</v>
      </c>
      <c r="I247" s="153" t="s">
        <v>2130</v>
      </c>
      <c r="L247" s="154" t="s">
        <v>53</v>
      </c>
      <c r="M247" s="154" t="s">
        <v>53</v>
      </c>
      <c r="N247" s="151" t="s">
        <v>53</v>
      </c>
      <c r="O247" s="40" t="s">
        <v>53</v>
      </c>
      <c r="P247" s="1" t="s">
        <v>53</v>
      </c>
      <c r="Q247" s="44" t="s">
        <v>53</v>
      </c>
      <c r="R247" s="1" t="s">
        <v>53</v>
      </c>
      <c r="S247" s="1" t="s">
        <v>53</v>
      </c>
      <c r="T247" s="30" t="s">
        <v>53</v>
      </c>
      <c r="U247" s="121" t="s">
        <v>53</v>
      </c>
      <c r="V247" s="116" t="b">
        <f t="shared" si="24"/>
        <v>1</v>
      </c>
      <c r="W247" s="117" t="str">
        <f t="shared" si="25"/>
        <v>title: "Wallis and Futuna"</v>
      </c>
      <c r="X247" s="120" t="str">
        <f t="shared" si="26"/>
        <v/>
      </c>
      <c r="Y247" s="120" t="str">
        <f t="shared" si="27"/>
        <v/>
      </c>
      <c r="Z247" s="120" t="str">
        <f t="shared" si="28"/>
        <v/>
      </c>
      <c r="AA247" s="120" t="str">
        <f t="shared" si="29"/>
        <v/>
      </c>
      <c r="AB247" s="117" t="str">
        <f t="shared" si="30"/>
        <v/>
      </c>
      <c r="AC247" s="117" t="str">
        <f>IF(LEN(J247)&gt;1,concatll("#### Author's Note",J247,"-"&amp;B247),"")</f>
        <v/>
      </c>
      <c r="AD247" s="117" t="str">
        <f>IF(LEN(K247)&gt;1,concatll("#### Dedication",K247,"-"&amp;$B247),"")</f>
        <v/>
      </c>
      <c r="CA247" s="6" t="str">
        <f>IF(V247,concatll(concatl("---",W247,"---"),"*A collection of sites associated with this topic.*","#### Background",I247,AB247,AC247,AD247),"")</f>
        <v xml:space="preserve">---_x000D_
title: "Wallis and Futuna"_x000D_
---_x000D_
_x000D_
_x000D_
*A collection of sites associated with this topic.*_x000D_
_x000D_
#### Background_x000D_
_x000D_
Catholic places of interest in Wallis and Futuna_x000D_
_x000D_
</v>
      </c>
      <c r="CB247" s="6" t="str">
        <f t="shared" si="31"/>
        <v>tags\wf\_index.md</v>
      </c>
    </row>
    <row r="248" spans="1:80" x14ac:dyDescent="0.25">
      <c r="A248" s="129" t="s">
        <v>786</v>
      </c>
      <c r="C248" s="1" t="s">
        <v>415</v>
      </c>
      <c r="D248" s="7" t="s">
        <v>693</v>
      </c>
      <c r="E248" s="7" t="s">
        <v>693</v>
      </c>
      <c r="F248" s="33" t="s">
        <v>693</v>
      </c>
      <c r="G248" s="7" t="s">
        <v>415</v>
      </c>
      <c r="H248" s="33" t="s">
        <v>200</v>
      </c>
      <c r="I248" s="153" t="s">
        <v>2131</v>
      </c>
      <c r="L248" s="154" t="s">
        <v>53</v>
      </c>
      <c r="M248" s="154" t="s">
        <v>53</v>
      </c>
      <c r="N248" s="151" t="s">
        <v>53</v>
      </c>
      <c r="O248" s="40" t="s">
        <v>53</v>
      </c>
      <c r="P248" s="1" t="s">
        <v>53</v>
      </c>
      <c r="Q248" s="44" t="s">
        <v>53</v>
      </c>
      <c r="R248" s="1" t="s">
        <v>53</v>
      </c>
      <c r="S248" s="1" t="s">
        <v>53</v>
      </c>
      <c r="T248" s="30" t="s">
        <v>53</v>
      </c>
      <c r="U248" s="121" t="s">
        <v>53</v>
      </c>
      <c r="V248" s="116" t="b">
        <f t="shared" si="24"/>
        <v>1</v>
      </c>
      <c r="W248" s="117" t="str">
        <f t="shared" si="25"/>
        <v>title: "Samoa"</v>
      </c>
      <c r="X248" s="120" t="str">
        <f t="shared" si="26"/>
        <v/>
      </c>
      <c r="Y248" s="120" t="str">
        <f t="shared" si="27"/>
        <v/>
      </c>
      <c r="Z248" s="120" t="str">
        <f t="shared" si="28"/>
        <v/>
      </c>
      <c r="AA248" s="120" t="str">
        <f t="shared" si="29"/>
        <v/>
      </c>
      <c r="AB248" s="117" t="str">
        <f t="shared" si="30"/>
        <v/>
      </c>
      <c r="AC248" s="117" t="str">
        <f>IF(LEN(J248)&gt;1,concatll("#### Author's Note",J248,"-"&amp;B248),"")</f>
        <v/>
      </c>
      <c r="AD248" s="117" t="str">
        <f>IF(LEN(K248)&gt;1,concatll("#### Dedication",K248,"-"&amp;$B248),"")</f>
        <v/>
      </c>
      <c r="CA248" s="6" t="str">
        <f>IF(V248,concatll(concatl("---",W248,"---"),"*A collection of sites associated with this topic.*","#### Background",I248,AB248,AC248,AD248),"")</f>
        <v xml:space="preserve">---_x000D_
title: "Samoa"_x000D_
---_x000D_
_x000D_
_x000D_
*A collection of sites associated with this topic.*_x000D_
_x000D_
#### Background_x000D_
_x000D_
Catholic places of interest in Samoa_x000D_
_x000D_
</v>
      </c>
      <c r="CB248" s="6" t="str">
        <f t="shared" si="31"/>
        <v>tags\ws\_index.md</v>
      </c>
    </row>
    <row r="249" spans="1:80" x14ac:dyDescent="0.25">
      <c r="A249" s="129" t="s">
        <v>786</v>
      </c>
      <c r="C249" s="1" t="s">
        <v>416</v>
      </c>
      <c r="D249" s="7" t="s">
        <v>694</v>
      </c>
      <c r="E249" s="7" t="s">
        <v>694</v>
      </c>
      <c r="F249" s="33" t="s">
        <v>694</v>
      </c>
      <c r="G249" s="7" t="s">
        <v>416</v>
      </c>
      <c r="H249" s="33" t="s">
        <v>200</v>
      </c>
      <c r="I249" s="153" t="s">
        <v>2132</v>
      </c>
      <c r="L249" s="154" t="s">
        <v>53</v>
      </c>
      <c r="M249" s="154" t="s">
        <v>53</v>
      </c>
      <c r="N249" s="151" t="s">
        <v>53</v>
      </c>
      <c r="O249" s="40" t="s">
        <v>53</v>
      </c>
      <c r="P249" s="1" t="s">
        <v>53</v>
      </c>
      <c r="Q249" s="44" t="s">
        <v>53</v>
      </c>
      <c r="R249" s="1" t="s">
        <v>53</v>
      </c>
      <c r="S249" s="1" t="s">
        <v>53</v>
      </c>
      <c r="T249" s="30" t="s">
        <v>53</v>
      </c>
      <c r="U249" s="121" t="s">
        <v>53</v>
      </c>
      <c r="V249" s="116" t="b">
        <f t="shared" si="24"/>
        <v>1</v>
      </c>
      <c r="W249" s="117" t="str">
        <f t="shared" si="25"/>
        <v>title: "Yemen"</v>
      </c>
      <c r="X249" s="120" t="str">
        <f t="shared" si="26"/>
        <v/>
      </c>
      <c r="Y249" s="120" t="str">
        <f t="shared" si="27"/>
        <v/>
      </c>
      <c r="Z249" s="120" t="str">
        <f t="shared" si="28"/>
        <v/>
      </c>
      <c r="AA249" s="120" t="str">
        <f t="shared" si="29"/>
        <v/>
      </c>
      <c r="AB249" s="117" t="str">
        <f t="shared" si="30"/>
        <v/>
      </c>
      <c r="AC249" s="117" t="str">
        <f>IF(LEN(J249)&gt;1,concatll("#### Author's Note",J249,"-"&amp;B249),"")</f>
        <v/>
      </c>
      <c r="AD249" s="117" t="str">
        <f>IF(LEN(K249)&gt;1,concatll("#### Dedication",K249,"-"&amp;$B249),"")</f>
        <v/>
      </c>
      <c r="CA249" s="6" t="str">
        <f>IF(V249,concatll(concatl("---",W249,"---"),"*A collection of sites associated with this topic.*","#### Background",I249,AB249,AC249,AD249),"")</f>
        <v xml:space="preserve">---_x000D_
title: "Yemen"_x000D_
---_x000D_
_x000D_
_x000D_
*A collection of sites associated with this topic.*_x000D_
_x000D_
#### Background_x000D_
_x000D_
Catholic places of interest in Yemen_x000D_
_x000D_
</v>
      </c>
      <c r="CB249" s="6" t="str">
        <f t="shared" si="31"/>
        <v>tags\ye\_index.md</v>
      </c>
    </row>
    <row r="250" spans="1:80" x14ac:dyDescent="0.25">
      <c r="A250" s="129" t="s">
        <v>786</v>
      </c>
      <c r="C250" s="1" t="s">
        <v>417</v>
      </c>
      <c r="D250" s="7" t="s">
        <v>695</v>
      </c>
      <c r="E250" s="7" t="s">
        <v>695</v>
      </c>
      <c r="F250" s="33" t="s">
        <v>695</v>
      </c>
      <c r="G250" s="7" t="s">
        <v>417</v>
      </c>
      <c r="H250" s="33" t="s">
        <v>200</v>
      </c>
      <c r="I250" s="153" t="s">
        <v>2133</v>
      </c>
      <c r="L250" s="154" t="s">
        <v>53</v>
      </c>
      <c r="M250" s="154" t="s">
        <v>53</v>
      </c>
      <c r="N250" s="151" t="s">
        <v>53</v>
      </c>
      <c r="O250" s="40" t="s">
        <v>53</v>
      </c>
      <c r="P250" s="1" t="s">
        <v>53</v>
      </c>
      <c r="Q250" s="44" t="s">
        <v>53</v>
      </c>
      <c r="R250" s="1" t="s">
        <v>53</v>
      </c>
      <c r="S250" s="1" t="s">
        <v>53</v>
      </c>
      <c r="T250" s="30" t="s">
        <v>53</v>
      </c>
      <c r="U250" s="121" t="s">
        <v>53</v>
      </c>
      <c r="V250" s="116" t="b">
        <f t="shared" si="24"/>
        <v>1</v>
      </c>
      <c r="W250" s="117" t="str">
        <f t="shared" si="25"/>
        <v>title: "Mayotte"</v>
      </c>
      <c r="X250" s="120" t="str">
        <f t="shared" si="26"/>
        <v/>
      </c>
      <c r="Y250" s="120" t="str">
        <f t="shared" si="27"/>
        <v/>
      </c>
      <c r="Z250" s="120" t="str">
        <f t="shared" si="28"/>
        <v/>
      </c>
      <c r="AA250" s="120" t="str">
        <f t="shared" si="29"/>
        <v/>
      </c>
      <c r="AB250" s="117" t="str">
        <f t="shared" si="30"/>
        <v/>
      </c>
      <c r="AC250" s="117" t="str">
        <f>IF(LEN(J250)&gt;1,concatll("#### Author's Note",J250,"-"&amp;B250),"")</f>
        <v/>
      </c>
      <c r="AD250" s="117" t="str">
        <f>IF(LEN(K250)&gt;1,concatll("#### Dedication",K250,"-"&amp;$B250),"")</f>
        <v/>
      </c>
      <c r="CA250" s="6" t="str">
        <f>IF(V250,concatll(concatl("---",W250,"---"),"*A collection of sites associated with this topic.*","#### Background",I250,AB250,AC250,AD250),"")</f>
        <v xml:space="preserve">---_x000D_
title: "Mayotte"_x000D_
---_x000D_
_x000D_
_x000D_
*A collection of sites associated with this topic.*_x000D_
_x000D_
#### Background_x000D_
_x000D_
Catholic places of interest in Mayotte_x000D_
_x000D_
</v>
      </c>
      <c r="CB250" s="6" t="str">
        <f t="shared" si="31"/>
        <v>tags\yt\_index.md</v>
      </c>
    </row>
    <row r="251" spans="1:80" x14ac:dyDescent="0.25">
      <c r="A251" s="129" t="s">
        <v>786</v>
      </c>
      <c r="C251" s="1" t="s">
        <v>418</v>
      </c>
      <c r="D251" s="7" t="s">
        <v>696</v>
      </c>
      <c r="E251" s="7" t="s">
        <v>696</v>
      </c>
      <c r="F251" s="33" t="s">
        <v>696</v>
      </c>
      <c r="G251" s="7" t="s">
        <v>418</v>
      </c>
      <c r="H251" s="33" t="s">
        <v>200</v>
      </c>
      <c r="I251" s="153" t="s">
        <v>2134</v>
      </c>
      <c r="L251" s="154" t="s">
        <v>53</v>
      </c>
      <c r="M251" s="154" t="s">
        <v>53</v>
      </c>
      <c r="N251" s="151" t="s">
        <v>53</v>
      </c>
      <c r="O251" s="40" t="s">
        <v>53</v>
      </c>
      <c r="P251" s="1" t="s">
        <v>53</v>
      </c>
      <c r="Q251" s="44" t="s">
        <v>53</v>
      </c>
      <c r="R251" s="1" t="s">
        <v>53</v>
      </c>
      <c r="S251" s="1" t="s">
        <v>53</v>
      </c>
      <c r="T251" s="30" t="s">
        <v>53</v>
      </c>
      <c r="U251" s="121" t="s">
        <v>53</v>
      </c>
      <c r="V251" s="116" t="b">
        <f t="shared" si="24"/>
        <v>1</v>
      </c>
      <c r="W251" s="117" t="str">
        <f t="shared" si="25"/>
        <v>title: "South Africa"</v>
      </c>
      <c r="X251" s="120" t="str">
        <f t="shared" si="26"/>
        <v/>
      </c>
      <c r="Y251" s="120" t="str">
        <f t="shared" si="27"/>
        <v/>
      </c>
      <c r="Z251" s="120" t="str">
        <f t="shared" si="28"/>
        <v/>
      </c>
      <c r="AA251" s="120" t="str">
        <f t="shared" si="29"/>
        <v/>
      </c>
      <c r="AB251" s="117" t="str">
        <f t="shared" si="30"/>
        <v/>
      </c>
      <c r="AC251" s="117" t="str">
        <f>IF(LEN(J251)&gt;1,concatll("#### Author's Note",J251,"-"&amp;B251),"")</f>
        <v/>
      </c>
      <c r="AD251" s="117" t="str">
        <f>IF(LEN(K251)&gt;1,concatll("#### Dedication",K251,"-"&amp;$B251),"")</f>
        <v/>
      </c>
      <c r="CA251" s="6" t="str">
        <f>IF(V251,concatll(concatl("---",W251,"---"),"*A collection of sites associated with this topic.*","#### Background",I251,AB251,AC251,AD251),"")</f>
        <v xml:space="preserve">---_x000D_
title: "South Africa"_x000D_
---_x000D_
_x000D_
_x000D_
*A collection of sites associated with this topic.*_x000D_
_x000D_
#### Background_x000D_
_x000D_
Catholic places of interest in South Africa_x000D_
_x000D_
</v>
      </c>
      <c r="CB251" s="6" t="str">
        <f t="shared" si="31"/>
        <v>tags\za\_index.md</v>
      </c>
    </row>
    <row r="252" spans="1:80" x14ac:dyDescent="0.25">
      <c r="A252" s="129" t="s">
        <v>786</v>
      </c>
      <c r="C252" s="1" t="s">
        <v>419</v>
      </c>
      <c r="D252" s="7" t="s">
        <v>697</v>
      </c>
      <c r="E252" s="7" t="s">
        <v>697</v>
      </c>
      <c r="F252" s="33" t="s">
        <v>697</v>
      </c>
      <c r="G252" s="7" t="s">
        <v>419</v>
      </c>
      <c r="H252" s="33" t="s">
        <v>200</v>
      </c>
      <c r="I252" s="153" t="s">
        <v>2135</v>
      </c>
      <c r="L252" s="154" t="s">
        <v>53</v>
      </c>
      <c r="M252" s="154" t="s">
        <v>53</v>
      </c>
      <c r="N252" s="151" t="s">
        <v>53</v>
      </c>
      <c r="O252" s="40" t="s">
        <v>53</v>
      </c>
      <c r="P252" s="1" t="s">
        <v>53</v>
      </c>
      <c r="Q252" s="44" t="s">
        <v>53</v>
      </c>
      <c r="R252" s="1" t="s">
        <v>53</v>
      </c>
      <c r="S252" s="1" t="s">
        <v>53</v>
      </c>
      <c r="T252" s="30" t="s">
        <v>53</v>
      </c>
      <c r="U252" s="121" t="s">
        <v>53</v>
      </c>
      <c r="V252" s="116" t="b">
        <f t="shared" si="24"/>
        <v>1</v>
      </c>
      <c r="W252" s="117" t="str">
        <f t="shared" si="25"/>
        <v>title: "Zambia"</v>
      </c>
      <c r="X252" s="120" t="str">
        <f t="shared" si="26"/>
        <v/>
      </c>
      <c r="Y252" s="120" t="str">
        <f t="shared" si="27"/>
        <v/>
      </c>
      <c r="Z252" s="120" t="str">
        <f t="shared" si="28"/>
        <v/>
      </c>
      <c r="AA252" s="120" t="str">
        <f t="shared" si="29"/>
        <v/>
      </c>
      <c r="AB252" s="117" t="str">
        <f t="shared" si="30"/>
        <v/>
      </c>
      <c r="AC252" s="117" t="str">
        <f>IF(LEN(J252)&gt;1,concatll("#### Author's Note",J252,"-"&amp;B252),"")</f>
        <v/>
      </c>
      <c r="AD252" s="117" t="str">
        <f>IF(LEN(K252)&gt;1,concatll("#### Dedication",K252,"-"&amp;$B252),"")</f>
        <v/>
      </c>
      <c r="CA252" s="6" t="str">
        <f>IF(V252,concatll(concatl("---",W252,"---"),"*A collection of sites associated with this topic.*","#### Background",I252,AB252,AC252,AD252),"")</f>
        <v xml:space="preserve">---_x000D_
title: "Zambia"_x000D_
---_x000D_
_x000D_
_x000D_
*A collection of sites associated with this topic.*_x000D_
_x000D_
#### Background_x000D_
_x000D_
Catholic places of interest in Zambia_x000D_
_x000D_
</v>
      </c>
      <c r="CB252" s="6" t="str">
        <f t="shared" si="31"/>
        <v>tags\zm\_index.md</v>
      </c>
    </row>
    <row r="253" spans="1:80" x14ac:dyDescent="0.25">
      <c r="A253" s="129" t="s">
        <v>786</v>
      </c>
      <c r="C253" s="1" t="s">
        <v>420</v>
      </c>
      <c r="D253" s="7" t="s">
        <v>698</v>
      </c>
      <c r="E253" s="7" t="s">
        <v>698</v>
      </c>
      <c r="F253" s="33" t="s">
        <v>698</v>
      </c>
      <c r="G253" s="7" t="s">
        <v>420</v>
      </c>
      <c r="H253" s="33" t="s">
        <v>200</v>
      </c>
      <c r="I253" s="153" t="s">
        <v>2136</v>
      </c>
      <c r="L253" s="154" t="s">
        <v>53</v>
      </c>
      <c r="M253" s="154" t="s">
        <v>53</v>
      </c>
      <c r="N253" s="151" t="s">
        <v>53</v>
      </c>
      <c r="O253" s="40" t="s">
        <v>53</v>
      </c>
      <c r="P253" s="1" t="s">
        <v>53</v>
      </c>
      <c r="Q253" s="44" t="s">
        <v>53</v>
      </c>
      <c r="R253" s="1" t="s">
        <v>53</v>
      </c>
      <c r="S253" s="1" t="s">
        <v>53</v>
      </c>
      <c r="T253" s="30" t="s">
        <v>53</v>
      </c>
      <c r="U253" s="121" t="s">
        <v>53</v>
      </c>
      <c r="V253" s="116" t="b">
        <f t="shared" si="24"/>
        <v>1</v>
      </c>
      <c r="W253" s="117" t="str">
        <f t="shared" si="25"/>
        <v>title: "Zimbabwe"</v>
      </c>
      <c r="X253" s="120" t="str">
        <f t="shared" si="26"/>
        <v/>
      </c>
      <c r="Y253" s="120" t="str">
        <f t="shared" si="27"/>
        <v/>
      </c>
      <c r="Z253" s="120" t="str">
        <f t="shared" si="28"/>
        <v/>
      </c>
      <c r="AA253" s="120" t="str">
        <f t="shared" si="29"/>
        <v/>
      </c>
      <c r="AB253" s="117" t="str">
        <f t="shared" si="30"/>
        <v/>
      </c>
      <c r="AC253" s="117" t="str">
        <f>IF(LEN(J253)&gt;1,concatll("#### Author's Note",J253,"-"&amp;B253),"")</f>
        <v/>
      </c>
      <c r="AD253" s="117" t="str">
        <f>IF(LEN(K253)&gt;1,concatll("#### Dedication",K253,"-"&amp;$B253),"")</f>
        <v/>
      </c>
      <c r="CA253" s="6" t="str">
        <f>IF(V253,concatll(concatl("---",W253,"---"),"*A collection of sites associated with this topic.*","#### Background",I253,AB253,AC253,AD253),"")</f>
        <v xml:space="preserve">---_x000D_
title: "Zimbabwe"_x000D_
---_x000D_
_x000D_
_x000D_
*A collection of sites associated with this topic.*_x000D_
_x000D_
#### Background_x000D_
_x000D_
Catholic places of interest in Zimbabwe_x000D_
_x000D_
</v>
      </c>
      <c r="CB253" s="6" t="str">
        <f t="shared" si="31"/>
        <v>tags\zw\_index.md</v>
      </c>
    </row>
    <row r="254" spans="1:80" x14ac:dyDescent="0.25">
      <c r="A254" s="129" t="s">
        <v>786</v>
      </c>
      <c r="C254" s="1" t="s">
        <v>409</v>
      </c>
      <c r="D254" s="7" t="s">
        <v>682</v>
      </c>
      <c r="E254" s="7" t="s">
        <v>682</v>
      </c>
      <c r="F254" s="33" t="s">
        <v>682</v>
      </c>
      <c r="G254" s="153" t="s">
        <v>409</v>
      </c>
      <c r="H254" s="33" t="s">
        <v>200</v>
      </c>
      <c r="I254" s="153" t="s">
        <v>2213</v>
      </c>
      <c r="L254" s="154" t="s">
        <v>53</v>
      </c>
      <c r="M254" s="154" t="s">
        <v>53</v>
      </c>
      <c r="N254" s="151" t="s">
        <v>53</v>
      </c>
      <c r="O254" s="40" t="s">
        <v>53</v>
      </c>
      <c r="P254" s="1" t="s">
        <v>53</v>
      </c>
      <c r="Q254" s="44" t="s">
        <v>53</v>
      </c>
      <c r="R254" s="1" t="s">
        <v>53</v>
      </c>
      <c r="S254" s="1" t="s">
        <v>53</v>
      </c>
      <c r="T254" s="30" t="s">
        <v>53</v>
      </c>
      <c r="U254" s="121" t="s">
        <v>53</v>
      </c>
      <c r="V254" s="116" t="b">
        <f t="shared" si="24"/>
        <v>1</v>
      </c>
      <c r="W254" s="117" t="str">
        <f t="shared" si="25"/>
        <v>title: "United States of America"</v>
      </c>
      <c r="X254" s="120" t="str">
        <f t="shared" si="26"/>
        <v/>
      </c>
      <c r="Y254" s="120" t="str">
        <f t="shared" si="27"/>
        <v/>
      </c>
      <c r="Z254" s="120" t="str">
        <f t="shared" si="28"/>
        <v/>
      </c>
      <c r="AA254" s="120" t="str">
        <f t="shared" si="29"/>
        <v/>
      </c>
      <c r="AB254" s="117" t="str">
        <f t="shared" si="30"/>
        <v/>
      </c>
      <c r="AC254" s="117" t="str">
        <f>IF(LEN(J254)&gt;1,concatll("#### Author's Note",J254,"-"&amp;B254),"")</f>
        <v/>
      </c>
      <c r="AD254" s="117" t="str">
        <f>IF(LEN(K254)&gt;1,concatll("#### Dedication",K254,"-"&amp;$B254),"")</f>
        <v/>
      </c>
      <c r="CA254" s="6" t="str">
        <f>IF(V254,concatll(concatl("---",W254,"---"),"*A collection of sites associated with this topic.*","#### Background",I254,AB254,AC254,AD254),"")</f>
        <v xml:space="preserve">---_x000D_
title: "United States of America"_x000D_
---_x000D_
_x000D_
_x000D_
*A collection of sites associated with this topic.*_x000D_
_x000D_
#### Background_x000D_
_x000D_
Catholic places of interest in the United States of America_x000D_
_x000D_
</v>
      </c>
      <c r="CB254" s="6" t="str">
        <f t="shared" si="31"/>
        <v>tags\us\_index.md</v>
      </c>
    </row>
    <row r="255" spans="1:80" x14ac:dyDescent="0.25">
      <c r="A255" s="129" t="s">
        <v>786</v>
      </c>
      <c r="C255" s="1" t="s">
        <v>1071</v>
      </c>
      <c r="D255" s="7" t="s">
        <v>1121</v>
      </c>
      <c r="E255" s="7" t="str">
        <f>concatl("us","- "&amp;D255)</f>
        <v xml:space="preserve">us_x000D_
- us_al_x000D_
</v>
      </c>
      <c r="F255" s="33" t="s">
        <v>1863</v>
      </c>
      <c r="G255" s="7" t="s">
        <v>1864</v>
      </c>
      <c r="H255" s="152" t="s">
        <v>1914</v>
      </c>
      <c r="I255" s="153" t="s">
        <v>2137</v>
      </c>
      <c r="L255" s="154" t="s">
        <v>53</v>
      </c>
      <c r="M255" s="154" t="s">
        <v>53</v>
      </c>
      <c r="N255" s="151" t="s">
        <v>53</v>
      </c>
      <c r="O255" s="40" t="s">
        <v>53</v>
      </c>
      <c r="P255" s="1" t="s">
        <v>53</v>
      </c>
      <c r="Q255" s="44" t="s">
        <v>53</v>
      </c>
      <c r="R255" s="1" t="s">
        <v>53</v>
      </c>
      <c r="S255" s="1" t="s">
        <v>53</v>
      </c>
      <c r="T255" s="30" t="s">
        <v>53</v>
      </c>
      <c r="U255" s="121" t="s">
        <v>53</v>
      </c>
      <c r="V255" s="116" t="b">
        <f t="shared" si="24"/>
        <v>1</v>
      </c>
      <c r="W255" s="117" t="str">
        <f t="shared" si="25"/>
        <v>title: "Alabama"</v>
      </c>
      <c r="X255" s="120" t="str">
        <f t="shared" si="26"/>
        <v/>
      </c>
      <c r="Y255" s="120" t="str">
        <f t="shared" si="27"/>
        <v/>
      </c>
      <c r="Z255" s="120" t="str">
        <f t="shared" si="28"/>
        <v/>
      </c>
      <c r="AA255" s="120" t="str">
        <f t="shared" si="29"/>
        <v/>
      </c>
      <c r="AB255" s="117" t="str">
        <f t="shared" si="30"/>
        <v/>
      </c>
      <c r="AC255" s="117" t="str">
        <f>IF(LEN(J255)&gt;1,concatll("#### Author's Note",J255,"-"&amp;B255),"")</f>
        <v/>
      </c>
      <c r="AD255" s="117" t="str">
        <f>IF(LEN(K255)&gt;1,concatll("#### Dedication",K255,"-"&amp;$B255),"")</f>
        <v/>
      </c>
      <c r="CA255" s="6" t="str">
        <f>IF(V255,concatll(concatl("---",W255,"---"),"*A collection of sites associated with this topic.*","#### Background",I255,AB255,AC255,AD255),"")</f>
        <v xml:space="preserve">---_x000D_
title: "Alabama"_x000D_
---_x000D_
_x000D_
_x000D_
*A collection of sites associated with this topic.*_x000D_
_x000D_
#### Background_x000D_
_x000D_
Catholic places of interest in Alabama_x000D_
_x000D_
</v>
      </c>
      <c r="CB255" s="6" t="str">
        <f t="shared" si="31"/>
        <v>tags\alabama\_index.md</v>
      </c>
    </row>
    <row r="256" spans="1:80" ht="25.5" x14ac:dyDescent="0.25">
      <c r="A256" s="129" t="s">
        <v>786</v>
      </c>
      <c r="C256" s="1" t="s">
        <v>1072</v>
      </c>
      <c r="D256" s="7" t="s">
        <v>1122</v>
      </c>
      <c r="E256" s="7" t="str">
        <f>"us
- "&amp;SUBSTITUTE(D256,"_","-")</f>
        <v>us
- us-ak</v>
      </c>
      <c r="F256" s="33" t="s">
        <v>2216</v>
      </c>
      <c r="G256" s="7" t="s">
        <v>1865</v>
      </c>
      <c r="H256" s="33" t="s">
        <v>1914</v>
      </c>
      <c r="I256" s="153" t="s">
        <v>2138</v>
      </c>
      <c r="L256" s="154" t="s">
        <v>53</v>
      </c>
      <c r="M256" s="154" t="s">
        <v>53</v>
      </c>
      <c r="N256" s="151" t="s">
        <v>53</v>
      </c>
      <c r="O256" s="40" t="s">
        <v>53</v>
      </c>
      <c r="P256" s="1" t="s">
        <v>53</v>
      </c>
      <c r="Q256" s="44" t="s">
        <v>53</v>
      </c>
      <c r="R256" s="1" t="s">
        <v>53</v>
      </c>
      <c r="S256" s="1" t="s">
        <v>53</v>
      </c>
      <c r="T256" s="30" t="s">
        <v>53</v>
      </c>
      <c r="U256" s="121" t="s">
        <v>53</v>
      </c>
      <c r="V256" s="116" t="b">
        <f t="shared" si="24"/>
        <v>1</v>
      </c>
      <c r="W256" s="117" t="str">
        <f t="shared" si="25"/>
        <v>title: "Alaska"</v>
      </c>
      <c r="X256" s="120" t="str">
        <f t="shared" si="26"/>
        <v/>
      </c>
      <c r="Y256" s="120" t="str">
        <f t="shared" si="27"/>
        <v/>
      </c>
      <c r="Z256" s="120" t="str">
        <f t="shared" si="28"/>
        <v/>
      </c>
      <c r="AA256" s="120" t="str">
        <f t="shared" si="29"/>
        <v/>
      </c>
      <c r="AB256" s="117" t="str">
        <f t="shared" si="30"/>
        <v/>
      </c>
      <c r="AC256" s="117" t="str">
        <f>IF(LEN(J256)&gt;1,concatll("#### Author's Note",J256,"-"&amp;B256),"")</f>
        <v/>
      </c>
      <c r="AD256" s="117" t="str">
        <f>IF(LEN(K256)&gt;1,concatll("#### Dedication",K256,"-"&amp;$B256),"")</f>
        <v/>
      </c>
      <c r="CA256" s="6" t="str">
        <f>IF(V256,concatll(concatl("---",W256,"---"),"*A collection of sites associated with this topic.*","#### Background",I256,AB256,AC256,AD256),"")</f>
        <v xml:space="preserve">---_x000D_
title: "Alaska"_x000D_
---_x000D_
_x000D_
_x000D_
*A collection of sites associated with this topic.*_x000D_
_x000D_
#### Background_x000D_
_x000D_
Catholic places of interest in Alaska_x000D_
_x000D_
</v>
      </c>
      <c r="CB256" s="6" t="str">
        <f t="shared" si="31"/>
        <v>tags\us-ak\_index.md</v>
      </c>
    </row>
    <row r="257" spans="1:80" ht="25.5" x14ac:dyDescent="0.25">
      <c r="A257" s="129" t="s">
        <v>786</v>
      </c>
      <c r="C257" s="1" t="s">
        <v>1073</v>
      </c>
      <c r="D257" s="7" t="s">
        <v>1123</v>
      </c>
      <c r="E257" s="7" t="str">
        <f t="shared" ref="E257:E305" si="32">"us
- "&amp;SUBSTITUTE(D257,"_","-")</f>
        <v>us
- us-az</v>
      </c>
      <c r="F257" s="33" t="s">
        <v>2217</v>
      </c>
      <c r="G257" s="7" t="s">
        <v>1866</v>
      </c>
      <c r="H257" s="33" t="s">
        <v>1914</v>
      </c>
      <c r="I257" s="153" t="s">
        <v>2139</v>
      </c>
      <c r="L257" s="154" t="s">
        <v>53</v>
      </c>
      <c r="M257" s="154" t="s">
        <v>53</v>
      </c>
      <c r="N257" s="151" t="s">
        <v>53</v>
      </c>
      <c r="O257" s="40" t="s">
        <v>53</v>
      </c>
      <c r="P257" s="1" t="s">
        <v>53</v>
      </c>
      <c r="Q257" s="44" t="s">
        <v>53</v>
      </c>
      <c r="R257" s="1" t="s">
        <v>53</v>
      </c>
      <c r="S257" s="1" t="s">
        <v>53</v>
      </c>
      <c r="T257" s="30" t="s">
        <v>53</v>
      </c>
      <c r="U257" s="121" t="s">
        <v>53</v>
      </c>
      <c r="V257" s="116" t="b">
        <f t="shared" si="24"/>
        <v>1</v>
      </c>
      <c r="W257" s="117" t="str">
        <f t="shared" si="25"/>
        <v>title: "Arizona"</v>
      </c>
      <c r="X257" s="120" t="str">
        <f t="shared" si="26"/>
        <v/>
      </c>
      <c r="Y257" s="120" t="str">
        <f t="shared" si="27"/>
        <v/>
      </c>
      <c r="Z257" s="120" t="str">
        <f t="shared" si="28"/>
        <v/>
      </c>
      <c r="AA257" s="120" t="str">
        <f t="shared" si="29"/>
        <v/>
      </c>
      <c r="AB257" s="117" t="str">
        <f t="shared" si="30"/>
        <v/>
      </c>
      <c r="AC257" s="117" t="str">
        <f>IF(LEN(J257)&gt;1,concatll("#### Author's Note",J257,"-"&amp;B257),"")</f>
        <v/>
      </c>
      <c r="AD257" s="117" t="str">
        <f>IF(LEN(K257)&gt;1,concatll("#### Dedication",K257,"-"&amp;$B257),"")</f>
        <v/>
      </c>
      <c r="CA257" s="6" t="str">
        <f>IF(V257,concatll(concatl("---",W257,"---"),"*A collection of sites associated with this topic.*","#### Background",I257,AB257,AC257,AD257),"")</f>
        <v xml:space="preserve">---_x000D_
title: "Arizona"_x000D_
---_x000D_
_x000D_
_x000D_
*A collection of sites associated with this topic.*_x000D_
_x000D_
#### Background_x000D_
_x000D_
Catholic places of interest in Arizona_x000D_
_x000D_
</v>
      </c>
      <c r="CB257" s="6" t="str">
        <f t="shared" si="31"/>
        <v>tags\us-az\_index.md</v>
      </c>
    </row>
    <row r="258" spans="1:80" ht="25.5" x14ac:dyDescent="0.25">
      <c r="A258" s="129" t="s">
        <v>786</v>
      </c>
      <c r="C258" s="1" t="s">
        <v>1070</v>
      </c>
      <c r="D258" s="7" t="s">
        <v>1124</v>
      </c>
      <c r="E258" s="7" t="str">
        <f t="shared" si="32"/>
        <v>us
- us-ar</v>
      </c>
      <c r="F258" s="33" t="s">
        <v>2218</v>
      </c>
      <c r="G258" s="7" t="s">
        <v>1867</v>
      </c>
      <c r="H258" s="33" t="s">
        <v>1914</v>
      </c>
      <c r="I258" s="153" t="s">
        <v>2140</v>
      </c>
      <c r="L258" s="154" t="s">
        <v>53</v>
      </c>
      <c r="M258" s="154" t="s">
        <v>53</v>
      </c>
      <c r="N258" s="151" t="s">
        <v>53</v>
      </c>
      <c r="O258" s="40" t="s">
        <v>53</v>
      </c>
      <c r="P258" s="1" t="s">
        <v>53</v>
      </c>
      <c r="Q258" s="44" t="s">
        <v>53</v>
      </c>
      <c r="R258" s="1" t="s">
        <v>53</v>
      </c>
      <c r="S258" s="1" t="s">
        <v>53</v>
      </c>
      <c r="T258" s="30" t="s">
        <v>53</v>
      </c>
      <c r="U258" s="121" t="s">
        <v>53</v>
      </c>
      <c r="V258" s="116" t="b">
        <f t="shared" si="24"/>
        <v>1</v>
      </c>
      <c r="W258" s="117" t="str">
        <f t="shared" si="25"/>
        <v>title: "Arkansas"</v>
      </c>
      <c r="X258" s="120" t="str">
        <f t="shared" si="26"/>
        <v/>
      </c>
      <c r="Y258" s="120" t="str">
        <f t="shared" si="27"/>
        <v/>
      </c>
      <c r="Z258" s="120" t="str">
        <f t="shared" si="28"/>
        <v/>
      </c>
      <c r="AA258" s="120" t="str">
        <f t="shared" si="29"/>
        <v/>
      </c>
      <c r="AB258" s="117" t="str">
        <f t="shared" si="30"/>
        <v/>
      </c>
      <c r="AC258" s="117" t="str">
        <f>IF(LEN(J258)&gt;1,concatll("#### Author's Note",J258,"-"&amp;B258),"")</f>
        <v/>
      </c>
      <c r="AD258" s="117" t="str">
        <f>IF(LEN(K258)&gt;1,concatll("#### Dedication",K258,"-"&amp;$B258),"")</f>
        <v/>
      </c>
      <c r="CA258" s="6" t="str">
        <f>IF(V258,concatll(concatl("---",W258,"---"),"*A collection of sites associated with this topic.*","#### Background",I258,AB258,AC258,AD258),"")</f>
        <v xml:space="preserve">---_x000D_
title: "Arkansas"_x000D_
---_x000D_
_x000D_
_x000D_
*A collection of sites associated with this topic.*_x000D_
_x000D_
#### Background_x000D_
_x000D_
Catholic places of interest in Arkansas_x000D_
_x000D_
</v>
      </c>
      <c r="CB258" s="6" t="str">
        <f t="shared" si="31"/>
        <v>tags\us-ar\_index.md</v>
      </c>
    </row>
    <row r="259" spans="1:80" ht="25.5" x14ac:dyDescent="0.25">
      <c r="A259" s="129" t="s">
        <v>786</v>
      </c>
      <c r="C259" s="1" t="s">
        <v>1074</v>
      </c>
      <c r="D259" s="7" t="s">
        <v>1125</v>
      </c>
      <c r="E259" s="7" t="str">
        <f t="shared" si="32"/>
        <v>us
- us-ca</v>
      </c>
      <c r="F259" s="33" t="s">
        <v>2219</v>
      </c>
      <c r="G259" s="7" t="s">
        <v>1868</v>
      </c>
      <c r="H259" s="33" t="s">
        <v>1914</v>
      </c>
      <c r="I259" s="153" t="s">
        <v>2141</v>
      </c>
      <c r="L259" s="154" t="s">
        <v>53</v>
      </c>
      <c r="M259" s="154" t="s">
        <v>53</v>
      </c>
      <c r="N259" s="151" t="s">
        <v>53</v>
      </c>
      <c r="O259" s="40" t="s">
        <v>53</v>
      </c>
      <c r="P259" s="1" t="s">
        <v>53</v>
      </c>
      <c r="Q259" s="44" t="s">
        <v>53</v>
      </c>
      <c r="R259" s="1" t="s">
        <v>53</v>
      </c>
      <c r="S259" s="1" t="s">
        <v>53</v>
      </c>
      <c r="T259" s="30" t="s">
        <v>53</v>
      </c>
      <c r="U259" s="121" t="s">
        <v>53</v>
      </c>
      <c r="V259" s="116" t="b">
        <f t="shared" si="24"/>
        <v>1</v>
      </c>
      <c r="W259" s="117" t="str">
        <f t="shared" si="25"/>
        <v>title: "California"</v>
      </c>
      <c r="X259" s="120" t="str">
        <f t="shared" si="26"/>
        <v/>
      </c>
      <c r="Y259" s="120" t="str">
        <f t="shared" si="27"/>
        <v/>
      </c>
      <c r="Z259" s="120" t="str">
        <f t="shared" si="28"/>
        <v/>
      </c>
      <c r="AA259" s="120" t="str">
        <f t="shared" si="29"/>
        <v/>
      </c>
      <c r="AB259" s="117" t="str">
        <f t="shared" si="30"/>
        <v/>
      </c>
      <c r="AC259" s="117" t="str">
        <f>IF(LEN(J259)&gt;1,concatll("#### Author's Note",J259,"-"&amp;B259),"")</f>
        <v/>
      </c>
      <c r="AD259" s="117" t="str">
        <f>IF(LEN(K259)&gt;1,concatll("#### Dedication",K259,"-"&amp;$B259),"")</f>
        <v/>
      </c>
      <c r="CA259" s="6" t="str">
        <f>IF(V259,concatll(concatl("---",W259,"---"),"*A collection of sites associated with this topic.*","#### Background",I259,AB259,AC259,AD259),"")</f>
        <v xml:space="preserve">---_x000D_
title: "California"_x000D_
---_x000D_
_x000D_
_x000D_
*A collection of sites associated with this topic.*_x000D_
_x000D_
#### Background_x000D_
_x000D_
Catholic places of interest in California_x000D_
_x000D_
</v>
      </c>
      <c r="CB259" s="6" t="str">
        <f t="shared" si="31"/>
        <v>tags\us-ca\_index.md</v>
      </c>
    </row>
    <row r="260" spans="1:80" ht="25.5" x14ac:dyDescent="0.25">
      <c r="A260" s="129" t="s">
        <v>786</v>
      </c>
      <c r="C260" s="1" t="s">
        <v>1075</v>
      </c>
      <c r="D260" s="7" t="s">
        <v>1126</v>
      </c>
      <c r="E260" s="7" t="str">
        <f t="shared" si="32"/>
        <v>us
- us-co</v>
      </c>
      <c r="F260" s="33" t="s">
        <v>2220</v>
      </c>
      <c r="G260" s="7" t="s">
        <v>1869</v>
      </c>
      <c r="H260" s="33" t="s">
        <v>1914</v>
      </c>
      <c r="I260" s="153" t="s">
        <v>2142</v>
      </c>
      <c r="L260" s="154" t="s">
        <v>53</v>
      </c>
      <c r="M260" s="154" t="s">
        <v>53</v>
      </c>
      <c r="N260" s="151" t="s">
        <v>53</v>
      </c>
      <c r="O260" s="40" t="s">
        <v>53</v>
      </c>
      <c r="P260" s="1" t="s">
        <v>53</v>
      </c>
      <c r="Q260" s="44" t="s">
        <v>53</v>
      </c>
      <c r="R260" s="1" t="s">
        <v>53</v>
      </c>
      <c r="S260" s="1" t="s">
        <v>53</v>
      </c>
      <c r="T260" s="30" t="s">
        <v>53</v>
      </c>
      <c r="U260" s="121" t="s">
        <v>53</v>
      </c>
      <c r="V260" s="116" t="b">
        <f t="shared" si="24"/>
        <v>1</v>
      </c>
      <c r="W260" s="117" t="str">
        <f t="shared" si="25"/>
        <v>title: "Colorado"</v>
      </c>
      <c r="X260" s="120" t="str">
        <f t="shared" si="26"/>
        <v/>
      </c>
      <c r="Y260" s="120" t="str">
        <f t="shared" si="27"/>
        <v/>
      </c>
      <c r="Z260" s="120" t="str">
        <f t="shared" si="28"/>
        <v/>
      </c>
      <c r="AA260" s="120" t="str">
        <f t="shared" si="29"/>
        <v/>
      </c>
      <c r="AB260" s="117" t="str">
        <f t="shared" si="30"/>
        <v/>
      </c>
      <c r="AC260" s="117" t="str">
        <f>IF(LEN(J260)&gt;1,concatll("#### Author's Note",J260,"-"&amp;B260),"")</f>
        <v/>
      </c>
      <c r="AD260" s="117" t="str">
        <f>IF(LEN(K260)&gt;1,concatll("#### Dedication",K260,"-"&amp;$B260),"")</f>
        <v/>
      </c>
      <c r="CA260" s="6" t="str">
        <f>IF(V260,concatll(concatl("---",W260,"---"),"*A collection of sites associated with this topic.*","#### Background",I260,AB260,AC260,AD260),"")</f>
        <v xml:space="preserve">---_x000D_
title: "Colorado"_x000D_
---_x000D_
_x000D_
_x000D_
*A collection of sites associated with this topic.*_x000D_
_x000D_
#### Background_x000D_
_x000D_
Catholic places of interest in Colorado_x000D_
_x000D_
</v>
      </c>
      <c r="CB260" s="6" t="str">
        <f t="shared" si="31"/>
        <v>tags\us-co\_index.md</v>
      </c>
    </row>
    <row r="261" spans="1:80" ht="25.5" x14ac:dyDescent="0.25">
      <c r="A261" s="129" t="s">
        <v>786</v>
      </c>
      <c r="C261" s="1" t="s">
        <v>1076</v>
      </c>
      <c r="D261" s="7" t="s">
        <v>1127</v>
      </c>
      <c r="E261" s="7" t="str">
        <f t="shared" si="32"/>
        <v>us
- us-ct</v>
      </c>
      <c r="F261" s="33" t="s">
        <v>2221</v>
      </c>
      <c r="G261" s="7" t="s">
        <v>1870</v>
      </c>
      <c r="H261" s="33" t="s">
        <v>1914</v>
      </c>
      <c r="I261" s="153" t="s">
        <v>2143</v>
      </c>
      <c r="L261" s="154" t="s">
        <v>53</v>
      </c>
      <c r="M261" s="154" t="s">
        <v>53</v>
      </c>
      <c r="N261" s="151" t="s">
        <v>53</v>
      </c>
      <c r="O261" s="40" t="s">
        <v>53</v>
      </c>
      <c r="P261" s="1" t="s">
        <v>53</v>
      </c>
      <c r="Q261" s="44" t="s">
        <v>53</v>
      </c>
      <c r="R261" s="1" t="s">
        <v>53</v>
      </c>
      <c r="S261" s="1" t="s">
        <v>53</v>
      </c>
      <c r="T261" s="30" t="s">
        <v>53</v>
      </c>
      <c r="U261" s="121" t="s">
        <v>53</v>
      </c>
      <c r="V261" s="116" t="b">
        <f t="shared" si="24"/>
        <v>1</v>
      </c>
      <c r="W261" s="117" t="str">
        <f t="shared" si="25"/>
        <v>title: "Connecticut"</v>
      </c>
      <c r="X261" s="120" t="str">
        <f t="shared" si="26"/>
        <v/>
      </c>
      <c r="Y261" s="120" t="str">
        <f t="shared" si="27"/>
        <v/>
      </c>
      <c r="Z261" s="120" t="str">
        <f t="shared" si="28"/>
        <v/>
      </c>
      <c r="AA261" s="120" t="str">
        <f t="shared" si="29"/>
        <v/>
      </c>
      <c r="AB261" s="117" t="str">
        <f t="shared" si="30"/>
        <v/>
      </c>
      <c r="AC261" s="117" t="str">
        <f>IF(LEN(J261)&gt;1,concatll("#### Author's Note",J261,"-"&amp;B261),"")</f>
        <v/>
      </c>
      <c r="AD261" s="117" t="str">
        <f>IF(LEN(K261)&gt;1,concatll("#### Dedication",K261,"-"&amp;$B261),"")</f>
        <v/>
      </c>
      <c r="CA261" s="6" t="str">
        <f>IF(V261,concatll(concatl("---",W261,"---"),"*A collection of sites associated with this topic.*","#### Background",I261,AB261,AC261,AD261),"")</f>
        <v xml:space="preserve">---_x000D_
title: "Connecticut"_x000D_
---_x000D_
_x000D_
_x000D_
*A collection of sites associated with this topic.*_x000D_
_x000D_
#### Background_x000D_
_x000D_
Catholic places of interest in Connecticut_x000D_
_x000D_
</v>
      </c>
      <c r="CB261" s="6" t="str">
        <f t="shared" si="31"/>
        <v>tags\us-ct\_index.md</v>
      </c>
    </row>
    <row r="262" spans="1:80" ht="25.5" x14ac:dyDescent="0.25">
      <c r="A262" s="129" t="s">
        <v>786</v>
      </c>
      <c r="C262" s="1" t="s">
        <v>1077</v>
      </c>
      <c r="D262" s="7" t="s">
        <v>1128</v>
      </c>
      <c r="E262" s="7" t="str">
        <f t="shared" si="32"/>
        <v>us
- us-de</v>
      </c>
      <c r="F262" s="33" t="s">
        <v>2222</v>
      </c>
      <c r="G262" s="7" t="s">
        <v>1871</v>
      </c>
      <c r="H262" s="33" t="s">
        <v>1914</v>
      </c>
      <c r="I262" s="153" t="s">
        <v>2144</v>
      </c>
      <c r="L262" s="154" t="s">
        <v>53</v>
      </c>
      <c r="M262" s="154" t="s">
        <v>53</v>
      </c>
      <c r="N262" s="151" t="s">
        <v>53</v>
      </c>
      <c r="O262" s="40" t="s">
        <v>53</v>
      </c>
      <c r="P262" s="1" t="s">
        <v>53</v>
      </c>
      <c r="Q262" s="44" t="s">
        <v>53</v>
      </c>
      <c r="R262" s="1" t="s">
        <v>53</v>
      </c>
      <c r="S262" s="1" t="s">
        <v>53</v>
      </c>
      <c r="T262" s="30" t="s">
        <v>53</v>
      </c>
      <c r="U262" s="121" t="s">
        <v>53</v>
      </c>
      <c r="V262" s="116" t="b">
        <f t="shared" si="24"/>
        <v>1</v>
      </c>
      <c r="W262" s="117" t="str">
        <f t="shared" si="25"/>
        <v>title: "Delaware"</v>
      </c>
      <c r="X262" s="120" t="str">
        <f t="shared" si="26"/>
        <v/>
      </c>
      <c r="Y262" s="120" t="str">
        <f t="shared" si="27"/>
        <v/>
      </c>
      <c r="Z262" s="120" t="str">
        <f t="shared" si="28"/>
        <v/>
      </c>
      <c r="AA262" s="120" t="str">
        <f t="shared" si="29"/>
        <v/>
      </c>
      <c r="AB262" s="117" t="str">
        <f t="shared" si="30"/>
        <v/>
      </c>
      <c r="AC262" s="117" t="str">
        <f>IF(LEN(J262)&gt;1,concatll("#### Author's Note",J262,"-"&amp;B262),"")</f>
        <v/>
      </c>
      <c r="AD262" s="117" t="str">
        <f>IF(LEN(K262)&gt;1,concatll("#### Dedication",K262,"-"&amp;$B262),"")</f>
        <v/>
      </c>
      <c r="CA262" s="6" t="str">
        <f>IF(V262,concatll(concatl("---",W262,"---"),"*A collection of sites associated with this topic.*","#### Background",I262,AB262,AC262,AD262),"")</f>
        <v xml:space="preserve">---_x000D_
title: "Delaware"_x000D_
---_x000D_
_x000D_
_x000D_
*A collection of sites associated with this topic.*_x000D_
_x000D_
#### Background_x000D_
_x000D_
Catholic places of interest in Delaware_x000D_
_x000D_
</v>
      </c>
      <c r="CB262" s="6" t="str">
        <f t="shared" si="31"/>
        <v>tags\us-de\_index.md</v>
      </c>
    </row>
    <row r="263" spans="1:80" ht="25.5" x14ac:dyDescent="0.25">
      <c r="A263" s="129" t="s">
        <v>786</v>
      </c>
      <c r="C263" s="1" t="s">
        <v>1078</v>
      </c>
      <c r="D263" s="7" t="s">
        <v>1129</v>
      </c>
      <c r="E263" s="7" t="str">
        <f t="shared" si="32"/>
        <v>us
- us-dc</v>
      </c>
      <c r="F263" s="33" t="s">
        <v>2223</v>
      </c>
      <c r="G263" s="153" t="s">
        <v>1913</v>
      </c>
      <c r="H263" s="33" t="s">
        <v>1914</v>
      </c>
      <c r="I263" s="153" t="s">
        <v>2145</v>
      </c>
      <c r="L263" s="154" t="s">
        <v>53</v>
      </c>
      <c r="M263" s="154" t="s">
        <v>53</v>
      </c>
      <c r="N263" s="151" t="s">
        <v>53</v>
      </c>
      <c r="O263" s="40" t="s">
        <v>53</v>
      </c>
      <c r="P263" s="1" t="s">
        <v>53</v>
      </c>
      <c r="Q263" s="44" t="s">
        <v>53</v>
      </c>
      <c r="R263" s="1" t="s">
        <v>53</v>
      </c>
      <c r="S263" s="1" t="s">
        <v>53</v>
      </c>
      <c r="T263" s="30" t="s">
        <v>53</v>
      </c>
      <c r="U263" s="121" t="s">
        <v>53</v>
      </c>
      <c r="V263" s="116" t="b">
        <f t="shared" ref="V263:V305" si="33">IF(OR(A263="Done",A263="In Progress"),TRUE)</f>
        <v>1</v>
      </c>
      <c r="W263" s="117" t="str">
        <f t="shared" ref="W263:W305" si="34">"title: """&amp;G263&amp;""""</f>
        <v>title: "Washington, DC"</v>
      </c>
      <c r="X263" s="120" t="str">
        <f t="shared" ref="X263:X305" si="35">IF(LEN(M263)&gt;0,TRIM(CONCATENATE("["&amp;L263&amp;"](",M263,") ",IF(LEN(N263)&gt;0,"- "&amp;N263,N263))),"")</f>
        <v/>
      </c>
      <c r="Y263" s="120" t="str">
        <f t="shared" ref="Y263:Y305" si="36">IF(LEN(P263)&gt;0,TRIM(CONCATENATE("["&amp;O263&amp;"](",P263,") ",IF(LEN(Q263)&gt;0,"- "&amp;Q263,Q263))),"")</f>
        <v/>
      </c>
      <c r="Z263" s="120" t="str">
        <f t="shared" ref="Z263:Z305" si="37">IF(LEN(S263)&gt;0,TRIM(CONCATENATE("["&amp;R263&amp;"](",S263,") ",IF(LEN(T263)&gt;0,"- "&amp;T263,T263))),"")</f>
        <v/>
      </c>
      <c r="AA263" s="120" t="str">
        <f t="shared" ref="AA263:AA305" si="38">IF(LEN(X263)&gt;0,"* "&amp;X263&amp;CHAR(10),"")&amp;
IF(LEN(Y263)&gt;0,"* "&amp;Y263&amp;CHAR(10),"")&amp;
IF(LEN(Z263)&gt;0,"* "&amp;Z263&amp;CHAR(10),"")</f>
        <v/>
      </c>
      <c r="AB263" s="117" t="str">
        <f t="shared" ref="AB263:AB305" si="39">IF(LEN(AA263)&gt;0,concatl("#### More Information",AA263),"")</f>
        <v/>
      </c>
      <c r="AC263" s="117" t="str">
        <f>IF(LEN(J263)&gt;1,concatll("#### Author's Note",J263,"-"&amp;B263),"")</f>
        <v/>
      </c>
      <c r="AD263" s="117" t="str">
        <f>IF(LEN(K263)&gt;1,concatll("#### Dedication",K263,"-"&amp;$B263),"")</f>
        <v/>
      </c>
      <c r="CA263" s="6" t="str">
        <f>IF(V263,concatll(concatl("---",W263,"---"),"*A collection of sites associated with this topic.*","#### Background",I263,AB263,AC263,AD263),"")</f>
        <v xml:space="preserve">---_x000D_
title: "Washington, DC"_x000D_
---_x000D_
_x000D_
_x000D_
*A collection of sites associated with this topic.*_x000D_
_x000D_
#### Background_x000D_
_x000D_
Catholic places of interest in Washington, DC_x000D_
_x000D_
</v>
      </c>
      <c r="CB263" s="6" t="str">
        <f t="shared" ref="CB263:CB305" si="40">IF(V263,"tags\"&amp;F263&amp;"\_index.md","")</f>
        <v>tags\us-dc\_index.md</v>
      </c>
    </row>
    <row r="264" spans="1:80" ht="25.5" x14ac:dyDescent="0.25">
      <c r="A264" s="129" t="s">
        <v>786</v>
      </c>
      <c r="C264" s="1" t="s">
        <v>1079</v>
      </c>
      <c r="D264" s="7" t="s">
        <v>1130</v>
      </c>
      <c r="E264" s="7" t="str">
        <f t="shared" si="32"/>
        <v>us
- us-fl</v>
      </c>
      <c r="F264" s="33" t="s">
        <v>2224</v>
      </c>
      <c r="G264" s="7" t="s">
        <v>1872</v>
      </c>
      <c r="H264" s="33" t="s">
        <v>1914</v>
      </c>
      <c r="I264" s="153" t="s">
        <v>2146</v>
      </c>
      <c r="L264" s="154" t="s">
        <v>53</v>
      </c>
      <c r="M264" s="154" t="s">
        <v>53</v>
      </c>
      <c r="N264" s="151" t="s">
        <v>53</v>
      </c>
      <c r="O264" s="40" t="s">
        <v>53</v>
      </c>
      <c r="P264" s="1" t="s">
        <v>53</v>
      </c>
      <c r="Q264" s="44" t="s">
        <v>53</v>
      </c>
      <c r="R264" s="1" t="s">
        <v>53</v>
      </c>
      <c r="S264" s="1" t="s">
        <v>53</v>
      </c>
      <c r="T264" s="30" t="s">
        <v>53</v>
      </c>
      <c r="U264" s="121" t="s">
        <v>53</v>
      </c>
      <c r="V264" s="116" t="b">
        <f t="shared" si="33"/>
        <v>1</v>
      </c>
      <c r="W264" s="117" t="str">
        <f t="shared" si="34"/>
        <v>title: "Florida"</v>
      </c>
      <c r="X264" s="120" t="str">
        <f t="shared" si="35"/>
        <v/>
      </c>
      <c r="Y264" s="120" t="str">
        <f t="shared" si="36"/>
        <v/>
      </c>
      <c r="Z264" s="120" t="str">
        <f t="shared" si="37"/>
        <v/>
      </c>
      <c r="AA264" s="120" t="str">
        <f t="shared" si="38"/>
        <v/>
      </c>
      <c r="AB264" s="117" t="str">
        <f t="shared" si="39"/>
        <v/>
      </c>
      <c r="AC264" s="117" t="str">
        <f>IF(LEN(J264)&gt;1,concatll("#### Author's Note",J264,"-"&amp;B264),"")</f>
        <v/>
      </c>
      <c r="AD264" s="117" t="str">
        <f>IF(LEN(K264)&gt;1,concatll("#### Dedication",K264,"-"&amp;$B264),"")</f>
        <v/>
      </c>
      <c r="CA264" s="6" t="str">
        <f>IF(V264,concatll(concatl("---",W264,"---"),"*A collection of sites associated with this topic.*","#### Background",I264,AB264,AC264,AD264),"")</f>
        <v xml:space="preserve">---_x000D_
title: "Florida"_x000D_
---_x000D_
_x000D_
_x000D_
*A collection of sites associated with this topic.*_x000D_
_x000D_
#### Background_x000D_
_x000D_
Catholic places of interest in Florida_x000D_
_x000D_
</v>
      </c>
      <c r="CB264" s="6" t="str">
        <f t="shared" si="40"/>
        <v>tags\us-fl\_index.md</v>
      </c>
    </row>
    <row r="265" spans="1:80" ht="25.5" x14ac:dyDescent="0.25">
      <c r="A265" s="129" t="s">
        <v>786</v>
      </c>
      <c r="C265" s="1" t="s">
        <v>1080</v>
      </c>
      <c r="D265" s="7" t="s">
        <v>1131</v>
      </c>
      <c r="E265" s="7" t="str">
        <f t="shared" si="32"/>
        <v>us
- us-ga</v>
      </c>
      <c r="F265" s="33" t="s">
        <v>2225</v>
      </c>
      <c r="G265" s="7" t="s">
        <v>274</v>
      </c>
      <c r="H265" s="33" t="s">
        <v>1914</v>
      </c>
      <c r="I265" s="153" t="s">
        <v>1981</v>
      </c>
      <c r="L265" s="154" t="s">
        <v>53</v>
      </c>
      <c r="M265" s="154" t="s">
        <v>53</v>
      </c>
      <c r="N265" s="151" t="s">
        <v>53</v>
      </c>
      <c r="O265" s="40" t="s">
        <v>53</v>
      </c>
      <c r="P265" s="1" t="s">
        <v>53</v>
      </c>
      <c r="Q265" s="44" t="s">
        <v>53</v>
      </c>
      <c r="R265" s="1" t="s">
        <v>53</v>
      </c>
      <c r="S265" s="1" t="s">
        <v>53</v>
      </c>
      <c r="T265" s="30" t="s">
        <v>53</v>
      </c>
      <c r="U265" s="121" t="s">
        <v>53</v>
      </c>
      <c r="V265" s="116" t="b">
        <f t="shared" si="33"/>
        <v>1</v>
      </c>
      <c r="W265" s="117" t="str">
        <f t="shared" si="34"/>
        <v>title: "Georgia"</v>
      </c>
      <c r="X265" s="120" t="str">
        <f t="shared" si="35"/>
        <v/>
      </c>
      <c r="Y265" s="120" t="str">
        <f t="shared" si="36"/>
        <v/>
      </c>
      <c r="Z265" s="120" t="str">
        <f t="shared" si="37"/>
        <v/>
      </c>
      <c r="AA265" s="120" t="str">
        <f t="shared" si="38"/>
        <v/>
      </c>
      <c r="AB265" s="117" t="str">
        <f t="shared" si="39"/>
        <v/>
      </c>
      <c r="AC265" s="117" t="str">
        <f>IF(LEN(J265)&gt;1,concatll("#### Author's Note",J265,"-"&amp;B265),"")</f>
        <v/>
      </c>
      <c r="AD265" s="117" t="str">
        <f>IF(LEN(K265)&gt;1,concatll("#### Dedication",K265,"-"&amp;$B265),"")</f>
        <v/>
      </c>
      <c r="CA265" s="6" t="str">
        <f>IF(V265,concatll(concatl("---",W265,"---"),"*A collection of sites associated with this topic.*","#### Background",I265,AB265,AC265,AD265),"")</f>
        <v xml:space="preserve">---_x000D_
title: "Georgia"_x000D_
---_x000D_
_x000D_
_x000D_
*A collection of sites associated with this topic.*_x000D_
_x000D_
#### Background_x000D_
_x000D_
Catholic places of interest in Georgia_x000D_
_x000D_
</v>
      </c>
      <c r="CB265" s="6" t="str">
        <f t="shared" si="40"/>
        <v>tags\us-ga\_index.md</v>
      </c>
    </row>
    <row r="266" spans="1:80" ht="25.5" x14ac:dyDescent="0.25">
      <c r="A266" s="129" t="s">
        <v>786</v>
      </c>
      <c r="C266" s="1" t="s">
        <v>1081</v>
      </c>
      <c r="D266" s="7" t="s">
        <v>1132</v>
      </c>
      <c r="E266" s="7" t="str">
        <f t="shared" si="32"/>
        <v>us
- us-hi</v>
      </c>
      <c r="F266" s="33" t="s">
        <v>2226</v>
      </c>
      <c r="G266" s="7" t="s">
        <v>1873</v>
      </c>
      <c r="H266" s="33" t="s">
        <v>1914</v>
      </c>
      <c r="I266" s="153" t="s">
        <v>2147</v>
      </c>
      <c r="L266" s="154" t="s">
        <v>53</v>
      </c>
      <c r="M266" s="154" t="s">
        <v>53</v>
      </c>
      <c r="N266" s="151" t="s">
        <v>53</v>
      </c>
      <c r="O266" s="40" t="s">
        <v>53</v>
      </c>
      <c r="P266" s="1" t="s">
        <v>53</v>
      </c>
      <c r="Q266" s="44" t="s">
        <v>53</v>
      </c>
      <c r="R266" s="1" t="s">
        <v>53</v>
      </c>
      <c r="S266" s="1" t="s">
        <v>53</v>
      </c>
      <c r="T266" s="30" t="s">
        <v>53</v>
      </c>
      <c r="U266" s="121" t="s">
        <v>53</v>
      </c>
      <c r="V266" s="116" t="b">
        <f t="shared" si="33"/>
        <v>1</v>
      </c>
      <c r="W266" s="117" t="str">
        <f t="shared" si="34"/>
        <v>title: "Hawaii"</v>
      </c>
      <c r="X266" s="120" t="str">
        <f t="shared" si="35"/>
        <v/>
      </c>
      <c r="Y266" s="120" t="str">
        <f t="shared" si="36"/>
        <v/>
      </c>
      <c r="Z266" s="120" t="str">
        <f t="shared" si="37"/>
        <v/>
      </c>
      <c r="AA266" s="120" t="str">
        <f t="shared" si="38"/>
        <v/>
      </c>
      <c r="AB266" s="117" t="str">
        <f t="shared" si="39"/>
        <v/>
      </c>
      <c r="AC266" s="117" t="str">
        <f>IF(LEN(J266)&gt;1,concatll("#### Author's Note",J266,"-"&amp;B266),"")</f>
        <v/>
      </c>
      <c r="AD266" s="117" t="str">
        <f>IF(LEN(K266)&gt;1,concatll("#### Dedication",K266,"-"&amp;$B266),"")</f>
        <v/>
      </c>
      <c r="CA266" s="6" t="str">
        <f>IF(V266,concatll(concatl("---",W266,"---"),"*A collection of sites associated with this topic.*","#### Background",I266,AB266,AC266,AD266),"")</f>
        <v xml:space="preserve">---_x000D_
title: "Hawaii"_x000D_
---_x000D_
_x000D_
_x000D_
*A collection of sites associated with this topic.*_x000D_
_x000D_
#### Background_x000D_
_x000D_
Catholic places of interest in Hawaii_x000D_
_x000D_
</v>
      </c>
      <c r="CB266" s="6" t="str">
        <f t="shared" si="40"/>
        <v>tags\us-hi\_index.md</v>
      </c>
    </row>
    <row r="267" spans="1:80" ht="25.5" x14ac:dyDescent="0.25">
      <c r="A267" s="129" t="s">
        <v>786</v>
      </c>
      <c r="C267" s="1" t="s">
        <v>1082</v>
      </c>
      <c r="D267" s="7" t="s">
        <v>1133</v>
      </c>
      <c r="E267" s="7" t="str">
        <f t="shared" si="32"/>
        <v>us
- us-id</v>
      </c>
      <c r="F267" s="33" t="s">
        <v>2227</v>
      </c>
      <c r="G267" s="7" t="s">
        <v>1874</v>
      </c>
      <c r="H267" s="33" t="s">
        <v>1914</v>
      </c>
      <c r="I267" s="153" t="s">
        <v>2148</v>
      </c>
      <c r="L267" s="154" t="s">
        <v>53</v>
      </c>
      <c r="M267" s="154" t="s">
        <v>53</v>
      </c>
      <c r="N267" s="151" t="s">
        <v>53</v>
      </c>
      <c r="O267" s="40" t="s">
        <v>53</v>
      </c>
      <c r="P267" s="1" t="s">
        <v>53</v>
      </c>
      <c r="Q267" s="44" t="s">
        <v>53</v>
      </c>
      <c r="R267" s="1" t="s">
        <v>53</v>
      </c>
      <c r="S267" s="1" t="s">
        <v>53</v>
      </c>
      <c r="T267" s="30" t="s">
        <v>53</v>
      </c>
      <c r="U267" s="121" t="s">
        <v>53</v>
      </c>
      <c r="V267" s="116" t="b">
        <f t="shared" si="33"/>
        <v>1</v>
      </c>
      <c r="W267" s="117" t="str">
        <f t="shared" si="34"/>
        <v>title: "Idaho"</v>
      </c>
      <c r="X267" s="120" t="str">
        <f t="shared" si="35"/>
        <v/>
      </c>
      <c r="Y267" s="120" t="str">
        <f t="shared" si="36"/>
        <v/>
      </c>
      <c r="Z267" s="120" t="str">
        <f t="shared" si="37"/>
        <v/>
      </c>
      <c r="AA267" s="120" t="str">
        <f t="shared" si="38"/>
        <v/>
      </c>
      <c r="AB267" s="117" t="str">
        <f t="shared" si="39"/>
        <v/>
      </c>
      <c r="AC267" s="117" t="str">
        <f>IF(LEN(J267)&gt;1,concatll("#### Author's Note",J267,"-"&amp;B267),"")</f>
        <v/>
      </c>
      <c r="AD267" s="117" t="str">
        <f>IF(LEN(K267)&gt;1,concatll("#### Dedication",K267,"-"&amp;$B267),"")</f>
        <v/>
      </c>
      <c r="CA267" s="6" t="str">
        <f>IF(V267,concatll(concatl("---",W267,"---"),"*A collection of sites associated with this topic.*","#### Background",I267,AB267,AC267,AD267),"")</f>
        <v xml:space="preserve">---_x000D_
title: "Idaho"_x000D_
---_x000D_
_x000D_
_x000D_
*A collection of sites associated with this topic.*_x000D_
_x000D_
#### Background_x000D_
_x000D_
Catholic places of interest in Idaho_x000D_
_x000D_
</v>
      </c>
      <c r="CB267" s="6" t="str">
        <f t="shared" si="40"/>
        <v>tags\us-id\_index.md</v>
      </c>
    </row>
    <row r="268" spans="1:80" ht="25.5" x14ac:dyDescent="0.25">
      <c r="A268" s="129" t="s">
        <v>786</v>
      </c>
      <c r="C268" s="1" t="s">
        <v>1083</v>
      </c>
      <c r="D268" s="7" t="s">
        <v>1134</v>
      </c>
      <c r="E268" s="7" t="str">
        <f t="shared" si="32"/>
        <v>us
- us-il</v>
      </c>
      <c r="F268" s="33" t="s">
        <v>2228</v>
      </c>
      <c r="G268" s="7" t="s">
        <v>1875</v>
      </c>
      <c r="H268" s="33" t="s">
        <v>1914</v>
      </c>
      <c r="I268" s="153" t="s">
        <v>2149</v>
      </c>
      <c r="L268" s="154" t="s">
        <v>53</v>
      </c>
      <c r="M268" s="154" t="s">
        <v>53</v>
      </c>
      <c r="N268" s="151" t="s">
        <v>53</v>
      </c>
      <c r="O268" s="40" t="s">
        <v>53</v>
      </c>
      <c r="P268" s="1" t="s">
        <v>53</v>
      </c>
      <c r="Q268" s="44" t="s">
        <v>53</v>
      </c>
      <c r="R268" s="1" t="s">
        <v>53</v>
      </c>
      <c r="S268" s="1" t="s">
        <v>53</v>
      </c>
      <c r="T268" s="30" t="s">
        <v>53</v>
      </c>
      <c r="U268" s="121" t="s">
        <v>53</v>
      </c>
      <c r="V268" s="116" t="b">
        <f t="shared" si="33"/>
        <v>1</v>
      </c>
      <c r="W268" s="117" t="str">
        <f t="shared" si="34"/>
        <v>title: "Illinois"</v>
      </c>
      <c r="X268" s="120" t="str">
        <f t="shared" si="35"/>
        <v/>
      </c>
      <c r="Y268" s="120" t="str">
        <f t="shared" si="36"/>
        <v/>
      </c>
      <c r="Z268" s="120" t="str">
        <f t="shared" si="37"/>
        <v/>
      </c>
      <c r="AA268" s="120" t="str">
        <f t="shared" si="38"/>
        <v/>
      </c>
      <c r="AB268" s="117" t="str">
        <f t="shared" si="39"/>
        <v/>
      </c>
      <c r="AC268" s="117" t="str">
        <f>IF(LEN(J268)&gt;1,concatll("#### Author's Note",J268,"-"&amp;B268),"")</f>
        <v/>
      </c>
      <c r="AD268" s="117" t="str">
        <f>IF(LEN(K268)&gt;1,concatll("#### Dedication",K268,"-"&amp;$B268),"")</f>
        <v/>
      </c>
      <c r="CA268" s="6" t="str">
        <f>IF(V268,concatll(concatl("---",W268,"---"),"*A collection of sites associated with this topic.*","#### Background",I268,AB268,AC268,AD268),"")</f>
        <v xml:space="preserve">---_x000D_
title: "Illinois"_x000D_
---_x000D_
_x000D_
_x000D_
*A collection of sites associated with this topic.*_x000D_
_x000D_
#### Background_x000D_
_x000D_
Catholic places of interest in Illinois_x000D_
_x000D_
</v>
      </c>
      <c r="CB268" s="6" t="str">
        <f t="shared" si="40"/>
        <v>tags\us-il\_index.md</v>
      </c>
    </row>
    <row r="269" spans="1:80" ht="25.5" x14ac:dyDescent="0.25">
      <c r="A269" s="129" t="s">
        <v>786</v>
      </c>
      <c r="C269" s="1" t="s">
        <v>1084</v>
      </c>
      <c r="D269" s="7" t="s">
        <v>1135</v>
      </c>
      <c r="E269" s="7" t="str">
        <f t="shared" si="32"/>
        <v>us
- us-in</v>
      </c>
      <c r="F269" s="33" t="s">
        <v>2229</v>
      </c>
      <c r="G269" s="7" t="s">
        <v>1876</v>
      </c>
      <c r="H269" s="33" t="s">
        <v>1914</v>
      </c>
      <c r="I269" s="153" t="s">
        <v>2150</v>
      </c>
      <c r="L269" s="154" t="s">
        <v>53</v>
      </c>
      <c r="M269" s="154" t="s">
        <v>53</v>
      </c>
      <c r="N269" s="151" t="s">
        <v>53</v>
      </c>
      <c r="O269" s="40" t="s">
        <v>53</v>
      </c>
      <c r="P269" s="1" t="s">
        <v>53</v>
      </c>
      <c r="Q269" s="44" t="s">
        <v>53</v>
      </c>
      <c r="R269" s="1" t="s">
        <v>53</v>
      </c>
      <c r="S269" s="1" t="s">
        <v>53</v>
      </c>
      <c r="T269" s="30" t="s">
        <v>53</v>
      </c>
      <c r="U269" s="121" t="s">
        <v>53</v>
      </c>
      <c r="V269" s="116" t="b">
        <f t="shared" si="33"/>
        <v>1</v>
      </c>
      <c r="W269" s="117" t="str">
        <f t="shared" si="34"/>
        <v>title: "Indiana"</v>
      </c>
      <c r="X269" s="120" t="str">
        <f t="shared" si="35"/>
        <v/>
      </c>
      <c r="Y269" s="120" t="str">
        <f t="shared" si="36"/>
        <v/>
      </c>
      <c r="Z269" s="120" t="str">
        <f t="shared" si="37"/>
        <v/>
      </c>
      <c r="AA269" s="120" t="str">
        <f t="shared" si="38"/>
        <v/>
      </c>
      <c r="AB269" s="117" t="str">
        <f t="shared" si="39"/>
        <v/>
      </c>
      <c r="AC269" s="117" t="str">
        <f>IF(LEN(J269)&gt;1,concatll("#### Author's Note",J269,"-"&amp;B269),"")</f>
        <v/>
      </c>
      <c r="AD269" s="117" t="str">
        <f>IF(LEN(K269)&gt;1,concatll("#### Dedication",K269,"-"&amp;$B269),"")</f>
        <v/>
      </c>
      <c r="CA269" s="6" t="str">
        <f>IF(V269,concatll(concatl("---",W269,"---"),"*A collection of sites associated with this topic.*","#### Background",I269,AB269,AC269,AD269),"")</f>
        <v xml:space="preserve">---_x000D_
title: "Indiana"_x000D_
---_x000D_
_x000D_
_x000D_
*A collection of sites associated with this topic.*_x000D_
_x000D_
#### Background_x000D_
_x000D_
Catholic places of interest in Indiana_x000D_
_x000D_
</v>
      </c>
      <c r="CB269" s="6" t="str">
        <f t="shared" si="40"/>
        <v>tags\us-in\_index.md</v>
      </c>
    </row>
    <row r="270" spans="1:80" ht="25.5" x14ac:dyDescent="0.25">
      <c r="A270" s="129" t="s">
        <v>786</v>
      </c>
      <c r="C270" s="1" t="s">
        <v>1085</v>
      </c>
      <c r="D270" s="7" t="s">
        <v>1136</v>
      </c>
      <c r="E270" s="7" t="str">
        <f t="shared" si="32"/>
        <v>us
- us-ia</v>
      </c>
      <c r="F270" s="33" t="s">
        <v>2230</v>
      </c>
      <c r="G270" s="7" t="s">
        <v>1877</v>
      </c>
      <c r="H270" s="33" t="s">
        <v>1914</v>
      </c>
      <c r="I270" s="153" t="s">
        <v>2151</v>
      </c>
      <c r="L270" s="154" t="s">
        <v>53</v>
      </c>
      <c r="M270" s="154" t="s">
        <v>53</v>
      </c>
      <c r="N270" s="151" t="s">
        <v>53</v>
      </c>
      <c r="O270" s="40" t="s">
        <v>53</v>
      </c>
      <c r="P270" s="1" t="s">
        <v>53</v>
      </c>
      <c r="Q270" s="44" t="s">
        <v>53</v>
      </c>
      <c r="R270" s="1" t="s">
        <v>53</v>
      </c>
      <c r="S270" s="1" t="s">
        <v>53</v>
      </c>
      <c r="T270" s="30" t="s">
        <v>53</v>
      </c>
      <c r="U270" s="121" t="s">
        <v>53</v>
      </c>
      <c r="V270" s="116" t="b">
        <f t="shared" si="33"/>
        <v>1</v>
      </c>
      <c r="W270" s="117" t="str">
        <f t="shared" si="34"/>
        <v>title: "Iowa"</v>
      </c>
      <c r="X270" s="120" t="str">
        <f t="shared" si="35"/>
        <v/>
      </c>
      <c r="Y270" s="120" t="str">
        <f t="shared" si="36"/>
        <v/>
      </c>
      <c r="Z270" s="120" t="str">
        <f t="shared" si="37"/>
        <v/>
      </c>
      <c r="AA270" s="120" t="str">
        <f t="shared" si="38"/>
        <v/>
      </c>
      <c r="AB270" s="117" t="str">
        <f t="shared" si="39"/>
        <v/>
      </c>
      <c r="AC270" s="117" t="str">
        <f>IF(LEN(J270)&gt;1,concatll("#### Author's Note",J270,"-"&amp;B270),"")</f>
        <v/>
      </c>
      <c r="AD270" s="117" t="str">
        <f>IF(LEN(K270)&gt;1,concatll("#### Dedication",K270,"-"&amp;$B270),"")</f>
        <v/>
      </c>
      <c r="CA270" s="6" t="str">
        <f>IF(V270,concatll(concatl("---",W270,"---"),"*A collection of sites associated with this topic.*","#### Background",I270,AB270,AC270,AD270),"")</f>
        <v xml:space="preserve">---_x000D_
title: "Iowa"_x000D_
---_x000D_
_x000D_
_x000D_
*A collection of sites associated with this topic.*_x000D_
_x000D_
#### Background_x000D_
_x000D_
Catholic places of interest in Iowa_x000D_
_x000D_
</v>
      </c>
      <c r="CB270" s="6" t="str">
        <f t="shared" si="40"/>
        <v>tags\us-ia\_index.md</v>
      </c>
    </row>
    <row r="271" spans="1:80" ht="25.5" x14ac:dyDescent="0.25">
      <c r="A271" s="129" t="s">
        <v>786</v>
      </c>
      <c r="C271" s="1" t="s">
        <v>1086</v>
      </c>
      <c r="D271" s="7" t="s">
        <v>1137</v>
      </c>
      <c r="E271" s="7" t="str">
        <f t="shared" si="32"/>
        <v>us
- us-ks</v>
      </c>
      <c r="F271" s="33" t="s">
        <v>2231</v>
      </c>
      <c r="G271" s="7" t="s">
        <v>1878</v>
      </c>
      <c r="H271" s="33" t="s">
        <v>1914</v>
      </c>
      <c r="I271" s="153" t="s">
        <v>2152</v>
      </c>
      <c r="L271" s="154" t="s">
        <v>53</v>
      </c>
      <c r="M271" s="154" t="s">
        <v>53</v>
      </c>
      <c r="N271" s="151" t="s">
        <v>53</v>
      </c>
      <c r="O271" s="40" t="s">
        <v>53</v>
      </c>
      <c r="P271" s="1" t="s">
        <v>53</v>
      </c>
      <c r="Q271" s="44" t="s">
        <v>53</v>
      </c>
      <c r="R271" s="1" t="s">
        <v>53</v>
      </c>
      <c r="S271" s="1" t="s">
        <v>53</v>
      </c>
      <c r="T271" s="30" t="s">
        <v>53</v>
      </c>
      <c r="U271" s="121" t="s">
        <v>53</v>
      </c>
      <c r="V271" s="116" t="b">
        <f t="shared" si="33"/>
        <v>1</v>
      </c>
      <c r="W271" s="117" t="str">
        <f t="shared" si="34"/>
        <v>title: "Kansas"</v>
      </c>
      <c r="X271" s="120" t="str">
        <f t="shared" si="35"/>
        <v/>
      </c>
      <c r="Y271" s="120" t="str">
        <f t="shared" si="36"/>
        <v/>
      </c>
      <c r="Z271" s="120" t="str">
        <f t="shared" si="37"/>
        <v/>
      </c>
      <c r="AA271" s="120" t="str">
        <f t="shared" si="38"/>
        <v/>
      </c>
      <c r="AB271" s="117" t="str">
        <f t="shared" si="39"/>
        <v/>
      </c>
      <c r="AC271" s="117" t="str">
        <f>IF(LEN(J271)&gt;1,concatll("#### Author's Note",J271,"-"&amp;B271),"")</f>
        <v/>
      </c>
      <c r="AD271" s="117" t="str">
        <f>IF(LEN(K271)&gt;1,concatll("#### Dedication",K271,"-"&amp;$B271),"")</f>
        <v/>
      </c>
      <c r="CA271" s="6" t="str">
        <f>IF(V271,concatll(concatl("---",W271,"---"),"*A collection of sites associated with this topic.*","#### Background",I271,AB271,AC271,AD271),"")</f>
        <v xml:space="preserve">---_x000D_
title: "Kansas"_x000D_
---_x000D_
_x000D_
_x000D_
*A collection of sites associated with this topic.*_x000D_
_x000D_
#### Background_x000D_
_x000D_
Catholic places of interest in Kansas_x000D_
_x000D_
</v>
      </c>
      <c r="CB271" s="6" t="str">
        <f t="shared" si="40"/>
        <v>tags\us-ks\_index.md</v>
      </c>
    </row>
    <row r="272" spans="1:80" ht="25.5" x14ac:dyDescent="0.25">
      <c r="A272" s="129" t="s">
        <v>786</v>
      </c>
      <c r="C272" s="1" t="s">
        <v>1087</v>
      </c>
      <c r="D272" s="7" t="s">
        <v>1138</v>
      </c>
      <c r="E272" s="7" t="str">
        <f t="shared" si="32"/>
        <v>us
- us-ky</v>
      </c>
      <c r="F272" s="33" t="s">
        <v>2232</v>
      </c>
      <c r="G272" s="7" t="s">
        <v>1879</v>
      </c>
      <c r="H272" s="33" t="s">
        <v>1914</v>
      </c>
      <c r="I272" s="153" t="s">
        <v>2153</v>
      </c>
      <c r="L272" s="154" t="s">
        <v>53</v>
      </c>
      <c r="M272" s="154" t="s">
        <v>53</v>
      </c>
      <c r="N272" s="151" t="s">
        <v>53</v>
      </c>
      <c r="O272" s="40" t="s">
        <v>53</v>
      </c>
      <c r="P272" s="1" t="s">
        <v>53</v>
      </c>
      <c r="Q272" s="44" t="s">
        <v>53</v>
      </c>
      <c r="R272" s="1" t="s">
        <v>53</v>
      </c>
      <c r="S272" s="1" t="s">
        <v>53</v>
      </c>
      <c r="T272" s="30" t="s">
        <v>53</v>
      </c>
      <c r="U272" s="121" t="s">
        <v>53</v>
      </c>
      <c r="V272" s="116" t="b">
        <f t="shared" si="33"/>
        <v>1</v>
      </c>
      <c r="W272" s="117" t="str">
        <f t="shared" si="34"/>
        <v>title: "Kentucky"</v>
      </c>
      <c r="X272" s="120" t="str">
        <f t="shared" si="35"/>
        <v/>
      </c>
      <c r="Y272" s="120" t="str">
        <f t="shared" si="36"/>
        <v/>
      </c>
      <c r="Z272" s="120" t="str">
        <f t="shared" si="37"/>
        <v/>
      </c>
      <c r="AA272" s="120" t="str">
        <f t="shared" si="38"/>
        <v/>
      </c>
      <c r="AB272" s="117" t="str">
        <f t="shared" si="39"/>
        <v/>
      </c>
      <c r="AC272" s="117" t="str">
        <f>IF(LEN(J272)&gt;1,concatll("#### Author's Note",J272,"-"&amp;B272),"")</f>
        <v/>
      </c>
      <c r="AD272" s="117" t="str">
        <f>IF(LEN(K272)&gt;1,concatll("#### Dedication",K272,"-"&amp;$B272),"")</f>
        <v/>
      </c>
      <c r="CA272" s="6" t="str">
        <f>IF(V272,concatll(concatl("---",W272,"---"),"*A collection of sites associated with this topic.*","#### Background",I272,AB272,AC272,AD272),"")</f>
        <v xml:space="preserve">---_x000D_
title: "Kentucky"_x000D_
---_x000D_
_x000D_
_x000D_
*A collection of sites associated with this topic.*_x000D_
_x000D_
#### Background_x000D_
_x000D_
Catholic places of interest in Kentucky_x000D_
_x000D_
</v>
      </c>
      <c r="CB272" s="6" t="str">
        <f t="shared" si="40"/>
        <v>tags\us-ky\_index.md</v>
      </c>
    </row>
    <row r="273" spans="1:80" ht="25.5" x14ac:dyDescent="0.25">
      <c r="A273" s="129" t="s">
        <v>786</v>
      </c>
      <c r="C273" s="1" t="s">
        <v>1088</v>
      </c>
      <c r="D273" s="7" t="s">
        <v>1139</v>
      </c>
      <c r="E273" s="7" t="str">
        <f t="shared" si="32"/>
        <v>us
- us-la</v>
      </c>
      <c r="F273" s="33" t="s">
        <v>2233</v>
      </c>
      <c r="G273" s="7" t="s">
        <v>1880</v>
      </c>
      <c r="H273" s="33" t="s">
        <v>1914</v>
      </c>
      <c r="I273" s="153" t="s">
        <v>2154</v>
      </c>
      <c r="L273" s="154" t="s">
        <v>53</v>
      </c>
      <c r="M273" s="154" t="s">
        <v>53</v>
      </c>
      <c r="N273" s="151" t="s">
        <v>53</v>
      </c>
      <c r="O273" s="40" t="s">
        <v>53</v>
      </c>
      <c r="P273" s="1" t="s">
        <v>53</v>
      </c>
      <c r="Q273" s="44" t="s">
        <v>53</v>
      </c>
      <c r="R273" s="1" t="s">
        <v>53</v>
      </c>
      <c r="S273" s="1" t="s">
        <v>53</v>
      </c>
      <c r="T273" s="30" t="s">
        <v>53</v>
      </c>
      <c r="U273" s="121" t="s">
        <v>53</v>
      </c>
      <c r="V273" s="116" t="b">
        <f t="shared" si="33"/>
        <v>1</v>
      </c>
      <c r="W273" s="117" t="str">
        <f t="shared" si="34"/>
        <v>title: "Louisiana"</v>
      </c>
      <c r="X273" s="120" t="str">
        <f t="shared" si="35"/>
        <v/>
      </c>
      <c r="Y273" s="120" t="str">
        <f t="shared" si="36"/>
        <v/>
      </c>
      <c r="Z273" s="120" t="str">
        <f t="shared" si="37"/>
        <v/>
      </c>
      <c r="AA273" s="120" t="str">
        <f t="shared" si="38"/>
        <v/>
      </c>
      <c r="AB273" s="117" t="str">
        <f t="shared" si="39"/>
        <v/>
      </c>
      <c r="AC273" s="117" t="str">
        <f>IF(LEN(J273)&gt;1,concatll("#### Author's Note",J273,"-"&amp;B273),"")</f>
        <v/>
      </c>
      <c r="AD273" s="117" t="str">
        <f>IF(LEN(K273)&gt;1,concatll("#### Dedication",K273,"-"&amp;$B273),"")</f>
        <v/>
      </c>
      <c r="CA273" s="6" t="str">
        <f>IF(V273,concatll(concatl("---",W273,"---"),"*A collection of sites associated with this topic.*","#### Background",I273,AB273,AC273,AD273),"")</f>
        <v xml:space="preserve">---_x000D_
title: "Louisiana"_x000D_
---_x000D_
_x000D_
_x000D_
*A collection of sites associated with this topic.*_x000D_
_x000D_
#### Background_x000D_
_x000D_
Catholic places of interest in Louisiana_x000D_
_x000D_
</v>
      </c>
      <c r="CB273" s="6" t="str">
        <f t="shared" si="40"/>
        <v>tags\us-la\_index.md</v>
      </c>
    </row>
    <row r="274" spans="1:80" ht="25.5" x14ac:dyDescent="0.25">
      <c r="A274" s="129" t="s">
        <v>786</v>
      </c>
      <c r="C274" s="1" t="s">
        <v>1089</v>
      </c>
      <c r="D274" s="7" t="s">
        <v>1140</v>
      </c>
      <c r="E274" s="7" t="str">
        <f t="shared" si="32"/>
        <v>us
- us-me</v>
      </c>
      <c r="F274" s="33" t="s">
        <v>2234</v>
      </c>
      <c r="G274" s="7" t="s">
        <v>1881</v>
      </c>
      <c r="H274" s="33" t="s">
        <v>1914</v>
      </c>
      <c r="I274" s="153" t="s">
        <v>2155</v>
      </c>
      <c r="L274" s="154" t="s">
        <v>53</v>
      </c>
      <c r="M274" s="154" t="s">
        <v>53</v>
      </c>
      <c r="N274" s="151" t="s">
        <v>53</v>
      </c>
      <c r="O274" s="40" t="s">
        <v>53</v>
      </c>
      <c r="P274" s="1" t="s">
        <v>53</v>
      </c>
      <c r="Q274" s="44" t="s">
        <v>53</v>
      </c>
      <c r="R274" s="1" t="s">
        <v>53</v>
      </c>
      <c r="S274" s="1" t="s">
        <v>53</v>
      </c>
      <c r="T274" s="30" t="s">
        <v>53</v>
      </c>
      <c r="U274" s="121" t="s">
        <v>53</v>
      </c>
      <c r="V274" s="116" t="b">
        <f t="shared" si="33"/>
        <v>1</v>
      </c>
      <c r="W274" s="117" t="str">
        <f t="shared" si="34"/>
        <v>title: "Maine"</v>
      </c>
      <c r="X274" s="120" t="str">
        <f t="shared" si="35"/>
        <v/>
      </c>
      <c r="Y274" s="120" t="str">
        <f t="shared" si="36"/>
        <v/>
      </c>
      <c r="Z274" s="120" t="str">
        <f t="shared" si="37"/>
        <v/>
      </c>
      <c r="AA274" s="120" t="str">
        <f t="shared" si="38"/>
        <v/>
      </c>
      <c r="AB274" s="117" t="str">
        <f t="shared" si="39"/>
        <v/>
      </c>
      <c r="AC274" s="117" t="str">
        <f>IF(LEN(J274)&gt;1,concatll("#### Author's Note",J274,"-"&amp;B274),"")</f>
        <v/>
      </c>
      <c r="AD274" s="117" t="str">
        <f>IF(LEN(K274)&gt;1,concatll("#### Dedication",K274,"-"&amp;$B274),"")</f>
        <v/>
      </c>
      <c r="CA274" s="6" t="str">
        <f>IF(V274,concatll(concatl("---",W274,"---"),"*A collection of sites associated with this topic.*","#### Background",I274,AB274,AC274,AD274),"")</f>
        <v xml:space="preserve">---_x000D_
title: "Maine"_x000D_
---_x000D_
_x000D_
_x000D_
*A collection of sites associated with this topic.*_x000D_
_x000D_
#### Background_x000D_
_x000D_
Catholic places of interest in Maine_x000D_
_x000D_
</v>
      </c>
      <c r="CB274" s="6" t="str">
        <f t="shared" si="40"/>
        <v>tags\us-me\_index.md</v>
      </c>
    </row>
    <row r="275" spans="1:80" ht="25.5" x14ac:dyDescent="0.25">
      <c r="A275" s="129" t="s">
        <v>786</v>
      </c>
      <c r="C275" s="1" t="s">
        <v>1090</v>
      </c>
      <c r="D275" s="7" t="s">
        <v>1141</v>
      </c>
      <c r="E275" s="7" t="str">
        <f t="shared" si="32"/>
        <v>us
- us-md</v>
      </c>
      <c r="F275" s="33" t="s">
        <v>2235</v>
      </c>
      <c r="G275" s="7" t="s">
        <v>1882</v>
      </c>
      <c r="H275" s="33" t="s">
        <v>1914</v>
      </c>
      <c r="I275" s="153" t="s">
        <v>2156</v>
      </c>
      <c r="L275" s="154" t="s">
        <v>53</v>
      </c>
      <c r="M275" s="154" t="s">
        <v>53</v>
      </c>
      <c r="N275" s="151" t="s">
        <v>53</v>
      </c>
      <c r="O275" s="40" t="s">
        <v>53</v>
      </c>
      <c r="P275" s="1" t="s">
        <v>53</v>
      </c>
      <c r="Q275" s="44" t="s">
        <v>53</v>
      </c>
      <c r="R275" s="1" t="s">
        <v>53</v>
      </c>
      <c r="S275" s="1" t="s">
        <v>53</v>
      </c>
      <c r="T275" s="30" t="s">
        <v>53</v>
      </c>
      <c r="U275" s="121" t="s">
        <v>53</v>
      </c>
      <c r="V275" s="116" t="b">
        <f t="shared" si="33"/>
        <v>1</v>
      </c>
      <c r="W275" s="117" t="str">
        <f t="shared" si="34"/>
        <v>title: "Maryland"</v>
      </c>
      <c r="X275" s="120" t="str">
        <f t="shared" si="35"/>
        <v/>
      </c>
      <c r="Y275" s="120" t="str">
        <f t="shared" si="36"/>
        <v/>
      </c>
      <c r="Z275" s="120" t="str">
        <f t="shared" si="37"/>
        <v/>
      </c>
      <c r="AA275" s="120" t="str">
        <f t="shared" si="38"/>
        <v/>
      </c>
      <c r="AB275" s="117" t="str">
        <f t="shared" si="39"/>
        <v/>
      </c>
      <c r="AC275" s="117" t="str">
        <f>IF(LEN(J275)&gt;1,concatll("#### Author's Note",J275,"-"&amp;B275),"")</f>
        <v/>
      </c>
      <c r="AD275" s="117" t="str">
        <f>IF(LEN(K275)&gt;1,concatll("#### Dedication",K275,"-"&amp;$B275),"")</f>
        <v/>
      </c>
      <c r="CA275" s="6" t="str">
        <f>IF(V275,concatll(concatl("---",W275,"---"),"*A collection of sites associated with this topic.*","#### Background",I275,AB275,AC275,AD275),"")</f>
        <v xml:space="preserve">---_x000D_
title: "Maryland"_x000D_
---_x000D_
_x000D_
_x000D_
*A collection of sites associated with this topic.*_x000D_
_x000D_
#### Background_x000D_
_x000D_
Catholic places of interest in Maryland_x000D_
_x000D_
</v>
      </c>
      <c r="CB275" s="6" t="str">
        <f t="shared" si="40"/>
        <v>tags\us-md\_index.md</v>
      </c>
    </row>
    <row r="276" spans="1:80" ht="25.5" x14ac:dyDescent="0.25">
      <c r="A276" s="129" t="s">
        <v>786</v>
      </c>
      <c r="C276" s="1" t="s">
        <v>1091</v>
      </c>
      <c r="D276" s="7" t="s">
        <v>1142</v>
      </c>
      <c r="E276" s="7" t="str">
        <f t="shared" si="32"/>
        <v>us
- us-ma</v>
      </c>
      <c r="F276" s="33" t="s">
        <v>2236</v>
      </c>
      <c r="G276" s="7" t="s">
        <v>1883</v>
      </c>
      <c r="H276" s="33" t="s">
        <v>1914</v>
      </c>
      <c r="I276" s="153" t="s">
        <v>2157</v>
      </c>
      <c r="L276" s="154" t="s">
        <v>53</v>
      </c>
      <c r="M276" s="154" t="s">
        <v>53</v>
      </c>
      <c r="N276" s="151" t="s">
        <v>53</v>
      </c>
      <c r="O276" s="40" t="s">
        <v>53</v>
      </c>
      <c r="P276" s="1" t="s">
        <v>53</v>
      </c>
      <c r="Q276" s="44" t="s">
        <v>53</v>
      </c>
      <c r="R276" s="1" t="s">
        <v>53</v>
      </c>
      <c r="S276" s="1" t="s">
        <v>53</v>
      </c>
      <c r="T276" s="30" t="s">
        <v>53</v>
      </c>
      <c r="U276" s="121" t="s">
        <v>53</v>
      </c>
      <c r="V276" s="116" t="b">
        <f t="shared" si="33"/>
        <v>1</v>
      </c>
      <c r="W276" s="117" t="str">
        <f t="shared" si="34"/>
        <v>title: "Massachusetts"</v>
      </c>
      <c r="X276" s="120" t="str">
        <f t="shared" si="35"/>
        <v/>
      </c>
      <c r="Y276" s="120" t="str">
        <f t="shared" si="36"/>
        <v/>
      </c>
      <c r="Z276" s="120" t="str">
        <f t="shared" si="37"/>
        <v/>
      </c>
      <c r="AA276" s="120" t="str">
        <f t="shared" si="38"/>
        <v/>
      </c>
      <c r="AB276" s="117" t="str">
        <f t="shared" si="39"/>
        <v/>
      </c>
      <c r="AC276" s="117" t="str">
        <f>IF(LEN(J276)&gt;1,concatll("#### Author's Note",J276,"-"&amp;B276),"")</f>
        <v/>
      </c>
      <c r="AD276" s="117" t="str">
        <f>IF(LEN(K276)&gt;1,concatll("#### Dedication",K276,"-"&amp;$B276),"")</f>
        <v/>
      </c>
      <c r="CA276" s="6" t="str">
        <f>IF(V276,concatll(concatl("---",W276,"---"),"*A collection of sites associated with this topic.*","#### Background",I276,AB276,AC276,AD276),"")</f>
        <v xml:space="preserve">---_x000D_
title: "Massachusetts"_x000D_
---_x000D_
_x000D_
_x000D_
*A collection of sites associated with this topic.*_x000D_
_x000D_
#### Background_x000D_
_x000D_
Catholic places of interest in Massachusetts_x000D_
_x000D_
</v>
      </c>
      <c r="CB276" s="6" t="str">
        <f t="shared" si="40"/>
        <v>tags\us-ma\_index.md</v>
      </c>
    </row>
    <row r="277" spans="1:80" ht="25.5" x14ac:dyDescent="0.25">
      <c r="A277" s="129" t="s">
        <v>786</v>
      </c>
      <c r="C277" s="1" t="s">
        <v>1092</v>
      </c>
      <c r="D277" s="7" t="s">
        <v>1143</v>
      </c>
      <c r="E277" s="7" t="str">
        <f t="shared" si="32"/>
        <v>us
- us-mi</v>
      </c>
      <c r="F277" s="33" t="s">
        <v>2237</v>
      </c>
      <c r="G277" s="7" t="s">
        <v>1884</v>
      </c>
      <c r="H277" s="33" t="s">
        <v>1914</v>
      </c>
      <c r="I277" s="153" t="s">
        <v>2158</v>
      </c>
      <c r="L277" s="154" t="s">
        <v>53</v>
      </c>
      <c r="M277" s="154" t="s">
        <v>53</v>
      </c>
      <c r="N277" s="151" t="s">
        <v>53</v>
      </c>
      <c r="O277" s="40" t="s">
        <v>53</v>
      </c>
      <c r="P277" s="1" t="s">
        <v>53</v>
      </c>
      <c r="Q277" s="44" t="s">
        <v>53</v>
      </c>
      <c r="R277" s="1" t="s">
        <v>53</v>
      </c>
      <c r="S277" s="1" t="s">
        <v>53</v>
      </c>
      <c r="T277" s="30" t="s">
        <v>53</v>
      </c>
      <c r="U277" s="121" t="s">
        <v>53</v>
      </c>
      <c r="V277" s="116" t="b">
        <f t="shared" si="33"/>
        <v>1</v>
      </c>
      <c r="W277" s="117" t="str">
        <f t="shared" si="34"/>
        <v>title: "Michigan"</v>
      </c>
      <c r="X277" s="120" t="str">
        <f t="shared" si="35"/>
        <v/>
      </c>
      <c r="Y277" s="120" t="str">
        <f t="shared" si="36"/>
        <v/>
      </c>
      <c r="Z277" s="120" t="str">
        <f t="shared" si="37"/>
        <v/>
      </c>
      <c r="AA277" s="120" t="str">
        <f t="shared" si="38"/>
        <v/>
      </c>
      <c r="AB277" s="117" t="str">
        <f t="shared" si="39"/>
        <v/>
      </c>
      <c r="AC277" s="117" t="str">
        <f>IF(LEN(J277)&gt;1,concatll("#### Author's Note",J277,"-"&amp;B277),"")</f>
        <v/>
      </c>
      <c r="AD277" s="117" t="str">
        <f>IF(LEN(K277)&gt;1,concatll("#### Dedication",K277,"-"&amp;$B277),"")</f>
        <v/>
      </c>
      <c r="CA277" s="6" t="str">
        <f>IF(V277,concatll(concatl("---",W277,"---"),"*A collection of sites associated with this topic.*","#### Background",I277,AB277,AC277,AD277),"")</f>
        <v xml:space="preserve">---_x000D_
title: "Michigan"_x000D_
---_x000D_
_x000D_
_x000D_
*A collection of sites associated with this topic.*_x000D_
_x000D_
#### Background_x000D_
_x000D_
Catholic places of interest in Michigan_x000D_
_x000D_
</v>
      </c>
      <c r="CB277" s="6" t="str">
        <f t="shared" si="40"/>
        <v>tags\us-mi\_index.md</v>
      </c>
    </row>
    <row r="278" spans="1:80" ht="25.5" x14ac:dyDescent="0.25">
      <c r="A278" s="129" t="s">
        <v>786</v>
      </c>
      <c r="C278" s="1" t="s">
        <v>1093</v>
      </c>
      <c r="D278" s="7" t="s">
        <v>1144</v>
      </c>
      <c r="E278" s="7" t="str">
        <f t="shared" si="32"/>
        <v>us
- us-mn</v>
      </c>
      <c r="F278" s="33" t="s">
        <v>2238</v>
      </c>
      <c r="G278" s="7" t="s">
        <v>1885</v>
      </c>
      <c r="H278" s="33" t="s">
        <v>1914</v>
      </c>
      <c r="I278" s="153" t="s">
        <v>2159</v>
      </c>
      <c r="L278" s="154" t="s">
        <v>53</v>
      </c>
      <c r="M278" s="154" t="s">
        <v>53</v>
      </c>
      <c r="N278" s="151" t="s">
        <v>53</v>
      </c>
      <c r="O278" s="40" t="s">
        <v>53</v>
      </c>
      <c r="P278" s="1" t="s">
        <v>53</v>
      </c>
      <c r="Q278" s="44" t="s">
        <v>53</v>
      </c>
      <c r="R278" s="1" t="s">
        <v>53</v>
      </c>
      <c r="S278" s="1" t="s">
        <v>53</v>
      </c>
      <c r="T278" s="30" t="s">
        <v>53</v>
      </c>
      <c r="U278" s="121" t="s">
        <v>53</v>
      </c>
      <c r="V278" s="116" t="b">
        <f t="shared" si="33"/>
        <v>1</v>
      </c>
      <c r="W278" s="117" t="str">
        <f t="shared" si="34"/>
        <v>title: "Minnesota"</v>
      </c>
      <c r="X278" s="120" t="str">
        <f t="shared" si="35"/>
        <v/>
      </c>
      <c r="Y278" s="120" t="str">
        <f t="shared" si="36"/>
        <v/>
      </c>
      <c r="Z278" s="120" t="str">
        <f t="shared" si="37"/>
        <v/>
      </c>
      <c r="AA278" s="120" t="str">
        <f t="shared" si="38"/>
        <v/>
      </c>
      <c r="AB278" s="117" t="str">
        <f t="shared" si="39"/>
        <v/>
      </c>
      <c r="AC278" s="117" t="str">
        <f>IF(LEN(J278)&gt;1,concatll("#### Author's Note",J278,"-"&amp;B278),"")</f>
        <v/>
      </c>
      <c r="AD278" s="117" t="str">
        <f>IF(LEN(K278)&gt;1,concatll("#### Dedication",K278,"-"&amp;$B278),"")</f>
        <v/>
      </c>
      <c r="CA278" s="6" t="str">
        <f>IF(V278,concatll(concatl("---",W278,"---"),"*A collection of sites associated with this topic.*","#### Background",I278,AB278,AC278,AD278),"")</f>
        <v xml:space="preserve">---_x000D_
title: "Minnesota"_x000D_
---_x000D_
_x000D_
_x000D_
*A collection of sites associated with this topic.*_x000D_
_x000D_
#### Background_x000D_
_x000D_
Catholic places of interest in Minnesota_x000D_
_x000D_
</v>
      </c>
      <c r="CB278" s="6" t="str">
        <f t="shared" si="40"/>
        <v>tags\us-mn\_index.md</v>
      </c>
    </row>
    <row r="279" spans="1:80" ht="25.5" x14ac:dyDescent="0.25">
      <c r="A279" s="129" t="s">
        <v>786</v>
      </c>
      <c r="C279" s="1" t="s">
        <v>1094</v>
      </c>
      <c r="D279" s="7" t="s">
        <v>1145</v>
      </c>
      <c r="E279" s="7" t="str">
        <f t="shared" si="32"/>
        <v>us
- us-ms</v>
      </c>
      <c r="F279" s="33" t="s">
        <v>2239</v>
      </c>
      <c r="G279" s="7" t="s">
        <v>1886</v>
      </c>
      <c r="H279" s="33" t="s">
        <v>1914</v>
      </c>
      <c r="I279" s="153" t="s">
        <v>2160</v>
      </c>
      <c r="L279" s="154" t="s">
        <v>53</v>
      </c>
      <c r="M279" s="154" t="s">
        <v>53</v>
      </c>
      <c r="N279" s="151" t="s">
        <v>53</v>
      </c>
      <c r="O279" s="40" t="s">
        <v>53</v>
      </c>
      <c r="P279" s="1" t="s">
        <v>53</v>
      </c>
      <c r="Q279" s="44" t="s">
        <v>53</v>
      </c>
      <c r="R279" s="1" t="s">
        <v>53</v>
      </c>
      <c r="S279" s="1" t="s">
        <v>53</v>
      </c>
      <c r="T279" s="30" t="s">
        <v>53</v>
      </c>
      <c r="U279" s="121" t="s">
        <v>53</v>
      </c>
      <c r="V279" s="116" t="b">
        <f t="shared" si="33"/>
        <v>1</v>
      </c>
      <c r="W279" s="117" t="str">
        <f t="shared" si="34"/>
        <v>title: "Mississippi"</v>
      </c>
      <c r="X279" s="120" t="str">
        <f t="shared" si="35"/>
        <v/>
      </c>
      <c r="Y279" s="120" t="str">
        <f t="shared" si="36"/>
        <v/>
      </c>
      <c r="Z279" s="120" t="str">
        <f t="shared" si="37"/>
        <v/>
      </c>
      <c r="AA279" s="120" t="str">
        <f t="shared" si="38"/>
        <v/>
      </c>
      <c r="AB279" s="117" t="str">
        <f t="shared" si="39"/>
        <v/>
      </c>
      <c r="AC279" s="117" t="str">
        <f>IF(LEN(J279)&gt;1,concatll("#### Author's Note",J279,"-"&amp;B279),"")</f>
        <v/>
      </c>
      <c r="AD279" s="117" t="str">
        <f>IF(LEN(K279)&gt;1,concatll("#### Dedication",K279,"-"&amp;$B279),"")</f>
        <v/>
      </c>
      <c r="CA279" s="6" t="str">
        <f>IF(V279,concatll(concatl("---",W279,"---"),"*A collection of sites associated with this topic.*","#### Background",I279,AB279,AC279,AD279),"")</f>
        <v xml:space="preserve">---_x000D_
title: "Mississippi"_x000D_
---_x000D_
_x000D_
_x000D_
*A collection of sites associated with this topic.*_x000D_
_x000D_
#### Background_x000D_
_x000D_
Catholic places of interest in Mississippi_x000D_
_x000D_
</v>
      </c>
      <c r="CB279" s="6" t="str">
        <f t="shared" si="40"/>
        <v>tags\us-ms\_index.md</v>
      </c>
    </row>
    <row r="280" spans="1:80" ht="25.5" x14ac:dyDescent="0.25">
      <c r="A280" s="129" t="s">
        <v>786</v>
      </c>
      <c r="C280" s="1" t="s">
        <v>1095</v>
      </c>
      <c r="D280" s="7" t="s">
        <v>1146</v>
      </c>
      <c r="E280" s="7" t="str">
        <f t="shared" si="32"/>
        <v>us
- us-mo</v>
      </c>
      <c r="F280" s="33" t="s">
        <v>2240</v>
      </c>
      <c r="G280" s="7" t="s">
        <v>1887</v>
      </c>
      <c r="H280" s="33" t="s">
        <v>1914</v>
      </c>
      <c r="I280" s="153" t="s">
        <v>2161</v>
      </c>
      <c r="L280" s="154" t="s">
        <v>53</v>
      </c>
      <c r="M280" s="154" t="s">
        <v>53</v>
      </c>
      <c r="N280" s="151" t="s">
        <v>53</v>
      </c>
      <c r="O280" s="40" t="s">
        <v>53</v>
      </c>
      <c r="P280" s="1" t="s">
        <v>53</v>
      </c>
      <c r="Q280" s="44" t="s">
        <v>53</v>
      </c>
      <c r="R280" s="1" t="s">
        <v>53</v>
      </c>
      <c r="S280" s="1" t="s">
        <v>53</v>
      </c>
      <c r="T280" s="30" t="s">
        <v>53</v>
      </c>
      <c r="U280" s="121" t="s">
        <v>53</v>
      </c>
      <c r="V280" s="116" t="b">
        <f t="shared" si="33"/>
        <v>1</v>
      </c>
      <c r="W280" s="117" t="str">
        <f t="shared" si="34"/>
        <v>title: "Missouri"</v>
      </c>
      <c r="X280" s="120" t="str">
        <f t="shared" si="35"/>
        <v/>
      </c>
      <c r="Y280" s="120" t="str">
        <f t="shared" si="36"/>
        <v/>
      </c>
      <c r="Z280" s="120" t="str">
        <f t="shared" si="37"/>
        <v/>
      </c>
      <c r="AA280" s="120" t="str">
        <f t="shared" si="38"/>
        <v/>
      </c>
      <c r="AB280" s="117" t="str">
        <f t="shared" si="39"/>
        <v/>
      </c>
      <c r="AC280" s="117" t="str">
        <f>IF(LEN(J280)&gt;1,concatll("#### Author's Note",J280,"-"&amp;B280),"")</f>
        <v/>
      </c>
      <c r="AD280" s="117" t="str">
        <f>IF(LEN(K280)&gt;1,concatll("#### Dedication",K280,"-"&amp;$B280),"")</f>
        <v/>
      </c>
      <c r="CA280" s="6" t="str">
        <f>IF(V280,concatll(concatl("---",W280,"---"),"*A collection of sites associated with this topic.*","#### Background",I280,AB280,AC280,AD280),"")</f>
        <v xml:space="preserve">---_x000D_
title: "Missouri"_x000D_
---_x000D_
_x000D_
_x000D_
*A collection of sites associated with this topic.*_x000D_
_x000D_
#### Background_x000D_
_x000D_
Catholic places of interest in Missouri_x000D_
_x000D_
</v>
      </c>
      <c r="CB280" s="6" t="str">
        <f t="shared" si="40"/>
        <v>tags\us-mo\_index.md</v>
      </c>
    </row>
    <row r="281" spans="1:80" ht="25.5" x14ac:dyDescent="0.25">
      <c r="A281" s="129" t="s">
        <v>786</v>
      </c>
      <c r="C281" s="1" t="s">
        <v>1096</v>
      </c>
      <c r="D281" s="7" t="s">
        <v>1147</v>
      </c>
      <c r="E281" s="7" t="str">
        <f t="shared" si="32"/>
        <v>us
- us-mt</v>
      </c>
      <c r="F281" s="33" t="s">
        <v>2241</v>
      </c>
      <c r="G281" s="7" t="s">
        <v>1888</v>
      </c>
      <c r="H281" s="33" t="s">
        <v>1914</v>
      </c>
      <c r="I281" s="153" t="s">
        <v>2162</v>
      </c>
      <c r="L281" s="154" t="s">
        <v>53</v>
      </c>
      <c r="M281" s="154" t="s">
        <v>53</v>
      </c>
      <c r="N281" s="151" t="s">
        <v>53</v>
      </c>
      <c r="O281" s="40" t="s">
        <v>53</v>
      </c>
      <c r="P281" s="1" t="s">
        <v>53</v>
      </c>
      <c r="Q281" s="44" t="s">
        <v>53</v>
      </c>
      <c r="R281" s="1" t="s">
        <v>53</v>
      </c>
      <c r="S281" s="1" t="s">
        <v>53</v>
      </c>
      <c r="T281" s="30" t="s">
        <v>53</v>
      </c>
      <c r="U281" s="121" t="s">
        <v>53</v>
      </c>
      <c r="V281" s="116" t="b">
        <f t="shared" si="33"/>
        <v>1</v>
      </c>
      <c r="W281" s="117" t="str">
        <f t="shared" si="34"/>
        <v>title: "Montana"</v>
      </c>
      <c r="X281" s="120" t="str">
        <f t="shared" si="35"/>
        <v/>
      </c>
      <c r="Y281" s="120" t="str">
        <f t="shared" si="36"/>
        <v/>
      </c>
      <c r="Z281" s="120" t="str">
        <f t="shared" si="37"/>
        <v/>
      </c>
      <c r="AA281" s="120" t="str">
        <f t="shared" si="38"/>
        <v/>
      </c>
      <c r="AB281" s="117" t="str">
        <f t="shared" si="39"/>
        <v/>
      </c>
      <c r="AC281" s="117" t="str">
        <f>IF(LEN(J281)&gt;1,concatll("#### Author's Note",J281,"-"&amp;B281),"")</f>
        <v/>
      </c>
      <c r="AD281" s="117" t="str">
        <f>IF(LEN(K281)&gt;1,concatll("#### Dedication",K281,"-"&amp;$B281),"")</f>
        <v/>
      </c>
      <c r="CA281" s="6" t="str">
        <f>IF(V281,concatll(concatl("---",W281,"---"),"*A collection of sites associated with this topic.*","#### Background",I281,AB281,AC281,AD281),"")</f>
        <v xml:space="preserve">---_x000D_
title: "Montana"_x000D_
---_x000D_
_x000D_
_x000D_
*A collection of sites associated with this topic.*_x000D_
_x000D_
#### Background_x000D_
_x000D_
Catholic places of interest in Montana_x000D_
_x000D_
</v>
      </c>
      <c r="CB281" s="6" t="str">
        <f t="shared" si="40"/>
        <v>tags\us-mt\_index.md</v>
      </c>
    </row>
    <row r="282" spans="1:80" ht="25.5" x14ac:dyDescent="0.25">
      <c r="A282" s="129" t="s">
        <v>786</v>
      </c>
      <c r="C282" s="1" t="s">
        <v>1097</v>
      </c>
      <c r="D282" s="7" t="s">
        <v>1148</v>
      </c>
      <c r="E282" s="7" t="str">
        <f t="shared" si="32"/>
        <v>us
- us-ne</v>
      </c>
      <c r="F282" s="33" t="s">
        <v>2242</v>
      </c>
      <c r="G282" s="7" t="s">
        <v>1889</v>
      </c>
      <c r="H282" s="33" t="s">
        <v>1914</v>
      </c>
      <c r="I282" s="153" t="s">
        <v>2163</v>
      </c>
      <c r="L282" s="154" t="s">
        <v>53</v>
      </c>
      <c r="M282" s="154" t="s">
        <v>53</v>
      </c>
      <c r="N282" s="151" t="s">
        <v>53</v>
      </c>
      <c r="O282" s="40" t="s">
        <v>53</v>
      </c>
      <c r="P282" s="1" t="s">
        <v>53</v>
      </c>
      <c r="Q282" s="44" t="s">
        <v>53</v>
      </c>
      <c r="R282" s="1" t="s">
        <v>53</v>
      </c>
      <c r="S282" s="1" t="s">
        <v>53</v>
      </c>
      <c r="T282" s="30" t="s">
        <v>53</v>
      </c>
      <c r="U282" s="121" t="s">
        <v>53</v>
      </c>
      <c r="V282" s="116" t="b">
        <f t="shared" si="33"/>
        <v>1</v>
      </c>
      <c r="W282" s="117" t="str">
        <f t="shared" si="34"/>
        <v>title: "Nebraska"</v>
      </c>
      <c r="X282" s="120" t="str">
        <f t="shared" si="35"/>
        <v/>
      </c>
      <c r="Y282" s="120" t="str">
        <f t="shared" si="36"/>
        <v/>
      </c>
      <c r="Z282" s="120" t="str">
        <f t="shared" si="37"/>
        <v/>
      </c>
      <c r="AA282" s="120" t="str">
        <f t="shared" si="38"/>
        <v/>
      </c>
      <c r="AB282" s="117" t="str">
        <f t="shared" si="39"/>
        <v/>
      </c>
      <c r="AC282" s="117" t="str">
        <f>IF(LEN(J282)&gt;1,concatll("#### Author's Note",J282,"-"&amp;B282),"")</f>
        <v/>
      </c>
      <c r="AD282" s="117" t="str">
        <f>IF(LEN(K282)&gt;1,concatll("#### Dedication",K282,"-"&amp;$B282),"")</f>
        <v/>
      </c>
      <c r="CA282" s="6" t="str">
        <f>IF(V282,concatll(concatl("---",W282,"---"),"*A collection of sites associated with this topic.*","#### Background",I282,AB282,AC282,AD282),"")</f>
        <v xml:space="preserve">---_x000D_
title: "Nebraska"_x000D_
---_x000D_
_x000D_
_x000D_
*A collection of sites associated with this topic.*_x000D_
_x000D_
#### Background_x000D_
_x000D_
Catholic places of interest in Nebraska_x000D_
_x000D_
</v>
      </c>
      <c r="CB282" s="6" t="str">
        <f t="shared" si="40"/>
        <v>tags\us-ne\_index.md</v>
      </c>
    </row>
    <row r="283" spans="1:80" ht="25.5" x14ac:dyDescent="0.25">
      <c r="A283" s="129" t="s">
        <v>786</v>
      </c>
      <c r="C283" s="1" t="s">
        <v>1098</v>
      </c>
      <c r="D283" s="7" t="s">
        <v>1149</v>
      </c>
      <c r="E283" s="7" t="str">
        <f t="shared" si="32"/>
        <v>us
- us-nv</v>
      </c>
      <c r="F283" s="33" t="s">
        <v>2243</v>
      </c>
      <c r="G283" s="7" t="s">
        <v>1890</v>
      </c>
      <c r="H283" s="33" t="s">
        <v>1914</v>
      </c>
      <c r="I283" s="153" t="s">
        <v>2164</v>
      </c>
      <c r="L283" s="154" t="s">
        <v>53</v>
      </c>
      <c r="M283" s="154" t="s">
        <v>53</v>
      </c>
      <c r="N283" s="151" t="s">
        <v>53</v>
      </c>
      <c r="O283" s="40" t="s">
        <v>53</v>
      </c>
      <c r="P283" s="1" t="s">
        <v>53</v>
      </c>
      <c r="Q283" s="44" t="s">
        <v>53</v>
      </c>
      <c r="R283" s="1" t="s">
        <v>53</v>
      </c>
      <c r="S283" s="1" t="s">
        <v>53</v>
      </c>
      <c r="T283" s="30" t="s">
        <v>53</v>
      </c>
      <c r="U283" s="121" t="s">
        <v>53</v>
      </c>
      <c r="V283" s="116" t="b">
        <f t="shared" si="33"/>
        <v>1</v>
      </c>
      <c r="W283" s="117" t="str">
        <f t="shared" si="34"/>
        <v>title: "Nevada"</v>
      </c>
      <c r="X283" s="120" t="str">
        <f t="shared" si="35"/>
        <v/>
      </c>
      <c r="Y283" s="120" t="str">
        <f t="shared" si="36"/>
        <v/>
      </c>
      <c r="Z283" s="120" t="str">
        <f t="shared" si="37"/>
        <v/>
      </c>
      <c r="AA283" s="120" t="str">
        <f t="shared" si="38"/>
        <v/>
      </c>
      <c r="AB283" s="117" t="str">
        <f t="shared" si="39"/>
        <v/>
      </c>
      <c r="AC283" s="117" t="str">
        <f>IF(LEN(J283)&gt;1,concatll("#### Author's Note",J283,"-"&amp;B283),"")</f>
        <v/>
      </c>
      <c r="AD283" s="117" t="str">
        <f>IF(LEN(K283)&gt;1,concatll("#### Dedication",K283,"-"&amp;$B283),"")</f>
        <v/>
      </c>
      <c r="CA283" s="6" t="str">
        <f>IF(V283,concatll(concatl("---",W283,"---"),"*A collection of sites associated with this topic.*","#### Background",I283,AB283,AC283,AD283),"")</f>
        <v xml:space="preserve">---_x000D_
title: "Nevada"_x000D_
---_x000D_
_x000D_
_x000D_
*A collection of sites associated with this topic.*_x000D_
_x000D_
#### Background_x000D_
_x000D_
Catholic places of interest in Nevada_x000D_
_x000D_
</v>
      </c>
      <c r="CB283" s="6" t="str">
        <f t="shared" si="40"/>
        <v>tags\us-nv\_index.md</v>
      </c>
    </row>
    <row r="284" spans="1:80" ht="25.5" x14ac:dyDescent="0.25">
      <c r="A284" s="129" t="s">
        <v>786</v>
      </c>
      <c r="C284" s="1" t="s">
        <v>1099</v>
      </c>
      <c r="D284" s="7" t="s">
        <v>1150</v>
      </c>
      <c r="E284" s="7" t="str">
        <f t="shared" si="32"/>
        <v>us
- us-nh</v>
      </c>
      <c r="F284" s="33" t="s">
        <v>2244</v>
      </c>
      <c r="G284" s="7" t="s">
        <v>1891</v>
      </c>
      <c r="H284" s="33" t="s">
        <v>1914</v>
      </c>
      <c r="I284" s="153" t="s">
        <v>2165</v>
      </c>
      <c r="L284" s="154" t="s">
        <v>53</v>
      </c>
      <c r="M284" s="154" t="s">
        <v>53</v>
      </c>
      <c r="N284" s="151" t="s">
        <v>53</v>
      </c>
      <c r="O284" s="40" t="s">
        <v>53</v>
      </c>
      <c r="P284" s="1" t="s">
        <v>53</v>
      </c>
      <c r="Q284" s="44" t="s">
        <v>53</v>
      </c>
      <c r="R284" s="1" t="s">
        <v>53</v>
      </c>
      <c r="S284" s="1" t="s">
        <v>53</v>
      </c>
      <c r="T284" s="30" t="s">
        <v>53</v>
      </c>
      <c r="U284" s="121" t="s">
        <v>53</v>
      </c>
      <c r="V284" s="116" t="b">
        <f t="shared" si="33"/>
        <v>1</v>
      </c>
      <c r="W284" s="117" t="str">
        <f t="shared" si="34"/>
        <v>title: "New Hampshire"</v>
      </c>
      <c r="X284" s="120" t="str">
        <f t="shared" si="35"/>
        <v/>
      </c>
      <c r="Y284" s="120" t="str">
        <f t="shared" si="36"/>
        <v/>
      </c>
      <c r="Z284" s="120" t="str">
        <f t="shared" si="37"/>
        <v/>
      </c>
      <c r="AA284" s="120" t="str">
        <f t="shared" si="38"/>
        <v/>
      </c>
      <c r="AB284" s="117" t="str">
        <f t="shared" si="39"/>
        <v/>
      </c>
      <c r="AC284" s="117" t="str">
        <f>IF(LEN(J284)&gt;1,concatll("#### Author's Note",J284,"-"&amp;B284),"")</f>
        <v/>
      </c>
      <c r="AD284" s="117" t="str">
        <f>IF(LEN(K284)&gt;1,concatll("#### Dedication",K284,"-"&amp;$B284),"")</f>
        <v/>
      </c>
      <c r="CA284" s="6" t="str">
        <f>IF(V284,concatll(concatl("---",W284,"---"),"*A collection of sites associated with this topic.*","#### Background",I284,AB284,AC284,AD284),"")</f>
        <v xml:space="preserve">---_x000D_
title: "New Hampshire"_x000D_
---_x000D_
_x000D_
_x000D_
*A collection of sites associated with this topic.*_x000D_
_x000D_
#### Background_x000D_
_x000D_
Catholic places of interest in New Hampshire_x000D_
_x000D_
</v>
      </c>
      <c r="CB284" s="6" t="str">
        <f t="shared" si="40"/>
        <v>tags\us-nh\_index.md</v>
      </c>
    </row>
    <row r="285" spans="1:80" ht="25.5" x14ac:dyDescent="0.25">
      <c r="A285" s="129" t="s">
        <v>786</v>
      </c>
      <c r="C285" s="1" t="s">
        <v>1100</v>
      </c>
      <c r="D285" s="7" t="s">
        <v>1151</v>
      </c>
      <c r="E285" s="7" t="str">
        <f t="shared" si="32"/>
        <v>us
- us-nj</v>
      </c>
      <c r="F285" s="33" t="s">
        <v>2245</v>
      </c>
      <c r="G285" s="7" t="s">
        <v>1892</v>
      </c>
      <c r="H285" s="33" t="s">
        <v>1914</v>
      </c>
      <c r="I285" s="153" t="s">
        <v>2166</v>
      </c>
      <c r="L285" s="154" t="s">
        <v>53</v>
      </c>
      <c r="M285" s="154" t="s">
        <v>53</v>
      </c>
      <c r="N285" s="151" t="s">
        <v>53</v>
      </c>
      <c r="O285" s="40" t="s">
        <v>53</v>
      </c>
      <c r="P285" s="1" t="s">
        <v>53</v>
      </c>
      <c r="Q285" s="44" t="s">
        <v>53</v>
      </c>
      <c r="R285" s="1" t="s">
        <v>53</v>
      </c>
      <c r="S285" s="1" t="s">
        <v>53</v>
      </c>
      <c r="T285" s="30" t="s">
        <v>53</v>
      </c>
      <c r="U285" s="121" t="s">
        <v>53</v>
      </c>
      <c r="V285" s="116" t="b">
        <f t="shared" si="33"/>
        <v>1</v>
      </c>
      <c r="W285" s="117" t="str">
        <f t="shared" si="34"/>
        <v>title: "New Jersey"</v>
      </c>
      <c r="X285" s="120" t="str">
        <f t="shared" si="35"/>
        <v/>
      </c>
      <c r="Y285" s="120" t="str">
        <f t="shared" si="36"/>
        <v/>
      </c>
      <c r="Z285" s="120" t="str">
        <f t="shared" si="37"/>
        <v/>
      </c>
      <c r="AA285" s="120" t="str">
        <f t="shared" si="38"/>
        <v/>
      </c>
      <c r="AB285" s="117" t="str">
        <f t="shared" si="39"/>
        <v/>
      </c>
      <c r="AC285" s="117" t="str">
        <f>IF(LEN(J285)&gt;1,concatll("#### Author's Note",J285,"-"&amp;B285),"")</f>
        <v/>
      </c>
      <c r="AD285" s="117" t="str">
        <f>IF(LEN(K285)&gt;1,concatll("#### Dedication",K285,"-"&amp;$B285),"")</f>
        <v/>
      </c>
      <c r="CA285" s="6" t="str">
        <f>IF(V285,concatll(concatl("---",W285,"---"),"*A collection of sites associated with this topic.*","#### Background",I285,AB285,AC285,AD285),"")</f>
        <v xml:space="preserve">---_x000D_
title: "New Jersey"_x000D_
---_x000D_
_x000D_
_x000D_
*A collection of sites associated with this topic.*_x000D_
_x000D_
#### Background_x000D_
_x000D_
Catholic places of interest in New Jersey_x000D_
_x000D_
</v>
      </c>
      <c r="CB285" s="6" t="str">
        <f t="shared" si="40"/>
        <v>tags\us-nj\_index.md</v>
      </c>
    </row>
    <row r="286" spans="1:80" ht="25.5" x14ac:dyDescent="0.25">
      <c r="A286" s="129" t="s">
        <v>786</v>
      </c>
      <c r="C286" s="1" t="s">
        <v>1101</v>
      </c>
      <c r="D286" s="7" t="s">
        <v>1152</v>
      </c>
      <c r="E286" s="7" t="str">
        <f t="shared" si="32"/>
        <v>us
- us-nm</v>
      </c>
      <c r="F286" s="33" t="s">
        <v>2246</v>
      </c>
      <c r="G286" s="7" t="s">
        <v>1893</v>
      </c>
      <c r="H286" s="33" t="s">
        <v>1914</v>
      </c>
      <c r="I286" s="153" t="s">
        <v>2167</v>
      </c>
      <c r="L286" s="154" t="s">
        <v>53</v>
      </c>
      <c r="M286" s="154" t="s">
        <v>53</v>
      </c>
      <c r="N286" s="151" t="s">
        <v>53</v>
      </c>
      <c r="O286" s="40" t="s">
        <v>53</v>
      </c>
      <c r="P286" s="1" t="s">
        <v>53</v>
      </c>
      <c r="Q286" s="44" t="s">
        <v>53</v>
      </c>
      <c r="R286" s="1" t="s">
        <v>53</v>
      </c>
      <c r="S286" s="1" t="s">
        <v>53</v>
      </c>
      <c r="T286" s="30" t="s">
        <v>53</v>
      </c>
      <c r="U286" s="121" t="s">
        <v>53</v>
      </c>
      <c r="V286" s="116" t="b">
        <f t="shared" si="33"/>
        <v>1</v>
      </c>
      <c r="W286" s="117" t="str">
        <f t="shared" si="34"/>
        <v>title: "New Mexico"</v>
      </c>
      <c r="X286" s="120" t="str">
        <f t="shared" si="35"/>
        <v/>
      </c>
      <c r="Y286" s="120" t="str">
        <f t="shared" si="36"/>
        <v/>
      </c>
      <c r="Z286" s="120" t="str">
        <f t="shared" si="37"/>
        <v/>
      </c>
      <c r="AA286" s="120" t="str">
        <f t="shared" si="38"/>
        <v/>
      </c>
      <c r="AB286" s="117" t="str">
        <f t="shared" si="39"/>
        <v/>
      </c>
      <c r="AC286" s="117" t="str">
        <f>IF(LEN(J286)&gt;1,concatll("#### Author's Note",J286,"-"&amp;B286),"")</f>
        <v/>
      </c>
      <c r="AD286" s="117" t="str">
        <f>IF(LEN(K286)&gt;1,concatll("#### Dedication",K286,"-"&amp;$B286),"")</f>
        <v/>
      </c>
      <c r="CA286" s="6" t="str">
        <f>IF(V286,concatll(concatl("---",W286,"---"),"*A collection of sites associated with this topic.*","#### Background",I286,AB286,AC286,AD286),"")</f>
        <v xml:space="preserve">---_x000D_
title: "New Mexico"_x000D_
---_x000D_
_x000D_
_x000D_
*A collection of sites associated with this topic.*_x000D_
_x000D_
#### Background_x000D_
_x000D_
Catholic places of interest in New Mexico_x000D_
_x000D_
</v>
      </c>
      <c r="CB286" s="6" t="str">
        <f t="shared" si="40"/>
        <v>tags\us-nm\_index.md</v>
      </c>
    </row>
    <row r="287" spans="1:80" ht="25.5" x14ac:dyDescent="0.25">
      <c r="A287" s="129" t="s">
        <v>786</v>
      </c>
      <c r="C287" s="1" t="s">
        <v>1102</v>
      </c>
      <c r="D287" s="7" t="s">
        <v>1153</v>
      </c>
      <c r="E287" s="7" t="str">
        <f t="shared" si="32"/>
        <v>us
- us-ny</v>
      </c>
      <c r="F287" s="33" t="s">
        <v>2247</v>
      </c>
      <c r="G287" s="7" t="s">
        <v>1894</v>
      </c>
      <c r="H287" s="33" t="s">
        <v>1914</v>
      </c>
      <c r="I287" s="153" t="s">
        <v>2168</v>
      </c>
      <c r="L287" s="154" t="s">
        <v>53</v>
      </c>
      <c r="M287" s="154" t="s">
        <v>53</v>
      </c>
      <c r="N287" s="151" t="s">
        <v>53</v>
      </c>
      <c r="O287" s="40" t="s">
        <v>53</v>
      </c>
      <c r="P287" s="1" t="s">
        <v>53</v>
      </c>
      <c r="Q287" s="44" t="s">
        <v>53</v>
      </c>
      <c r="R287" s="1" t="s">
        <v>53</v>
      </c>
      <c r="S287" s="1" t="s">
        <v>53</v>
      </c>
      <c r="T287" s="30" t="s">
        <v>53</v>
      </c>
      <c r="U287" s="121" t="s">
        <v>53</v>
      </c>
      <c r="V287" s="116" t="b">
        <f t="shared" si="33"/>
        <v>1</v>
      </c>
      <c r="W287" s="117" t="str">
        <f t="shared" si="34"/>
        <v>title: "New York"</v>
      </c>
      <c r="X287" s="120" t="str">
        <f t="shared" si="35"/>
        <v/>
      </c>
      <c r="Y287" s="120" t="str">
        <f t="shared" si="36"/>
        <v/>
      </c>
      <c r="Z287" s="120" t="str">
        <f t="shared" si="37"/>
        <v/>
      </c>
      <c r="AA287" s="120" t="str">
        <f t="shared" si="38"/>
        <v/>
      </c>
      <c r="AB287" s="117" t="str">
        <f t="shared" si="39"/>
        <v/>
      </c>
      <c r="AC287" s="117" t="str">
        <f>IF(LEN(J287)&gt;1,concatll("#### Author's Note",J287,"-"&amp;B287),"")</f>
        <v/>
      </c>
      <c r="AD287" s="117" t="str">
        <f>IF(LEN(K287)&gt;1,concatll("#### Dedication",K287,"-"&amp;$B287),"")</f>
        <v/>
      </c>
      <c r="CA287" s="6" t="str">
        <f>IF(V287,concatll(concatl("---",W287,"---"),"*A collection of sites associated with this topic.*","#### Background",I287,AB287,AC287,AD287),"")</f>
        <v xml:space="preserve">---_x000D_
title: "New York"_x000D_
---_x000D_
_x000D_
_x000D_
*A collection of sites associated with this topic.*_x000D_
_x000D_
#### Background_x000D_
_x000D_
Catholic places of interest in New York_x000D_
_x000D_
</v>
      </c>
      <c r="CB287" s="6" t="str">
        <f t="shared" si="40"/>
        <v>tags\us-ny\_index.md</v>
      </c>
    </row>
    <row r="288" spans="1:80" ht="25.5" x14ac:dyDescent="0.25">
      <c r="A288" s="129" t="s">
        <v>786</v>
      </c>
      <c r="C288" s="1" t="s">
        <v>1103</v>
      </c>
      <c r="D288" s="7" t="s">
        <v>1154</v>
      </c>
      <c r="E288" s="7" t="str">
        <f t="shared" si="32"/>
        <v>us
- us-nc</v>
      </c>
      <c r="F288" s="33" t="s">
        <v>2248</v>
      </c>
      <c r="G288" s="7" t="s">
        <v>1895</v>
      </c>
      <c r="H288" s="33" t="s">
        <v>1914</v>
      </c>
      <c r="I288" s="153" t="s">
        <v>2169</v>
      </c>
      <c r="L288" s="154" t="s">
        <v>53</v>
      </c>
      <c r="M288" s="154" t="s">
        <v>53</v>
      </c>
      <c r="N288" s="151" t="s">
        <v>53</v>
      </c>
      <c r="O288" s="40" t="s">
        <v>53</v>
      </c>
      <c r="P288" s="1" t="s">
        <v>53</v>
      </c>
      <c r="Q288" s="44" t="s">
        <v>53</v>
      </c>
      <c r="R288" s="1" t="s">
        <v>53</v>
      </c>
      <c r="S288" s="1" t="s">
        <v>53</v>
      </c>
      <c r="T288" s="30" t="s">
        <v>53</v>
      </c>
      <c r="U288" s="121" t="s">
        <v>53</v>
      </c>
      <c r="V288" s="116" t="b">
        <f t="shared" si="33"/>
        <v>1</v>
      </c>
      <c r="W288" s="117" t="str">
        <f t="shared" si="34"/>
        <v>title: "North Carolina"</v>
      </c>
      <c r="X288" s="120" t="str">
        <f t="shared" si="35"/>
        <v/>
      </c>
      <c r="Y288" s="120" t="str">
        <f t="shared" si="36"/>
        <v/>
      </c>
      <c r="Z288" s="120" t="str">
        <f t="shared" si="37"/>
        <v/>
      </c>
      <c r="AA288" s="120" t="str">
        <f t="shared" si="38"/>
        <v/>
      </c>
      <c r="AB288" s="117" t="str">
        <f t="shared" si="39"/>
        <v/>
      </c>
      <c r="AC288" s="117" t="str">
        <f>IF(LEN(J288)&gt;1,concatll("#### Author's Note",J288,"-"&amp;B288),"")</f>
        <v/>
      </c>
      <c r="AD288" s="117" t="str">
        <f>IF(LEN(K288)&gt;1,concatll("#### Dedication",K288,"-"&amp;$B288),"")</f>
        <v/>
      </c>
      <c r="CA288" s="6" t="str">
        <f>IF(V288,concatll(concatl("---",W288,"---"),"*A collection of sites associated with this topic.*","#### Background",I288,AB288,AC288,AD288),"")</f>
        <v xml:space="preserve">---_x000D_
title: "North Carolina"_x000D_
---_x000D_
_x000D_
_x000D_
*A collection of sites associated with this topic.*_x000D_
_x000D_
#### Background_x000D_
_x000D_
Catholic places of interest in North Carolina_x000D_
_x000D_
</v>
      </c>
      <c r="CB288" s="6" t="str">
        <f t="shared" si="40"/>
        <v>tags\us-nc\_index.md</v>
      </c>
    </row>
    <row r="289" spans="1:80" ht="25.5" x14ac:dyDescent="0.25">
      <c r="A289" s="129" t="s">
        <v>786</v>
      </c>
      <c r="C289" s="1" t="s">
        <v>1104</v>
      </c>
      <c r="D289" s="7" t="s">
        <v>1155</v>
      </c>
      <c r="E289" s="7" t="str">
        <f t="shared" si="32"/>
        <v>us
- us-nd</v>
      </c>
      <c r="F289" s="33" t="s">
        <v>2249</v>
      </c>
      <c r="G289" s="7" t="s">
        <v>1896</v>
      </c>
      <c r="H289" s="33" t="s">
        <v>1914</v>
      </c>
      <c r="I289" s="153" t="s">
        <v>2170</v>
      </c>
      <c r="L289" s="154" t="s">
        <v>53</v>
      </c>
      <c r="M289" s="154" t="s">
        <v>53</v>
      </c>
      <c r="N289" s="151" t="s">
        <v>53</v>
      </c>
      <c r="O289" s="40" t="s">
        <v>53</v>
      </c>
      <c r="P289" s="1" t="s">
        <v>53</v>
      </c>
      <c r="Q289" s="44" t="s">
        <v>53</v>
      </c>
      <c r="R289" s="1" t="s">
        <v>53</v>
      </c>
      <c r="S289" s="1" t="s">
        <v>53</v>
      </c>
      <c r="T289" s="30" t="s">
        <v>53</v>
      </c>
      <c r="U289" s="121" t="s">
        <v>53</v>
      </c>
      <c r="V289" s="116" t="b">
        <f t="shared" si="33"/>
        <v>1</v>
      </c>
      <c r="W289" s="117" t="str">
        <f t="shared" si="34"/>
        <v>title: "North Dakota"</v>
      </c>
      <c r="X289" s="120" t="str">
        <f t="shared" si="35"/>
        <v/>
      </c>
      <c r="Y289" s="120" t="str">
        <f t="shared" si="36"/>
        <v/>
      </c>
      <c r="Z289" s="120" t="str">
        <f t="shared" si="37"/>
        <v/>
      </c>
      <c r="AA289" s="120" t="str">
        <f t="shared" si="38"/>
        <v/>
      </c>
      <c r="AB289" s="117" t="str">
        <f t="shared" si="39"/>
        <v/>
      </c>
      <c r="AC289" s="117" t="str">
        <f>IF(LEN(J289)&gt;1,concatll("#### Author's Note",J289,"-"&amp;B289),"")</f>
        <v/>
      </c>
      <c r="AD289" s="117" t="str">
        <f>IF(LEN(K289)&gt;1,concatll("#### Dedication",K289,"-"&amp;$B289),"")</f>
        <v/>
      </c>
      <c r="CA289" s="6" t="str">
        <f>IF(V289,concatll(concatl("---",W289,"---"),"*A collection of sites associated with this topic.*","#### Background",I289,AB289,AC289,AD289),"")</f>
        <v xml:space="preserve">---_x000D_
title: "North Dakota"_x000D_
---_x000D_
_x000D_
_x000D_
*A collection of sites associated with this topic.*_x000D_
_x000D_
#### Background_x000D_
_x000D_
Catholic places of interest in North Dakota_x000D_
_x000D_
</v>
      </c>
      <c r="CB289" s="6" t="str">
        <f t="shared" si="40"/>
        <v>tags\us-nd\_index.md</v>
      </c>
    </row>
    <row r="290" spans="1:80" ht="25.5" x14ac:dyDescent="0.25">
      <c r="A290" s="129" t="s">
        <v>786</v>
      </c>
      <c r="C290" s="1" t="s">
        <v>1105</v>
      </c>
      <c r="D290" s="7" t="s">
        <v>1156</v>
      </c>
      <c r="E290" s="7" t="str">
        <f t="shared" si="32"/>
        <v>us
- us-oh</v>
      </c>
      <c r="F290" s="33" t="s">
        <v>2250</v>
      </c>
      <c r="G290" s="7" t="s">
        <v>1897</v>
      </c>
      <c r="H290" s="33" t="s">
        <v>1914</v>
      </c>
      <c r="I290" s="153" t="s">
        <v>2171</v>
      </c>
      <c r="L290" s="154" t="s">
        <v>53</v>
      </c>
      <c r="M290" s="154" t="s">
        <v>53</v>
      </c>
      <c r="N290" s="151" t="s">
        <v>53</v>
      </c>
      <c r="O290" s="40" t="s">
        <v>53</v>
      </c>
      <c r="P290" s="1" t="s">
        <v>53</v>
      </c>
      <c r="Q290" s="44" t="s">
        <v>53</v>
      </c>
      <c r="R290" s="1" t="s">
        <v>53</v>
      </c>
      <c r="S290" s="1" t="s">
        <v>53</v>
      </c>
      <c r="T290" s="30" t="s">
        <v>53</v>
      </c>
      <c r="U290" s="121" t="s">
        <v>53</v>
      </c>
      <c r="V290" s="116" t="b">
        <f t="shared" si="33"/>
        <v>1</v>
      </c>
      <c r="W290" s="117" t="str">
        <f t="shared" si="34"/>
        <v>title: "Ohio"</v>
      </c>
      <c r="X290" s="120" t="str">
        <f t="shared" si="35"/>
        <v/>
      </c>
      <c r="Y290" s="120" t="str">
        <f t="shared" si="36"/>
        <v/>
      </c>
      <c r="Z290" s="120" t="str">
        <f t="shared" si="37"/>
        <v/>
      </c>
      <c r="AA290" s="120" t="str">
        <f t="shared" si="38"/>
        <v/>
      </c>
      <c r="AB290" s="117" t="str">
        <f t="shared" si="39"/>
        <v/>
      </c>
      <c r="AC290" s="117" t="str">
        <f>IF(LEN(J290)&gt;1,concatll("#### Author's Note",J290,"-"&amp;B290),"")</f>
        <v/>
      </c>
      <c r="AD290" s="117" t="str">
        <f>IF(LEN(K290)&gt;1,concatll("#### Dedication",K290,"-"&amp;$B290),"")</f>
        <v/>
      </c>
      <c r="CA290" s="6" t="str">
        <f>IF(V290,concatll(concatl("---",W290,"---"),"*A collection of sites associated with this topic.*","#### Background",I290,AB290,AC290,AD290),"")</f>
        <v xml:space="preserve">---_x000D_
title: "Ohio"_x000D_
---_x000D_
_x000D_
_x000D_
*A collection of sites associated with this topic.*_x000D_
_x000D_
#### Background_x000D_
_x000D_
Catholic places of interest in Ohio_x000D_
_x000D_
</v>
      </c>
      <c r="CB290" s="6" t="str">
        <f t="shared" si="40"/>
        <v>tags\us-oh\_index.md</v>
      </c>
    </row>
    <row r="291" spans="1:80" ht="25.5" x14ac:dyDescent="0.25">
      <c r="A291" s="129" t="s">
        <v>786</v>
      </c>
      <c r="C291" s="1" t="s">
        <v>1106</v>
      </c>
      <c r="D291" s="7" t="s">
        <v>1157</v>
      </c>
      <c r="E291" s="7" t="str">
        <f t="shared" si="32"/>
        <v>us
- us-ok</v>
      </c>
      <c r="F291" s="33" t="s">
        <v>2251</v>
      </c>
      <c r="G291" s="7" t="s">
        <v>1898</v>
      </c>
      <c r="H291" s="33" t="s">
        <v>1914</v>
      </c>
      <c r="I291" s="153" t="s">
        <v>2172</v>
      </c>
      <c r="L291" s="154" t="s">
        <v>53</v>
      </c>
      <c r="M291" s="154" t="s">
        <v>53</v>
      </c>
      <c r="N291" s="151" t="s">
        <v>53</v>
      </c>
      <c r="O291" s="40" t="s">
        <v>53</v>
      </c>
      <c r="P291" s="1" t="s">
        <v>53</v>
      </c>
      <c r="Q291" s="44" t="s">
        <v>53</v>
      </c>
      <c r="R291" s="1" t="s">
        <v>53</v>
      </c>
      <c r="S291" s="1" t="s">
        <v>53</v>
      </c>
      <c r="T291" s="30" t="s">
        <v>53</v>
      </c>
      <c r="U291" s="121" t="s">
        <v>53</v>
      </c>
      <c r="V291" s="116" t="b">
        <f t="shared" si="33"/>
        <v>1</v>
      </c>
      <c r="W291" s="117" t="str">
        <f t="shared" si="34"/>
        <v>title: "Oklahoma"</v>
      </c>
      <c r="X291" s="120" t="str">
        <f t="shared" si="35"/>
        <v/>
      </c>
      <c r="Y291" s="120" t="str">
        <f t="shared" si="36"/>
        <v/>
      </c>
      <c r="Z291" s="120" t="str">
        <f t="shared" si="37"/>
        <v/>
      </c>
      <c r="AA291" s="120" t="str">
        <f t="shared" si="38"/>
        <v/>
      </c>
      <c r="AB291" s="117" t="str">
        <f t="shared" si="39"/>
        <v/>
      </c>
      <c r="AC291" s="117" t="str">
        <f>IF(LEN(J291)&gt;1,concatll("#### Author's Note",J291,"-"&amp;B291),"")</f>
        <v/>
      </c>
      <c r="AD291" s="117" t="str">
        <f>IF(LEN(K291)&gt;1,concatll("#### Dedication",K291,"-"&amp;$B291),"")</f>
        <v/>
      </c>
      <c r="CA291" s="6" t="str">
        <f>IF(V291,concatll(concatl("---",W291,"---"),"*A collection of sites associated with this topic.*","#### Background",I291,AB291,AC291,AD291),"")</f>
        <v xml:space="preserve">---_x000D_
title: "Oklahoma"_x000D_
---_x000D_
_x000D_
_x000D_
*A collection of sites associated with this topic.*_x000D_
_x000D_
#### Background_x000D_
_x000D_
Catholic places of interest in Oklahoma_x000D_
_x000D_
</v>
      </c>
      <c r="CB291" s="6" t="str">
        <f t="shared" si="40"/>
        <v>tags\us-ok\_index.md</v>
      </c>
    </row>
    <row r="292" spans="1:80" ht="25.5" x14ac:dyDescent="0.25">
      <c r="A292" s="129" t="s">
        <v>786</v>
      </c>
      <c r="C292" s="1" t="s">
        <v>1107</v>
      </c>
      <c r="D292" s="7" t="s">
        <v>1158</v>
      </c>
      <c r="E292" s="7" t="str">
        <f t="shared" si="32"/>
        <v>us
- us-or</v>
      </c>
      <c r="F292" s="33" t="s">
        <v>2252</v>
      </c>
      <c r="G292" s="7" t="s">
        <v>1899</v>
      </c>
      <c r="H292" s="33" t="s">
        <v>1914</v>
      </c>
      <c r="I292" s="153" t="s">
        <v>2173</v>
      </c>
      <c r="L292" s="154" t="s">
        <v>53</v>
      </c>
      <c r="M292" s="154" t="s">
        <v>53</v>
      </c>
      <c r="N292" s="151" t="s">
        <v>53</v>
      </c>
      <c r="O292" s="40" t="s">
        <v>53</v>
      </c>
      <c r="P292" s="1" t="s">
        <v>53</v>
      </c>
      <c r="Q292" s="44" t="s">
        <v>53</v>
      </c>
      <c r="R292" s="1" t="s">
        <v>53</v>
      </c>
      <c r="S292" s="1" t="s">
        <v>53</v>
      </c>
      <c r="T292" s="30" t="s">
        <v>53</v>
      </c>
      <c r="U292" s="121" t="s">
        <v>53</v>
      </c>
      <c r="V292" s="116" t="b">
        <f t="shared" si="33"/>
        <v>1</v>
      </c>
      <c r="W292" s="117" t="str">
        <f t="shared" si="34"/>
        <v>title: "Oregon"</v>
      </c>
      <c r="X292" s="120" t="str">
        <f t="shared" si="35"/>
        <v/>
      </c>
      <c r="Y292" s="120" t="str">
        <f t="shared" si="36"/>
        <v/>
      </c>
      <c r="Z292" s="120" t="str">
        <f t="shared" si="37"/>
        <v/>
      </c>
      <c r="AA292" s="120" t="str">
        <f t="shared" si="38"/>
        <v/>
      </c>
      <c r="AB292" s="117" t="str">
        <f t="shared" si="39"/>
        <v/>
      </c>
      <c r="AC292" s="117" t="str">
        <f>IF(LEN(J292)&gt;1,concatll("#### Author's Note",J292,"-"&amp;B292),"")</f>
        <v/>
      </c>
      <c r="AD292" s="117" t="str">
        <f>IF(LEN(K292)&gt;1,concatll("#### Dedication",K292,"-"&amp;$B292),"")</f>
        <v/>
      </c>
      <c r="CA292" s="6" t="str">
        <f>IF(V292,concatll(concatl("---",W292,"---"),"*A collection of sites associated with this topic.*","#### Background",I292,AB292,AC292,AD292),"")</f>
        <v xml:space="preserve">---_x000D_
title: "Oregon"_x000D_
---_x000D_
_x000D_
_x000D_
*A collection of sites associated with this topic.*_x000D_
_x000D_
#### Background_x000D_
_x000D_
Catholic places of interest in Oregon_x000D_
_x000D_
</v>
      </c>
      <c r="CB292" s="6" t="str">
        <f t="shared" si="40"/>
        <v>tags\us-or\_index.md</v>
      </c>
    </row>
    <row r="293" spans="1:80" ht="25.5" x14ac:dyDescent="0.25">
      <c r="A293" s="129" t="s">
        <v>786</v>
      </c>
      <c r="C293" s="1" t="s">
        <v>1108</v>
      </c>
      <c r="D293" s="7" t="s">
        <v>1159</v>
      </c>
      <c r="E293" s="7" t="str">
        <f t="shared" si="32"/>
        <v>us
- us-pa</v>
      </c>
      <c r="F293" s="33" t="s">
        <v>2253</v>
      </c>
      <c r="G293" s="7" t="s">
        <v>1900</v>
      </c>
      <c r="H293" s="33" t="s">
        <v>1914</v>
      </c>
      <c r="I293" s="153" t="s">
        <v>2174</v>
      </c>
      <c r="L293" s="154" t="s">
        <v>53</v>
      </c>
      <c r="M293" s="154" t="s">
        <v>53</v>
      </c>
      <c r="N293" s="151" t="s">
        <v>53</v>
      </c>
      <c r="O293" s="40" t="s">
        <v>53</v>
      </c>
      <c r="P293" s="1" t="s">
        <v>53</v>
      </c>
      <c r="Q293" s="44" t="s">
        <v>53</v>
      </c>
      <c r="R293" s="1" t="s">
        <v>53</v>
      </c>
      <c r="S293" s="1" t="s">
        <v>53</v>
      </c>
      <c r="T293" s="30" t="s">
        <v>53</v>
      </c>
      <c r="U293" s="121" t="s">
        <v>53</v>
      </c>
      <c r="V293" s="116" t="b">
        <f t="shared" si="33"/>
        <v>1</v>
      </c>
      <c r="W293" s="117" t="str">
        <f t="shared" si="34"/>
        <v>title: "Pennsylvania"</v>
      </c>
      <c r="X293" s="120" t="str">
        <f t="shared" si="35"/>
        <v/>
      </c>
      <c r="Y293" s="120" t="str">
        <f t="shared" si="36"/>
        <v/>
      </c>
      <c r="Z293" s="120" t="str">
        <f t="shared" si="37"/>
        <v/>
      </c>
      <c r="AA293" s="120" t="str">
        <f t="shared" si="38"/>
        <v/>
      </c>
      <c r="AB293" s="117" t="str">
        <f t="shared" si="39"/>
        <v/>
      </c>
      <c r="AC293" s="117" t="str">
        <f>IF(LEN(J293)&gt;1,concatll("#### Author's Note",J293,"-"&amp;B293),"")</f>
        <v/>
      </c>
      <c r="AD293" s="117" t="str">
        <f>IF(LEN(K293)&gt;1,concatll("#### Dedication",K293,"-"&amp;$B293),"")</f>
        <v/>
      </c>
      <c r="CA293" s="6" t="str">
        <f>IF(V293,concatll(concatl("---",W293,"---"),"*A collection of sites associated with this topic.*","#### Background",I293,AB293,AC293,AD293),"")</f>
        <v xml:space="preserve">---_x000D_
title: "Pennsylvania"_x000D_
---_x000D_
_x000D_
_x000D_
*A collection of sites associated with this topic.*_x000D_
_x000D_
#### Background_x000D_
_x000D_
Catholic places of interest in Pennsylvania_x000D_
_x000D_
</v>
      </c>
      <c r="CB293" s="6" t="str">
        <f t="shared" si="40"/>
        <v>tags\us-pa\_index.md</v>
      </c>
    </row>
    <row r="294" spans="1:80" ht="25.5" x14ac:dyDescent="0.25">
      <c r="A294" s="129" t="s">
        <v>786</v>
      </c>
      <c r="C294" s="1" t="s">
        <v>1109</v>
      </c>
      <c r="D294" s="7" t="s">
        <v>1160</v>
      </c>
      <c r="E294" s="7" t="str">
        <f t="shared" si="32"/>
        <v>us
- us-ri</v>
      </c>
      <c r="F294" s="33" t="s">
        <v>2254</v>
      </c>
      <c r="G294" s="7" t="s">
        <v>1901</v>
      </c>
      <c r="H294" s="33" t="s">
        <v>1914</v>
      </c>
      <c r="I294" s="153" t="s">
        <v>2175</v>
      </c>
      <c r="L294" s="154" t="s">
        <v>53</v>
      </c>
      <c r="M294" s="154" t="s">
        <v>53</v>
      </c>
      <c r="N294" s="151" t="s">
        <v>53</v>
      </c>
      <c r="O294" s="40" t="s">
        <v>53</v>
      </c>
      <c r="P294" s="1" t="s">
        <v>53</v>
      </c>
      <c r="Q294" s="44" t="s">
        <v>53</v>
      </c>
      <c r="R294" s="1" t="s">
        <v>53</v>
      </c>
      <c r="S294" s="1" t="s">
        <v>53</v>
      </c>
      <c r="T294" s="30" t="s">
        <v>53</v>
      </c>
      <c r="U294" s="121" t="s">
        <v>53</v>
      </c>
      <c r="V294" s="116" t="b">
        <f t="shared" si="33"/>
        <v>1</v>
      </c>
      <c r="W294" s="117" t="str">
        <f t="shared" si="34"/>
        <v>title: "Rhode Island"</v>
      </c>
      <c r="X294" s="120" t="str">
        <f t="shared" si="35"/>
        <v/>
      </c>
      <c r="Y294" s="120" t="str">
        <f t="shared" si="36"/>
        <v/>
      </c>
      <c r="Z294" s="120" t="str">
        <f t="shared" si="37"/>
        <v/>
      </c>
      <c r="AA294" s="120" t="str">
        <f t="shared" si="38"/>
        <v/>
      </c>
      <c r="AB294" s="117" t="str">
        <f t="shared" si="39"/>
        <v/>
      </c>
      <c r="AC294" s="117" t="str">
        <f>IF(LEN(J294)&gt;1,concatll("#### Author's Note",J294,"-"&amp;B294),"")</f>
        <v/>
      </c>
      <c r="AD294" s="117" t="str">
        <f>IF(LEN(K294)&gt;1,concatll("#### Dedication",K294,"-"&amp;$B294),"")</f>
        <v/>
      </c>
      <c r="CA294" s="6" t="str">
        <f>IF(V294,concatll(concatl("---",W294,"---"),"*A collection of sites associated with this topic.*","#### Background",I294,AB294,AC294,AD294),"")</f>
        <v xml:space="preserve">---_x000D_
title: "Rhode Island"_x000D_
---_x000D_
_x000D_
_x000D_
*A collection of sites associated with this topic.*_x000D_
_x000D_
#### Background_x000D_
_x000D_
Catholic places of interest in Rhode Island_x000D_
_x000D_
</v>
      </c>
      <c r="CB294" s="6" t="str">
        <f t="shared" si="40"/>
        <v>tags\us-ri\_index.md</v>
      </c>
    </row>
    <row r="295" spans="1:80" ht="25.5" x14ac:dyDescent="0.25">
      <c r="A295" s="129" t="s">
        <v>786</v>
      </c>
      <c r="C295" s="1" t="s">
        <v>1110</v>
      </c>
      <c r="D295" s="7" t="s">
        <v>1161</v>
      </c>
      <c r="E295" s="7" t="str">
        <f t="shared" si="32"/>
        <v>us
- us-sc</v>
      </c>
      <c r="F295" s="33" t="s">
        <v>2255</v>
      </c>
      <c r="G295" s="7" t="s">
        <v>1902</v>
      </c>
      <c r="H295" s="33" t="s">
        <v>1914</v>
      </c>
      <c r="I295" s="153" t="s">
        <v>2176</v>
      </c>
      <c r="L295" s="154" t="s">
        <v>53</v>
      </c>
      <c r="M295" s="154" t="s">
        <v>53</v>
      </c>
      <c r="N295" s="151" t="s">
        <v>53</v>
      </c>
      <c r="O295" s="40" t="s">
        <v>53</v>
      </c>
      <c r="P295" s="1" t="s">
        <v>53</v>
      </c>
      <c r="Q295" s="44" t="s">
        <v>53</v>
      </c>
      <c r="R295" s="1" t="s">
        <v>53</v>
      </c>
      <c r="S295" s="1" t="s">
        <v>53</v>
      </c>
      <c r="T295" s="30" t="s">
        <v>53</v>
      </c>
      <c r="U295" s="121" t="s">
        <v>53</v>
      </c>
      <c r="V295" s="116" t="b">
        <f t="shared" si="33"/>
        <v>1</v>
      </c>
      <c r="W295" s="117" t="str">
        <f t="shared" si="34"/>
        <v>title: "South Carolina"</v>
      </c>
      <c r="X295" s="120" t="str">
        <f t="shared" si="35"/>
        <v/>
      </c>
      <c r="Y295" s="120" t="str">
        <f t="shared" si="36"/>
        <v/>
      </c>
      <c r="Z295" s="120" t="str">
        <f t="shared" si="37"/>
        <v/>
      </c>
      <c r="AA295" s="120" t="str">
        <f t="shared" si="38"/>
        <v/>
      </c>
      <c r="AB295" s="117" t="str">
        <f t="shared" si="39"/>
        <v/>
      </c>
      <c r="AC295" s="117" t="str">
        <f>IF(LEN(J295)&gt;1,concatll("#### Author's Note",J295,"-"&amp;B295),"")</f>
        <v/>
      </c>
      <c r="AD295" s="117" t="str">
        <f>IF(LEN(K295)&gt;1,concatll("#### Dedication",K295,"-"&amp;$B295),"")</f>
        <v/>
      </c>
      <c r="CA295" s="6" t="str">
        <f>IF(V295,concatll(concatl("---",W295,"---"),"*A collection of sites associated with this topic.*","#### Background",I295,AB295,AC295,AD295),"")</f>
        <v xml:space="preserve">---_x000D_
title: "South Carolina"_x000D_
---_x000D_
_x000D_
_x000D_
*A collection of sites associated with this topic.*_x000D_
_x000D_
#### Background_x000D_
_x000D_
Catholic places of interest in South Carolina_x000D_
_x000D_
</v>
      </c>
      <c r="CB295" s="6" t="str">
        <f t="shared" si="40"/>
        <v>tags\us-sc\_index.md</v>
      </c>
    </row>
    <row r="296" spans="1:80" ht="25.5" x14ac:dyDescent="0.25">
      <c r="A296" s="129" t="s">
        <v>786</v>
      </c>
      <c r="C296" s="1" t="s">
        <v>1111</v>
      </c>
      <c r="D296" s="7" t="s">
        <v>1162</v>
      </c>
      <c r="E296" s="7" t="str">
        <f t="shared" si="32"/>
        <v>us
- us-sd</v>
      </c>
      <c r="F296" s="33" t="s">
        <v>2256</v>
      </c>
      <c r="G296" s="7" t="s">
        <v>1903</v>
      </c>
      <c r="H296" s="33" t="s">
        <v>1914</v>
      </c>
      <c r="I296" s="153" t="s">
        <v>2177</v>
      </c>
      <c r="L296" s="154" t="s">
        <v>53</v>
      </c>
      <c r="M296" s="154" t="s">
        <v>53</v>
      </c>
      <c r="N296" s="151" t="s">
        <v>53</v>
      </c>
      <c r="O296" s="40" t="s">
        <v>53</v>
      </c>
      <c r="P296" s="1" t="s">
        <v>53</v>
      </c>
      <c r="Q296" s="44" t="s">
        <v>53</v>
      </c>
      <c r="R296" s="1" t="s">
        <v>53</v>
      </c>
      <c r="S296" s="1" t="s">
        <v>53</v>
      </c>
      <c r="T296" s="30" t="s">
        <v>53</v>
      </c>
      <c r="U296" s="121" t="s">
        <v>53</v>
      </c>
      <c r="V296" s="116" t="b">
        <f t="shared" si="33"/>
        <v>1</v>
      </c>
      <c r="W296" s="117" t="str">
        <f t="shared" si="34"/>
        <v>title: "South Dakota"</v>
      </c>
      <c r="X296" s="120" t="str">
        <f t="shared" si="35"/>
        <v/>
      </c>
      <c r="Y296" s="120" t="str">
        <f t="shared" si="36"/>
        <v/>
      </c>
      <c r="Z296" s="120" t="str">
        <f t="shared" si="37"/>
        <v/>
      </c>
      <c r="AA296" s="120" t="str">
        <f t="shared" si="38"/>
        <v/>
      </c>
      <c r="AB296" s="117" t="str">
        <f t="shared" si="39"/>
        <v/>
      </c>
      <c r="AC296" s="117" t="str">
        <f>IF(LEN(J296)&gt;1,concatll("#### Author's Note",J296,"-"&amp;B296),"")</f>
        <v/>
      </c>
      <c r="AD296" s="117" t="str">
        <f>IF(LEN(K296)&gt;1,concatll("#### Dedication",K296,"-"&amp;$B296),"")</f>
        <v/>
      </c>
      <c r="CA296" s="6" t="str">
        <f>IF(V296,concatll(concatl("---",W296,"---"),"*A collection of sites associated with this topic.*","#### Background",I296,AB296,AC296,AD296),"")</f>
        <v xml:space="preserve">---_x000D_
title: "South Dakota"_x000D_
---_x000D_
_x000D_
_x000D_
*A collection of sites associated with this topic.*_x000D_
_x000D_
#### Background_x000D_
_x000D_
Catholic places of interest in South Dakota_x000D_
_x000D_
</v>
      </c>
      <c r="CB296" s="6" t="str">
        <f t="shared" si="40"/>
        <v>tags\us-sd\_index.md</v>
      </c>
    </row>
    <row r="297" spans="1:80" ht="25.5" x14ac:dyDescent="0.25">
      <c r="A297" s="129" t="s">
        <v>786</v>
      </c>
      <c r="C297" s="1" t="s">
        <v>1112</v>
      </c>
      <c r="D297" s="7" t="s">
        <v>1163</v>
      </c>
      <c r="E297" s="7" t="str">
        <f t="shared" si="32"/>
        <v>us
- us-tn</v>
      </c>
      <c r="F297" s="33" t="s">
        <v>2257</v>
      </c>
      <c r="G297" s="7" t="s">
        <v>1904</v>
      </c>
      <c r="H297" s="33" t="s">
        <v>1914</v>
      </c>
      <c r="I297" s="153" t="s">
        <v>2178</v>
      </c>
      <c r="L297" s="154" t="s">
        <v>53</v>
      </c>
      <c r="M297" s="154" t="s">
        <v>53</v>
      </c>
      <c r="N297" s="151" t="s">
        <v>53</v>
      </c>
      <c r="O297" s="40" t="s">
        <v>53</v>
      </c>
      <c r="P297" s="1" t="s">
        <v>53</v>
      </c>
      <c r="Q297" s="44" t="s">
        <v>53</v>
      </c>
      <c r="R297" s="1" t="s">
        <v>53</v>
      </c>
      <c r="S297" s="1" t="s">
        <v>53</v>
      </c>
      <c r="T297" s="30" t="s">
        <v>53</v>
      </c>
      <c r="U297" s="121" t="s">
        <v>53</v>
      </c>
      <c r="V297" s="116" t="b">
        <f t="shared" si="33"/>
        <v>1</v>
      </c>
      <c r="W297" s="117" t="str">
        <f t="shared" si="34"/>
        <v>title: "Tennessee"</v>
      </c>
      <c r="X297" s="120" t="str">
        <f t="shared" si="35"/>
        <v/>
      </c>
      <c r="Y297" s="120" t="str">
        <f t="shared" si="36"/>
        <v/>
      </c>
      <c r="Z297" s="120" t="str">
        <f t="shared" si="37"/>
        <v/>
      </c>
      <c r="AA297" s="120" t="str">
        <f t="shared" si="38"/>
        <v/>
      </c>
      <c r="AB297" s="117" t="str">
        <f t="shared" si="39"/>
        <v/>
      </c>
      <c r="AC297" s="117" t="str">
        <f>IF(LEN(J297)&gt;1,concatll("#### Author's Note",J297,"-"&amp;B297),"")</f>
        <v/>
      </c>
      <c r="AD297" s="117" t="str">
        <f>IF(LEN(K297)&gt;1,concatll("#### Dedication",K297,"-"&amp;$B297),"")</f>
        <v/>
      </c>
      <c r="CA297" s="6" t="str">
        <f>IF(V297,concatll(concatl("---",W297,"---"),"*A collection of sites associated with this topic.*","#### Background",I297,AB297,AC297,AD297),"")</f>
        <v xml:space="preserve">---_x000D_
title: "Tennessee"_x000D_
---_x000D_
_x000D_
_x000D_
*A collection of sites associated with this topic.*_x000D_
_x000D_
#### Background_x000D_
_x000D_
Catholic places of interest in Tennessee_x000D_
_x000D_
</v>
      </c>
      <c r="CB297" s="6" t="str">
        <f t="shared" si="40"/>
        <v>tags\us-tn\_index.md</v>
      </c>
    </row>
    <row r="298" spans="1:80" ht="25.5" x14ac:dyDescent="0.25">
      <c r="A298" s="129" t="s">
        <v>786</v>
      </c>
      <c r="C298" s="1" t="s">
        <v>1113</v>
      </c>
      <c r="D298" s="7" t="s">
        <v>1164</v>
      </c>
      <c r="E298" s="7" t="str">
        <f t="shared" si="32"/>
        <v>us
- us-tx</v>
      </c>
      <c r="F298" s="33" t="s">
        <v>2258</v>
      </c>
      <c r="G298" s="7" t="s">
        <v>1905</v>
      </c>
      <c r="H298" s="33" t="s">
        <v>1914</v>
      </c>
      <c r="I298" s="153" t="s">
        <v>2179</v>
      </c>
      <c r="L298" s="154" t="s">
        <v>53</v>
      </c>
      <c r="M298" s="154" t="s">
        <v>53</v>
      </c>
      <c r="N298" s="151" t="s">
        <v>53</v>
      </c>
      <c r="O298" s="40" t="s">
        <v>53</v>
      </c>
      <c r="P298" s="1" t="s">
        <v>53</v>
      </c>
      <c r="Q298" s="44" t="s">
        <v>53</v>
      </c>
      <c r="R298" s="1" t="s">
        <v>53</v>
      </c>
      <c r="S298" s="1" t="s">
        <v>53</v>
      </c>
      <c r="T298" s="30" t="s">
        <v>53</v>
      </c>
      <c r="U298" s="121" t="s">
        <v>53</v>
      </c>
      <c r="V298" s="116" t="b">
        <f t="shared" si="33"/>
        <v>1</v>
      </c>
      <c r="W298" s="117" t="str">
        <f t="shared" si="34"/>
        <v>title: "Texas"</v>
      </c>
      <c r="X298" s="120" t="str">
        <f t="shared" si="35"/>
        <v/>
      </c>
      <c r="Y298" s="120" t="str">
        <f t="shared" si="36"/>
        <v/>
      </c>
      <c r="Z298" s="120" t="str">
        <f t="shared" si="37"/>
        <v/>
      </c>
      <c r="AA298" s="120" t="str">
        <f t="shared" si="38"/>
        <v/>
      </c>
      <c r="AB298" s="117" t="str">
        <f t="shared" si="39"/>
        <v/>
      </c>
      <c r="AC298" s="117" t="str">
        <f>IF(LEN(J298)&gt;1,concatll("#### Author's Note",J298,"-"&amp;B298),"")</f>
        <v/>
      </c>
      <c r="AD298" s="117" t="str">
        <f>IF(LEN(K298)&gt;1,concatll("#### Dedication",K298,"-"&amp;$B298),"")</f>
        <v/>
      </c>
      <c r="CA298" s="6" t="str">
        <f>IF(V298,concatll(concatl("---",W298,"---"),"*A collection of sites associated with this topic.*","#### Background",I298,AB298,AC298,AD298),"")</f>
        <v xml:space="preserve">---_x000D_
title: "Texas"_x000D_
---_x000D_
_x000D_
_x000D_
*A collection of sites associated with this topic.*_x000D_
_x000D_
#### Background_x000D_
_x000D_
Catholic places of interest in Texas_x000D_
_x000D_
</v>
      </c>
      <c r="CB298" s="6" t="str">
        <f t="shared" si="40"/>
        <v>tags\us-tx\_index.md</v>
      </c>
    </row>
    <row r="299" spans="1:80" ht="25.5" x14ac:dyDescent="0.25">
      <c r="A299" s="129" t="s">
        <v>786</v>
      </c>
      <c r="C299" s="1" t="s">
        <v>1114</v>
      </c>
      <c r="D299" s="7" t="s">
        <v>1165</v>
      </c>
      <c r="E299" s="7" t="str">
        <f t="shared" si="32"/>
        <v>us
- us-ut</v>
      </c>
      <c r="F299" s="33" t="s">
        <v>2259</v>
      </c>
      <c r="G299" s="7" t="s">
        <v>1906</v>
      </c>
      <c r="H299" s="33" t="s">
        <v>1914</v>
      </c>
      <c r="I299" s="153" t="s">
        <v>2180</v>
      </c>
      <c r="L299" s="154" t="s">
        <v>53</v>
      </c>
      <c r="M299" s="154" t="s">
        <v>53</v>
      </c>
      <c r="N299" s="151" t="s">
        <v>53</v>
      </c>
      <c r="O299" s="40" t="s">
        <v>53</v>
      </c>
      <c r="P299" s="1" t="s">
        <v>53</v>
      </c>
      <c r="Q299" s="44" t="s">
        <v>53</v>
      </c>
      <c r="R299" s="1" t="s">
        <v>53</v>
      </c>
      <c r="S299" s="1" t="s">
        <v>53</v>
      </c>
      <c r="T299" s="30" t="s">
        <v>53</v>
      </c>
      <c r="U299" s="121" t="s">
        <v>53</v>
      </c>
      <c r="V299" s="116" t="b">
        <f t="shared" si="33"/>
        <v>1</v>
      </c>
      <c r="W299" s="117" t="str">
        <f t="shared" si="34"/>
        <v>title: "Utah"</v>
      </c>
      <c r="X299" s="120" t="str">
        <f t="shared" si="35"/>
        <v/>
      </c>
      <c r="Y299" s="120" t="str">
        <f t="shared" si="36"/>
        <v/>
      </c>
      <c r="Z299" s="120" t="str">
        <f t="shared" si="37"/>
        <v/>
      </c>
      <c r="AA299" s="120" t="str">
        <f t="shared" si="38"/>
        <v/>
      </c>
      <c r="AB299" s="117" t="str">
        <f t="shared" si="39"/>
        <v/>
      </c>
      <c r="AC299" s="117" t="str">
        <f>IF(LEN(J299)&gt;1,concatll("#### Author's Note",J299,"-"&amp;B299),"")</f>
        <v/>
      </c>
      <c r="AD299" s="117" t="str">
        <f>IF(LEN(K299)&gt;1,concatll("#### Dedication",K299,"-"&amp;$B299),"")</f>
        <v/>
      </c>
      <c r="CA299" s="6" t="str">
        <f>IF(V299,concatll(concatl("---",W299,"---"),"*A collection of sites associated with this topic.*","#### Background",I299,AB299,AC299,AD299),"")</f>
        <v xml:space="preserve">---_x000D_
title: "Utah"_x000D_
---_x000D_
_x000D_
_x000D_
*A collection of sites associated with this topic.*_x000D_
_x000D_
#### Background_x000D_
_x000D_
Catholic places of interest in Utah_x000D_
_x000D_
</v>
      </c>
      <c r="CB299" s="6" t="str">
        <f t="shared" si="40"/>
        <v>tags\us-ut\_index.md</v>
      </c>
    </row>
    <row r="300" spans="1:80" ht="25.5" x14ac:dyDescent="0.25">
      <c r="A300" s="129" t="s">
        <v>786</v>
      </c>
      <c r="C300" s="1" t="s">
        <v>1115</v>
      </c>
      <c r="D300" s="7" t="s">
        <v>1166</v>
      </c>
      <c r="E300" s="7" t="str">
        <f t="shared" si="32"/>
        <v>us
- us-vt</v>
      </c>
      <c r="F300" s="33" t="s">
        <v>2260</v>
      </c>
      <c r="G300" s="7" t="s">
        <v>1907</v>
      </c>
      <c r="H300" s="33" t="s">
        <v>1914</v>
      </c>
      <c r="I300" s="153" t="s">
        <v>2181</v>
      </c>
      <c r="L300" s="154" t="s">
        <v>53</v>
      </c>
      <c r="M300" s="154" t="s">
        <v>53</v>
      </c>
      <c r="N300" s="151" t="s">
        <v>53</v>
      </c>
      <c r="O300" s="40" t="s">
        <v>53</v>
      </c>
      <c r="P300" s="1" t="s">
        <v>53</v>
      </c>
      <c r="Q300" s="44" t="s">
        <v>53</v>
      </c>
      <c r="R300" s="1" t="s">
        <v>53</v>
      </c>
      <c r="S300" s="1" t="s">
        <v>53</v>
      </c>
      <c r="T300" s="30" t="s">
        <v>53</v>
      </c>
      <c r="U300" s="121" t="s">
        <v>53</v>
      </c>
      <c r="V300" s="116" t="b">
        <f t="shared" si="33"/>
        <v>1</v>
      </c>
      <c r="W300" s="117" t="str">
        <f t="shared" si="34"/>
        <v>title: "Vermont"</v>
      </c>
      <c r="X300" s="120" t="str">
        <f t="shared" si="35"/>
        <v/>
      </c>
      <c r="Y300" s="120" t="str">
        <f t="shared" si="36"/>
        <v/>
      </c>
      <c r="Z300" s="120" t="str">
        <f t="shared" si="37"/>
        <v/>
      </c>
      <c r="AA300" s="120" t="str">
        <f t="shared" si="38"/>
        <v/>
      </c>
      <c r="AB300" s="117" t="str">
        <f t="shared" si="39"/>
        <v/>
      </c>
      <c r="AC300" s="117" t="str">
        <f>IF(LEN(J300)&gt;1,concatll("#### Author's Note",J300,"-"&amp;B300),"")</f>
        <v/>
      </c>
      <c r="AD300" s="117" t="str">
        <f>IF(LEN(K300)&gt;1,concatll("#### Dedication",K300,"-"&amp;$B300),"")</f>
        <v/>
      </c>
      <c r="CA300" s="6" t="str">
        <f>IF(V300,concatll(concatl("---",W300,"---"),"*A collection of sites associated with this topic.*","#### Background",I300,AB300,AC300,AD300),"")</f>
        <v xml:space="preserve">---_x000D_
title: "Vermont"_x000D_
---_x000D_
_x000D_
_x000D_
*A collection of sites associated with this topic.*_x000D_
_x000D_
#### Background_x000D_
_x000D_
Catholic places of interest in Vermont_x000D_
_x000D_
</v>
      </c>
      <c r="CB300" s="6" t="str">
        <f t="shared" si="40"/>
        <v>tags\us-vt\_index.md</v>
      </c>
    </row>
    <row r="301" spans="1:80" ht="25.5" x14ac:dyDescent="0.25">
      <c r="A301" s="129" t="s">
        <v>786</v>
      </c>
      <c r="C301" s="1" t="s">
        <v>1116</v>
      </c>
      <c r="D301" s="7" t="s">
        <v>1167</v>
      </c>
      <c r="E301" s="7" t="str">
        <f t="shared" si="32"/>
        <v>us
- us-va</v>
      </c>
      <c r="F301" s="33" t="s">
        <v>2261</v>
      </c>
      <c r="G301" s="7" t="s">
        <v>1908</v>
      </c>
      <c r="H301" s="33" t="s">
        <v>1914</v>
      </c>
      <c r="I301" s="153" t="s">
        <v>2182</v>
      </c>
      <c r="L301" s="154" t="s">
        <v>53</v>
      </c>
      <c r="M301" s="154" t="s">
        <v>53</v>
      </c>
      <c r="N301" s="151" t="s">
        <v>53</v>
      </c>
      <c r="O301" s="40" t="s">
        <v>53</v>
      </c>
      <c r="P301" s="1" t="s">
        <v>53</v>
      </c>
      <c r="Q301" s="44" t="s">
        <v>53</v>
      </c>
      <c r="R301" s="1" t="s">
        <v>53</v>
      </c>
      <c r="S301" s="1" t="s">
        <v>53</v>
      </c>
      <c r="T301" s="30" t="s">
        <v>53</v>
      </c>
      <c r="U301" s="121" t="s">
        <v>53</v>
      </c>
      <c r="V301" s="116" t="b">
        <f t="shared" si="33"/>
        <v>1</v>
      </c>
      <c r="W301" s="117" t="str">
        <f t="shared" si="34"/>
        <v>title: "Virginia"</v>
      </c>
      <c r="X301" s="120" t="str">
        <f t="shared" si="35"/>
        <v/>
      </c>
      <c r="Y301" s="120" t="str">
        <f t="shared" si="36"/>
        <v/>
      </c>
      <c r="Z301" s="120" t="str">
        <f t="shared" si="37"/>
        <v/>
      </c>
      <c r="AA301" s="120" t="str">
        <f t="shared" si="38"/>
        <v/>
      </c>
      <c r="AB301" s="117" t="str">
        <f t="shared" si="39"/>
        <v/>
      </c>
      <c r="AC301" s="117" t="str">
        <f>IF(LEN(J301)&gt;1,concatll("#### Author's Note",J301,"-"&amp;B301),"")</f>
        <v/>
      </c>
      <c r="AD301" s="117" t="str">
        <f>IF(LEN(K301)&gt;1,concatll("#### Dedication",K301,"-"&amp;$B301),"")</f>
        <v/>
      </c>
      <c r="CA301" s="6" t="str">
        <f>IF(V301,concatll(concatl("---",W301,"---"),"*A collection of sites associated with this topic.*","#### Background",I301,AB301,AC301,AD301),"")</f>
        <v xml:space="preserve">---_x000D_
title: "Virginia"_x000D_
---_x000D_
_x000D_
_x000D_
*A collection of sites associated with this topic.*_x000D_
_x000D_
#### Background_x000D_
_x000D_
Catholic places of interest in Virginia_x000D_
_x000D_
</v>
      </c>
      <c r="CB301" s="6" t="str">
        <f t="shared" si="40"/>
        <v>tags\us-va\_index.md</v>
      </c>
    </row>
    <row r="302" spans="1:80" ht="25.5" x14ac:dyDescent="0.25">
      <c r="A302" s="129" t="s">
        <v>786</v>
      </c>
      <c r="C302" s="1" t="s">
        <v>1117</v>
      </c>
      <c r="D302" s="7" t="s">
        <v>1168</v>
      </c>
      <c r="E302" s="7" t="str">
        <f t="shared" si="32"/>
        <v>us
- us-wa</v>
      </c>
      <c r="F302" s="33" t="s">
        <v>2262</v>
      </c>
      <c r="G302" s="7" t="s">
        <v>1909</v>
      </c>
      <c r="H302" s="33" t="s">
        <v>1914</v>
      </c>
      <c r="I302" s="153" t="s">
        <v>2183</v>
      </c>
      <c r="L302" s="154" t="s">
        <v>53</v>
      </c>
      <c r="M302" s="154" t="s">
        <v>53</v>
      </c>
      <c r="N302" s="151" t="s">
        <v>53</v>
      </c>
      <c r="O302" s="40" t="s">
        <v>53</v>
      </c>
      <c r="P302" s="1" t="s">
        <v>53</v>
      </c>
      <c r="Q302" s="44" t="s">
        <v>53</v>
      </c>
      <c r="R302" s="1" t="s">
        <v>53</v>
      </c>
      <c r="S302" s="1" t="s">
        <v>53</v>
      </c>
      <c r="T302" s="30" t="s">
        <v>53</v>
      </c>
      <c r="U302" s="121" t="s">
        <v>53</v>
      </c>
      <c r="V302" s="116" t="b">
        <f t="shared" si="33"/>
        <v>1</v>
      </c>
      <c r="W302" s="117" t="str">
        <f t="shared" si="34"/>
        <v>title: "Washington"</v>
      </c>
      <c r="X302" s="120" t="str">
        <f t="shared" si="35"/>
        <v/>
      </c>
      <c r="Y302" s="120" t="str">
        <f t="shared" si="36"/>
        <v/>
      </c>
      <c r="Z302" s="120" t="str">
        <f t="shared" si="37"/>
        <v/>
      </c>
      <c r="AA302" s="120" t="str">
        <f t="shared" si="38"/>
        <v/>
      </c>
      <c r="AB302" s="117" t="str">
        <f t="shared" si="39"/>
        <v/>
      </c>
      <c r="AC302" s="117" t="str">
        <f>IF(LEN(J302)&gt;1,concatll("#### Author's Note",J302,"-"&amp;B302),"")</f>
        <v/>
      </c>
      <c r="AD302" s="117" t="str">
        <f>IF(LEN(K302)&gt;1,concatll("#### Dedication",K302,"-"&amp;$B302),"")</f>
        <v/>
      </c>
      <c r="CA302" s="6" t="str">
        <f>IF(V302,concatll(concatl("---",W302,"---"),"*A collection of sites associated with this topic.*","#### Background",I302,AB302,AC302,AD302),"")</f>
        <v xml:space="preserve">---_x000D_
title: "Washington"_x000D_
---_x000D_
_x000D_
_x000D_
*A collection of sites associated with this topic.*_x000D_
_x000D_
#### Background_x000D_
_x000D_
Catholic places of interest in Washington_x000D_
_x000D_
</v>
      </c>
      <c r="CB302" s="6" t="str">
        <f t="shared" si="40"/>
        <v>tags\us-wa\_index.md</v>
      </c>
    </row>
    <row r="303" spans="1:80" ht="25.5" x14ac:dyDescent="0.25">
      <c r="A303" s="129" t="s">
        <v>786</v>
      </c>
      <c r="C303" s="1" t="s">
        <v>1118</v>
      </c>
      <c r="D303" s="7" t="s">
        <v>1169</v>
      </c>
      <c r="E303" s="7" t="str">
        <f t="shared" si="32"/>
        <v>us
- us-wv</v>
      </c>
      <c r="F303" s="33" t="s">
        <v>2263</v>
      </c>
      <c r="G303" s="7" t="s">
        <v>1910</v>
      </c>
      <c r="H303" s="33" t="s">
        <v>1914</v>
      </c>
      <c r="I303" s="153" t="s">
        <v>2184</v>
      </c>
      <c r="L303" s="154" t="s">
        <v>53</v>
      </c>
      <c r="M303" s="154" t="s">
        <v>53</v>
      </c>
      <c r="N303" s="151" t="s">
        <v>53</v>
      </c>
      <c r="O303" s="40" t="s">
        <v>53</v>
      </c>
      <c r="P303" s="1" t="s">
        <v>53</v>
      </c>
      <c r="Q303" s="44" t="s">
        <v>53</v>
      </c>
      <c r="R303" s="1" t="s">
        <v>53</v>
      </c>
      <c r="S303" s="1" t="s">
        <v>53</v>
      </c>
      <c r="T303" s="30" t="s">
        <v>53</v>
      </c>
      <c r="U303" s="121" t="s">
        <v>53</v>
      </c>
      <c r="V303" s="116" t="b">
        <f t="shared" si="33"/>
        <v>1</v>
      </c>
      <c r="W303" s="117" t="str">
        <f t="shared" si="34"/>
        <v>title: "West Virginia"</v>
      </c>
      <c r="X303" s="120" t="str">
        <f t="shared" si="35"/>
        <v/>
      </c>
      <c r="Y303" s="120" t="str">
        <f t="shared" si="36"/>
        <v/>
      </c>
      <c r="Z303" s="120" t="str">
        <f t="shared" si="37"/>
        <v/>
      </c>
      <c r="AA303" s="120" t="str">
        <f t="shared" si="38"/>
        <v/>
      </c>
      <c r="AB303" s="117" t="str">
        <f t="shared" si="39"/>
        <v/>
      </c>
      <c r="AC303" s="117" t="str">
        <f>IF(LEN(J303)&gt;1,concatll("#### Author's Note",J303,"-"&amp;B303),"")</f>
        <v/>
      </c>
      <c r="AD303" s="117" t="str">
        <f>IF(LEN(K303)&gt;1,concatll("#### Dedication",K303,"-"&amp;$B303),"")</f>
        <v/>
      </c>
      <c r="CA303" s="6" t="str">
        <f>IF(V303,concatll(concatl("---",W303,"---"),"*A collection of sites associated with this topic.*","#### Background",I303,AB303,AC303,AD303),"")</f>
        <v xml:space="preserve">---_x000D_
title: "West Virginia"_x000D_
---_x000D_
_x000D_
_x000D_
*A collection of sites associated with this topic.*_x000D_
_x000D_
#### Background_x000D_
_x000D_
Catholic places of interest in West Virginia_x000D_
_x000D_
</v>
      </c>
      <c r="CB303" s="6" t="str">
        <f t="shared" si="40"/>
        <v>tags\us-wv\_index.md</v>
      </c>
    </row>
    <row r="304" spans="1:80" ht="25.5" x14ac:dyDescent="0.25">
      <c r="A304" s="129" t="s">
        <v>786</v>
      </c>
      <c r="C304" s="1" t="s">
        <v>1119</v>
      </c>
      <c r="D304" s="7" t="s">
        <v>1170</v>
      </c>
      <c r="E304" s="7" t="str">
        <f t="shared" si="32"/>
        <v>us
- us-wi</v>
      </c>
      <c r="F304" s="33" t="s">
        <v>2264</v>
      </c>
      <c r="G304" s="7" t="s">
        <v>1911</v>
      </c>
      <c r="H304" s="33" t="s">
        <v>1914</v>
      </c>
      <c r="I304" s="153" t="s">
        <v>2185</v>
      </c>
      <c r="L304" s="154" t="s">
        <v>53</v>
      </c>
      <c r="M304" s="154" t="s">
        <v>53</v>
      </c>
      <c r="N304" s="151" t="s">
        <v>53</v>
      </c>
      <c r="O304" s="40" t="s">
        <v>53</v>
      </c>
      <c r="P304" s="1" t="s">
        <v>53</v>
      </c>
      <c r="Q304" s="44" t="s">
        <v>53</v>
      </c>
      <c r="R304" s="1" t="s">
        <v>53</v>
      </c>
      <c r="S304" s="1" t="s">
        <v>53</v>
      </c>
      <c r="T304" s="30" t="s">
        <v>53</v>
      </c>
      <c r="U304" s="121" t="s">
        <v>53</v>
      </c>
      <c r="V304" s="116" t="b">
        <f t="shared" si="33"/>
        <v>1</v>
      </c>
      <c r="W304" s="117" t="str">
        <f t="shared" si="34"/>
        <v>title: "Wisconsin"</v>
      </c>
      <c r="X304" s="120" t="str">
        <f t="shared" si="35"/>
        <v/>
      </c>
      <c r="Y304" s="120" t="str">
        <f t="shared" si="36"/>
        <v/>
      </c>
      <c r="Z304" s="120" t="str">
        <f t="shared" si="37"/>
        <v/>
      </c>
      <c r="AA304" s="120" t="str">
        <f t="shared" si="38"/>
        <v/>
      </c>
      <c r="AB304" s="117" t="str">
        <f t="shared" si="39"/>
        <v/>
      </c>
      <c r="AC304" s="117" t="str">
        <f>IF(LEN(J304)&gt;1,concatll("#### Author's Note",J304,"-"&amp;B304),"")</f>
        <v/>
      </c>
      <c r="AD304" s="117" t="str">
        <f>IF(LEN(K304)&gt;1,concatll("#### Dedication",K304,"-"&amp;$B304),"")</f>
        <v/>
      </c>
      <c r="CA304" s="6" t="str">
        <f>IF(V304,concatll(concatl("---",W304,"---"),"*A collection of sites associated with this topic.*","#### Background",I304,AB304,AC304,AD304),"")</f>
        <v xml:space="preserve">---_x000D_
title: "Wisconsin"_x000D_
---_x000D_
_x000D_
_x000D_
*A collection of sites associated with this topic.*_x000D_
_x000D_
#### Background_x000D_
_x000D_
Catholic places of interest in Wisconsin_x000D_
_x000D_
</v>
      </c>
      <c r="CB304" s="6" t="str">
        <f t="shared" si="40"/>
        <v>tags\us-wi\_index.md</v>
      </c>
    </row>
    <row r="305" spans="1:80" ht="25.5" x14ac:dyDescent="0.25">
      <c r="A305" s="129" t="s">
        <v>786</v>
      </c>
      <c r="C305" s="1" t="s">
        <v>1120</v>
      </c>
      <c r="D305" s="7" t="s">
        <v>1171</v>
      </c>
      <c r="E305" s="7" t="str">
        <f t="shared" si="32"/>
        <v>us
- us-wy</v>
      </c>
      <c r="F305" s="33" t="s">
        <v>2265</v>
      </c>
      <c r="G305" s="7" t="s">
        <v>1912</v>
      </c>
      <c r="H305" s="33" t="s">
        <v>1914</v>
      </c>
      <c r="I305" s="153" t="s">
        <v>2186</v>
      </c>
      <c r="L305" s="154" t="s">
        <v>53</v>
      </c>
      <c r="M305" s="154" t="s">
        <v>53</v>
      </c>
      <c r="N305" s="151" t="s">
        <v>53</v>
      </c>
      <c r="O305" s="40" t="s">
        <v>53</v>
      </c>
      <c r="P305" s="1" t="s">
        <v>53</v>
      </c>
      <c r="Q305" s="44" t="s">
        <v>53</v>
      </c>
      <c r="R305" s="1" t="s">
        <v>53</v>
      </c>
      <c r="S305" s="1" t="s">
        <v>53</v>
      </c>
      <c r="T305" s="30" t="s">
        <v>53</v>
      </c>
      <c r="U305" s="121" t="s">
        <v>53</v>
      </c>
      <c r="V305" s="116" t="b">
        <f t="shared" si="33"/>
        <v>1</v>
      </c>
      <c r="W305" s="117" t="str">
        <f t="shared" si="34"/>
        <v>title: "Wyoming"</v>
      </c>
      <c r="X305" s="120" t="str">
        <f t="shared" si="35"/>
        <v/>
      </c>
      <c r="Y305" s="120" t="str">
        <f t="shared" si="36"/>
        <v/>
      </c>
      <c r="Z305" s="120" t="str">
        <f t="shared" si="37"/>
        <v/>
      </c>
      <c r="AA305" s="120" t="str">
        <f t="shared" si="38"/>
        <v/>
      </c>
      <c r="AB305" s="117" t="str">
        <f t="shared" si="39"/>
        <v/>
      </c>
      <c r="AC305" s="117" t="str">
        <f>IF(LEN(J305)&gt;1,concatll("#### Author's Note",J305,"-"&amp;B305),"")</f>
        <v/>
      </c>
      <c r="AD305" s="117" t="str">
        <f>IF(LEN(K305)&gt;1,concatll("#### Dedication",K305,"-"&amp;$B305),"")</f>
        <v/>
      </c>
      <c r="CA305" s="6" t="str">
        <f>IF(V305,concatll(concatl("---",W305,"---"),"*A collection of sites associated with this topic.*","#### Background",I305,AB305,AC305,AD305),"")</f>
        <v xml:space="preserve">---_x000D_
title: "Wyoming"_x000D_
---_x000D_
_x000D_
_x000D_
*A collection of sites associated with this topic.*_x000D_
_x000D_
#### Background_x000D_
_x000D_
Catholic places of interest in Wyoming_x000D_
_x000D_
</v>
      </c>
      <c r="CB305" s="6" t="str">
        <f t="shared" si="40"/>
        <v>tags\us-wy\_index.md</v>
      </c>
    </row>
  </sheetData>
  <autoFilter ref="A5:CB140" xr:uid="{A598B8B3-DE60-41C5-96BA-7CC5FA9AD3BE}">
    <sortState xmlns:xlrd2="http://schemas.microsoft.com/office/spreadsheetml/2017/richdata2" ref="A6:CB140">
      <sortCondition ref="H5:H140"/>
    </sortState>
  </autoFilter>
  <conditionalFormatting sqref="A1:T1048576">
    <cfRule type="expression" dxfId="3" priority="2" stopIfTrue="1">
      <formula>IF($A1="New (change to Done when complete)",TRUE,FALSE)</formula>
    </cfRule>
    <cfRule type="expression" dxfId="2" priority="3" stopIfTrue="1">
      <formula>IF($A1="Blocked",TRUE,FALSE)</formula>
    </cfRule>
    <cfRule type="expression" dxfId="1" priority="4">
      <formula>IF(AND(LEN($A1)&gt;0,$A1&lt;&gt;"Done",$A1&lt;&gt;"Status"),TRUE,FALSE)</formula>
    </cfRule>
  </conditionalFormatting>
  <conditionalFormatting sqref="B1:T1048576">
    <cfRule type="expression" dxfId="0" priority="1">
      <formula>IF(B1=B$1,TRUE,FALSE)</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WriteToFile">
                <anchor moveWithCells="1">
                  <from>
                    <xdr:col>0</xdr:col>
                    <xdr:colOff>47625</xdr:colOff>
                    <xdr:row>1</xdr:row>
                    <xdr:rowOff>28575</xdr:rowOff>
                  </from>
                  <to>
                    <xdr:col>1</xdr:col>
                    <xdr:colOff>466725</xdr:colOff>
                    <xdr:row>2</xdr:row>
                    <xdr:rowOff>133350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WP Site</vt:lpstr>
      <vt:lpstr>Places</vt:lpstr>
      <vt:lpstr>Tags</vt:lpstr>
      <vt:lpstr>Local Tags</vt:lpstr>
      <vt:lpstr>Country Tags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John Mueller</dc:creator>
  <cp:lastModifiedBy>John Mueller</cp:lastModifiedBy>
  <dcterms:created xsi:type="dcterms:W3CDTF">2023-08-22T22:13:24Z</dcterms:created>
  <dcterms:modified xsi:type="dcterms:W3CDTF">2024-03-06T22:25:23Z</dcterms:modified>
</cp:coreProperties>
</file>