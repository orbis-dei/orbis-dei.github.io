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EC0078EA-9EFD-4E24-86B2-733FF703675E}"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Tags!$A$5:$CB$140</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7" i="11" l="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AW137" i="11"/>
  <c r="AW138" i="11"/>
  <c r="AW139" i="11"/>
  <c r="AW6" i="11"/>
  <c r="AW1" i="11"/>
  <c r="V7" i="16"/>
  <c r="W7" i="16"/>
  <c r="X7" i="16"/>
  <c r="Y7" i="16"/>
  <c r="Z7" i="16"/>
  <c r="AC7" i="16"/>
  <c r="AD7" i="16"/>
  <c r="CB7" i="16"/>
  <c r="V8" i="16"/>
  <c r="W8" i="16"/>
  <c r="X8" i="16"/>
  <c r="AA8" i="16" s="1"/>
  <c r="AB8" i="16" s="1"/>
  <c r="Y8" i="16"/>
  <c r="Z8" i="16"/>
  <c r="AC8" i="16"/>
  <c r="AD8" i="16"/>
  <c r="V9" i="16"/>
  <c r="CB9" i="16" s="1"/>
  <c r="W9" i="16"/>
  <c r="X9" i="16"/>
  <c r="Y9" i="16"/>
  <c r="Z9" i="16"/>
  <c r="AA9" i="16" s="1"/>
  <c r="AB9" i="16" s="1"/>
  <c r="AC9" i="16"/>
  <c r="AD9" i="16"/>
  <c r="V10" i="16"/>
  <c r="W10" i="16"/>
  <c r="X10" i="16"/>
  <c r="AA10" i="16" s="1"/>
  <c r="Y10" i="16"/>
  <c r="Z10" i="16"/>
  <c r="AB10" i="16"/>
  <c r="AC10" i="16"/>
  <c r="AD10" i="16"/>
  <c r="CB10" i="16"/>
  <c r="V11" i="16"/>
  <c r="W11" i="16"/>
  <c r="X11" i="16"/>
  <c r="Y11" i="16"/>
  <c r="Z11" i="16"/>
  <c r="AC11" i="16"/>
  <c r="AD11" i="16"/>
  <c r="CB11" i="16"/>
  <c r="V12" i="16"/>
  <c r="W12" i="16"/>
  <c r="X12" i="16"/>
  <c r="AA12" i="16" s="1"/>
  <c r="AB12" i="16" s="1"/>
  <c r="Y12" i="16"/>
  <c r="Z12" i="16"/>
  <c r="AC12" i="16"/>
  <c r="AD12" i="16"/>
  <c r="V13" i="16"/>
  <c r="CB13" i="16" s="1"/>
  <c r="W13" i="16"/>
  <c r="X13" i="16"/>
  <c r="Y13" i="16"/>
  <c r="Z13" i="16"/>
  <c r="AA13" i="16" s="1"/>
  <c r="AB13" i="16" s="1"/>
  <c r="AC13" i="16"/>
  <c r="AD13" i="16"/>
  <c r="V14" i="16"/>
  <c r="W14" i="16"/>
  <c r="X14" i="16"/>
  <c r="AA14" i="16" s="1"/>
  <c r="AB14" i="16" s="1"/>
  <c r="Y14" i="16"/>
  <c r="Z14" i="16"/>
  <c r="AC14" i="16"/>
  <c r="AD14" i="16"/>
  <c r="CB14" i="16"/>
  <c r="V15" i="16"/>
  <c r="W15" i="16"/>
  <c r="X15" i="16"/>
  <c r="Y15" i="16"/>
  <c r="Z15" i="16"/>
  <c r="AC15" i="16"/>
  <c r="AD15" i="16"/>
  <c r="CB15" i="16"/>
  <c r="V16" i="16"/>
  <c r="W16" i="16"/>
  <c r="X16" i="16"/>
  <c r="AA16" i="16" s="1"/>
  <c r="AB16" i="16" s="1"/>
  <c r="Y16" i="16"/>
  <c r="Z16" i="16"/>
  <c r="AC16" i="16"/>
  <c r="AD16" i="16"/>
  <c r="V17" i="16"/>
  <c r="CB17" i="16" s="1"/>
  <c r="W17" i="16"/>
  <c r="X17" i="16"/>
  <c r="Y17" i="16"/>
  <c r="Z17" i="16"/>
  <c r="AA17" i="16" s="1"/>
  <c r="AB17" i="16" s="1"/>
  <c r="AC17" i="16"/>
  <c r="AD17" i="16"/>
  <c r="V18" i="16"/>
  <c r="W18" i="16"/>
  <c r="X18" i="16"/>
  <c r="AA18" i="16" s="1"/>
  <c r="Y18" i="16"/>
  <c r="Z18" i="16"/>
  <c r="AB18" i="16"/>
  <c r="AC18" i="16"/>
  <c r="AD18" i="16"/>
  <c r="CB18" i="16"/>
  <c r="V19" i="16"/>
  <c r="W19" i="16"/>
  <c r="X19" i="16"/>
  <c r="Y19" i="16"/>
  <c r="Z19" i="16"/>
  <c r="AC19" i="16"/>
  <c r="AD19" i="16"/>
  <c r="CB19" i="16"/>
  <c r="V20" i="16"/>
  <c r="W20" i="16"/>
  <c r="X20" i="16"/>
  <c r="AA20" i="16" s="1"/>
  <c r="AB20" i="16" s="1"/>
  <c r="Y20" i="16"/>
  <c r="Z20" i="16"/>
  <c r="AC20" i="16"/>
  <c r="AD20" i="16"/>
  <c r="V21" i="16"/>
  <c r="CB21" i="16" s="1"/>
  <c r="W21" i="16"/>
  <c r="X21" i="16"/>
  <c r="Y21" i="16"/>
  <c r="Z21" i="16"/>
  <c r="AA21" i="16" s="1"/>
  <c r="AB21" i="16" s="1"/>
  <c r="AC21" i="16"/>
  <c r="AD21" i="16"/>
  <c r="V22" i="16"/>
  <c r="W22" i="16"/>
  <c r="X22" i="16"/>
  <c r="AA22" i="16" s="1"/>
  <c r="AB22" i="16" s="1"/>
  <c r="Y22" i="16"/>
  <c r="Z22" i="16"/>
  <c r="AC22" i="16"/>
  <c r="AD22" i="16"/>
  <c r="CB22" i="16"/>
  <c r="V23" i="16"/>
  <c r="W23" i="16"/>
  <c r="X23" i="16"/>
  <c r="Y23" i="16"/>
  <c r="Z23" i="16"/>
  <c r="AC23" i="16"/>
  <c r="AD23" i="16"/>
  <c r="CB23" i="16"/>
  <c r="V24" i="16"/>
  <c r="W24" i="16"/>
  <c r="X24" i="16"/>
  <c r="AA24" i="16" s="1"/>
  <c r="AB24" i="16" s="1"/>
  <c r="Y24" i="16"/>
  <c r="Z24" i="16"/>
  <c r="AC24" i="16"/>
  <c r="AD24" i="16"/>
  <c r="V25" i="16"/>
  <c r="CB25" i="16" s="1"/>
  <c r="W25" i="16"/>
  <c r="X25" i="16"/>
  <c r="Y25" i="16"/>
  <c r="Z25" i="16"/>
  <c r="AA25" i="16" s="1"/>
  <c r="AB25" i="16" s="1"/>
  <c r="AC25" i="16"/>
  <c r="AD25" i="16"/>
  <c r="V26" i="16"/>
  <c r="W26" i="16"/>
  <c r="X26" i="16"/>
  <c r="AA26" i="16" s="1"/>
  <c r="Y26" i="16"/>
  <c r="Z26" i="16"/>
  <c r="AB26" i="16"/>
  <c r="AC26" i="16"/>
  <c r="AD26" i="16"/>
  <c r="CB26" i="16"/>
  <c r="V27" i="16"/>
  <c r="W27" i="16"/>
  <c r="X27" i="16"/>
  <c r="Y27" i="16"/>
  <c r="Z27" i="16"/>
  <c r="AC27" i="16"/>
  <c r="AD27" i="16"/>
  <c r="CB27" i="16"/>
  <c r="V28" i="16"/>
  <c r="W28" i="16"/>
  <c r="X28" i="16"/>
  <c r="AA28" i="16" s="1"/>
  <c r="AB28" i="16" s="1"/>
  <c r="Y28" i="16"/>
  <c r="Z28" i="16"/>
  <c r="AC28" i="16"/>
  <c r="AD28" i="16"/>
  <c r="V29" i="16"/>
  <c r="CB29" i="16" s="1"/>
  <c r="W29" i="16"/>
  <c r="X29" i="16"/>
  <c r="Y29" i="16"/>
  <c r="Z29" i="16"/>
  <c r="AA29" i="16" s="1"/>
  <c r="AB29" i="16" s="1"/>
  <c r="AC29" i="16"/>
  <c r="AD29" i="16"/>
  <c r="V30" i="16"/>
  <c r="W30" i="16"/>
  <c r="X30" i="16"/>
  <c r="AA30" i="16" s="1"/>
  <c r="AB30" i="16" s="1"/>
  <c r="Y30" i="16"/>
  <c r="Z30" i="16"/>
  <c r="AC30" i="16"/>
  <c r="AD30" i="16"/>
  <c r="CB30" i="16"/>
  <c r="V31" i="16"/>
  <c r="W31" i="16"/>
  <c r="X31" i="16"/>
  <c r="Y31" i="16"/>
  <c r="Z31" i="16"/>
  <c r="AC31" i="16"/>
  <c r="AD31" i="16"/>
  <c r="CB31" i="16"/>
  <c r="V32" i="16"/>
  <c r="W32" i="16"/>
  <c r="X32" i="16"/>
  <c r="Y32" i="16"/>
  <c r="AA32" i="16" s="1"/>
  <c r="AB32" i="16" s="1"/>
  <c r="Z32" i="16"/>
  <c r="AC32" i="16"/>
  <c r="AD32" i="16"/>
  <c r="V33" i="16"/>
  <c r="CB33" i="16" s="1"/>
  <c r="W33" i="16"/>
  <c r="X33" i="16"/>
  <c r="Y33" i="16"/>
  <c r="Z33" i="16"/>
  <c r="AA33" i="16" s="1"/>
  <c r="AB33" i="16" s="1"/>
  <c r="AC33" i="16"/>
  <c r="AD33" i="16"/>
  <c r="V34" i="16"/>
  <c r="W34" i="16"/>
  <c r="X34" i="16"/>
  <c r="AA34" i="16" s="1"/>
  <c r="Y34" i="16"/>
  <c r="Z34" i="16"/>
  <c r="AB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W38" i="16"/>
  <c r="X38" i="16"/>
  <c r="AA38" i="16" s="1"/>
  <c r="AB38" i="16" s="1"/>
  <c r="Y38" i="16"/>
  <c r="Z38" i="16"/>
  <c r="AC38" i="16"/>
  <c r="AD38" i="16"/>
  <c r="CB38" i="16"/>
  <c r="V39" i="16"/>
  <c r="W39" i="16"/>
  <c r="X39" i="16"/>
  <c r="Y39" i="16"/>
  <c r="Z39" i="16"/>
  <c r="AC39" i="16"/>
  <c r="AD39" i="16"/>
  <c r="CB39" i="16"/>
  <c r="V40" i="16"/>
  <c r="W40" i="16"/>
  <c r="X40" i="16"/>
  <c r="Y40" i="16"/>
  <c r="AA40" i="16" s="1"/>
  <c r="AB40" i="16" s="1"/>
  <c r="Z40" i="16"/>
  <c r="AC40" i="16"/>
  <c r="AD40" i="16"/>
  <c r="V41" i="16"/>
  <c r="CB41" i="16" s="1"/>
  <c r="W41" i="16"/>
  <c r="X41" i="16"/>
  <c r="Y41" i="16"/>
  <c r="Z41" i="16"/>
  <c r="AA41" i="16" s="1"/>
  <c r="AB41" i="16" s="1"/>
  <c r="AC41" i="16"/>
  <c r="AD41" i="16"/>
  <c r="V42" i="16"/>
  <c r="W42" i="16"/>
  <c r="X42" i="16"/>
  <c r="AA42" i="16" s="1"/>
  <c r="Y42" i="16"/>
  <c r="Z42" i="16"/>
  <c r="AB42" i="16"/>
  <c r="AC42" i="16"/>
  <c r="AD42" i="16"/>
  <c r="CB42" i="16"/>
  <c r="V43" i="16"/>
  <c r="W43" i="16"/>
  <c r="X43" i="16"/>
  <c r="Y43" i="16"/>
  <c r="Z43" i="16"/>
  <c r="AC43" i="16"/>
  <c r="AD43" i="16"/>
  <c r="CB43" i="16"/>
  <c r="V44" i="16"/>
  <c r="W44" i="16"/>
  <c r="X44" i="16"/>
  <c r="Y44" i="16"/>
  <c r="AA44" i="16" s="1"/>
  <c r="AB44" i="16" s="1"/>
  <c r="Z44" i="16"/>
  <c r="AC44" i="16"/>
  <c r="AD44" i="16"/>
  <c r="V45" i="16"/>
  <c r="CB45" i="16" s="1"/>
  <c r="W45" i="16"/>
  <c r="X45" i="16"/>
  <c r="Y45" i="16"/>
  <c r="Z45" i="16"/>
  <c r="AA45" i="16" s="1"/>
  <c r="AB45" i="16" s="1"/>
  <c r="AC45" i="16"/>
  <c r="AD45" i="16"/>
  <c r="V46" i="16"/>
  <c r="W46" i="16"/>
  <c r="X46" i="16"/>
  <c r="AA46" i="16" s="1"/>
  <c r="AB46" i="16" s="1"/>
  <c r="Y46" i="16"/>
  <c r="Z46" i="16"/>
  <c r="AC46" i="16"/>
  <c r="AD46" i="16"/>
  <c r="CB46" i="16"/>
  <c r="V47" i="16"/>
  <c r="W47" i="16"/>
  <c r="X47" i="16"/>
  <c r="Y47" i="16"/>
  <c r="Z47" i="16"/>
  <c r="AC47" i="16"/>
  <c r="AD47" i="16"/>
  <c r="CB47" i="16"/>
  <c r="V48" i="16"/>
  <c r="W48" i="16"/>
  <c r="X48" i="16"/>
  <c r="Y48" i="16"/>
  <c r="AA48" i="16" s="1"/>
  <c r="AB48" i="16" s="1"/>
  <c r="Z48" i="16"/>
  <c r="AC48" i="16"/>
  <c r="AD48" i="16"/>
  <c r="V49" i="16"/>
  <c r="CB49" i="16" s="1"/>
  <c r="W49" i="16"/>
  <c r="X49" i="16"/>
  <c r="Y49" i="16"/>
  <c r="Z49" i="16"/>
  <c r="AA49" i="16" s="1"/>
  <c r="AB49" i="16" s="1"/>
  <c r="AC49" i="16"/>
  <c r="AD49" i="16"/>
  <c r="V50" i="16"/>
  <c r="W50" i="16"/>
  <c r="X50" i="16"/>
  <c r="AA50" i="16" s="1"/>
  <c r="Y50" i="16"/>
  <c r="Z50" i="16"/>
  <c r="AB50" i="16"/>
  <c r="AC50" i="16"/>
  <c r="AD50" i="16"/>
  <c r="CB50" i="16"/>
  <c r="V51" i="16"/>
  <c r="W51" i="16"/>
  <c r="X51" i="16"/>
  <c r="Y51" i="16"/>
  <c r="Z51" i="16"/>
  <c r="AC51" i="16"/>
  <c r="AD51" i="16"/>
  <c r="CB51" i="16"/>
  <c r="V52" i="16"/>
  <c r="W52" i="16"/>
  <c r="X52" i="16"/>
  <c r="Y52" i="16"/>
  <c r="AA52" i="16" s="1"/>
  <c r="AB52" i="16" s="1"/>
  <c r="Z52" i="16"/>
  <c r="AC52" i="16"/>
  <c r="AD52" i="16"/>
  <c r="V53" i="16"/>
  <c r="CB53" i="16" s="1"/>
  <c r="W53" i="16"/>
  <c r="X53" i="16"/>
  <c r="Y53" i="16"/>
  <c r="Z53" i="16"/>
  <c r="AA53" i="16" s="1"/>
  <c r="AB53" i="16" s="1"/>
  <c r="AC53" i="16"/>
  <c r="AD53" i="16"/>
  <c r="V54" i="16"/>
  <c r="W54" i="16"/>
  <c r="X54" i="16"/>
  <c r="AA54" i="16" s="1"/>
  <c r="AB54" i="16" s="1"/>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A57" i="16" s="1"/>
  <c r="AB57" i="16" s="1"/>
  <c r="AC57" i="16"/>
  <c r="AD57" i="16"/>
  <c r="V58" i="16"/>
  <c r="W58" i="16"/>
  <c r="X58" i="16"/>
  <c r="AA58" i="16" s="1"/>
  <c r="Y58" i="16"/>
  <c r="Z58" i="16"/>
  <c r="AB58" i="16"/>
  <c r="AC58" i="16"/>
  <c r="AD58" i="16"/>
  <c r="CB58" i="16"/>
  <c r="V59" i="16"/>
  <c r="W59" i="16"/>
  <c r="X59" i="16"/>
  <c r="Y59" i="16"/>
  <c r="Z59" i="16"/>
  <c r="AC59" i="16"/>
  <c r="AD59" i="16"/>
  <c r="CB59" i="16"/>
  <c r="V60" i="16"/>
  <c r="W60" i="16"/>
  <c r="X60" i="16"/>
  <c r="Y60" i="16"/>
  <c r="AA60" i="16" s="1"/>
  <c r="AB60" i="16" s="1"/>
  <c r="Z60" i="16"/>
  <c r="AC60" i="16"/>
  <c r="AD60" i="16"/>
  <c r="V61" i="16"/>
  <c r="CB61" i="16" s="1"/>
  <c r="W61" i="16"/>
  <c r="X61" i="16"/>
  <c r="Y61" i="16"/>
  <c r="Z61" i="16"/>
  <c r="AA61" i="16" s="1"/>
  <c r="AB61" i="16" s="1"/>
  <c r="AC61" i="16"/>
  <c r="AD61" i="16"/>
  <c r="V62" i="16"/>
  <c r="W62" i="16"/>
  <c r="X62" i="16"/>
  <c r="AA62" i="16" s="1"/>
  <c r="AB62" i="16" s="1"/>
  <c r="Y62" i="16"/>
  <c r="Z62" i="16"/>
  <c r="AC62" i="16"/>
  <c r="AD62" i="16"/>
  <c r="CB62" i="16"/>
  <c r="V63" i="16"/>
  <c r="W63" i="16"/>
  <c r="X63" i="16"/>
  <c r="Y63" i="16"/>
  <c r="Z63" i="16"/>
  <c r="AC63" i="16"/>
  <c r="AD63" i="16"/>
  <c r="CB63" i="16"/>
  <c r="V64" i="16"/>
  <c r="W64" i="16"/>
  <c r="X64" i="16"/>
  <c r="Y64" i="16"/>
  <c r="AA64" i="16" s="1"/>
  <c r="AB64" i="16" s="1"/>
  <c r="Z64" i="16"/>
  <c r="AC64" i="16"/>
  <c r="AD64" i="16"/>
  <c r="V65" i="16"/>
  <c r="CB65" i="16" s="1"/>
  <c r="W65" i="16"/>
  <c r="X65" i="16"/>
  <c r="Y65" i="16"/>
  <c r="Z65" i="16"/>
  <c r="AA65" i="16" s="1"/>
  <c r="AB65" i="16" s="1"/>
  <c r="AC65" i="16"/>
  <c r="AD65" i="16"/>
  <c r="V66" i="16"/>
  <c r="W66" i="16"/>
  <c r="X66" i="16"/>
  <c r="AA66" i="16" s="1"/>
  <c r="Y66" i="16"/>
  <c r="Z66" i="16"/>
  <c r="AB66" i="16"/>
  <c r="AC66" i="16"/>
  <c r="AD66" i="16"/>
  <c r="CB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AA70" i="16" s="1"/>
  <c r="AB70" i="16" s="1"/>
  <c r="Y70" i="16"/>
  <c r="Z70" i="16"/>
  <c r="AC70" i="16"/>
  <c r="AD70" i="16"/>
  <c r="CB70" i="16"/>
  <c r="V71" i="16"/>
  <c r="W71" i="16"/>
  <c r="X71" i="16"/>
  <c r="Y71" i="16"/>
  <c r="Z71" i="16"/>
  <c r="AC71" i="16"/>
  <c r="AD71" i="16"/>
  <c r="CB71" i="16"/>
  <c r="V72" i="16"/>
  <c r="CB72" i="16" s="1"/>
  <c r="W72" i="16"/>
  <c r="X72" i="16"/>
  <c r="Y72" i="16"/>
  <c r="AA72" i="16" s="1"/>
  <c r="AB72" i="16" s="1"/>
  <c r="Z72" i="16"/>
  <c r="AC72" i="16"/>
  <c r="AD72" i="16"/>
  <c r="V73" i="16"/>
  <c r="W73" i="16"/>
  <c r="X73" i="16"/>
  <c r="Y73" i="16"/>
  <c r="Z73" i="16"/>
  <c r="AA73" i="16"/>
  <c r="AB73" i="16" s="1"/>
  <c r="AC73" i="16"/>
  <c r="AD73" i="16"/>
  <c r="CB73" i="16"/>
  <c r="V74" i="16"/>
  <c r="W74" i="16"/>
  <c r="X74" i="16"/>
  <c r="AA74" i="16" s="1"/>
  <c r="AB74" i="16" s="1"/>
  <c r="Y74" i="16"/>
  <c r="Z74" i="16"/>
  <c r="AC74" i="16"/>
  <c r="AD74" i="16"/>
  <c r="CB74" i="16"/>
  <c r="V75" i="16"/>
  <c r="W75" i="16"/>
  <c r="X75" i="16"/>
  <c r="Y75" i="16"/>
  <c r="Z75" i="16"/>
  <c r="AC75" i="16"/>
  <c r="AD75" i="16"/>
  <c r="CB75" i="16"/>
  <c r="V76" i="16"/>
  <c r="CB76" i="16" s="1"/>
  <c r="W76" i="16"/>
  <c r="X76" i="16"/>
  <c r="Y76" i="16"/>
  <c r="AA76" i="16" s="1"/>
  <c r="AB76" i="16" s="1"/>
  <c r="Z76" i="16"/>
  <c r="AC76" i="16"/>
  <c r="AD76" i="16"/>
  <c r="V77" i="16"/>
  <c r="W77" i="16"/>
  <c r="X77" i="16"/>
  <c r="Y77" i="16"/>
  <c r="Z77" i="16"/>
  <c r="AA77" i="16"/>
  <c r="AB77" i="16" s="1"/>
  <c r="AC77" i="16"/>
  <c r="AD77" i="16"/>
  <c r="CB77" i="16"/>
  <c r="V78" i="16"/>
  <c r="W78" i="16"/>
  <c r="X78" i="16"/>
  <c r="AA78" i="16" s="1"/>
  <c r="AB78" i="16" s="1"/>
  <c r="Y78" i="16"/>
  <c r="Z78" i="16"/>
  <c r="AC78" i="16"/>
  <c r="AD78" i="16"/>
  <c r="CB78" i="16"/>
  <c r="V79" i="16"/>
  <c r="W79" i="16"/>
  <c r="X79" i="16"/>
  <c r="Y79" i="16"/>
  <c r="Z79" i="16"/>
  <c r="AC79" i="16"/>
  <c r="AD79" i="16"/>
  <c r="CB79" i="16"/>
  <c r="V80" i="16"/>
  <c r="CB80" i="16" s="1"/>
  <c r="W80" i="16"/>
  <c r="X80" i="16"/>
  <c r="Y80" i="16"/>
  <c r="AA80" i="16" s="1"/>
  <c r="AB80" i="16" s="1"/>
  <c r="Z80" i="16"/>
  <c r="AC80" i="16"/>
  <c r="AD80" i="16"/>
  <c r="V81" i="16"/>
  <c r="W81" i="16"/>
  <c r="X81" i="16"/>
  <c r="Y81" i="16"/>
  <c r="Z81" i="16"/>
  <c r="AA81" i="16"/>
  <c r="AB81" i="16" s="1"/>
  <c r="AC81" i="16"/>
  <c r="AD81" i="16"/>
  <c r="CB81" i="16"/>
  <c r="V82" i="16"/>
  <c r="W82" i="16"/>
  <c r="X82" i="16"/>
  <c r="AA82" i="16" s="1"/>
  <c r="AB82" i="16" s="1"/>
  <c r="Y82" i="16"/>
  <c r="Z82" i="16"/>
  <c r="AC82" i="16"/>
  <c r="AD82" i="16"/>
  <c r="CB82" i="16"/>
  <c r="V83" i="16"/>
  <c r="W83" i="16"/>
  <c r="X83" i="16"/>
  <c r="Y83" i="16"/>
  <c r="Z83" i="16"/>
  <c r="AC83" i="16"/>
  <c r="AD83" i="16"/>
  <c r="CB83" i="16"/>
  <c r="V84" i="16"/>
  <c r="CB84" i="16" s="1"/>
  <c r="W84" i="16"/>
  <c r="X84" i="16"/>
  <c r="Y84" i="16"/>
  <c r="AA84" i="16" s="1"/>
  <c r="AB84" i="16" s="1"/>
  <c r="Z84" i="16"/>
  <c r="AC84" i="16"/>
  <c r="AD84" i="16"/>
  <c r="V85" i="16"/>
  <c r="W85" i="16"/>
  <c r="X85" i="16"/>
  <c r="Y85" i="16"/>
  <c r="Z85" i="16"/>
  <c r="AA85" i="16"/>
  <c r="AB85" i="16" s="1"/>
  <c r="AC85" i="16"/>
  <c r="AD85" i="16"/>
  <c r="CB85" i="16"/>
  <c r="V86" i="16"/>
  <c r="W86" i="16"/>
  <c r="X86" i="16"/>
  <c r="AA86" i="16" s="1"/>
  <c r="AB86" i="16" s="1"/>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W89" i="16"/>
  <c r="X89" i="16"/>
  <c r="Y89" i="16"/>
  <c r="Z89" i="16"/>
  <c r="AA89" i="16"/>
  <c r="AB89" i="16" s="1"/>
  <c r="AC89" i="16"/>
  <c r="AD89" i="16"/>
  <c r="CB89" i="16"/>
  <c r="V90" i="16"/>
  <c r="W90" i="16"/>
  <c r="X90" i="16"/>
  <c r="AA90" i="16" s="1"/>
  <c r="AB90" i="16" s="1"/>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A93" i="16" s="1"/>
  <c r="AB93" i="16" s="1"/>
  <c r="AC93" i="16"/>
  <c r="AD93" i="16"/>
  <c r="V94" i="16"/>
  <c r="W94" i="16"/>
  <c r="X94" i="16"/>
  <c r="Y94" i="16"/>
  <c r="Z94" i="16"/>
  <c r="AA94" i="16"/>
  <c r="AB94" i="16" s="1"/>
  <c r="AC94" i="16"/>
  <c r="AD94" i="16"/>
  <c r="CB94" i="16"/>
  <c r="V95" i="16"/>
  <c r="W95" i="16"/>
  <c r="X95" i="16"/>
  <c r="AA95" i="16" s="1"/>
  <c r="AB95" i="16" s="1"/>
  <c r="Y95" i="16"/>
  <c r="Z95" i="16"/>
  <c r="AC95" i="16"/>
  <c r="AD95" i="16"/>
  <c r="CB95" i="16"/>
  <c r="V96" i="16"/>
  <c r="W96" i="16"/>
  <c r="X96" i="16"/>
  <c r="Y96" i="16"/>
  <c r="Z96" i="16"/>
  <c r="AC96" i="16"/>
  <c r="AD96" i="16"/>
  <c r="V97" i="16"/>
  <c r="W97" i="16"/>
  <c r="X97" i="16"/>
  <c r="Y97" i="16"/>
  <c r="Z97" i="16"/>
  <c r="AA97" i="16" s="1"/>
  <c r="AB97" i="16" s="1"/>
  <c r="AC97" i="16"/>
  <c r="AD97" i="16"/>
  <c r="V98" i="16"/>
  <c r="W98" i="16"/>
  <c r="X98" i="16"/>
  <c r="Y98" i="16"/>
  <c r="Z98" i="16"/>
  <c r="AA98" i="16"/>
  <c r="AB98" i="16" s="1"/>
  <c r="AC98" i="16"/>
  <c r="AD98" i="16"/>
  <c r="CB98" i="16"/>
  <c r="V99" i="16"/>
  <c r="W99" i="16"/>
  <c r="X99" i="16"/>
  <c r="AA99" i="16" s="1"/>
  <c r="Y99" i="16"/>
  <c r="Z99" i="16"/>
  <c r="AB99" i="16"/>
  <c r="AC99" i="16"/>
  <c r="AD99" i="16"/>
  <c r="CB99" i="16"/>
  <c r="V100" i="16"/>
  <c r="W100" i="16"/>
  <c r="X100" i="16"/>
  <c r="AA100" i="16" s="1"/>
  <c r="AB100" i="16" s="1"/>
  <c r="Y100" i="16"/>
  <c r="Z100" i="16"/>
  <c r="AC100" i="16"/>
  <c r="AD100" i="16"/>
  <c r="V101" i="16"/>
  <c r="W101" i="16"/>
  <c r="X101" i="16"/>
  <c r="Y101" i="16"/>
  <c r="Z101" i="16"/>
  <c r="AA101" i="16" s="1"/>
  <c r="AB101" i="16" s="1"/>
  <c r="AC101" i="16"/>
  <c r="AD101" i="16"/>
  <c r="V102" i="16"/>
  <c r="W102" i="16"/>
  <c r="X102" i="16"/>
  <c r="Y102" i="16"/>
  <c r="Z102" i="16"/>
  <c r="AA102" i="16"/>
  <c r="AB102" i="16" s="1"/>
  <c r="AC102" i="16"/>
  <c r="AD102" i="16"/>
  <c r="CB102" i="16"/>
  <c r="V103" i="16"/>
  <c r="W103" i="16"/>
  <c r="X103" i="16"/>
  <c r="AA103" i="16" s="1"/>
  <c r="AB103" i="16" s="1"/>
  <c r="Y103" i="16"/>
  <c r="Z103" i="16"/>
  <c r="AC103" i="16"/>
  <c r="AD103" i="16"/>
  <c r="CB103" i="16"/>
  <c r="V104" i="16"/>
  <c r="W104" i="16"/>
  <c r="X104" i="16"/>
  <c r="Y104" i="16"/>
  <c r="Z104" i="16"/>
  <c r="AC104" i="16"/>
  <c r="AD104" i="16"/>
  <c r="V105" i="16"/>
  <c r="CB105" i="16" s="1"/>
  <c r="W105" i="16"/>
  <c r="X105" i="16"/>
  <c r="Y105" i="16"/>
  <c r="Z105" i="16"/>
  <c r="AA105" i="16" s="1"/>
  <c r="AB105" i="16" s="1"/>
  <c r="AC105" i="16"/>
  <c r="AD105" i="16"/>
  <c r="V106" i="16"/>
  <c r="W106" i="16"/>
  <c r="X106" i="16"/>
  <c r="Y106" i="16"/>
  <c r="Z106" i="16"/>
  <c r="AA106" i="16"/>
  <c r="AB106" i="16" s="1"/>
  <c r="AC106" i="16"/>
  <c r="AD106" i="16"/>
  <c r="CB106" i="16"/>
  <c r="V107" i="16"/>
  <c r="W107" i="16"/>
  <c r="X107" i="16"/>
  <c r="AA107" i="16" s="1"/>
  <c r="AB107" i="16" s="1"/>
  <c r="Y107" i="16"/>
  <c r="Z107" i="16"/>
  <c r="AC107" i="16"/>
  <c r="AD107" i="16"/>
  <c r="CB107" i="16"/>
  <c r="V108" i="16"/>
  <c r="W108" i="16"/>
  <c r="X108" i="16"/>
  <c r="Y108" i="16"/>
  <c r="Z108" i="16"/>
  <c r="AC108" i="16"/>
  <c r="AD108" i="16"/>
  <c r="V109" i="16"/>
  <c r="CB109" i="16" s="1"/>
  <c r="W109" i="16"/>
  <c r="X109" i="16"/>
  <c r="Y109" i="16"/>
  <c r="Z109" i="16"/>
  <c r="AA109" i="16" s="1"/>
  <c r="AB109" i="16" s="1"/>
  <c r="AC109" i="16"/>
  <c r="AD109" i="16"/>
  <c r="V110" i="16"/>
  <c r="W110" i="16"/>
  <c r="X110" i="16"/>
  <c r="Y110" i="16"/>
  <c r="Z110" i="16"/>
  <c r="AA110" i="16"/>
  <c r="AB110" i="16" s="1"/>
  <c r="AC110" i="16"/>
  <c r="AD110" i="16"/>
  <c r="CB110" i="16"/>
  <c r="V111" i="16"/>
  <c r="W111" i="16"/>
  <c r="X111" i="16"/>
  <c r="AA111" i="16" s="1"/>
  <c r="AB111" i="16" s="1"/>
  <c r="Y111" i="16"/>
  <c r="Z111" i="16"/>
  <c r="AC111" i="16"/>
  <c r="AD111" i="16"/>
  <c r="CB111" i="16"/>
  <c r="V112" i="16"/>
  <c r="W112" i="16"/>
  <c r="X112" i="16"/>
  <c r="Y112" i="16"/>
  <c r="Z112" i="16"/>
  <c r="AC112" i="16"/>
  <c r="AD112" i="16"/>
  <c r="V113" i="16"/>
  <c r="CB113" i="16" s="1"/>
  <c r="W113" i="16"/>
  <c r="X113" i="16"/>
  <c r="Y113" i="16"/>
  <c r="Z113" i="16"/>
  <c r="AA113" i="16" s="1"/>
  <c r="AB113" i="16" s="1"/>
  <c r="AC113" i="16"/>
  <c r="AD113" i="16"/>
  <c r="V114" i="16"/>
  <c r="W114" i="16"/>
  <c r="X114" i="16"/>
  <c r="Y114" i="16"/>
  <c r="Z114" i="16"/>
  <c r="AA114" i="16"/>
  <c r="AB114" i="16" s="1"/>
  <c r="AC114" i="16"/>
  <c r="AD114" i="16"/>
  <c r="CB114" i="16"/>
  <c r="V115" i="16"/>
  <c r="W115" i="16"/>
  <c r="X115" i="16"/>
  <c r="AA115" i="16" s="1"/>
  <c r="AB115" i="16" s="1"/>
  <c r="Y115" i="16"/>
  <c r="Z115" i="16"/>
  <c r="AC115" i="16"/>
  <c r="AD115" i="16"/>
  <c r="CB115" i="16"/>
  <c r="V116" i="16"/>
  <c r="W116" i="16"/>
  <c r="X116" i="16"/>
  <c r="Y116" i="16"/>
  <c r="Z116" i="16"/>
  <c r="AC116" i="16"/>
  <c r="AD116" i="16"/>
  <c r="V117" i="16"/>
  <c r="CB117" i="16" s="1"/>
  <c r="W117" i="16"/>
  <c r="X117" i="16"/>
  <c r="Y117" i="16"/>
  <c r="AA117" i="16" s="1"/>
  <c r="AB117" i="16" s="1"/>
  <c r="Z117" i="16"/>
  <c r="AC117" i="16"/>
  <c r="AD117" i="16"/>
  <c r="V118" i="16"/>
  <c r="W118" i="16"/>
  <c r="X118" i="16"/>
  <c r="Y118" i="16"/>
  <c r="Z118" i="16"/>
  <c r="AA118" i="16"/>
  <c r="AB118" i="16" s="1"/>
  <c r="AC118" i="16"/>
  <c r="AD118" i="16"/>
  <c r="CB118" i="16"/>
  <c r="V119" i="16"/>
  <c r="W119" i="16"/>
  <c r="X119" i="16"/>
  <c r="AA119" i="16" s="1"/>
  <c r="AB119" i="16" s="1"/>
  <c r="Y119" i="16"/>
  <c r="Z119" i="16"/>
  <c r="AC119" i="16"/>
  <c r="AD119" i="16"/>
  <c r="CB119" i="16"/>
  <c r="V120" i="16"/>
  <c r="W120" i="16"/>
  <c r="X120" i="16"/>
  <c r="Y120" i="16"/>
  <c r="Z120" i="16"/>
  <c r="AC120" i="16"/>
  <c r="AD120" i="16"/>
  <c r="CB120" i="16"/>
  <c r="V121" i="16"/>
  <c r="CB121" i="16" s="1"/>
  <c r="W121" i="16"/>
  <c r="X121" i="16"/>
  <c r="Y121" i="16"/>
  <c r="AA121" i="16" s="1"/>
  <c r="AB121" i="16" s="1"/>
  <c r="Z121" i="16"/>
  <c r="AC121" i="16"/>
  <c r="AD121" i="16"/>
  <c r="V122" i="16"/>
  <c r="W122" i="16"/>
  <c r="X122" i="16"/>
  <c r="Y122" i="16"/>
  <c r="Z122" i="16"/>
  <c r="AA122" i="16"/>
  <c r="AB122" i="16" s="1"/>
  <c r="AC122" i="16"/>
  <c r="AD122" i="16"/>
  <c r="CB122" i="16"/>
  <c r="V123" i="16"/>
  <c r="W123" i="16"/>
  <c r="X123" i="16"/>
  <c r="AA123" i="16" s="1"/>
  <c r="AB123" i="16" s="1"/>
  <c r="Y123" i="16"/>
  <c r="Z123" i="16"/>
  <c r="AC123" i="16"/>
  <c r="AD123" i="16"/>
  <c r="CB123" i="16"/>
  <c r="V124" i="16"/>
  <c r="W124" i="16"/>
  <c r="X124" i="16"/>
  <c r="Y124" i="16"/>
  <c r="Z124" i="16"/>
  <c r="AC124" i="16"/>
  <c r="AD124" i="16"/>
  <c r="CB124" i="16"/>
  <c r="V125" i="16"/>
  <c r="CB125" i="16" s="1"/>
  <c r="W125" i="16"/>
  <c r="X125" i="16"/>
  <c r="Y125" i="16"/>
  <c r="AA125" i="16" s="1"/>
  <c r="AB125" i="16" s="1"/>
  <c r="Z125" i="16"/>
  <c r="AC125" i="16"/>
  <c r="AD125" i="16"/>
  <c r="V126" i="16"/>
  <c r="W126" i="16"/>
  <c r="X126" i="16"/>
  <c r="Y126" i="16"/>
  <c r="Z126" i="16"/>
  <c r="AA126" i="16"/>
  <c r="AB126" i="16" s="1"/>
  <c r="AC126" i="16"/>
  <c r="AD126" i="16"/>
  <c r="CB126" i="16"/>
  <c r="V127" i="16"/>
  <c r="W127" i="16"/>
  <c r="X127" i="16"/>
  <c r="AA127" i="16" s="1"/>
  <c r="AB127" i="16" s="1"/>
  <c r="Y127" i="16"/>
  <c r="Z127" i="16"/>
  <c r="AC127" i="16"/>
  <c r="AD127" i="16"/>
  <c r="CB127" i="16"/>
  <c r="V128" i="16"/>
  <c r="W128" i="16"/>
  <c r="X128" i="16"/>
  <c r="Y128" i="16"/>
  <c r="Z128" i="16"/>
  <c r="AC128" i="16"/>
  <c r="AD128" i="16"/>
  <c r="CB128" i="16"/>
  <c r="V129" i="16"/>
  <c r="CB129" i="16" s="1"/>
  <c r="W129" i="16"/>
  <c r="X129" i="16"/>
  <c r="Y129" i="16"/>
  <c r="AA129" i="16" s="1"/>
  <c r="AB129" i="16" s="1"/>
  <c r="Z129" i="16"/>
  <c r="AC129" i="16"/>
  <c r="AD129" i="16"/>
  <c r="V130" i="16"/>
  <c r="W130" i="16"/>
  <c r="X130" i="16"/>
  <c r="Y130" i="16"/>
  <c r="Z130" i="16"/>
  <c r="AA130" i="16"/>
  <c r="AB130" i="16" s="1"/>
  <c r="AC130" i="16"/>
  <c r="AD130" i="16"/>
  <c r="CB130" i="16"/>
  <c r="V131" i="16"/>
  <c r="W131" i="16"/>
  <c r="X131" i="16"/>
  <c r="AA131" i="16" s="1"/>
  <c r="AB131" i="16" s="1"/>
  <c r="Y131" i="16"/>
  <c r="Z131" i="16"/>
  <c r="AC131" i="16"/>
  <c r="AD131" i="16"/>
  <c r="CB131" i="16"/>
  <c r="V132" i="16"/>
  <c r="W132" i="16"/>
  <c r="X132" i="16"/>
  <c r="Y132" i="16"/>
  <c r="Z132" i="16"/>
  <c r="AC132" i="16"/>
  <c r="AD132" i="16"/>
  <c r="CB132" i="16"/>
  <c r="V133" i="16"/>
  <c r="CB133" i="16" s="1"/>
  <c r="W133" i="16"/>
  <c r="X133" i="16"/>
  <c r="Y133" i="16"/>
  <c r="AA133" i="16" s="1"/>
  <c r="AB133" i="16" s="1"/>
  <c r="Z133" i="16"/>
  <c r="AC133" i="16"/>
  <c r="AD133" i="16"/>
  <c r="V134" i="16"/>
  <c r="W134" i="16"/>
  <c r="X134" i="16"/>
  <c r="Y134" i="16"/>
  <c r="Z134" i="16"/>
  <c r="AA134" i="16"/>
  <c r="AB134" i="16" s="1"/>
  <c r="AC134" i="16"/>
  <c r="AD134" i="16"/>
  <c r="CB134" i="16"/>
  <c r="V135" i="16"/>
  <c r="W135" i="16"/>
  <c r="X135" i="16"/>
  <c r="AA135" i="16" s="1"/>
  <c r="AB135" i="16" s="1"/>
  <c r="Y135" i="16"/>
  <c r="Z135" i="16"/>
  <c r="AC135" i="16"/>
  <c r="AD135" i="16"/>
  <c r="CB135" i="16"/>
  <c r="V136" i="16"/>
  <c r="W136" i="16"/>
  <c r="X136" i="16"/>
  <c r="Y136" i="16"/>
  <c r="Z136" i="16"/>
  <c r="AC136" i="16"/>
  <c r="AD136" i="16"/>
  <c r="CB136" i="16"/>
  <c r="V137" i="16"/>
  <c r="CB137" i="16" s="1"/>
  <c r="W137" i="16"/>
  <c r="X137" i="16"/>
  <c r="Y137" i="16"/>
  <c r="AA137" i="16" s="1"/>
  <c r="AB137" i="16" s="1"/>
  <c r="Z137" i="16"/>
  <c r="AC137" i="16"/>
  <c r="AD137" i="16"/>
  <c r="V138" i="16"/>
  <c r="W138" i="16"/>
  <c r="X138" i="16"/>
  <c r="Y138" i="16"/>
  <c r="Z138" i="16"/>
  <c r="AA138" i="16"/>
  <c r="AB138" i="16" s="1"/>
  <c r="AC138" i="16"/>
  <c r="AD138" i="16"/>
  <c r="CB138" i="16"/>
  <c r="V139" i="16"/>
  <c r="W139" i="16"/>
  <c r="X139" i="16"/>
  <c r="AA139" i="16" s="1"/>
  <c r="AB139" i="16" s="1"/>
  <c r="Y139" i="16"/>
  <c r="Z139" i="16"/>
  <c r="AC139" i="16"/>
  <c r="AD139" i="16"/>
  <c r="CB139" i="16"/>
  <c r="V140" i="16"/>
  <c r="W140" i="16"/>
  <c r="X140" i="16"/>
  <c r="Y140" i="16"/>
  <c r="Z140" i="16"/>
  <c r="AC140" i="16"/>
  <c r="AD140" i="16"/>
  <c r="CB140" i="16"/>
  <c r="V141" i="16"/>
  <c r="CB141" i="16" s="1"/>
  <c r="W141" i="16"/>
  <c r="X141" i="16"/>
  <c r="Y141" i="16"/>
  <c r="AA141" i="16" s="1"/>
  <c r="AB141" i="16" s="1"/>
  <c r="Z141" i="16"/>
  <c r="AC141" i="16"/>
  <c r="AD141" i="16"/>
  <c r="V142" i="16"/>
  <c r="W142" i="16"/>
  <c r="X142" i="16"/>
  <c r="Y142" i="16"/>
  <c r="Z142" i="16"/>
  <c r="AA142" i="16"/>
  <c r="AB142" i="16" s="1"/>
  <c r="AC142" i="16"/>
  <c r="AD142" i="16"/>
  <c r="CB142" i="16"/>
  <c r="V143" i="16"/>
  <c r="W143" i="16"/>
  <c r="X143" i="16"/>
  <c r="AA143" i="16" s="1"/>
  <c r="AB143" i="16" s="1"/>
  <c r="Y143" i="16"/>
  <c r="Z143" i="16"/>
  <c r="AC143" i="16"/>
  <c r="AD143" i="16"/>
  <c r="CB143" i="16"/>
  <c r="V144" i="16"/>
  <c r="W144" i="16"/>
  <c r="X144" i="16"/>
  <c r="Y144" i="16"/>
  <c r="Z144" i="16"/>
  <c r="AC144" i="16"/>
  <c r="AD144" i="16"/>
  <c r="CB144" i="16"/>
  <c r="V145" i="16"/>
  <c r="CB145" i="16" s="1"/>
  <c r="W145" i="16"/>
  <c r="X145" i="16"/>
  <c r="Y145" i="16"/>
  <c r="Z145" i="16"/>
  <c r="AC145" i="16"/>
  <c r="AD145" i="16"/>
  <c r="V146" i="16"/>
  <c r="W146" i="16"/>
  <c r="X146" i="16"/>
  <c r="Y146" i="16"/>
  <c r="Z146" i="16"/>
  <c r="AA146" i="16"/>
  <c r="AB146" i="16" s="1"/>
  <c r="AC146" i="16"/>
  <c r="AD146" i="16"/>
  <c r="CB146" i="16"/>
  <c r="V147" i="16"/>
  <c r="W147" i="16"/>
  <c r="X147" i="16"/>
  <c r="AA147" i="16" s="1"/>
  <c r="AB147" i="16" s="1"/>
  <c r="Y147" i="16"/>
  <c r="Z147" i="16"/>
  <c r="AC147" i="16"/>
  <c r="AD147" i="16"/>
  <c r="CB147" i="16"/>
  <c r="V148" i="16"/>
  <c r="W148" i="16"/>
  <c r="X148" i="16"/>
  <c r="Y148" i="16"/>
  <c r="Z148" i="16"/>
  <c r="AC148" i="16"/>
  <c r="AD148" i="16"/>
  <c r="CB148" i="16"/>
  <c r="V149" i="16"/>
  <c r="CB149" i="16" s="1"/>
  <c r="W149" i="16"/>
  <c r="X149" i="16"/>
  <c r="Y149" i="16"/>
  <c r="Z149" i="16"/>
  <c r="AC149" i="16"/>
  <c r="AD149" i="16"/>
  <c r="V150" i="16"/>
  <c r="W150" i="16"/>
  <c r="X150" i="16"/>
  <c r="Y150" i="16"/>
  <c r="Z150" i="16"/>
  <c r="AA150" i="16"/>
  <c r="AB150" i="16" s="1"/>
  <c r="AC150" i="16"/>
  <c r="AD150" i="16"/>
  <c r="CB150" i="16"/>
  <c r="V151" i="16"/>
  <c r="W151" i="16"/>
  <c r="X151" i="16"/>
  <c r="AA151" i="16" s="1"/>
  <c r="AB151" i="16" s="1"/>
  <c r="Y151" i="16"/>
  <c r="Z151" i="16"/>
  <c r="AC151" i="16"/>
  <c r="AD151" i="16"/>
  <c r="CB151" i="16"/>
  <c r="V152" i="16"/>
  <c r="W152" i="16"/>
  <c r="X152" i="16"/>
  <c r="Y152" i="16"/>
  <c r="Z152" i="16"/>
  <c r="AC152" i="16"/>
  <c r="AD152" i="16"/>
  <c r="CB152" i="16"/>
  <c r="V153" i="16"/>
  <c r="CB153" i="16" s="1"/>
  <c r="W153" i="16"/>
  <c r="X153" i="16"/>
  <c r="Y153" i="16"/>
  <c r="Z153" i="16"/>
  <c r="AC153" i="16"/>
  <c r="AD153" i="16"/>
  <c r="V154" i="16"/>
  <c r="W154" i="16"/>
  <c r="X154" i="16"/>
  <c r="Y154" i="16"/>
  <c r="Z154" i="16"/>
  <c r="AA154" i="16"/>
  <c r="AB154" i="16" s="1"/>
  <c r="AC154" i="16"/>
  <c r="AD154" i="16"/>
  <c r="CB154" i="16"/>
  <c r="V155" i="16"/>
  <c r="W155" i="16"/>
  <c r="X155" i="16"/>
  <c r="AA155" i="16" s="1"/>
  <c r="AB155" i="16" s="1"/>
  <c r="Y155" i="16"/>
  <c r="Z155" i="16"/>
  <c r="AC155" i="16"/>
  <c r="AD155" i="16"/>
  <c r="CB155" i="16"/>
  <c r="V156" i="16"/>
  <c r="W156" i="16"/>
  <c r="X156" i="16"/>
  <c r="Y156" i="16"/>
  <c r="Z156" i="16"/>
  <c r="AC156" i="16"/>
  <c r="AD156" i="16"/>
  <c r="CB156" i="16"/>
  <c r="V157" i="16"/>
  <c r="CB157" i="16" s="1"/>
  <c r="W157" i="16"/>
  <c r="X157" i="16"/>
  <c r="Y157" i="16"/>
  <c r="Z157" i="16"/>
  <c r="AC157" i="16"/>
  <c r="AD157" i="16"/>
  <c r="V158" i="16"/>
  <c r="W158" i="16"/>
  <c r="X158" i="16"/>
  <c r="Y158" i="16"/>
  <c r="Z158" i="16"/>
  <c r="AA158" i="16"/>
  <c r="AB158" i="16" s="1"/>
  <c r="AC158" i="16"/>
  <c r="AD158" i="16"/>
  <c r="CB158" i="16"/>
  <c r="V159" i="16"/>
  <c r="W159" i="16"/>
  <c r="X159" i="16"/>
  <c r="Y159" i="16"/>
  <c r="Z159" i="16"/>
  <c r="AC159" i="16"/>
  <c r="AD159" i="16"/>
  <c r="CB159" i="16"/>
  <c r="V160" i="16"/>
  <c r="CB160" i="16" s="1"/>
  <c r="W160" i="16"/>
  <c r="X160" i="16"/>
  <c r="Y160" i="16"/>
  <c r="AA160" i="16" s="1"/>
  <c r="AB160" i="16" s="1"/>
  <c r="Z160" i="16"/>
  <c r="AC160" i="16"/>
  <c r="AD160" i="16"/>
  <c r="V161" i="16"/>
  <c r="W161" i="16"/>
  <c r="X161" i="16"/>
  <c r="AA161" i="16" s="1"/>
  <c r="AB161" i="16" s="1"/>
  <c r="Y161" i="16"/>
  <c r="Z161" i="16"/>
  <c r="AC161" i="16"/>
  <c r="AD161" i="16"/>
  <c r="CB161" i="16"/>
  <c r="V162" i="16"/>
  <c r="W162" i="16"/>
  <c r="X162" i="16"/>
  <c r="Y162" i="16"/>
  <c r="Z162" i="16"/>
  <c r="AA162" i="16"/>
  <c r="AB162" i="16" s="1"/>
  <c r="AC162" i="16"/>
  <c r="AD162" i="16"/>
  <c r="CB162" i="16"/>
  <c r="V163" i="16"/>
  <c r="W163" i="16"/>
  <c r="X163" i="16"/>
  <c r="AA163" i="16" s="1"/>
  <c r="AB163" i="16" s="1"/>
  <c r="Y163" i="16"/>
  <c r="Z163" i="16"/>
  <c r="AC163" i="16"/>
  <c r="AD163" i="16"/>
  <c r="CB163" i="16"/>
  <c r="V164" i="16"/>
  <c r="CB164" i="16" s="1"/>
  <c r="W164" i="16"/>
  <c r="X164" i="16"/>
  <c r="Y164" i="16"/>
  <c r="Z164" i="16"/>
  <c r="AA164" i="16"/>
  <c r="AB164" i="16" s="1"/>
  <c r="AC164" i="16"/>
  <c r="AD164" i="16"/>
  <c r="V165" i="16"/>
  <c r="W165" i="16"/>
  <c r="X165" i="16"/>
  <c r="Y165" i="16"/>
  <c r="Z165" i="16"/>
  <c r="AC165" i="16"/>
  <c r="AD165" i="16"/>
  <c r="CB165" i="16"/>
  <c r="V166" i="16"/>
  <c r="W166" i="16"/>
  <c r="X166" i="16"/>
  <c r="Y166" i="16"/>
  <c r="AA166" i="16" s="1"/>
  <c r="AB166" i="16" s="1"/>
  <c r="Z166" i="16"/>
  <c r="AC166" i="16"/>
  <c r="AD166" i="16"/>
  <c r="CB166" i="16"/>
  <c r="V167" i="16"/>
  <c r="W167" i="16"/>
  <c r="X167" i="16"/>
  <c r="AA167" i="16" s="1"/>
  <c r="AB167" i="16" s="1"/>
  <c r="Y167" i="16"/>
  <c r="Z167" i="16"/>
  <c r="AC167" i="16"/>
  <c r="AD167" i="16"/>
  <c r="CB167" i="16"/>
  <c r="V168" i="16"/>
  <c r="CB168" i="16" s="1"/>
  <c r="W168" i="16"/>
  <c r="X168" i="16"/>
  <c r="Y168" i="16"/>
  <c r="Z168" i="16"/>
  <c r="AA168" i="16"/>
  <c r="AB168" i="16" s="1"/>
  <c r="AC168" i="16"/>
  <c r="AD168" i="16"/>
  <c r="V169" i="16"/>
  <c r="W169" i="16"/>
  <c r="X169" i="16"/>
  <c r="Y169" i="16"/>
  <c r="Z169" i="16"/>
  <c r="AC169" i="16"/>
  <c r="AD169" i="16"/>
  <c r="CB169" i="16"/>
  <c r="V170" i="16"/>
  <c r="W170" i="16"/>
  <c r="X170" i="16"/>
  <c r="Y170" i="16"/>
  <c r="AA170" i="16" s="1"/>
  <c r="AB170" i="16" s="1"/>
  <c r="Z170" i="16"/>
  <c r="AC170" i="16"/>
  <c r="AD170" i="16"/>
  <c r="CB170" i="16"/>
  <c r="V171" i="16"/>
  <c r="W171" i="16"/>
  <c r="X171" i="16"/>
  <c r="Y171" i="16"/>
  <c r="Z171" i="16"/>
  <c r="AC171" i="16"/>
  <c r="AD171" i="16"/>
  <c r="CB171" i="16"/>
  <c r="V172" i="16"/>
  <c r="CB172" i="16" s="1"/>
  <c r="W172" i="16"/>
  <c r="X172" i="16"/>
  <c r="Y172" i="16"/>
  <c r="AA172" i="16" s="1"/>
  <c r="AB172" i="16" s="1"/>
  <c r="Z172" i="16"/>
  <c r="AC172" i="16"/>
  <c r="AD172" i="16"/>
  <c r="V173" i="16"/>
  <c r="W173" i="16"/>
  <c r="X173" i="16"/>
  <c r="AA173" i="16" s="1"/>
  <c r="AB173" i="16" s="1"/>
  <c r="Y173" i="16"/>
  <c r="Z173" i="16"/>
  <c r="AC173" i="16"/>
  <c r="AD173" i="16"/>
  <c r="CB173" i="16"/>
  <c r="V174" i="16"/>
  <c r="W174" i="16"/>
  <c r="X174" i="16"/>
  <c r="Y174" i="16"/>
  <c r="Z174" i="16"/>
  <c r="AA174" i="16"/>
  <c r="AB174" i="16" s="1"/>
  <c r="AC174" i="16"/>
  <c r="AD174" i="16"/>
  <c r="CB174" i="16"/>
  <c r="V175" i="16"/>
  <c r="W175" i="16"/>
  <c r="X175" i="16"/>
  <c r="Y175" i="16"/>
  <c r="Z175" i="16"/>
  <c r="AC175" i="16"/>
  <c r="AD175" i="16"/>
  <c r="CB175" i="16"/>
  <c r="V176" i="16"/>
  <c r="CB176" i="16" s="1"/>
  <c r="W176" i="16"/>
  <c r="X176" i="16"/>
  <c r="Y176" i="16"/>
  <c r="AA176" i="16" s="1"/>
  <c r="AB176" i="16" s="1"/>
  <c r="Z176" i="16"/>
  <c r="AC176" i="16"/>
  <c r="AD176" i="16"/>
  <c r="V177" i="16"/>
  <c r="W177" i="16"/>
  <c r="X177" i="16"/>
  <c r="AA177" i="16" s="1"/>
  <c r="AB177" i="16" s="1"/>
  <c r="Y177" i="16"/>
  <c r="Z177" i="16"/>
  <c r="AC177" i="16"/>
  <c r="AD177" i="16"/>
  <c r="CB177" i="16"/>
  <c r="V178" i="16"/>
  <c r="W178" i="16"/>
  <c r="X178" i="16"/>
  <c r="Y178" i="16"/>
  <c r="Z178" i="16"/>
  <c r="AA178" i="16"/>
  <c r="AB178" i="16" s="1"/>
  <c r="AC178" i="16"/>
  <c r="AD178" i="16"/>
  <c r="CB178" i="16"/>
  <c r="V179" i="16"/>
  <c r="W179" i="16"/>
  <c r="X179" i="16"/>
  <c r="AA179" i="16" s="1"/>
  <c r="AB179" i="16" s="1"/>
  <c r="Y179" i="16"/>
  <c r="Z179" i="16"/>
  <c r="AC179" i="16"/>
  <c r="AD179" i="16"/>
  <c r="CB179" i="16"/>
  <c r="V180" i="16"/>
  <c r="CB180" i="16" s="1"/>
  <c r="W180" i="16"/>
  <c r="X180" i="16"/>
  <c r="Y180" i="16"/>
  <c r="Z180" i="16"/>
  <c r="AA180" i="16"/>
  <c r="AB180" i="16" s="1"/>
  <c r="AC180" i="16"/>
  <c r="AD180" i="16"/>
  <c r="V181" i="16"/>
  <c r="W181" i="16"/>
  <c r="X181" i="16"/>
  <c r="Y181" i="16"/>
  <c r="Z181" i="16"/>
  <c r="AC181" i="16"/>
  <c r="AD181" i="16"/>
  <c r="CB181" i="16"/>
  <c r="V182" i="16"/>
  <c r="W182" i="16"/>
  <c r="X182" i="16"/>
  <c r="Y182" i="16"/>
  <c r="AA182" i="16" s="1"/>
  <c r="AB182" i="16" s="1"/>
  <c r="Z182" i="16"/>
  <c r="AC182" i="16"/>
  <c r="AD182" i="16"/>
  <c r="CB182" i="16"/>
  <c r="V183" i="16"/>
  <c r="W183" i="16"/>
  <c r="X183" i="16"/>
  <c r="AA183" i="16" s="1"/>
  <c r="AB183" i="16" s="1"/>
  <c r="Y183" i="16"/>
  <c r="Z183" i="16"/>
  <c r="AC183" i="16"/>
  <c r="AD183" i="16"/>
  <c r="CB183" i="16"/>
  <c r="V184" i="16"/>
  <c r="CB184" i="16" s="1"/>
  <c r="W184" i="16"/>
  <c r="X184" i="16"/>
  <c r="Y184" i="16"/>
  <c r="Z184" i="16"/>
  <c r="AA184" i="16"/>
  <c r="AB184" i="16" s="1"/>
  <c r="AC184" i="16"/>
  <c r="AD184" i="16"/>
  <c r="V185" i="16"/>
  <c r="W185" i="16"/>
  <c r="X185" i="16"/>
  <c r="Y185" i="16"/>
  <c r="Z185" i="16"/>
  <c r="AC185" i="16"/>
  <c r="AD185" i="16"/>
  <c r="CB185" i="16"/>
  <c r="V186" i="16"/>
  <c r="W186" i="16"/>
  <c r="X186" i="16"/>
  <c r="Y186" i="16"/>
  <c r="AA186" i="16" s="1"/>
  <c r="AB186" i="16" s="1"/>
  <c r="Z186" i="16"/>
  <c r="AC186" i="16"/>
  <c r="AD186" i="16"/>
  <c r="CB186" i="16"/>
  <c r="V187" i="16"/>
  <c r="W187" i="16"/>
  <c r="X187" i="16"/>
  <c r="Y187" i="16"/>
  <c r="Z187" i="16"/>
  <c r="AC187" i="16"/>
  <c r="AD187" i="16"/>
  <c r="CB187" i="16"/>
  <c r="V188" i="16"/>
  <c r="CB188" i="16" s="1"/>
  <c r="W188" i="16"/>
  <c r="X188" i="16"/>
  <c r="Y188" i="16"/>
  <c r="AA188" i="16" s="1"/>
  <c r="AB188" i="16" s="1"/>
  <c r="Z188" i="16"/>
  <c r="AC188" i="16"/>
  <c r="AD188" i="16"/>
  <c r="V189" i="16"/>
  <c r="W189" i="16"/>
  <c r="X189" i="16"/>
  <c r="AA189" i="16" s="1"/>
  <c r="AB189" i="16" s="1"/>
  <c r="Y189" i="16"/>
  <c r="Z189" i="16"/>
  <c r="AC189" i="16"/>
  <c r="AD189" i="16"/>
  <c r="CB189" i="16"/>
  <c r="V190" i="16"/>
  <c r="W190" i="16"/>
  <c r="X190" i="16"/>
  <c r="Y190" i="16"/>
  <c r="Z190" i="16"/>
  <c r="AA190" i="16"/>
  <c r="AB190" i="16" s="1"/>
  <c r="AC190" i="16"/>
  <c r="AD190" i="16"/>
  <c r="CB190" i="16"/>
  <c r="V191" i="16"/>
  <c r="W191" i="16"/>
  <c r="X191" i="16"/>
  <c r="Y191" i="16"/>
  <c r="Z191" i="16"/>
  <c r="AC191" i="16"/>
  <c r="AD191" i="16"/>
  <c r="CB191" i="16"/>
  <c r="V192" i="16"/>
  <c r="CB192" i="16" s="1"/>
  <c r="W192" i="16"/>
  <c r="X192" i="16"/>
  <c r="Y192" i="16"/>
  <c r="AA192" i="16" s="1"/>
  <c r="AB192" i="16" s="1"/>
  <c r="Z192" i="16"/>
  <c r="AC192" i="16"/>
  <c r="AD192" i="16"/>
  <c r="V193" i="16"/>
  <c r="W193" i="16"/>
  <c r="X193" i="16"/>
  <c r="AA193" i="16" s="1"/>
  <c r="AB193" i="16" s="1"/>
  <c r="Y193" i="16"/>
  <c r="Z193" i="16"/>
  <c r="AC193" i="16"/>
  <c r="AD193" i="16"/>
  <c r="CB193" i="16"/>
  <c r="V194" i="16"/>
  <c r="W194" i="16"/>
  <c r="X194" i="16"/>
  <c r="Y194" i="16"/>
  <c r="Z194" i="16"/>
  <c r="AA194" i="16"/>
  <c r="AB194" i="16" s="1"/>
  <c r="AC194" i="16"/>
  <c r="AD194" i="16"/>
  <c r="CB194" i="16"/>
  <c r="V195" i="16"/>
  <c r="W195" i="16"/>
  <c r="X195" i="16"/>
  <c r="AA195" i="16" s="1"/>
  <c r="AB195" i="16" s="1"/>
  <c r="Y195" i="16"/>
  <c r="Z195" i="16"/>
  <c r="AC195" i="16"/>
  <c r="AD195" i="16"/>
  <c r="CB195" i="16"/>
  <c r="V196" i="16"/>
  <c r="CB196" i="16" s="1"/>
  <c r="W196" i="16"/>
  <c r="X196" i="16"/>
  <c r="Y196" i="16"/>
  <c r="Z196" i="16"/>
  <c r="AA196" i="16"/>
  <c r="AB196" i="16" s="1"/>
  <c r="AC196" i="16"/>
  <c r="AD196" i="16"/>
  <c r="V197" i="16"/>
  <c r="W197" i="16"/>
  <c r="X197" i="16"/>
  <c r="Y197" i="16"/>
  <c r="Z197" i="16"/>
  <c r="AC197" i="16"/>
  <c r="AD197" i="16"/>
  <c r="CB197" i="16"/>
  <c r="V198" i="16"/>
  <c r="W198" i="16"/>
  <c r="X198" i="16"/>
  <c r="Y198" i="16"/>
  <c r="AA198" i="16" s="1"/>
  <c r="AB198" i="16" s="1"/>
  <c r="Z198" i="16"/>
  <c r="AC198" i="16"/>
  <c r="AD198" i="16"/>
  <c r="CB198" i="16"/>
  <c r="V199" i="16"/>
  <c r="W199" i="16"/>
  <c r="X199" i="16"/>
  <c r="AA199" i="16" s="1"/>
  <c r="AB199" i="16" s="1"/>
  <c r="Y199" i="16"/>
  <c r="Z199" i="16"/>
  <c r="AC199" i="16"/>
  <c r="AD199" i="16"/>
  <c r="CB199" i="16"/>
  <c r="V200" i="16"/>
  <c r="CB200" i="16" s="1"/>
  <c r="W200" i="16"/>
  <c r="X200" i="16"/>
  <c r="Y200" i="16"/>
  <c r="Z200" i="16"/>
  <c r="AA200" i="16"/>
  <c r="AB200" i="16" s="1"/>
  <c r="AC200" i="16"/>
  <c r="AD200" i="16"/>
  <c r="V201" i="16"/>
  <c r="W201" i="16"/>
  <c r="X201" i="16"/>
  <c r="Y201" i="16"/>
  <c r="Z201" i="16"/>
  <c r="AC201" i="16"/>
  <c r="AD201" i="16"/>
  <c r="CB201" i="16"/>
  <c r="V202" i="16"/>
  <c r="W202" i="16"/>
  <c r="X202" i="16"/>
  <c r="Y202" i="16"/>
  <c r="AA202" i="16" s="1"/>
  <c r="AB202" i="16" s="1"/>
  <c r="Z202" i="16"/>
  <c r="AC202" i="16"/>
  <c r="AD202" i="16"/>
  <c r="CB202" i="16"/>
  <c r="V203" i="16"/>
  <c r="W203" i="16"/>
  <c r="X203" i="16"/>
  <c r="Y203" i="16"/>
  <c r="Z203" i="16"/>
  <c r="AC203" i="16"/>
  <c r="AD203" i="16"/>
  <c r="CB203" i="16"/>
  <c r="V204" i="16"/>
  <c r="CB204" i="16" s="1"/>
  <c r="W204" i="16"/>
  <c r="X204" i="16"/>
  <c r="Y204" i="16"/>
  <c r="AA204" i="16" s="1"/>
  <c r="AB204" i="16" s="1"/>
  <c r="Z204" i="16"/>
  <c r="AC204" i="16"/>
  <c r="AD204" i="16"/>
  <c r="V205" i="16"/>
  <c r="W205" i="16"/>
  <c r="X205" i="16"/>
  <c r="AA205" i="16" s="1"/>
  <c r="AB205" i="16" s="1"/>
  <c r="Y205" i="16"/>
  <c r="Z205" i="16"/>
  <c r="AC205" i="16"/>
  <c r="AD205" i="16"/>
  <c r="CB205" i="16"/>
  <c r="V206" i="16"/>
  <c r="W206" i="16"/>
  <c r="X206" i="16"/>
  <c r="Y206" i="16"/>
  <c r="Z206" i="16"/>
  <c r="AA206" i="16"/>
  <c r="AB206" i="16" s="1"/>
  <c r="AC206" i="16"/>
  <c r="AD206" i="16"/>
  <c r="CB206" i="16"/>
  <c r="V207" i="16"/>
  <c r="W207" i="16"/>
  <c r="X207" i="16"/>
  <c r="Y207" i="16"/>
  <c r="Z207" i="16"/>
  <c r="AC207" i="16"/>
  <c r="AD207" i="16"/>
  <c r="CB207" i="16"/>
  <c r="V208" i="16"/>
  <c r="CB208" i="16" s="1"/>
  <c r="W208" i="16"/>
  <c r="X208" i="16"/>
  <c r="Y208" i="16"/>
  <c r="AA208" i="16" s="1"/>
  <c r="AB208" i="16" s="1"/>
  <c r="Z208" i="16"/>
  <c r="AC208" i="16"/>
  <c r="AD208" i="16"/>
  <c r="V209" i="16"/>
  <c r="W209" i="16"/>
  <c r="X209" i="16"/>
  <c r="AA209" i="16" s="1"/>
  <c r="AB209" i="16" s="1"/>
  <c r="Y209" i="16"/>
  <c r="Z209" i="16"/>
  <c r="AC209" i="16"/>
  <c r="AD209" i="16"/>
  <c r="CB209" i="16"/>
  <c r="V210" i="16"/>
  <c r="W210" i="16"/>
  <c r="X210" i="16"/>
  <c r="Y210" i="16"/>
  <c r="Z210" i="16"/>
  <c r="AA210" i="16"/>
  <c r="AB210" i="16" s="1"/>
  <c r="AC210" i="16"/>
  <c r="AD210" i="16"/>
  <c r="CB210" i="16"/>
  <c r="V211" i="16"/>
  <c r="W211" i="16"/>
  <c r="X211" i="16"/>
  <c r="AA211" i="16" s="1"/>
  <c r="AB211" i="16" s="1"/>
  <c r="Y211" i="16"/>
  <c r="Z211" i="16"/>
  <c r="AC211" i="16"/>
  <c r="AD211" i="16"/>
  <c r="CB211" i="16"/>
  <c r="V212" i="16"/>
  <c r="CB212" i="16" s="1"/>
  <c r="W212" i="16"/>
  <c r="X212" i="16"/>
  <c r="Y212" i="16"/>
  <c r="Z212" i="16"/>
  <c r="AA212" i="16"/>
  <c r="AB212" i="16" s="1"/>
  <c r="AC212" i="16"/>
  <c r="AD212" i="16"/>
  <c r="V213" i="16"/>
  <c r="W213" i="16"/>
  <c r="X213" i="16"/>
  <c r="Y213" i="16"/>
  <c r="Z213" i="16"/>
  <c r="AC213" i="16"/>
  <c r="AD213" i="16"/>
  <c r="CB213" i="16"/>
  <c r="V214" i="16"/>
  <c r="W214" i="16"/>
  <c r="X214" i="16"/>
  <c r="Y214" i="16"/>
  <c r="AA214" i="16" s="1"/>
  <c r="AB214" i="16" s="1"/>
  <c r="Z214" i="16"/>
  <c r="AC214" i="16"/>
  <c r="AD214" i="16"/>
  <c r="CB214" i="16"/>
  <c r="V215" i="16"/>
  <c r="W215" i="16"/>
  <c r="X215" i="16"/>
  <c r="AA215" i="16" s="1"/>
  <c r="AB215" i="16" s="1"/>
  <c r="Y215" i="16"/>
  <c r="Z215" i="16"/>
  <c r="AC215" i="16"/>
  <c r="AD215" i="16"/>
  <c r="CB215" i="16"/>
  <c r="V216" i="16"/>
  <c r="CB216" i="16" s="1"/>
  <c r="W216" i="16"/>
  <c r="X216" i="16"/>
  <c r="Y216" i="16"/>
  <c r="Z216" i="16"/>
  <c r="AA216" i="16"/>
  <c r="AB216" i="16" s="1"/>
  <c r="AC216" i="16"/>
  <c r="AD216" i="16"/>
  <c r="V217" i="16"/>
  <c r="W217" i="16"/>
  <c r="X217" i="16"/>
  <c r="Y217" i="16"/>
  <c r="Z217" i="16"/>
  <c r="AC217" i="16"/>
  <c r="AD217" i="16"/>
  <c r="CB217" i="16"/>
  <c r="V218" i="16"/>
  <c r="W218" i="16"/>
  <c r="X218" i="16"/>
  <c r="Y218" i="16"/>
  <c r="AA218" i="16" s="1"/>
  <c r="AB218" i="16" s="1"/>
  <c r="Z218" i="16"/>
  <c r="AC218" i="16"/>
  <c r="AD218" i="16"/>
  <c r="CB218" i="16"/>
  <c r="V219" i="16"/>
  <c r="W219" i="16"/>
  <c r="X219" i="16"/>
  <c r="Y219" i="16"/>
  <c r="Z219" i="16"/>
  <c r="AC219" i="16"/>
  <c r="AD219" i="16"/>
  <c r="CB219" i="16"/>
  <c r="V220" i="16"/>
  <c r="CB220" i="16" s="1"/>
  <c r="W220" i="16"/>
  <c r="X220" i="16"/>
  <c r="Y220" i="16"/>
  <c r="AA220" i="16" s="1"/>
  <c r="AB220" i="16" s="1"/>
  <c r="Z220" i="16"/>
  <c r="AC220" i="16"/>
  <c r="AD220" i="16"/>
  <c r="V221" i="16"/>
  <c r="W221" i="16"/>
  <c r="X221" i="16"/>
  <c r="AA221" i="16" s="1"/>
  <c r="AB221" i="16" s="1"/>
  <c r="Y221" i="16"/>
  <c r="Z221" i="16"/>
  <c r="AC221" i="16"/>
  <c r="AD221" i="16"/>
  <c r="CB221" i="16"/>
  <c r="V222" i="16"/>
  <c r="W222" i="16"/>
  <c r="X222" i="16"/>
  <c r="Y222" i="16"/>
  <c r="Z222" i="16"/>
  <c r="AA222" i="16"/>
  <c r="AB222" i="16" s="1"/>
  <c r="AC222" i="16"/>
  <c r="AD222" i="16"/>
  <c r="CB222" i="16"/>
  <c r="V223" i="16"/>
  <c r="W223" i="16"/>
  <c r="X223" i="16"/>
  <c r="Y223" i="16"/>
  <c r="Z223" i="16"/>
  <c r="AC223" i="16"/>
  <c r="AD223" i="16"/>
  <c r="CB223" i="16"/>
  <c r="V224" i="16"/>
  <c r="CB224" i="16" s="1"/>
  <c r="W224" i="16"/>
  <c r="X224" i="16"/>
  <c r="Y224" i="16"/>
  <c r="AA224" i="16" s="1"/>
  <c r="AB224" i="16" s="1"/>
  <c r="Z224" i="16"/>
  <c r="AC224" i="16"/>
  <c r="AD224" i="16"/>
  <c r="V225" i="16"/>
  <c r="W225" i="16"/>
  <c r="X225" i="16"/>
  <c r="AA225" i="16" s="1"/>
  <c r="AB225" i="16" s="1"/>
  <c r="Y225" i="16"/>
  <c r="Z225" i="16"/>
  <c r="AC225" i="16"/>
  <c r="AD225" i="16"/>
  <c r="CB225" i="16"/>
  <c r="V226" i="16"/>
  <c r="W226" i="16"/>
  <c r="X226" i="16"/>
  <c r="Y226" i="16"/>
  <c r="Z226" i="16"/>
  <c r="AA226" i="16"/>
  <c r="AB226" i="16" s="1"/>
  <c r="AC226" i="16"/>
  <c r="AD226" i="16"/>
  <c r="CB226" i="16"/>
  <c r="V227" i="16"/>
  <c r="W227" i="16"/>
  <c r="X227" i="16"/>
  <c r="AA227" i="16" s="1"/>
  <c r="AB227" i="16" s="1"/>
  <c r="Y227" i="16"/>
  <c r="Z227" i="16"/>
  <c r="AC227" i="16"/>
  <c r="AD227" i="16"/>
  <c r="CB227" i="16"/>
  <c r="V228" i="16"/>
  <c r="CB228" i="16" s="1"/>
  <c r="W228" i="16"/>
  <c r="X228" i="16"/>
  <c r="Y228" i="16"/>
  <c r="Z228" i="16"/>
  <c r="AA228" i="16"/>
  <c r="AB228" i="16" s="1"/>
  <c r="AC228" i="16"/>
  <c r="AD228" i="16"/>
  <c r="V229" i="16"/>
  <c r="W229" i="16"/>
  <c r="X229" i="16"/>
  <c r="Y229" i="16"/>
  <c r="Z229" i="16"/>
  <c r="AC229" i="16"/>
  <c r="AD229" i="16"/>
  <c r="CB229" i="16"/>
  <c r="V230" i="16"/>
  <c r="W230" i="16"/>
  <c r="X230" i="16"/>
  <c r="AA230" i="16" s="1"/>
  <c r="AB230" i="16" s="1"/>
  <c r="Y230" i="16"/>
  <c r="Z230" i="16"/>
  <c r="AC230" i="16"/>
  <c r="AD230" i="16"/>
  <c r="CB230" i="16"/>
  <c r="V231" i="16"/>
  <c r="W231" i="16"/>
  <c r="X231" i="16"/>
  <c r="Y231" i="16"/>
  <c r="Z231" i="16"/>
  <c r="AC231" i="16"/>
  <c r="AD231" i="16"/>
  <c r="CB231" i="16"/>
  <c r="V232" i="16"/>
  <c r="CB232" i="16" s="1"/>
  <c r="W232" i="16"/>
  <c r="X232" i="16"/>
  <c r="Y232" i="16"/>
  <c r="AA232" i="16" s="1"/>
  <c r="AB232" i="16" s="1"/>
  <c r="Z232" i="16"/>
  <c r="AC232" i="16"/>
  <c r="AD232" i="16"/>
  <c r="V233" i="16"/>
  <c r="W233" i="16"/>
  <c r="X233" i="16"/>
  <c r="AA233" i="16" s="1"/>
  <c r="AB233" i="16" s="1"/>
  <c r="Y233" i="16"/>
  <c r="Z233" i="16"/>
  <c r="AC233" i="16"/>
  <c r="AD233" i="16"/>
  <c r="CB233" i="16"/>
  <c r="V234" i="16"/>
  <c r="W234" i="16"/>
  <c r="X234" i="16"/>
  <c r="AA234" i="16" s="1"/>
  <c r="AB234" i="16" s="1"/>
  <c r="Y234" i="16"/>
  <c r="Z234" i="16"/>
  <c r="AC234" i="16"/>
  <c r="AD234" i="16"/>
  <c r="CB234" i="16"/>
  <c r="V235" i="16"/>
  <c r="W235" i="16"/>
  <c r="X235" i="16"/>
  <c r="Y235" i="16"/>
  <c r="Z235" i="16"/>
  <c r="AC235" i="16"/>
  <c r="AD235" i="16"/>
  <c r="CB235" i="16"/>
  <c r="V236" i="16"/>
  <c r="CB236" i="16" s="1"/>
  <c r="W236" i="16"/>
  <c r="X236" i="16"/>
  <c r="Y236" i="16"/>
  <c r="AA236" i="16" s="1"/>
  <c r="AB236" i="16" s="1"/>
  <c r="Z236" i="16"/>
  <c r="AC236" i="16"/>
  <c r="AD236" i="16"/>
  <c r="V237" i="16"/>
  <c r="W237" i="16"/>
  <c r="X237" i="16"/>
  <c r="AA237" i="16" s="1"/>
  <c r="AB237" i="16" s="1"/>
  <c r="Y237" i="16"/>
  <c r="Z237" i="16"/>
  <c r="AC237" i="16"/>
  <c r="AD237" i="16"/>
  <c r="CB237" i="16"/>
  <c r="V238" i="16"/>
  <c r="W238" i="16"/>
  <c r="X238" i="16"/>
  <c r="AA238" i="16" s="1"/>
  <c r="AB238" i="16" s="1"/>
  <c r="Y238" i="16"/>
  <c r="Z238" i="16"/>
  <c r="AC238" i="16"/>
  <c r="AD238" i="16"/>
  <c r="CB238" i="16"/>
  <c r="V239" i="16"/>
  <c r="W239" i="16"/>
  <c r="X239" i="16"/>
  <c r="Y239" i="16"/>
  <c r="Z239" i="16"/>
  <c r="AC239" i="16"/>
  <c r="AD239" i="16"/>
  <c r="CB239" i="16"/>
  <c r="V240" i="16"/>
  <c r="CB240" i="16" s="1"/>
  <c r="W240" i="16"/>
  <c r="X240" i="16"/>
  <c r="Y240" i="16"/>
  <c r="AA240" i="16" s="1"/>
  <c r="AB240" i="16" s="1"/>
  <c r="Z240" i="16"/>
  <c r="AC240" i="16"/>
  <c r="AD240" i="16"/>
  <c r="V241" i="16"/>
  <c r="W241" i="16"/>
  <c r="X241" i="16"/>
  <c r="AA241" i="16" s="1"/>
  <c r="AB241" i="16" s="1"/>
  <c r="Y241" i="16"/>
  <c r="Z241" i="16"/>
  <c r="AC241" i="16"/>
  <c r="AD241" i="16"/>
  <c r="CB241" i="16"/>
  <c r="V242" i="16"/>
  <c r="W242" i="16"/>
  <c r="X242" i="16"/>
  <c r="AA242" i="16" s="1"/>
  <c r="AB242" i="16" s="1"/>
  <c r="Y242" i="16"/>
  <c r="Z242" i="16"/>
  <c r="AC242" i="16"/>
  <c r="AD242" i="16"/>
  <c r="CB242" i="16"/>
  <c r="V243" i="16"/>
  <c r="W243" i="16"/>
  <c r="X243" i="16"/>
  <c r="Y243" i="16"/>
  <c r="Z243" i="16"/>
  <c r="AC243" i="16"/>
  <c r="AD243" i="16"/>
  <c r="CB243" i="16"/>
  <c r="V244" i="16"/>
  <c r="CB244" i="16" s="1"/>
  <c r="W244" i="16"/>
  <c r="X244" i="16"/>
  <c r="Y244" i="16"/>
  <c r="AA244" i="16" s="1"/>
  <c r="AB244" i="16" s="1"/>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AA248" i="16" s="1"/>
  <c r="AB248" i="16" s="1"/>
  <c r="Z248" i="16"/>
  <c r="AC248" i="16"/>
  <c r="AD248" i="16"/>
  <c r="V249" i="16"/>
  <c r="W249" i="16"/>
  <c r="X249" i="16"/>
  <c r="AA249" i="16" s="1"/>
  <c r="AB249" i="16" s="1"/>
  <c r="Y249" i="16"/>
  <c r="Z249" i="16"/>
  <c r="AC249" i="16"/>
  <c r="AD249" i="16"/>
  <c r="CB249" i="16"/>
  <c r="V250" i="16"/>
  <c r="W250" i="16"/>
  <c r="X250" i="16"/>
  <c r="AA250" i="16" s="1"/>
  <c r="AB250" i="16" s="1"/>
  <c r="Y250" i="16"/>
  <c r="Z250" i="16"/>
  <c r="AC250" i="16"/>
  <c r="AD250" i="16"/>
  <c r="CB250" i="16"/>
  <c r="V251" i="16"/>
  <c r="W251" i="16"/>
  <c r="X251" i="16"/>
  <c r="Y251" i="16"/>
  <c r="Z251" i="16"/>
  <c r="AC251" i="16"/>
  <c r="AD251" i="16"/>
  <c r="CB251" i="16"/>
  <c r="V252" i="16"/>
  <c r="CB252" i="16" s="1"/>
  <c r="W252" i="16"/>
  <c r="X252" i="16"/>
  <c r="Y252" i="16"/>
  <c r="AA252" i="16" s="1"/>
  <c r="AB252" i="16" s="1"/>
  <c r="Z252" i="16"/>
  <c r="AC252" i="16"/>
  <c r="AD252" i="16"/>
  <c r="V253" i="16"/>
  <c r="W253" i="16"/>
  <c r="X253" i="16"/>
  <c r="AA253" i="16" s="1"/>
  <c r="AB253" i="16" s="1"/>
  <c r="Y253" i="16"/>
  <c r="Z253" i="16"/>
  <c r="AC253" i="16"/>
  <c r="AD253" i="16"/>
  <c r="CB253" i="16"/>
  <c r="V254" i="16"/>
  <c r="W254" i="16"/>
  <c r="X254" i="16"/>
  <c r="AA254" i="16" s="1"/>
  <c r="AB254" i="16" s="1"/>
  <c r="Y254" i="16"/>
  <c r="Z254" i="16"/>
  <c r="AC254" i="16"/>
  <c r="AD254" i="16"/>
  <c r="CB254" i="16"/>
  <c r="V255" i="16"/>
  <c r="W255" i="16"/>
  <c r="X255" i="16"/>
  <c r="Y255" i="16"/>
  <c r="Z255" i="16"/>
  <c r="AC255" i="16"/>
  <c r="AD255" i="16"/>
  <c r="CB255" i="16"/>
  <c r="V256" i="16"/>
  <c r="CB256" i="16" s="1"/>
  <c r="W256" i="16"/>
  <c r="X256" i="16"/>
  <c r="Y256" i="16"/>
  <c r="AA256" i="16" s="1"/>
  <c r="AB256" i="16" s="1"/>
  <c r="Z256" i="16"/>
  <c r="AC256" i="16"/>
  <c r="AD256" i="16"/>
  <c r="V257" i="16"/>
  <c r="W257" i="16"/>
  <c r="X257" i="16"/>
  <c r="AA257" i="16" s="1"/>
  <c r="AB257" i="16" s="1"/>
  <c r="Y257" i="16"/>
  <c r="Z257" i="16"/>
  <c r="AC257" i="16"/>
  <c r="AD257" i="16"/>
  <c r="CB257" i="16"/>
  <c r="V258" i="16"/>
  <c r="W258" i="16"/>
  <c r="X258" i="16"/>
  <c r="AA258" i="16" s="1"/>
  <c r="AB258" i="16" s="1"/>
  <c r="Y258" i="16"/>
  <c r="Z258" i="16"/>
  <c r="AC258" i="16"/>
  <c r="AD258" i="16"/>
  <c r="CB258" i="16"/>
  <c r="V259" i="16"/>
  <c r="W259" i="16"/>
  <c r="X259" i="16"/>
  <c r="Y259" i="16"/>
  <c r="Z259" i="16"/>
  <c r="AC259" i="16"/>
  <c r="AD259" i="16"/>
  <c r="CB259" i="16"/>
  <c r="V260" i="16"/>
  <c r="CB260" i="16" s="1"/>
  <c r="W260" i="16"/>
  <c r="X260" i="16"/>
  <c r="Y260" i="16"/>
  <c r="AA260" i="16" s="1"/>
  <c r="AB260" i="16" s="1"/>
  <c r="Z260" i="16"/>
  <c r="AC260" i="16"/>
  <c r="AD260" i="16"/>
  <c r="V261" i="16"/>
  <c r="W261" i="16"/>
  <c r="X261" i="16"/>
  <c r="AA261" i="16" s="1"/>
  <c r="AB261" i="16" s="1"/>
  <c r="Y261" i="16"/>
  <c r="Z261" i="16"/>
  <c r="AC261" i="16"/>
  <c r="AD261" i="16"/>
  <c r="CB261" i="16"/>
  <c r="V262" i="16"/>
  <c r="W262" i="16"/>
  <c r="X262" i="16"/>
  <c r="AA262" i="16" s="1"/>
  <c r="AB262" i="16" s="1"/>
  <c r="Y262" i="16"/>
  <c r="Z262" i="16"/>
  <c r="AC262" i="16"/>
  <c r="AD262" i="16"/>
  <c r="CB262" i="16"/>
  <c r="V263" i="16"/>
  <c r="W263" i="16"/>
  <c r="X263" i="16"/>
  <c r="Y263" i="16"/>
  <c r="Z263" i="16"/>
  <c r="AC263" i="16"/>
  <c r="AD263" i="16"/>
  <c r="CB263" i="16"/>
  <c r="V264" i="16"/>
  <c r="CB264" i="16" s="1"/>
  <c r="W264" i="16"/>
  <c r="X264" i="16"/>
  <c r="Y264" i="16"/>
  <c r="AA264" i="16" s="1"/>
  <c r="AB264" i="16" s="1"/>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W268" i="16"/>
  <c r="X268" i="16"/>
  <c r="Y268" i="16"/>
  <c r="AA268" i="16" s="1"/>
  <c r="AB268" i="16" s="1"/>
  <c r="Z268" i="16"/>
  <c r="AC268" i="16"/>
  <c r="AD268" i="16"/>
  <c r="CB268" i="16"/>
  <c r="V269" i="16"/>
  <c r="W269" i="16"/>
  <c r="X269" i="16"/>
  <c r="AA269" i="16" s="1"/>
  <c r="AB269" i="16" s="1"/>
  <c r="Y269" i="16"/>
  <c r="Z269" i="16"/>
  <c r="AC269" i="16"/>
  <c r="AD269" i="16"/>
  <c r="V270" i="16"/>
  <c r="CB270" i="16" s="1"/>
  <c r="W270" i="16"/>
  <c r="X270" i="16"/>
  <c r="Y270" i="16"/>
  <c r="Z270" i="16"/>
  <c r="AA270" i="16"/>
  <c r="AB270" i="16" s="1"/>
  <c r="AC270" i="16"/>
  <c r="AD270" i="16"/>
  <c r="V271" i="16"/>
  <c r="W271" i="16"/>
  <c r="X271" i="16"/>
  <c r="AA271" i="16" s="1"/>
  <c r="AB271" i="16" s="1"/>
  <c r="Y271" i="16"/>
  <c r="Z271" i="16"/>
  <c r="AC271" i="16"/>
  <c r="AD271" i="16"/>
  <c r="CB271" i="16"/>
  <c r="V272" i="16"/>
  <c r="W272" i="16"/>
  <c r="X272" i="16"/>
  <c r="AA272" i="16" s="1"/>
  <c r="AB272" i="16" s="1"/>
  <c r="Y272" i="16"/>
  <c r="Z272" i="16"/>
  <c r="AC272" i="16"/>
  <c r="AD272" i="16"/>
  <c r="CB272" i="16"/>
  <c r="V273" i="16"/>
  <c r="W273" i="16"/>
  <c r="X273" i="16"/>
  <c r="AA273" i="16" s="1"/>
  <c r="AB273" i="16" s="1"/>
  <c r="Y273" i="16"/>
  <c r="Z273" i="16"/>
  <c r="AC273" i="16"/>
  <c r="AD273" i="16"/>
  <c r="V274" i="16"/>
  <c r="W274" i="16"/>
  <c r="X274" i="16"/>
  <c r="AA274" i="16" s="1"/>
  <c r="AB274" i="16" s="1"/>
  <c r="Y274" i="16"/>
  <c r="Z274" i="16"/>
  <c r="AC274" i="16"/>
  <c r="AD274" i="16"/>
  <c r="CB274" i="16"/>
  <c r="V275" i="16"/>
  <c r="W275" i="16"/>
  <c r="X275" i="16"/>
  <c r="AA275" i="16" s="1"/>
  <c r="AB275" i="16" s="1"/>
  <c r="Y275" i="16"/>
  <c r="Z275" i="16"/>
  <c r="AC275" i="16"/>
  <c r="AD275" i="16"/>
  <c r="CB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W279" i="16"/>
  <c r="X279" i="16"/>
  <c r="AA279" i="16" s="1"/>
  <c r="AB279" i="16" s="1"/>
  <c r="Y279" i="16"/>
  <c r="Z279" i="16"/>
  <c r="AC279" i="16"/>
  <c r="AD279" i="16"/>
  <c r="CB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W283" i="16"/>
  <c r="X283" i="16"/>
  <c r="AA283" i="16" s="1"/>
  <c r="AB283" i="16" s="1"/>
  <c r="Y283" i="16"/>
  <c r="Z283" i="16"/>
  <c r="AC283" i="16"/>
  <c r="AD283" i="16"/>
  <c r="CB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W287" i="16"/>
  <c r="X287" i="16"/>
  <c r="AA287" i="16" s="1"/>
  <c r="AB287" i="16" s="1"/>
  <c r="Y287" i="16"/>
  <c r="Z287" i="16"/>
  <c r="AC287" i="16"/>
  <c r="AD287" i="16"/>
  <c r="CB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W291" i="16"/>
  <c r="X291" i="16"/>
  <c r="AA291" i="16" s="1"/>
  <c r="AB291" i="16" s="1"/>
  <c r="Y291" i="16"/>
  <c r="Z291" i="16"/>
  <c r="AC291" i="16"/>
  <c r="AD291" i="16"/>
  <c r="CB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W295" i="16"/>
  <c r="X295" i="16"/>
  <c r="AA295" i="16" s="1"/>
  <c r="AB295" i="16" s="1"/>
  <c r="Y295" i="16"/>
  <c r="Z295" i="16"/>
  <c r="AC295" i="16"/>
  <c r="AD295" i="16"/>
  <c r="CB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W299" i="16"/>
  <c r="X299" i="16"/>
  <c r="AA299" i="16" s="1"/>
  <c r="AB299" i="16" s="1"/>
  <c r="Y299" i="16"/>
  <c r="Z299" i="16"/>
  <c r="AC299" i="16"/>
  <c r="AD299" i="16"/>
  <c r="CB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W303" i="16"/>
  <c r="X303" i="16"/>
  <c r="AA303" i="16" s="1"/>
  <c r="AB303" i="16" s="1"/>
  <c r="Y303" i="16"/>
  <c r="Z303" i="16"/>
  <c r="AC303" i="16"/>
  <c r="AD303" i="16"/>
  <c r="CB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CA68" i="13"/>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CA9" i="16"/>
  <c r="CA13" i="16"/>
  <c r="CA17" i="16"/>
  <c r="CA21" i="16"/>
  <c r="CA25" i="16"/>
  <c r="CA29" i="16"/>
  <c r="CA33" i="16"/>
  <c r="CA37" i="16"/>
  <c r="CA41" i="16"/>
  <c r="CA45" i="16"/>
  <c r="CA49" i="16"/>
  <c r="CA53" i="16"/>
  <c r="CA57" i="16"/>
  <c r="CA61" i="16"/>
  <c r="CA65" i="16"/>
  <c r="CA69" i="16"/>
  <c r="CA72" i="16"/>
  <c r="CA76" i="16"/>
  <c r="CA80" i="16"/>
  <c r="CA84" i="16"/>
  <c r="CA88" i="16"/>
  <c r="CA92" i="16"/>
  <c r="CA10" i="16"/>
  <c r="CA14" i="16"/>
  <c r="CA18" i="16"/>
  <c r="CA22" i="16"/>
  <c r="CA26" i="16"/>
  <c r="CA30" i="16"/>
  <c r="CA34" i="16"/>
  <c r="CA38" i="16"/>
  <c r="CA42" i="16"/>
  <c r="CA46" i="16"/>
  <c r="CA50" i="16"/>
  <c r="CA54" i="16"/>
  <c r="CA58" i="16"/>
  <c r="CA62" i="16"/>
  <c r="CA66" i="16"/>
  <c r="CA70" i="16"/>
  <c r="CA74" i="16"/>
  <c r="CA78" i="16"/>
  <c r="CA82" i="16"/>
  <c r="CA86" i="16"/>
  <c r="CA90" i="16"/>
  <c r="CA95" i="16"/>
  <c r="CA99" i="16"/>
  <c r="CA103" i="16"/>
  <c r="CA107" i="16"/>
  <c r="CA111" i="16"/>
  <c r="CA115" i="16"/>
  <c r="CA77" i="16"/>
  <c r="CA85" i="16"/>
  <c r="CA94" i="16"/>
  <c r="CA100" i="16"/>
  <c r="CA105" i="16"/>
  <c r="CA109" i="16"/>
  <c r="CA113" i="16"/>
  <c r="CA117" i="16"/>
  <c r="CA121" i="16"/>
  <c r="CA125" i="16"/>
  <c r="CA129" i="16"/>
  <c r="CA133" i="16"/>
  <c r="CA137" i="16"/>
  <c r="CA141" i="16"/>
  <c r="CA98" i="16"/>
  <c r="CA119" i="16"/>
  <c r="CA123" i="16"/>
  <c r="CA127" i="16"/>
  <c r="CA131" i="16"/>
  <c r="CA135" i="16"/>
  <c r="CA139" i="16"/>
  <c r="CA143" i="16"/>
  <c r="CA147" i="16"/>
  <c r="CA151" i="16"/>
  <c r="CA155" i="16"/>
  <c r="CA81" i="16"/>
  <c r="CA160" i="16"/>
  <c r="CA163" i="16"/>
  <c r="CA170" i="16"/>
  <c r="CA173" i="16"/>
  <c r="CA176" i="16"/>
  <c r="CA179" i="16"/>
  <c r="CA186" i="16"/>
  <c r="CA189" i="16"/>
  <c r="CA192" i="16"/>
  <c r="CA195" i="16"/>
  <c r="CA202" i="16"/>
  <c r="CA205" i="16"/>
  <c r="CA208" i="16"/>
  <c r="CA211" i="16"/>
  <c r="CA218" i="16"/>
  <c r="CA221" i="16"/>
  <c r="CA224" i="16"/>
  <c r="CA227" i="16"/>
  <c r="CA232" i="16"/>
  <c r="CA236" i="16"/>
  <c r="CA240" i="16"/>
  <c r="CA244" i="16"/>
  <c r="CA248" i="16"/>
  <c r="CA252" i="16"/>
  <c r="CA256" i="16"/>
  <c r="CA260" i="16"/>
  <c r="CA264" i="16"/>
  <c r="CA89" i="16"/>
  <c r="CA102" i="16"/>
  <c r="CA106" i="16"/>
  <c r="CA110" i="16"/>
  <c r="CA114" i="16"/>
  <c r="CA118" i="16"/>
  <c r="CA126" i="16"/>
  <c r="CA134" i="16"/>
  <c r="CA142" i="16"/>
  <c r="CA146" i="16"/>
  <c r="CA150" i="16"/>
  <c r="CA154" i="16"/>
  <c r="CA158" i="16"/>
  <c r="CA161" i="16"/>
  <c r="CA164" i="16"/>
  <c r="CA167" i="16"/>
  <c r="CA174" i="16"/>
  <c r="CA177" i="16"/>
  <c r="CA180" i="16"/>
  <c r="CA183" i="16"/>
  <c r="CA190" i="16"/>
  <c r="CA193" i="16"/>
  <c r="CA196" i="16"/>
  <c r="CA199" i="16"/>
  <c r="CA206" i="16"/>
  <c r="CA209" i="16"/>
  <c r="CA212" i="16"/>
  <c r="CA215" i="16"/>
  <c r="CA222" i="16"/>
  <c r="CA225" i="16"/>
  <c r="CA228" i="16"/>
  <c r="CA230" i="16"/>
  <c r="CA234" i="16"/>
  <c r="CA238" i="16"/>
  <c r="CA242" i="16"/>
  <c r="CA246" i="16"/>
  <c r="CA250" i="16"/>
  <c r="CA254" i="16"/>
  <c r="CA258" i="16"/>
  <c r="CA262" i="16"/>
  <c r="CA266" i="16"/>
  <c r="CA268" i="16"/>
  <c r="CA272" i="16"/>
  <c r="CA283" i="16"/>
  <c r="CA287" i="16"/>
  <c r="CA291" i="16"/>
  <c r="CA295" i="16"/>
  <c r="CA299" i="16"/>
  <c r="CA303" i="16"/>
  <c r="CA73" i="16"/>
  <c r="CA122" i="16"/>
  <c r="CA172" i="16"/>
  <c r="CA182" i="16"/>
  <c r="CA188" i="16"/>
  <c r="CA198" i="16"/>
  <c r="CA204" i="16"/>
  <c r="CA220" i="16"/>
  <c r="CA162" i="16"/>
  <c r="CA168" i="16"/>
  <c r="CA178" i="16"/>
  <c r="CA184" i="16"/>
  <c r="CA194" i="16"/>
  <c r="CA200" i="16"/>
  <c r="CA210" i="16"/>
  <c r="CA216" i="16"/>
  <c r="CA226" i="16"/>
  <c r="CA233" i="16"/>
  <c r="CA237" i="16"/>
  <c r="CA241" i="16"/>
  <c r="CA245" i="16"/>
  <c r="CA249" i="16"/>
  <c r="CA253" i="16"/>
  <c r="CA257" i="16"/>
  <c r="CA261" i="16"/>
  <c r="CA265" i="16"/>
  <c r="CA271" i="16"/>
  <c r="CA275" i="16"/>
  <c r="CA279" i="16"/>
  <c r="CA130" i="16"/>
  <c r="CA138" i="16"/>
  <c r="CA166" i="16"/>
  <c r="CA214" i="16"/>
  <c r="CA270" i="16"/>
  <c r="CA273" i="16"/>
  <c r="CA269" i="16"/>
  <c r="CA297" i="16"/>
  <c r="CA301" i="16"/>
  <c r="CA286" i="16"/>
  <c r="CA290" i="16"/>
  <c r="CA294" i="16"/>
  <c r="CA277" i="16"/>
  <c r="CA281" i="16"/>
  <c r="CA285" i="16"/>
  <c r="CA293" i="16"/>
  <c r="CA305" i="16"/>
  <c r="CA282" i="16"/>
  <c r="CA298" i="16"/>
  <c r="CA302" i="16"/>
  <c r="CA274" i="16"/>
  <c r="CA278" i="16"/>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AA1" i="14"/>
  <c r="AA37" i="13"/>
  <c r="AA1" i="13"/>
  <c r="Z38" i="13"/>
  <c r="Z1" i="13"/>
  <c r="Y68" i="13"/>
  <c r="BX1" i="11"/>
  <c r="CG1" i="11"/>
  <c r="Z1" i="14"/>
  <c r="CA1" i="14" l="1"/>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X47" i="14"/>
  <c r="X51" i="14"/>
  <c r="CB24" i="14"/>
  <c r="CB41" i="14"/>
  <c r="X8" i="14"/>
  <c r="X28" i="14"/>
  <c r="X31" i="14"/>
  <c r="X37" i="14"/>
  <c r="X41" i="14"/>
  <c r="X35" i="14"/>
  <c r="CA36" i="14"/>
  <c r="X21" i="14"/>
  <c r="X6" i="14"/>
  <c r="X30" i="14"/>
  <c r="CB33" i="14"/>
  <c r="X39" i="14"/>
  <c r="X45" i="14"/>
  <c r="X7" i="14"/>
  <c r="X10" i="14"/>
  <c r="X11" i="14"/>
  <c r="X40" i="14"/>
  <c r="X42" i="14"/>
  <c r="X46" i="14"/>
  <c r="X50" i="14"/>
  <c r="X18" i="14"/>
  <c r="X20" i="14"/>
  <c r="X14" i="14"/>
  <c r="X26" i="14"/>
  <c r="X29" i="14"/>
  <c r="X32" i="14"/>
  <c r="X34" i="14"/>
  <c r="X36" i="14"/>
  <c r="X38" i="14"/>
  <c r="X44" i="14"/>
  <c r="X48" i="14"/>
  <c r="X52" i="14"/>
  <c r="X16" i="14"/>
  <c r="X22" i="14"/>
  <c r="X12" i="14"/>
  <c r="X9" i="14"/>
  <c r="X33" i="14"/>
  <c r="X49" i="14"/>
  <c r="X17" i="14"/>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CJ1" i="11"/>
  <c r="BV1" i="11"/>
  <c r="BT1" i="11"/>
  <c r="BS1" i="11"/>
  <c r="BR1" i="11"/>
  <c r="BP1" i="11"/>
  <c r="BO1" i="11"/>
  <c r="BN1" i="11"/>
  <c r="BM1" i="11"/>
  <c r="CA304" i="16"/>
  <c r="CA300" i="16"/>
  <c r="CA292" i="16"/>
  <c r="CA280" i="16"/>
  <c r="CA289" i="16"/>
  <c r="CA259" i="16"/>
  <c r="CA243" i="16"/>
  <c r="CA223" i="16"/>
  <c r="CA191" i="16"/>
  <c r="CA159" i="16"/>
  <c r="CA203" i="16"/>
  <c r="CA171" i="16"/>
  <c r="CA153" i="16"/>
  <c r="CA145" i="16"/>
  <c r="CA148" i="16"/>
  <c r="CA132" i="16"/>
  <c r="CA116" i="16"/>
  <c r="CA108" i="16"/>
  <c r="CA96" i="16"/>
  <c r="CA87" i="16"/>
  <c r="CA71" i="16"/>
  <c r="CA55" i="16"/>
  <c r="CA39" i="16"/>
  <c r="CA23" i="16"/>
  <c r="CA7" i="16"/>
  <c r="CA231" i="16"/>
  <c r="CA213" i="16"/>
  <c r="CA120" i="16"/>
  <c r="CA91" i="16"/>
  <c r="CA43" i="16"/>
  <c r="CA64" i="16"/>
  <c r="CA48" i="16"/>
  <c r="CA24" i="16"/>
  <c r="CA97" i="16"/>
  <c r="CA255" i="16"/>
  <c r="CA239" i="16"/>
  <c r="CA217" i="16"/>
  <c r="CA185" i="16"/>
  <c r="CA229" i="16"/>
  <c r="CA197" i="16"/>
  <c r="CA165" i="16"/>
  <c r="CA144" i="16"/>
  <c r="CA128" i="16"/>
  <c r="CA93" i="16"/>
  <c r="CA83" i="16"/>
  <c r="CA67" i="16"/>
  <c r="CA51" i="16"/>
  <c r="CA35" i="16"/>
  <c r="CA19" i="16"/>
  <c r="CA68" i="16"/>
  <c r="CA60" i="16"/>
  <c r="CA52" i="16"/>
  <c r="CA44" i="16"/>
  <c r="CA36" i="16"/>
  <c r="CA28" i="16"/>
  <c r="CA20" i="16"/>
  <c r="CA12" i="16"/>
  <c r="CA263" i="16"/>
  <c r="CA201" i="16"/>
  <c r="CA181" i="16"/>
  <c r="CA136" i="16"/>
  <c r="CA101" i="16"/>
  <c r="CA59" i="16"/>
  <c r="CA11" i="16"/>
  <c r="CA40" i="16"/>
  <c r="CA16" i="16"/>
  <c r="CA288" i="16"/>
  <c r="CA296" i="16"/>
  <c r="CA284" i="16"/>
  <c r="CA276" i="16"/>
  <c r="CA267" i="16"/>
  <c r="CA251" i="16"/>
  <c r="CA235" i="16"/>
  <c r="CA207" i="16"/>
  <c r="CA175" i="16"/>
  <c r="CA219" i="16"/>
  <c r="CA187" i="16"/>
  <c r="CA157" i="16"/>
  <c r="CA149" i="16"/>
  <c r="CA156" i="16"/>
  <c r="CA140" i="16"/>
  <c r="CA124" i="16"/>
  <c r="CA112" i="16"/>
  <c r="CA104" i="16"/>
  <c r="CA79" i="16"/>
  <c r="CA63" i="16"/>
  <c r="CA47" i="16"/>
  <c r="CA31" i="16"/>
  <c r="CA15" i="16"/>
  <c r="CA247" i="16"/>
  <c r="CA169" i="16"/>
  <c r="CA152" i="16"/>
  <c r="CA75" i="16"/>
  <c r="CA27" i="16"/>
  <c r="CA56" i="16"/>
  <c r="CA32" i="16"/>
  <c r="CA8" i="16"/>
  <c r="CA6" i="16"/>
  <c r="CA27" i="14"/>
  <c r="Y15" i="14"/>
  <c r="Y23" i="14"/>
  <c r="CA23" i="14" s="1"/>
  <c r="CA24" i="14"/>
  <c r="Y25" i="14"/>
  <c r="CA25" i="14"/>
  <c r="Y47" i="14"/>
  <c r="Y51" i="14"/>
  <c r="Y43" i="14"/>
  <c r="Y8" i="14"/>
  <c r="CA8" i="14" s="1"/>
  <c r="Y41" i="14"/>
  <c r="Y31" i="14"/>
  <c r="Y37" i="14"/>
  <c r="Y28" i="14"/>
  <c r="Y35" i="14"/>
  <c r="Y21" i="14"/>
  <c r="CA21" i="14"/>
  <c r="Y30" i="14"/>
  <c r="Y7" i="14"/>
  <c r="Y42" i="14"/>
  <c r="Y26" i="14"/>
  <c r="CA26" i="14" s="1"/>
  <c r="Y36" i="14"/>
  <c r="Y52" i="14"/>
  <c r="Y12" i="14"/>
  <c r="Y9" i="14"/>
  <c r="CA9" i="14" s="1"/>
  <c r="Y17" i="14"/>
  <c r="CA17" i="14" s="1"/>
  <c r="Y10" i="14"/>
  <c r="CA10" i="14" s="1"/>
  <c r="Y46" i="14"/>
  <c r="Y18" i="14"/>
  <c r="CA18" i="14" s="1"/>
  <c r="Y29" i="14"/>
  <c r="Y38" i="14"/>
  <c r="Y16" i="14"/>
  <c r="CA16" i="14" s="1"/>
  <c r="Y33" i="14"/>
  <c r="Y19" i="14"/>
  <c r="CA19" i="14" s="1"/>
  <c r="Y39" i="14"/>
  <c r="Y11" i="14"/>
  <c r="CA11" i="14" s="1"/>
  <c r="Y50" i="14"/>
  <c r="Y20" i="14"/>
  <c r="CA20" i="14" s="1"/>
  <c r="Y32" i="14"/>
  <c r="Y44" i="14"/>
  <c r="Y22" i="14"/>
  <c r="CA22" i="14" s="1"/>
  <c r="Y49" i="14"/>
  <c r="Y13" i="14"/>
  <c r="CA13" i="14" s="1"/>
  <c r="Y6" i="14"/>
  <c r="Y45" i="14"/>
  <c r="Y40" i="14"/>
  <c r="Y14" i="14"/>
  <c r="Y34" i="14"/>
  <c r="Y48" i="14"/>
  <c r="CA15" i="14"/>
  <c r="CA14" i="14"/>
  <c r="CA12" i="14"/>
  <c r="CA7" i="14"/>
  <c r="CA6" i="14"/>
  <c r="BU1" i="11"/>
  <c r="Y1" i="14"/>
  <c r="BQ1" i="11" l="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BL1" i="11"/>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BX18" i="11"/>
  <c r="BX21" i="11"/>
  <c r="BX40" i="11"/>
  <c r="BX137" i="11"/>
  <c r="BX56" i="11"/>
  <c r="BX129" i="11"/>
  <c r="BX25" i="11"/>
  <c r="BX75" i="11"/>
  <c r="BX31" i="11"/>
  <c r="BX128" i="11"/>
  <c r="BX9" i="11"/>
  <c r="Y66" i="13"/>
  <c r="CA66" i="13" s="1"/>
  <c r="BX73" i="11"/>
  <c r="BX132" i="11"/>
  <c r="BX43" i="11"/>
  <c r="BX78" i="11"/>
  <c r="BX136" i="11"/>
  <c r="BX27" i="11"/>
  <c r="BX10" i="11"/>
  <c r="BX48" i="11"/>
  <c r="BX46" i="11"/>
  <c r="BX117" i="11"/>
  <c r="BX8" i="11"/>
  <c r="BX13" i="11"/>
  <c r="BX44" i="11"/>
  <c r="BX47" i="11"/>
  <c r="Y37" i="13"/>
  <c r="CA37" i="13" s="1"/>
  <c r="BX11" i="11"/>
  <c r="BX22" i="11"/>
  <c r="BX83" i="11"/>
  <c r="Y31" i="13"/>
  <c r="CA31" i="13" s="1"/>
  <c r="Y65" i="13"/>
  <c r="CA65" i="13" s="1"/>
  <c r="BX54" i="11"/>
  <c r="BX7" i="11"/>
  <c r="BX14"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L6" i="11"/>
  <c r="CL127" i="11"/>
  <c r="CL107" i="11"/>
  <c r="CL104" i="11"/>
  <c r="CL102" i="11"/>
  <c r="CL100" i="11"/>
  <c r="CL97" i="11"/>
  <c r="CL93" i="11"/>
  <c r="CL89" i="11"/>
  <c r="CL81" i="11"/>
  <c r="CL77" i="11"/>
  <c r="CL76" i="11"/>
  <c r="CL72" i="11"/>
  <c r="CL68" i="11"/>
  <c r="CL64" i="11"/>
  <c r="CL60" i="11"/>
  <c r="CL123" i="11"/>
  <c r="CL119" i="11"/>
  <c r="CL116" i="11"/>
  <c r="CL111" i="11"/>
  <c r="CL113" i="11"/>
  <c r="CL37" i="11"/>
  <c r="CL18" i="11"/>
  <c r="CL19" i="11"/>
  <c r="CL8" i="11"/>
  <c r="CL136" i="11"/>
  <c r="CL131" i="11"/>
  <c r="CL16" i="11"/>
  <c r="CL49" i="11"/>
  <c r="CL13" i="11"/>
  <c r="CL54" i="11"/>
  <c r="CL48" i="11"/>
  <c r="CL41" i="11"/>
  <c r="CL29" i="11"/>
  <c r="CL56" i="11"/>
  <c r="CL66" i="11"/>
  <c r="CL115" i="11"/>
  <c r="CL87" i="11"/>
  <c r="CL42" i="11"/>
  <c r="CL35" i="11"/>
  <c r="CL129" i="11"/>
  <c r="CL84" i="11"/>
  <c r="CL26" i="11"/>
  <c r="CL106" i="11"/>
  <c r="CL96" i="11"/>
  <c r="CL92" i="11"/>
  <c r="CL88" i="11"/>
  <c r="CL80" i="11"/>
  <c r="CL75" i="11"/>
  <c r="CL71" i="11"/>
  <c r="CL67" i="11"/>
  <c r="CL63" i="11"/>
  <c r="CL59" i="11"/>
  <c r="CL125" i="11"/>
  <c r="CL120" i="11"/>
  <c r="CL112" i="11"/>
  <c r="CL114" i="11"/>
  <c r="CL23" i="11"/>
  <c r="CL43" i="11"/>
  <c r="CL38" i="11"/>
  <c r="CL34" i="11"/>
  <c r="CL22" i="11"/>
  <c r="CL7" i="11"/>
  <c r="CL132" i="11"/>
  <c r="CL53" i="11"/>
  <c r="CL11" i="11"/>
  <c r="CL50" i="11"/>
  <c r="CL30" i="11"/>
  <c r="CL14" i="11"/>
  <c r="CL40" i="11"/>
  <c r="CL47" i="11"/>
  <c r="CL134" i="11"/>
  <c r="CL24" i="11"/>
  <c r="CL62" i="11"/>
  <c r="CL58" i="11"/>
  <c r="CL124" i="11"/>
  <c r="CL121" i="11"/>
  <c r="CL21" i="11"/>
  <c r="CL32" i="11"/>
  <c r="CL31" i="11"/>
  <c r="CL51" i="11"/>
  <c r="CL55" i="11"/>
  <c r="CL83" i="11"/>
  <c r="CL108" i="11"/>
  <c r="CL105" i="11"/>
  <c r="CL103" i="11"/>
  <c r="CL101" i="11"/>
  <c r="CL99" i="11"/>
  <c r="CL95" i="11"/>
  <c r="CL91" i="11"/>
  <c r="CL86" i="11"/>
  <c r="CL79" i="11"/>
  <c r="CL74" i="11"/>
  <c r="CL70" i="11"/>
  <c r="CL9" i="11"/>
  <c r="CL85" i="11"/>
  <c r="CL98" i="11"/>
  <c r="CL94" i="11"/>
  <c r="CL90" i="11"/>
  <c r="CL82" i="11"/>
  <c r="CL78" i="11"/>
  <c r="CL73" i="11"/>
  <c r="CL69" i="11"/>
  <c r="CL65" i="11"/>
  <c r="CL61" i="11"/>
  <c r="CL57" i="11"/>
  <c r="CL126" i="11"/>
  <c r="CL122" i="11"/>
  <c r="CL118" i="11"/>
  <c r="CL117" i="11"/>
  <c r="CL110" i="11"/>
  <c r="CL109" i="11"/>
  <c r="CL44" i="11"/>
  <c r="CL36" i="11"/>
  <c r="CL33" i="11"/>
  <c r="CL20" i="11"/>
  <c r="CL39" i="11"/>
  <c r="CL138" i="11"/>
  <c r="CL52" i="11"/>
  <c r="CL17" i="11"/>
  <c r="CL15" i="11"/>
  <c r="CL128" i="11"/>
  <c r="CL130" i="11"/>
  <c r="CL137" i="11"/>
  <c r="CL135" i="11"/>
  <c r="CL25" i="11"/>
  <c r="CL46" i="11"/>
  <c r="CL28" i="11"/>
  <c r="CL12" i="11"/>
  <c r="CL133" i="11"/>
  <c r="CL27" i="11"/>
  <c r="CL10" i="11"/>
  <c r="CL45" i="11"/>
  <c r="CL139" i="11"/>
  <c r="CA19" i="13"/>
  <c r="CA20" i="13"/>
  <c r="CA18" i="13"/>
  <c r="Y6" i="13"/>
  <c r="CA6" i="13" s="1"/>
  <c r="Y32" i="13"/>
  <c r="CI106" i="11"/>
  <c r="Y15" i="13"/>
  <c r="CA15" i="13" s="1"/>
  <c r="CB139" i="11" l="1"/>
  <c r="CB45" i="11"/>
  <c r="CB10" i="11"/>
  <c r="CB27" i="11"/>
  <c r="CB133" i="11"/>
  <c r="CB12" i="11"/>
  <c r="CB28" i="11"/>
  <c r="CB46" i="11"/>
  <c r="CB25" i="11"/>
  <c r="CB135" i="11"/>
  <c r="CB137" i="11"/>
  <c r="CB130" i="11"/>
  <c r="CB128" i="11"/>
  <c r="CB15" i="11"/>
  <c r="CB17" i="11"/>
  <c r="CB52" i="11"/>
  <c r="CN52" i="11" s="1"/>
  <c r="CB138" i="11"/>
  <c r="CB39" i="11"/>
  <c r="CB20" i="11"/>
  <c r="CB33" i="11"/>
  <c r="CK33" i="11" s="1"/>
  <c r="CB36" i="11"/>
  <c r="CB44" i="11"/>
  <c r="CB109" i="11"/>
  <c r="CB110" i="11"/>
  <c r="CB117" i="11"/>
  <c r="CB118" i="11"/>
  <c r="CB122" i="11"/>
  <c r="CB126" i="11"/>
  <c r="CN126" i="11" s="1"/>
  <c r="CB57" i="11"/>
  <c r="CB61" i="11"/>
  <c r="CB65" i="11"/>
  <c r="CB69" i="11"/>
  <c r="CB73" i="11"/>
  <c r="CB78" i="11"/>
  <c r="CB82" i="11"/>
  <c r="CB90" i="11"/>
  <c r="CN90" i="11" s="1"/>
  <c r="CB94" i="11"/>
  <c r="CB98" i="11"/>
  <c r="CB85" i="11"/>
  <c r="CB9" i="11"/>
  <c r="CN9" i="11" s="1"/>
  <c r="CB70" i="11"/>
  <c r="CB74" i="11"/>
  <c r="CB79" i="11"/>
  <c r="CB86" i="11"/>
  <c r="CB91" i="11"/>
  <c r="CB95" i="11"/>
  <c r="CB99" i="11"/>
  <c r="CB101" i="11"/>
  <c r="CN101" i="11" s="1"/>
  <c r="CB103" i="11"/>
  <c r="CB105" i="11"/>
  <c r="CB108" i="11"/>
  <c r="CB83" i="11"/>
  <c r="CK83" i="11" s="1"/>
  <c r="CB55" i="11"/>
  <c r="CB51" i="11"/>
  <c r="CB31" i="11"/>
  <c r="CB32" i="11"/>
  <c r="CK32" i="11" s="1"/>
  <c r="CB21" i="11"/>
  <c r="CB121" i="11"/>
  <c r="CB124" i="11"/>
  <c r="CB58" i="11"/>
  <c r="CB62" i="11"/>
  <c r="CB24" i="11"/>
  <c r="CB134" i="11"/>
  <c r="CB47" i="11"/>
  <c r="CK47" i="11" s="1"/>
  <c r="CB40" i="11"/>
  <c r="CB14" i="11"/>
  <c r="CB30" i="11"/>
  <c r="CB50" i="11"/>
  <c r="CK50" i="11" s="1"/>
  <c r="CB11" i="11"/>
  <c r="CB53" i="11"/>
  <c r="CB132" i="11"/>
  <c r="CB7" i="11"/>
  <c r="CK7" i="11" s="1"/>
  <c r="CB22" i="11"/>
  <c r="CB34" i="11"/>
  <c r="CB38" i="11"/>
  <c r="CB43" i="11"/>
  <c r="CK43" i="11" s="1"/>
  <c r="CB23" i="11"/>
  <c r="CB114" i="11"/>
  <c r="CB112" i="11"/>
  <c r="CB120" i="11"/>
  <c r="CB125" i="11"/>
  <c r="CB59" i="11"/>
  <c r="CB63" i="11"/>
  <c r="CB67" i="11"/>
  <c r="CK67" i="11" s="1"/>
  <c r="CB71" i="11"/>
  <c r="CB75" i="11"/>
  <c r="CB80" i="11"/>
  <c r="CB88" i="11"/>
  <c r="CK88" i="11" s="1"/>
  <c r="CB92" i="11"/>
  <c r="CB96" i="11"/>
  <c r="CN96" i="11" s="1"/>
  <c r="CB106" i="11"/>
  <c r="CB26" i="11"/>
  <c r="CK26" i="11" s="1"/>
  <c r="CB84" i="11"/>
  <c r="CB129" i="11"/>
  <c r="CB35" i="11"/>
  <c r="CB42" i="11"/>
  <c r="CN42" i="11" s="1"/>
  <c r="CB87" i="11"/>
  <c r="CB115" i="11"/>
  <c r="CB66" i="11"/>
  <c r="CB56" i="11"/>
  <c r="CN56" i="11" s="1"/>
  <c r="CB29" i="11"/>
  <c r="CB41" i="11"/>
  <c r="CB48" i="11"/>
  <c r="CB54" i="11"/>
  <c r="CB13" i="11"/>
  <c r="CB49" i="11"/>
  <c r="CB16" i="11"/>
  <c r="CB131" i="11"/>
  <c r="CN131" i="11" s="1"/>
  <c r="CB136" i="11"/>
  <c r="CB8" i="11"/>
  <c r="CB19" i="11"/>
  <c r="CB18" i="11"/>
  <c r="CB37" i="11"/>
  <c r="CB113" i="11"/>
  <c r="CB111" i="11"/>
  <c r="CB116" i="11"/>
  <c r="CK116" i="11" s="1"/>
  <c r="CB119" i="11"/>
  <c r="CB123" i="11"/>
  <c r="CB60" i="11"/>
  <c r="CB64" i="11"/>
  <c r="CK64" i="11" s="1"/>
  <c r="CB68" i="11"/>
  <c r="CB72" i="11"/>
  <c r="CB76" i="11"/>
  <c r="CB77" i="11"/>
  <c r="CB81" i="11"/>
  <c r="CB89" i="11"/>
  <c r="CB93" i="11"/>
  <c r="CB97" i="11"/>
  <c r="CK97" i="11" s="1"/>
  <c r="CB100" i="11"/>
  <c r="CB102" i="11"/>
  <c r="CB104" i="11"/>
  <c r="CB107" i="11"/>
  <c r="CN107" i="11" s="1"/>
  <c r="CB127" i="11"/>
  <c r="CB6" i="11"/>
  <c r="CK6" i="11" s="1"/>
  <c r="CO1" i="11"/>
  <c r="CK92" i="11"/>
  <c r="CN78" i="11"/>
  <c r="CK139" i="11"/>
  <c r="CK30" i="11"/>
  <c r="CK77" i="11"/>
  <c r="CK22" i="11"/>
  <c r="CK21" i="11"/>
  <c r="CK127" i="11"/>
  <c r="CK79" i="11"/>
  <c r="CK8" i="11"/>
  <c r="CK109" i="11"/>
  <c r="CN129" i="11"/>
  <c r="CK73" i="11"/>
  <c r="CJ6" i="11"/>
  <c r="BQ6" i="11"/>
  <c r="BQ129" i="11"/>
  <c r="BQ85" i="11"/>
  <c r="BW85" i="11" s="1"/>
  <c r="BQ83" i="11"/>
  <c r="BV84" i="11"/>
  <c r="BQ127" i="11"/>
  <c r="BQ84" i="11"/>
  <c r="CN84" i="11"/>
  <c r="CN85" i="11"/>
  <c r="BQ26" i="11"/>
  <c r="BQ94" i="11"/>
  <c r="BQ95" i="11"/>
  <c r="BQ102" i="11"/>
  <c r="BQ100" i="11"/>
  <c r="BQ108" i="11"/>
  <c r="BQ91" i="11"/>
  <c r="BQ92" i="11"/>
  <c r="BQ98" i="11"/>
  <c r="BQ99" i="11"/>
  <c r="BQ106" i="11"/>
  <c r="BQ107" i="11"/>
  <c r="BQ93" i="11"/>
  <c r="BQ101" i="11"/>
  <c r="BQ89" i="11"/>
  <c r="BQ90" i="11"/>
  <c r="BQ96" i="11"/>
  <c r="BQ104" i="11"/>
  <c r="BQ88" i="11"/>
  <c r="CK98" i="11"/>
  <c r="CK106" i="11"/>
  <c r="CN94" i="11"/>
  <c r="CN100" i="11"/>
  <c r="BQ103" i="11"/>
  <c r="CN108" i="11"/>
  <c r="BQ97" i="11"/>
  <c r="CN102" i="11"/>
  <c r="BQ105" i="11"/>
  <c r="CN89" i="11"/>
  <c r="CN91" i="11"/>
  <c r="CN95" i="11"/>
  <c r="CN104" i="11"/>
  <c r="CN99" i="11"/>
  <c r="CN103" i="11"/>
  <c r="CK105" i="11"/>
  <c r="BQ78" i="11"/>
  <c r="BW78" i="11" s="1"/>
  <c r="BQ76" i="11"/>
  <c r="BQ80" i="11"/>
  <c r="BQ61" i="11"/>
  <c r="BW61" i="11" s="1"/>
  <c r="BQ68" i="11"/>
  <c r="BQ69" i="11"/>
  <c r="BQ79" i="11"/>
  <c r="CK82" i="11"/>
  <c r="BQ86" i="11"/>
  <c r="BW86" i="11" s="1"/>
  <c r="CK86" i="11"/>
  <c r="BQ82" i="11"/>
  <c r="BQ81" i="11"/>
  <c r="CK80" i="11"/>
  <c r="CK81" i="11"/>
  <c r="CK61" i="11"/>
  <c r="BQ62" i="11"/>
  <c r="BW62" i="11" s="1"/>
  <c r="BQ63" i="11"/>
  <c r="BW63" i="11" s="1"/>
  <c r="CK69" i="11"/>
  <c r="BQ70" i="11"/>
  <c r="BQ71" i="11"/>
  <c r="BQ57" i="11"/>
  <c r="CK63" i="11"/>
  <c r="BQ64" i="11"/>
  <c r="BQ65" i="11"/>
  <c r="CK71" i="11"/>
  <c r="BQ72" i="11"/>
  <c r="BQ73" i="11"/>
  <c r="BQ74" i="11"/>
  <c r="BQ75" i="11"/>
  <c r="CK57" i="11"/>
  <c r="BQ58" i="11"/>
  <c r="BQ59" i="11"/>
  <c r="CK65" i="11"/>
  <c r="BQ66" i="11"/>
  <c r="BQ67" i="11"/>
  <c r="BW67" i="11" s="1"/>
  <c r="CK59" i="11"/>
  <c r="BQ77" i="11"/>
  <c r="BQ60" i="11"/>
  <c r="CJ76" i="11"/>
  <c r="CK75" i="11"/>
  <c r="CN58" i="11"/>
  <c r="CK60" i="11"/>
  <c r="CK62" i="11"/>
  <c r="CN66" i="11"/>
  <c r="CK68" i="11"/>
  <c r="CN70" i="11"/>
  <c r="CK72" i="11"/>
  <c r="CN74" i="11"/>
  <c r="CK76"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18" i="11"/>
  <c r="CN120" i="11"/>
  <c r="CN122" i="11"/>
  <c r="CK117" i="11"/>
  <c r="CK119" i="11"/>
  <c r="CN121" i="11"/>
  <c r="CK123" i="11"/>
  <c r="CK124" i="11"/>
  <c r="BQ116" i="11"/>
  <c r="CJ116" i="11"/>
  <c r="CK112" i="11"/>
  <c r="BQ111" i="11"/>
  <c r="CJ111" i="11"/>
  <c r="CK111" i="11"/>
  <c r="BQ110" i="11"/>
  <c r="CN110" i="11"/>
  <c r="CK115" i="11"/>
  <c r="BQ113" i="11"/>
  <c r="BQ114" i="11"/>
  <c r="CN114" i="11"/>
  <c r="CK113" i="11"/>
  <c r="CN109" i="11"/>
  <c r="BQ87" i="11"/>
  <c r="CK87" i="11"/>
  <c r="CK23" i="11"/>
  <c r="CK44" i="11"/>
  <c r="CK36" i="11"/>
  <c r="CN35" i="11"/>
  <c r="CK37" i="11"/>
  <c r="CK18" i="11"/>
  <c r="CN21" i="11"/>
  <c r="CK20" i="11"/>
  <c r="CJ7" i="11"/>
  <c r="CJ8" i="11"/>
  <c r="CK19" i="11"/>
  <c r="BQ7" i="11"/>
  <c r="CN8"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12" i="11"/>
  <c r="CK24" i="11"/>
  <c r="CK134" i="11"/>
  <c r="CK46" i="11"/>
  <c r="BQ47" i="11"/>
  <c r="CK45" i="11"/>
  <c r="CK28" i="11"/>
  <c r="CJ25" i="11"/>
  <c r="CN29" i="11"/>
  <c r="CK54" i="11"/>
  <c r="CN25" i="11"/>
  <c r="CN41" i="11"/>
  <c r="CK55" i="11"/>
  <c r="BQ48" i="11"/>
  <c r="BQ40" i="11"/>
  <c r="CK40" i="11"/>
  <c r="CN49" i="11"/>
  <c r="BQ137" i="11"/>
  <c r="CK17" i="11"/>
  <c r="CN48" i="11"/>
  <c r="CN137" i="11"/>
  <c r="BQ54" i="11"/>
  <c r="CN130" i="11"/>
  <c r="BQ15" i="11"/>
  <c r="CK10" i="11"/>
  <c r="CK128" i="11"/>
  <c r="CK15" i="11"/>
  <c r="CK14" i="11"/>
  <c r="CN39" i="11"/>
  <c r="CK51" i="11"/>
  <c r="CN31" i="11"/>
  <c r="CN135" i="11"/>
  <c r="CN13" i="11"/>
  <c r="CN16" i="11"/>
  <c r="CN138" i="11"/>
  <c r="BQ50" i="11"/>
  <c r="CN133" i="11"/>
  <c r="CK11" i="11"/>
  <c r="CN136" i="11"/>
  <c r="J4" i="4"/>
  <c r="J5" i="4"/>
  <c r="J6" i="4"/>
  <c r="J7" i="4"/>
  <c r="J8" i="4"/>
  <c r="J9" i="4"/>
  <c r="J10" i="4"/>
  <c r="J11" i="4"/>
  <c r="J12" i="4"/>
  <c r="J13" i="4"/>
  <c r="J14" i="4"/>
  <c r="J15" i="4"/>
  <c r="J16" i="4"/>
  <c r="J17" i="4"/>
  <c r="J18" i="4"/>
  <c r="J19" i="4"/>
  <c r="J20" i="4"/>
  <c r="J21" i="4"/>
  <c r="J22" i="4"/>
  <c r="J23" i="4"/>
  <c r="CK131" i="11" l="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BL53" i="11"/>
  <c r="BU41" i="11"/>
  <c r="BU32" i="11"/>
  <c r="BU78" i="11"/>
  <c r="BU126" i="11"/>
  <c r="BL26" i="11"/>
  <c r="BL58" i="11"/>
  <c r="CH66" i="11"/>
  <c r="BU50" i="11"/>
  <c r="BU124" i="11"/>
  <c r="CH95" i="11"/>
  <c r="CG95" i="11"/>
  <c r="BU31" i="11"/>
  <c r="BU35" i="11"/>
  <c r="CI61" i="11"/>
  <c r="BL13" i="11"/>
  <c r="BL11" i="11"/>
  <c r="CH74" i="11"/>
  <c r="CH97" i="11"/>
  <c r="BL109" i="11"/>
  <c r="CG32" i="11"/>
  <c r="BU127" i="11"/>
  <c r="CG83" i="11"/>
  <c r="BU115" i="11"/>
  <c r="BL64" i="11"/>
  <c r="CG98" i="11"/>
  <c r="CI18" i="11"/>
  <c r="CI65" i="11"/>
  <c r="CG94" i="11"/>
  <c r="BL40" i="11"/>
  <c r="BU14" i="11"/>
  <c r="BU88" i="11"/>
  <c r="BL20" i="11"/>
  <c r="CG31" i="11"/>
  <c r="CG64" i="11"/>
  <c r="BU22" i="11"/>
  <c r="BU42" i="11"/>
  <c r="BL86" i="11"/>
  <c r="BL35" i="11"/>
  <c r="CG23" i="11"/>
  <c r="BL24" i="11"/>
  <c r="BU136" i="11"/>
  <c r="CH91" i="11"/>
  <c r="BU57" i="11"/>
  <c r="BL54" i="11"/>
  <c r="BU132" i="11"/>
  <c r="CG33" i="11"/>
  <c r="CH19" i="11"/>
  <c r="BL44" i="11"/>
  <c r="BL17" i="11"/>
  <c r="BU54" i="11"/>
  <c r="CH81" i="11"/>
  <c r="BU8" i="11"/>
  <c r="CG20" i="11"/>
  <c r="CG67" i="11"/>
  <c r="BU52" i="11"/>
  <c r="CH64" i="11"/>
  <c r="CG127" i="11"/>
  <c r="CG37" i="11"/>
  <c r="BL135" i="11"/>
  <c r="CH44" i="11"/>
  <c r="BL23" i="11"/>
  <c r="CG105" i="11"/>
  <c r="BU59" i="11"/>
  <c r="CI88" i="11"/>
  <c r="BL25" i="11"/>
  <c r="CH57" i="11"/>
  <c r="BU114" i="11"/>
  <c r="BU123" i="11"/>
  <c r="BL41" i="11"/>
  <c r="BU129" i="11"/>
  <c r="BL68" i="11"/>
  <c r="BL65" i="11"/>
  <c r="CH22" i="11"/>
  <c r="CH93" i="11"/>
  <c r="CI97" i="11"/>
  <c r="BU19" i="11"/>
  <c r="CG110" i="11"/>
  <c r="CH60" i="11"/>
  <c r="BL22" i="11"/>
  <c r="BL12" i="11"/>
  <c r="CI74" i="11"/>
  <c r="CI89" i="11"/>
  <c r="CG18" i="11"/>
  <c r="BU45" i="11"/>
  <c r="BU11" i="11"/>
  <c r="CH67" i="11"/>
  <c r="CI94" i="11"/>
  <c r="CH71" i="11"/>
  <c r="BU70" i="11"/>
  <c r="CI75" i="11"/>
  <c r="CG69" i="11"/>
  <c r="BL28" i="11"/>
  <c r="CG38" i="11"/>
  <c r="CH65" i="11"/>
  <c r="BL78" i="11"/>
  <c r="CG73" i="11"/>
  <c r="CG119" i="11"/>
  <c r="BL38" i="11"/>
  <c r="BL33" i="11"/>
  <c r="CG107" i="11"/>
  <c r="BU6" i="11"/>
  <c r="CG48" i="11"/>
  <c r="BL63" i="11"/>
  <c r="BU84" i="11"/>
  <c r="CG99" i="11"/>
  <c r="BU27" i="11"/>
  <c r="BU117" i="11"/>
  <c r="BU101" i="11"/>
  <c r="BL127" i="11"/>
  <c r="BL96" i="11"/>
  <c r="BW98" i="11"/>
  <c r="BW58" i="11"/>
  <c r="BL124" i="11"/>
  <c r="BW74" i="11"/>
  <c r="CI90" i="11"/>
  <c r="BU97" i="11"/>
  <c r="CH56" i="11"/>
  <c r="BL31" i="11"/>
  <c r="BU113" i="11"/>
  <c r="BU82" i="11"/>
  <c r="CH59" i="11"/>
  <c r="BU56" i="11"/>
  <c r="CG114" i="11"/>
  <c r="CG71" i="11"/>
  <c r="BU103" i="11"/>
  <c r="CI70" i="11"/>
  <c r="BU107" i="11"/>
  <c r="BU102" i="11"/>
  <c r="CG108" i="11"/>
  <c r="BU29" i="11"/>
  <c r="CG22" i="11"/>
  <c r="CI68" i="11"/>
  <c r="CG65" i="11"/>
  <c r="BL134" i="11"/>
  <c r="CG109" i="11"/>
  <c r="BU138" i="11"/>
  <c r="BU69" i="11"/>
  <c r="CI79" i="11"/>
  <c r="CH89" i="11"/>
  <c r="BU131" i="11"/>
  <c r="BV131" i="11" s="1"/>
  <c r="BU20" i="11"/>
  <c r="CH52" i="11"/>
  <c r="BU121" i="11"/>
  <c r="BU110" i="11"/>
  <c r="CI69" i="11"/>
  <c r="BL62" i="11"/>
  <c r="BU44" i="11"/>
  <c r="CG103" i="11"/>
  <c r="BU74" i="11"/>
  <c r="BL30" i="11"/>
  <c r="BU21" i="11"/>
  <c r="BU39" i="11"/>
  <c r="CG115" i="11"/>
  <c r="CI96" i="11"/>
  <c r="BL69" i="11"/>
  <c r="BU36" i="11"/>
  <c r="BU86" i="11"/>
  <c r="CG124" i="11"/>
  <c r="BU15" i="11"/>
  <c r="BL36" i="11"/>
  <c r="CG13" i="11"/>
  <c r="CG120" i="11"/>
  <c r="BL77" i="11"/>
  <c r="CI77" i="11"/>
  <c r="BU64" i="11"/>
  <c r="CI71" i="11"/>
  <c r="CG19" i="11"/>
  <c r="BU68" i="11"/>
  <c r="BL83" i="11"/>
  <c r="BU43" i="11"/>
  <c r="BL55" i="11"/>
  <c r="CG80" i="11"/>
  <c r="CG79" i="11"/>
  <c r="CH94" i="11"/>
  <c r="BU137" i="11"/>
  <c r="BU28" i="11"/>
  <c r="BU61" i="11"/>
  <c r="BL50" i="11"/>
  <c r="CG70" i="11"/>
  <c r="BU122" i="11"/>
  <c r="BU87" i="11"/>
  <c r="CH112" i="11"/>
  <c r="BL10" i="11"/>
  <c r="BU125" i="11"/>
  <c r="CG89" i="11"/>
  <c r="CI67" i="11"/>
  <c r="CI85" i="11"/>
  <c r="BU99" i="11"/>
  <c r="BU112" i="11"/>
  <c r="BL32" i="11"/>
  <c r="CG97" i="11"/>
  <c r="BL29" i="11"/>
  <c r="BL138" i="11"/>
  <c r="BL111" i="11"/>
  <c r="CG81" i="11"/>
  <c r="BU66" i="11"/>
  <c r="BL52" i="11"/>
  <c r="CH26" i="11"/>
  <c r="CI73" i="11"/>
  <c r="BU26" i="11"/>
  <c r="CH79" i="11"/>
  <c r="CG72" i="11"/>
  <c r="CG43" i="11"/>
  <c r="BL48" i="11"/>
  <c r="CI60" i="11"/>
  <c r="BU120" i="11"/>
  <c r="BU94" i="11"/>
  <c r="CH90" i="11"/>
  <c r="BL76" i="11"/>
  <c r="CH61" i="11"/>
  <c r="CI62" i="11"/>
  <c r="BU58" i="11"/>
  <c r="CG82" i="11"/>
  <c r="CH75" i="11"/>
  <c r="CH129" i="11"/>
  <c r="BL6" i="11"/>
  <c r="CG101" i="11"/>
  <c r="CG87" i="11"/>
  <c r="CI57" i="11"/>
  <c r="BL49" i="11"/>
  <c r="BL85" i="11"/>
  <c r="CH101" i="11"/>
  <c r="CG12" i="11"/>
  <c r="CG138" i="11"/>
  <c r="CH99" i="11"/>
  <c r="CH88" i="11"/>
  <c r="BU65" i="11"/>
  <c r="CI95" i="11"/>
  <c r="BU17" i="11"/>
  <c r="BU85" i="11"/>
  <c r="CG11" i="11"/>
  <c r="BU135" i="11"/>
  <c r="BV135" i="11" s="1"/>
  <c r="CG102" i="11"/>
  <c r="CG58" i="11"/>
  <c r="BL51" i="11"/>
  <c r="CI64" i="11"/>
  <c r="CH73" i="11"/>
  <c r="BU119" i="11"/>
  <c r="CH78" i="11"/>
  <c r="BU46" i="11"/>
  <c r="BV14" i="11"/>
  <c r="CH82" i="11"/>
  <c r="BL75" i="11"/>
  <c r="BL16" i="11"/>
  <c r="CI19" i="11"/>
  <c r="BU134" i="11"/>
  <c r="BU133" i="11"/>
  <c r="CG34" i="11"/>
  <c r="CG35" i="11"/>
  <c r="CG60" i="11"/>
  <c r="CG16" i="11"/>
  <c r="CG44" i="11"/>
  <c r="BU89" i="11"/>
  <c r="BU116" i="11"/>
  <c r="CG51" i="11"/>
  <c r="BU139" i="11"/>
  <c r="CH102" i="11"/>
  <c r="BU48" i="11"/>
  <c r="CG42" i="11"/>
  <c r="BL27" i="11"/>
  <c r="BL130" i="11"/>
  <c r="BU53" i="11"/>
  <c r="BL71" i="11"/>
  <c r="BL14" i="11"/>
  <c r="CH107" i="11"/>
  <c r="CH43" i="11"/>
  <c r="BL132" i="11"/>
  <c r="BU81" i="11"/>
  <c r="BU104" i="11"/>
  <c r="BL70" i="11"/>
  <c r="CG30" i="11"/>
  <c r="BU16" i="11"/>
  <c r="BL84" i="11"/>
  <c r="BU60" i="11"/>
  <c r="BU75" i="11"/>
  <c r="CH77" i="11"/>
  <c r="CH72" i="11"/>
  <c r="CI93" i="11"/>
  <c r="CG92" i="11"/>
  <c r="CH63" i="11"/>
  <c r="BU128" i="11"/>
  <c r="BL56" i="11"/>
  <c r="CG41" i="11"/>
  <c r="CG68" i="11"/>
  <c r="CH108" i="11"/>
  <c r="CG59" i="11"/>
  <c r="BL42" i="11"/>
  <c r="CG112" i="11"/>
  <c r="CH98" i="11"/>
  <c r="BL61" i="11"/>
  <c r="BU73" i="11"/>
  <c r="CI91" i="11"/>
  <c r="CI78" i="11"/>
  <c r="CG129" i="11"/>
  <c r="CH104" i="11"/>
  <c r="CG121" i="11"/>
  <c r="CI58" i="11"/>
  <c r="BL112" i="11"/>
  <c r="BL80" i="11"/>
  <c r="CI105" i="11"/>
  <c r="BU118" i="11"/>
  <c r="BU93" i="11"/>
  <c r="CG61" i="11"/>
  <c r="BU106" i="11"/>
  <c r="BU79" i="11"/>
  <c r="CH68" i="11"/>
  <c r="BU18" i="11"/>
  <c r="BL133" i="11"/>
  <c r="BU90" i="11"/>
  <c r="BU49" i="11"/>
  <c r="CH58" i="11"/>
  <c r="CG88" i="11"/>
  <c r="CH100" i="11"/>
  <c r="BU80" i="11"/>
  <c r="CI14" i="11"/>
  <c r="CG123" i="11"/>
  <c r="CG78" i="11"/>
  <c r="BU108" i="11"/>
  <c r="BL43" i="11"/>
  <c r="CG21" i="11"/>
  <c r="BL137" i="11"/>
  <c r="CG96" i="11"/>
  <c r="CG28" i="11"/>
  <c r="BU109" i="11"/>
  <c r="CG86" i="11"/>
  <c r="CG84" i="11"/>
  <c r="BU105" i="11"/>
  <c r="BL139" i="11"/>
  <c r="BU62" i="11"/>
  <c r="BL66" i="11"/>
  <c r="BU92" i="11"/>
  <c r="BU38" i="11"/>
  <c r="CG100" i="11"/>
  <c r="BL19" i="11"/>
  <c r="BU111" i="11"/>
  <c r="BL79" i="11"/>
  <c r="BL60" i="11"/>
  <c r="BW72" i="11"/>
  <c r="BL110" i="11"/>
  <c r="BW60" i="11"/>
  <c r="BW22" i="11"/>
  <c r="BU130" i="11"/>
  <c r="CH92" i="11"/>
  <c r="CI59" i="11"/>
  <c r="BL37" i="11"/>
  <c r="CH127" i="11"/>
  <c r="BU67" i="11"/>
  <c r="CG122" i="11"/>
  <c r="CG85" i="11"/>
  <c r="BU13" i="11"/>
  <c r="CG91" i="11"/>
  <c r="BL87" i="11"/>
  <c r="CG57" i="11"/>
  <c r="CI22" i="11"/>
  <c r="BL129" i="11"/>
  <c r="CI82" i="11"/>
  <c r="BU9" i="11"/>
  <c r="CH70" i="11"/>
  <c r="CG47" i="11"/>
  <c r="CG66" i="11"/>
  <c r="BU7" i="11"/>
  <c r="BU23" i="11"/>
  <c r="BU100" i="11"/>
  <c r="CH85" i="11"/>
  <c r="CH14" i="11"/>
  <c r="BU24" i="11"/>
  <c r="CH96" i="11"/>
  <c r="BU10" i="11"/>
  <c r="CH103" i="11"/>
  <c r="CH18" i="11"/>
  <c r="BU51" i="11"/>
  <c r="BU33" i="11"/>
  <c r="BL46" i="11"/>
  <c r="CG62" i="11"/>
  <c r="BL57" i="11"/>
  <c r="BL120" i="11"/>
  <c r="BW111" i="11"/>
  <c r="BW115" i="11"/>
  <c r="BL114" i="11"/>
  <c r="BW102" i="11"/>
  <c r="BV139" i="11"/>
  <c r="BW26" i="11"/>
  <c r="BW35" i="11"/>
  <c r="BV39" i="11"/>
  <c r="BW94" i="11"/>
  <c r="BW124" i="11"/>
  <c r="BW8" i="11"/>
  <c r="BW80" i="11"/>
  <c r="BW71" i="11"/>
  <c r="BW93" i="11"/>
  <c r="BL90" i="11"/>
  <c r="BL100" i="11"/>
  <c r="BW125" i="11"/>
  <c r="CA33" i="11"/>
  <c r="BV128" i="11"/>
  <c r="BW108" i="11"/>
  <c r="BL123" i="11"/>
  <c r="BW87" i="11"/>
  <c r="BL99" i="11"/>
  <c r="BL122" i="11"/>
  <c r="BL125" i="11"/>
  <c r="BU72" i="11"/>
  <c r="BL73" i="11"/>
  <c r="CI98" i="11"/>
  <c r="BL81" i="11"/>
  <c r="BL74" i="11"/>
  <c r="BL34" i="11"/>
  <c r="CA34" i="11" s="1"/>
  <c r="CG104" i="11"/>
  <c r="BL131" i="11"/>
  <c r="CG52" i="11"/>
  <c r="BU55" i="11"/>
  <c r="BV55" i="11" s="1"/>
  <c r="BL45" i="11"/>
  <c r="BL8" i="11"/>
  <c r="CI92" i="11"/>
  <c r="CG90" i="11"/>
  <c r="BL15" i="11"/>
  <c r="CG74" i="11"/>
  <c r="CI112" i="11"/>
  <c r="BU83" i="11"/>
  <c r="CH69" i="11"/>
  <c r="BU71" i="11"/>
  <c r="BL39" i="11"/>
  <c r="CH105" i="11"/>
  <c r="BL9" i="11"/>
  <c r="BU40" i="11"/>
  <c r="BL47" i="11"/>
  <c r="BL128" i="11"/>
  <c r="BL59" i="11"/>
  <c r="BU30" i="11"/>
  <c r="BV30" i="11" s="1"/>
  <c r="CH31" i="11"/>
  <c r="BL102" i="11"/>
  <c r="CI108" i="11"/>
  <c r="BU98" i="11"/>
  <c r="CA61" i="11"/>
  <c r="BW77" i="11"/>
  <c r="BV132" i="11"/>
  <c r="BW127" i="11"/>
  <c r="BW64" i="11"/>
  <c r="BV51" i="11"/>
  <c r="BV130" i="11"/>
  <c r="BW101" i="11"/>
  <c r="BL115" i="11"/>
  <c r="BL92" i="11"/>
  <c r="BL94" i="11"/>
  <c r="BL91" i="11"/>
  <c r="BW121" i="11"/>
  <c r="BW118" i="11"/>
  <c r="BL101" i="11"/>
  <c r="CG14" i="11"/>
  <c r="BW110" i="11"/>
  <c r="CA23" i="11"/>
  <c r="BL98" i="11"/>
  <c r="BW114" i="11"/>
  <c r="BV83" i="11"/>
  <c r="BW105" i="11"/>
  <c r="BV133" i="11"/>
  <c r="BV13" i="11"/>
  <c r="BW92" i="11"/>
  <c r="BV11" i="11"/>
  <c r="BW96" i="11"/>
  <c r="BV48" i="11"/>
  <c r="CG75" i="11"/>
  <c r="CA37" i="11"/>
  <c r="BW90" i="11"/>
  <c r="BW113" i="11"/>
  <c r="BL104" i="11"/>
  <c r="BL106" i="11"/>
  <c r="BW100" i="11"/>
  <c r="BW117" i="11"/>
  <c r="CA85" i="11"/>
  <c r="BL107" i="11"/>
  <c r="CA86" i="11"/>
  <c r="BL103" i="11"/>
  <c r="BV56" i="11"/>
  <c r="BW69" i="11"/>
  <c r="CA101" i="11"/>
  <c r="CA64" i="11"/>
  <c r="CA74" i="11"/>
  <c r="CA90" i="11"/>
  <c r="CA80" i="11"/>
  <c r="CA111" i="11"/>
  <c r="CA42" i="11"/>
  <c r="BL126" i="11"/>
  <c r="CA62" i="11"/>
  <c r="CA102" i="11"/>
  <c r="CA124" i="11"/>
  <c r="CG106" i="11"/>
  <c r="BU91" i="11"/>
  <c r="BL72" i="11"/>
  <c r="CH62" i="11"/>
  <c r="BU77" i="11"/>
  <c r="BU25" i="11"/>
  <c r="BV25" i="11" s="1"/>
  <c r="CI66" i="11"/>
  <c r="BU34" i="11"/>
  <c r="BL67" i="11"/>
  <c r="CG113" i="11"/>
  <c r="BL113" i="11"/>
  <c r="BU76" i="11"/>
  <c r="CG118" i="11"/>
  <c r="CG36" i="11"/>
  <c r="BL18" i="11"/>
  <c r="BU37" i="11"/>
  <c r="BU12" i="11"/>
  <c r="BL7" i="11"/>
  <c r="CH42" i="11"/>
  <c r="CG56" i="11"/>
  <c r="BU47" i="11"/>
  <c r="BV47" i="11" s="1"/>
  <c r="CI31" i="11"/>
  <c r="BU95" i="11"/>
  <c r="CG93" i="11"/>
  <c r="CG26" i="11"/>
  <c r="CI63" i="11"/>
  <c r="CG63" i="11"/>
  <c r="CG24" i="11"/>
  <c r="CG77" i="11"/>
  <c r="BL136" i="11"/>
  <c r="CH80" i="11"/>
  <c r="BL82" i="11"/>
  <c r="BU63" i="11"/>
  <c r="BU96" i="11"/>
  <c r="BL97" i="11"/>
  <c r="CA44" i="11"/>
  <c r="BW73" i="11"/>
  <c r="BV134" i="11"/>
  <c r="BW88" i="11"/>
  <c r="BV53" i="11"/>
  <c r="BV10" i="11"/>
  <c r="BW75" i="11"/>
  <c r="CA75" i="11" s="1"/>
  <c r="BW107" i="11"/>
  <c r="BW126" i="11"/>
  <c r="CA126" i="11" s="1"/>
  <c r="BV15" i="11"/>
  <c r="BV41" i="11"/>
  <c r="CA18" i="11"/>
  <c r="BW120" i="11"/>
  <c r="BW79" i="11"/>
  <c r="CA79" i="11" s="1"/>
  <c r="CH106" i="11"/>
  <c r="BW91" i="11"/>
  <c r="CA91" i="11" s="1"/>
  <c r="BW65" i="11"/>
  <c r="BL89" i="11"/>
  <c r="BV31" i="11"/>
  <c r="BV136" i="11"/>
  <c r="BL119" i="11"/>
  <c r="BW66" i="11"/>
  <c r="BW129" i="11"/>
  <c r="BW97" i="11"/>
  <c r="CA97" i="11" s="1"/>
  <c r="BL116" i="11"/>
  <c r="BV54" i="11"/>
  <c r="BL108" i="11"/>
  <c r="CA108" i="11" s="1"/>
  <c r="BV29" i="11"/>
  <c r="BL121" i="11"/>
  <c r="BW123" i="11"/>
  <c r="CA123" i="11" s="1"/>
  <c r="BW99" i="11"/>
  <c r="BW70" i="11"/>
  <c r="CA127" i="11"/>
  <c r="BV12" i="11"/>
  <c r="BV50" i="11"/>
  <c r="BL93" i="11"/>
  <c r="BW122" i="11"/>
  <c r="BV6" i="11"/>
  <c r="BV138" i="11"/>
  <c r="BW82" i="11"/>
  <c r="CA82" i="11" s="1"/>
  <c r="BV28" i="11"/>
  <c r="BV49" i="11"/>
  <c r="BW57" i="11"/>
  <c r="BL118" i="11"/>
  <c r="BV46" i="11"/>
  <c r="CA125" i="11"/>
  <c r="CA77" i="11"/>
  <c r="CA70" i="11"/>
  <c r="CA8" i="11"/>
  <c r="CA114" i="11"/>
  <c r="CA110" i="11"/>
  <c r="CA93" i="11"/>
  <c r="CA60" i="11"/>
  <c r="CA98" i="11"/>
  <c r="CA72" i="11"/>
  <c r="BV17" i="11"/>
  <c r="BW116" i="11"/>
  <c r="CA116" i="11" s="1"/>
  <c r="CA58" i="11"/>
  <c r="CA118" i="11"/>
  <c r="BW19" i="11"/>
  <c r="CA19" i="11" s="1"/>
  <c r="BW59" i="11"/>
  <c r="BL88" i="11"/>
  <c r="CA88" i="11" s="1"/>
  <c r="BV32" i="11"/>
  <c r="BW89" i="11"/>
  <c r="BL21" i="11"/>
  <c r="CA36" i="11"/>
  <c r="CA21" i="11"/>
  <c r="BW106" i="11"/>
  <c r="BV40" i="11"/>
  <c r="BW109" i="11"/>
  <c r="CA109" i="11" s="1"/>
  <c r="BW76" i="11"/>
  <c r="CA76" i="11" s="1"/>
  <c r="BW112" i="11"/>
  <c r="CA112" i="11" s="1"/>
  <c r="CA63" i="11"/>
  <c r="CA69" i="11"/>
  <c r="CA65" i="11"/>
  <c r="CA84" i="11"/>
  <c r="CA35" i="11"/>
  <c r="CA71" i="11"/>
  <c r="CA113" i="11"/>
  <c r="CA121" i="11"/>
  <c r="CA78" i="11"/>
  <c r="BW7" i="11"/>
  <c r="CA7" i="11" s="1"/>
  <c r="BW103" i="11"/>
  <c r="BV137" i="11"/>
  <c r="BV16" i="11"/>
  <c r="BV24" i="11"/>
  <c r="BW68" i="11"/>
  <c r="BV45" i="11"/>
  <c r="BW95" i="11"/>
  <c r="BW81" i="11"/>
  <c r="CA43" i="11"/>
  <c r="BL95" i="11"/>
  <c r="CA129" i="11"/>
  <c r="CA89" i="11"/>
  <c r="CA115" i="11"/>
  <c r="CA100" i="11"/>
  <c r="CA87" i="11"/>
  <c r="CA106" i="11"/>
  <c r="CA57" i="11"/>
  <c r="CA120" i="11"/>
  <c r="CA103" i="11"/>
  <c r="CA66" i="11"/>
  <c r="CA92" i="11"/>
  <c r="CA81" i="11"/>
  <c r="BL117" i="11"/>
  <c r="CA117" i="11" s="1"/>
  <c r="BV27" i="11"/>
  <c r="CA26" i="11"/>
  <c r="CA94" i="11"/>
  <c r="CA122" i="11"/>
  <c r="BW20" i="11"/>
  <c r="CA20" i="11" s="1"/>
  <c r="BV52" i="11"/>
  <c r="BW119" i="11"/>
  <c r="CA119" i="11" s="1"/>
  <c r="CA38" i="11"/>
  <c r="CA67" i="11"/>
  <c r="BW104" i="11"/>
  <c r="BL105" i="11"/>
  <c r="CA105" i="11" s="1"/>
  <c r="CA107" i="11"/>
  <c r="CA22" i="11"/>
  <c r="CA99" i="11"/>
  <c r="CA96" i="11"/>
  <c r="CA95" i="11"/>
  <c r="CA104" i="11"/>
  <c r="CA73" i="11"/>
  <c r="CA59" i="11"/>
  <c r="BV9"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O84" i="1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W52" i="11"/>
  <c r="CA52" i="11" s="1"/>
  <c r="BW16" i="11"/>
  <c r="BW131" i="11"/>
  <c r="CA131" i="11" s="1"/>
  <c r="BW45" i="11"/>
  <c r="CA45" i="11" s="1"/>
  <c r="BW137" i="11"/>
  <c r="BW32" i="11"/>
  <c r="BW28" i="11"/>
  <c r="CA28" i="11" s="1"/>
  <c r="BW54" i="11"/>
  <c r="CA54" i="11" s="1"/>
  <c r="BW10" i="11"/>
  <c r="CA10" i="11" s="1"/>
  <c r="BW56" i="11"/>
  <c r="BW83" i="11"/>
  <c r="CA83" i="11" s="1"/>
  <c r="BW132" i="11"/>
  <c r="BW39" i="11"/>
  <c r="CA39" i="11" s="1"/>
  <c r="BW14" i="11"/>
  <c r="BW53" i="11"/>
  <c r="BW48" i="11"/>
  <c r="CA48" i="11" s="1"/>
  <c r="BW13" i="11"/>
  <c r="CA13" i="11" s="1"/>
  <c r="BW30" i="11"/>
  <c r="BW55" i="11"/>
  <c r="BW139" i="11"/>
  <c r="BW27" i="11"/>
  <c r="CA68" i="11"/>
  <c r="BW40" i="11"/>
  <c r="CA40" i="11" s="1"/>
  <c r="BW17" i="11"/>
  <c r="CA17" i="11" s="1"/>
  <c r="BW50" i="11"/>
  <c r="CA50" i="11" s="1"/>
  <c r="BW24" i="11"/>
  <c r="CA24" i="11" s="1"/>
  <c r="BW46" i="11"/>
  <c r="BW138" i="11"/>
  <c r="CA138" i="11" s="1"/>
  <c r="BW12" i="11"/>
  <c r="BW29" i="11"/>
  <c r="BW136" i="11"/>
  <c r="BW41" i="11"/>
  <c r="BW134" i="11"/>
  <c r="BW47" i="11"/>
  <c r="CA47" i="11" s="1"/>
  <c r="BW130" i="11"/>
  <c r="CA130" i="11" s="1"/>
  <c r="BW49" i="11"/>
  <c r="BW6" i="11"/>
  <c r="BW31" i="11"/>
  <c r="BW15" i="11"/>
  <c r="BW25" i="11"/>
  <c r="CA25" i="11" s="1"/>
  <c r="BW11" i="11"/>
  <c r="CA11" i="11" s="1"/>
  <c r="BW133" i="11"/>
  <c r="BW51" i="11"/>
  <c r="BW128" i="11"/>
  <c r="CA128" i="11" s="1"/>
  <c r="BW135" i="11"/>
  <c r="CA135" i="11" s="1"/>
  <c r="BW9" i="11"/>
  <c r="CA9" i="11"/>
  <c r="CA31" i="11"/>
  <c r="CA41" i="11"/>
  <c r="CA46" i="11"/>
  <c r="CA30" i="11"/>
  <c r="CA56" i="11"/>
  <c r="CA133" i="11"/>
  <c r="CA139" i="11"/>
  <c r="CA137" i="11"/>
  <c r="CA134" i="11"/>
  <c r="CA12" i="11"/>
  <c r="CA132" i="11"/>
  <c r="CA51" i="11"/>
  <c r="CA6" i="11"/>
  <c r="CA136" i="11"/>
  <c r="CA27" i="11"/>
  <c r="CA53" i="11"/>
  <c r="CA32" i="11"/>
  <c r="CA49" i="11"/>
  <c r="CA29" i="11"/>
  <c r="CA14" i="11"/>
  <c r="CA15" i="11"/>
  <c r="CA55" i="11"/>
  <c r="CA16" i="11"/>
</calcChain>
</file>

<file path=xl/sharedStrings.xml><?xml version="1.0" encoding="utf-8"?>
<sst xmlns="http://schemas.openxmlformats.org/spreadsheetml/2006/main" count="9408" uniqueCount="2566">
  <si>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</si>
  <si>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</si>
  <si>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</si>
  <si>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</si>
  <si>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</si>
  <si>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</si>
  <si>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</si>
  <si>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</si>
  <si>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</si>
  <si>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</si>
  <si>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</si>
  <si>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</si>
  <si>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</si>
  <si>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</si>
  <si>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</si>
  <si>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</si>
  <si>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</si>
  <si>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</si>
  <si>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</si>
  <si>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</si>
  <si>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</si>
  <si>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</si>
  <si>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</si>
  <si>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</si>
  <si>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</si>
  <si>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</si>
  <si>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</si>
  <si>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</si>
  <si>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</si>
  <si>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</si>
  <si>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</si>
  <si>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</si>
  <si>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</si>
  <si>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</si>
  <si>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</si>
  <si>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</si>
  <si>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</si>
  <si>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</si>
  <si>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</si>
  <si>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</si>
  <si>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</si>
  <si>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</si>
  <si>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</si>
  <si>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</si>
  <si>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</si>
  <si>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</si>
  <si>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</si>
  <si>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</si>
  <si>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</si>
  <si>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</si>
  <si>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</si>
  <si>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</si>
  <si>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</si>
  <si>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</si>
  <si>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</si>
  <si>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</si>
  <si>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</si>
  <si>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</si>
  <si>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</si>
  <si>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</si>
  <si>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</si>
  <si>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</si>
  <si>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</si>
  <si>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</si>
  <si>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</si>
  <si>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</si>
  <si>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</si>
  <si>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</si>
  <si>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</si>
  <si>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</si>
  <si>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</si>
  <si>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</si>
  <si>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</si>
  <si>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</si>
  <si>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</si>
  <si>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</si>
  <si>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</si>
  <si>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</si>
  <si>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</si>
  <si>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</si>
  <si>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</si>
  <si>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</si>
  <si>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</si>
  <si>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</si>
  <si>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</si>
  <si>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</si>
  <si>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</si>
  <si>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</si>
  <si>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</si>
  <si>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</si>
  <si>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</si>
  <si>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</si>
  <si>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</si>
  <si>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</si>
  <si>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</si>
  <si>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</si>
  <si>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</si>
  <si>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</si>
  <si>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</si>
  <si>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</si>
  <si>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</si>
  <si>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</si>
  <si>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</si>
  <si>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</si>
  <si>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</si>
  <si>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</si>
  <si>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</si>
  <si>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</si>
  <si>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</si>
  <si>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</si>
  <si>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</si>
  <si>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</si>
  <si>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</si>
  <si>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</si>
  <si>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</si>
  <si>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</si>
  <si>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</si>
  <si>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</si>
  <si>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</si>
  <si>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</si>
  <si>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</si>
  <si>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</si>
  <si>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</si>
  <si>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</si>
  <si>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</si>
  <si>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</si>
  <si>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</si>
  <si>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</si>
  <si>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</si>
  <si>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</si>
  <si>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</si>
  <si>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</si>
  <si>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</si>
  <si>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</si>
  <si>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</si>
  <si>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</si>
  <si>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</si>
  <si>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</si>
  <si>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</si>
  <si>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</si>
  <si>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</si>
  <si>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</si>
  <si>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</si>
  <si>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</si>
  <si>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</si>
  <si>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</si>
  <si>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</si>
  <si>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</si>
  <si>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</si>
  <si>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</si>
  <si>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</si>
  <si>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</si>
  <si>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</si>
  <si>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</si>
  <si>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</si>
  <si>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</si>
  <si>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</si>
  <si>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</si>
  <si>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</si>
  <si>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</si>
  <si>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</si>
  <si>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</si>
  <si>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</si>
  <si>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</si>
  <si>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</si>
  <si>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</si>
  <si>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</si>
  <si>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</si>
  <si>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</si>
  <si>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</si>
  <si>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</si>
  <si>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</si>
  <si>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</si>
  <si>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</si>
  <si>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</si>
  <si>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</si>
  <si>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</si>
  <si>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</si>
  <si>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</si>
  <si>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</si>
  <si>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</si>
  <si>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</si>
  <si>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</si>
  <si>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</si>
  <si>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</si>
  <si>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</si>
  <si>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</si>
  <si>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</si>
  <si>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</si>
  <si>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</si>
  <si>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</si>
  <si>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</si>
  <si>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</si>
  <si>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</si>
  <si>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</si>
  <si>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</si>
  <si>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</si>
  <si>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</si>
  <si>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</si>
  <si>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</si>
  <si>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</si>
  <si>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</si>
  <si>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</si>
  <si>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</si>
  <si>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</si>
  <si>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</si>
  <si>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</si>
  <si>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</si>
  <si>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</si>
  <si>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</si>
  <si>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</si>
  <si>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</si>
  <si>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</si>
  <si>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</si>
  <si>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</si>
  <si>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</si>
  <si>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</si>
  <si>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</si>
  <si>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</si>
  <si>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</si>
  <si>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</si>
  <si>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</si>
  <si>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</si>
  <si>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</si>
  <si>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</si>
  <si>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</si>
  <si>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</si>
  <si>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</si>
  <si>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</si>
  <si>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</si>
  <si>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</si>
  <si>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</si>
  <si>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</si>
  <si>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</si>
  <si>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</si>
  <si>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</si>
  <si>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</si>
  <si>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</si>
  <si>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</si>
  <si>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</si>
  <si>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</si>
  <si>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</si>
  <si>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</si>
  <si>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</si>
  <si>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</si>
  <si>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</si>
  <si>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</si>
  <si>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</si>
  <si>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</si>
  <si>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</si>
  <si>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</si>
  <si>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</si>
  <si>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</si>
  <si>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</si>
  <si>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</si>
  <si>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</si>
  <si>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</si>
  <si>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</si>
  <si>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</si>
  <si>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</si>
  <si>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</si>
  <si>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</si>
  <si>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</si>
  <si>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</si>
  <si>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</si>
  <si>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</si>
  <si>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</si>
  <si>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</si>
  <si>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</si>
  <si>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</si>
  <si>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</si>
  <si>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</si>
  <si>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</si>
  <si>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</si>
  <si>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</si>
  <si>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</si>
  <si>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</si>
  <si>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</si>
  <si>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</si>
  <si>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</si>
  <si>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</si>
  <si>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</si>
  <si>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</si>
  <si>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</si>
  <si>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</si>
  <si>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</si>
  <si>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</si>
  <si>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</si>
  <si>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</si>
  <si>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</si>
  <si>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</si>
  <si>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</si>
  <si>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</si>
  <si>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</si>
  <si>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</si>
  <si>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</si>
  <si>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</si>
  <si>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</si>
  <si>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</si>
  <si>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</si>
  <si>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</si>
  <si>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</si>
  <si>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</si>
  <si>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</si>
  <si>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</si>
  <si>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</si>
  <si>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</si>
  <si>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</si>
  <si>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</si>
  <si>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</si>
  <si>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</si>
  <si>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</si>
  <si>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</si>
  <si>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</si>
  <si>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</si>
  <si>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</si>
  <si>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</si>
  <si>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</si>
  <si>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</si>
  <si>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</si>
  <si>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</si>
  <si>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</si>
  <si>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</si>
  <si>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</si>
  <si>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</si>
  <si>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</si>
  <si>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</si>
  <si>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</si>
  <si>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</si>
  <si>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</si>
  <si>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</si>
  <si>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</si>
  <si>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</si>
  <si>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</si>
  <si>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</si>
  <si>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</si>
  <si>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</si>
  <si>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</si>
  <si>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</si>
  <si>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</si>
  <si>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</si>
  <si>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</si>
  <si>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</si>
  <si>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</si>
  <si>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</si>
  <si>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</si>
  <si>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</si>
  <si>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</si>
  <si>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</si>
  <si>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</si>
  <si>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</si>
  <si>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</si>
  <si>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</si>
  <si>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</si>
  <si>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</si>
  <si>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</si>
  <si>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</si>
  <si>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</si>
  <si>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</si>
  <si>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</si>
  <si>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</si>
  <si>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</si>
  <si>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</si>
  <si>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</si>
  <si>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</si>
  <si>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</si>
  <si>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</si>
  <si>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</si>
  <si>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</si>
  <si>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</si>
  <si>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</si>
  <si>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</si>
  <si>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</si>
  <si>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</si>
  <si>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</si>
  <si>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</si>
  <si>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</si>
  <si>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</si>
  <si>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</si>
  <si>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</si>
  <si>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</si>
  <si>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</si>
  <si>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</si>
  <si>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</si>
  <si>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</si>
  <si>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</si>
  <si>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</si>
  <si>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</si>
  <si>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</si>
  <si>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</si>
  <si>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</si>
  <si>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</si>
  <si>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</si>
  <si>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</si>
  <si>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</si>
  <si>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</si>
  <si>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</si>
  <si>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</si>
  <si>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</si>
  <si>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</si>
  <si>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</si>
  <si>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</si>
  <si>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</si>
  <si>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</si>
  <si>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</si>
  <si>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</si>
  <si>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</si>
  <si>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</si>
  <si>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</si>
  <si>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</si>
  <si>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</si>
  <si>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</si>
  <si>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</si>
  <si>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</si>
  <si>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</si>
  <si>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</si>
  <si>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</si>
  <si>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</si>
  <si>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</si>
  <si>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</si>
  <si>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</si>
  <si>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</si>
  <si>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</si>
  <si>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</si>
  <si>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</si>
  <si>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</si>
  <si>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</si>
  <si>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</si>
  <si>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</si>
  <si>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</si>
  <si>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</si>
  <si>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</si>
  <si>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</si>
  <si>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</si>
  <si>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</si>
  <si>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</si>
  <si>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</si>
  <si>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</si>
  <si>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</si>
  <si>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</si>
  <si>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</si>
  <si>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</si>
  <si>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</si>
  <si>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</si>
  <si>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</si>
  <si>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</si>
  <si>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</si>
  <si>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</si>
  <si>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</si>
  <si>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</si>
  <si>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</si>
  <si>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</si>
  <si>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</si>
  <si>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</si>
  <si>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</si>
  <si>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</si>
  <si>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</si>
  <si>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</si>
  <si>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</si>
  <si>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</si>
  <si>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</si>
  <si>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</si>
  <si>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</si>
  <si>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</si>
  <si>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</si>
  <si>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</si>
  <si>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</si>
  <si>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</si>
  <si>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</si>
  <si>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</si>
  <si>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</si>
  <si>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</si>
  <si>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</si>
  <si>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</si>
  <si>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</si>
  <si>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</si>
  <si>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</si>
  <si>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</si>
  <si>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</si>
  <si>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</si>
  <si>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</si>
  <si>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</si>
  <si>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</si>
  <si>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</si>
  <si>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</si>
  <si>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</si>
  <si>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</si>
  <si>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</si>
  <si>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</si>
  <si>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</si>
  <si>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</si>
  <si>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</si>
  <si>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</si>
  <si>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</si>
  <si>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</si>
  <si>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</si>
  <si>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</si>
  <si>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</si>
  <si>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</si>
  <si>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</si>
  <si>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</si>
  <si>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</si>
  <si>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</si>
  <si>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</si>
  <si>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</si>
  <si>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</si>
  <si>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</si>
  <si>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</si>
  <si>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</si>
  <si>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</si>
  <si>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</si>
  <si>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</si>
  <si>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</si>
  <si>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</si>
  <si>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</si>
  <si>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</si>
  <si>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</si>
  <si>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</si>
  <si>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</si>
  <si>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</si>
  <si>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</si>
  <si>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</si>
  <si>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</si>
  <si>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</si>
  <si>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</si>
  <si>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</si>
  <si>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</si>
  <si>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</si>
  <si>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</si>
  <si>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</si>
  <si>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</si>
  <si>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</si>
  <si>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</si>
  <si>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</si>
  <si>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</si>
  <si>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</si>
  <si>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</si>
  <si>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</si>
  <si>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</si>
  <si>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</si>
  <si>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</si>
  <si>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</si>
  <si>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</si>
  <si>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</si>
  <si>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</si>
  <si>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</si>
  <si>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</si>
  <si>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</si>
  <si>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</si>
  <si>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</si>
  <si>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</si>
  <si>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</si>
  <si>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</si>
  <si>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</si>
  <si>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</si>
  <si>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</si>
  <si>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</si>
  <si>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</si>
  <si>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</si>
  <si>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</si>
  <si>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</si>
  <si>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</si>
  <si>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</si>
  <si>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</si>
  <si>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</si>
  <si>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</si>
  <si>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</si>
  <si>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</si>
  <si>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</si>
  <si>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</si>
  <si>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</si>
  <si>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</si>
  <si>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</si>
  <si>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</si>
  <si>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</si>
  <si>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</si>
  <si>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</si>
  <si>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</si>
  <si>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</si>
  <si>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</si>
  <si>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</si>
  <si>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</si>
  <si>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</si>
  <si>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</si>
  <si>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</si>
  <si>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</si>
  <si>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</si>
  <si>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</si>
  <si>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</si>
  <si>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</si>
  <si>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</si>
  <si>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</si>
  <si>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</si>
  <si>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</si>
  <si>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</si>
  <si>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</si>
  <si>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</si>
  <si>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</si>
  <si>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</si>
  <si>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</si>
  <si>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</si>
  <si>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</si>
  <si>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</si>
  <si>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</si>
  <si>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</si>
  <si>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</si>
  <si>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</si>
  <si>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</si>
  <si>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</si>
  <si>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</si>
  <si>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</si>
  <si>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</si>
  <si>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</si>
  <si>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</si>
  <si>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</si>
  <si>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</si>
  <si>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</si>
  <si>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</si>
  <si>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</si>
  <si>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</si>
  <si>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</si>
  <si>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</si>
  <si>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</si>
  <si>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</si>
  <si>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</si>
  <si>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</si>
  <si>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</si>
  <si>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</si>
  <si>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</si>
  <si>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</si>
  <si>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</si>
  <si>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</si>
  <si>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</si>
  <si>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</si>
  <si>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</si>
  <si>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</si>
  <si>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</si>
  <si>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</si>
  <si>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</si>
  <si>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</si>
  <si>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</si>
  <si>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</si>
  <si>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</si>
  <si>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</si>
  <si>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</si>
  <si>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</si>
  <si>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</si>
  <si>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</si>
  <si>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</si>
  <si>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</si>
  <si>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</si>
  <si>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</si>
  <si>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</si>
  <si>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</si>
  <si>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</si>
  <si>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</si>
  <si>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</si>
  <si>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</si>
  <si>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</si>
  <si>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</si>
  <si>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</si>
  <si>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</si>
  <si>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</si>
  <si>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</si>
  <si>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</si>
  <si>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</si>
  <si>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</si>
  <si>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</si>
  <si>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</si>
  <si>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</si>
  <si>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</si>
  <si>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</si>
  <si>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</si>
  <si>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</si>
  <si>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</si>
  <si>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</si>
  <si>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</si>
  <si>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</si>
  <si>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</si>
  <si>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</si>
  <si>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</si>
  <si>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</si>
  <si>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</si>
  <si>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</si>
  <si>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</si>
  <si>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</si>
  <si>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</si>
  <si>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</si>
  <si>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</si>
  <si>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</si>
  <si>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</si>
  <si>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</si>
  <si>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</si>
  <si>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</si>
  <si>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</si>
  <si>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</si>
  <si>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</si>
  <si>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</si>
  <si>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</si>
  <si>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</si>
  <si>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</si>
  <si>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</si>
  <si>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</si>
  <si>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</si>
  <si>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</si>
  <si>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</si>
  <si>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</si>
  <si>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</si>
  <si>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</si>
  <si>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</si>
  <si>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</si>
  <si>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</si>
  <si>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</si>
  <si>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</si>
  <si>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</si>
  <si>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</si>
  <si>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</si>
  <si>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</si>
  <si>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</si>
  <si>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</si>
  <si>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</si>
  <si>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</si>
  <si>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</si>
  <si>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</si>
  <si>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</si>
  <si>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</si>
  <si>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</si>
  <si>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</si>
  <si>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</si>
  <si>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</si>
  <si>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</si>
  <si>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</si>
  <si>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</si>
  <si>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</si>
  <si>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</si>
  <si>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</si>
  <si>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</si>
  <si>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</si>
  <si>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</si>
  <si>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</si>
  <si>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</si>
  <si>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</si>
  <si>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</si>
  <si>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</si>
  <si>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</si>
  <si>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</si>
  <si>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</si>
  <si>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</si>
  <si>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</si>
  <si>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</si>
  <si>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</si>
  <si>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</si>
  <si>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</si>
  <si>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</si>
  <si>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</si>
  <si>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</si>
  <si>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</si>
  <si>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</si>
  <si>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</si>
  <si>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</si>
  <si>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</si>
  <si>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</si>
  <si>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</si>
  <si>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</si>
  <si>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</si>
  <si>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</si>
  <si>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</si>
  <si>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</si>
  <si>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</si>
  <si>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</si>
  <si>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</si>
  <si>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</si>
  <si>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</si>
  <si>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</si>
  <si>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</si>
  <si>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</si>
  <si>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</si>
  <si>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</si>
  <si>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</si>
  <si>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</si>
  <si>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</si>
  <si>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</si>
  <si>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</si>
  <si>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</si>
  <si>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</si>
  <si>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</si>
  <si>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</si>
  <si>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</si>
  <si>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</si>
  <si>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</si>
  <si>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</si>
  <si>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</si>
  <si>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</si>
  <si>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</si>
  <si>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</si>
  <si>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</si>
  <si>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</si>
  <si>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</si>
  <si>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</si>
  <si>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</si>
  <si>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</si>
  <si>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</si>
  <si>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</si>
  <si>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</si>
  <si>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</si>
  <si>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</si>
  <si>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</si>
  <si>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</si>
  <si>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</si>
  <si>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</si>
  <si>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</si>
  <si>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</si>
  <si>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</si>
  <si>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</si>
  <si>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</si>
  <si>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</si>
  <si>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</si>
  <si>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</si>
  <si>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</si>
  <si>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</si>
  <si>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</si>
  <si>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</si>
  <si>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</si>
  <si>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</si>
  <si>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</si>
  <si>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</si>
  <si>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</si>
  <si>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</si>
  <si>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</si>
  <si>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</si>
  <si>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</si>
  <si>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</si>
  <si>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</si>
  <si>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</si>
  <si>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</si>
  <si>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</si>
  <si>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</si>
  <si>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</si>
  <si>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</si>
  <si>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</si>
  <si>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</si>
  <si>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</si>
  <si>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</si>
  <si>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</si>
  <si>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</si>
  <si>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</si>
  <si>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</si>
  <si>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</si>
  <si>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</si>
  <si>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</si>
  <si>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</si>
  <si>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</si>
  <si>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</si>
  <si>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</si>
  <si>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</si>
  <si>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</si>
  <si>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</si>
  <si>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</si>
  <si>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</si>
  <si>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</si>
  <si>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</si>
  <si>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</si>
  <si>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</si>
  <si>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</si>
  <si>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</si>
  <si>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</si>
  <si>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</si>
  <si>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</si>
  <si>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</si>
  <si>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</si>
  <si>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</si>
  <si>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</si>
  <si>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</si>
  <si>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</si>
  <si>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</si>
  <si>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</si>
  <si>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</si>
  <si>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</si>
  <si>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</si>
  <si>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</si>
  <si>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</si>
  <si>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</si>
  <si>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</si>
  <si>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</si>
  <si>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</si>
  <si>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</si>
  <si>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</si>
  <si>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</si>
  <si>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</si>
  <si>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</si>
  <si>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</si>
  <si>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</si>
  <si>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</si>
  <si>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</si>
  <si>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</si>
  <si>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</si>
  <si>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</si>
  <si>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</si>
  <si>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</si>
  <si>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</si>
  <si>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</si>
  <si>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</si>
  <si>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</si>
  <si>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</si>
  <si>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</si>
  <si>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</si>
  <si>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</si>
  <si>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</si>
  <si>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</si>
  <si>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</si>
  <si>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</si>
  <si>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</si>
  <si>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</si>
  <si>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</si>
  <si>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</si>
  <si>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</si>
  <si>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</si>
  <si>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</si>
  <si>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</si>
  <si>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</si>
  <si>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</si>
  <si>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</si>
  <si>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</si>
  <si>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</si>
  <si>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</si>
  <si>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</si>
  <si>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</si>
  <si>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</si>
  <si>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</si>
  <si>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</si>
  <si>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</si>
  <si>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</si>
  <si>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</si>
  <si>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</si>
  <si>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</si>
  <si>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</si>
  <si>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</si>
  <si>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</si>
  <si>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</si>
  <si>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</si>
  <si>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</si>
  <si>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</si>
  <si>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</si>
  <si>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</si>
  <si>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</si>
  <si>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</si>
  <si>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</si>
  <si>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</si>
  <si>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</si>
  <si>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</si>
  <si>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</si>
  <si>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</si>
  <si>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</si>
  <si>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</si>
  <si>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</si>
  <si>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</si>
  <si>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</si>
  <si>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</si>
  <si>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</si>
  <si>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</si>
  <si>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</si>
  <si>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</si>
  <si>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</si>
  <si>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</si>
  <si>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</si>
  <si>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</si>
  <si>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</si>
  <si>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</si>
  <si>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</si>
  <si>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</si>
  <si>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</si>
  <si>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</si>
  <si>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</si>
  <si>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</si>
  <si>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</si>
  <si>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</si>
  <si>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</si>
  <si>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</si>
  <si>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</si>
  <si>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</si>
  <si>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</si>
  <si>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</si>
  <si>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</si>
  <si>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</si>
  <si>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</si>
  <si>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</si>
  <si>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</si>
  <si>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</si>
  <si>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</si>
  <si>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</si>
  <si>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</si>
  <si>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</si>
  <si>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</si>
  <si>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</si>
  <si>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</si>
  <si>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</si>
  <si>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</si>
  <si>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</si>
  <si>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</si>
  <si>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</si>
  <si>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</si>
  <si>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</si>
  <si>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</si>
  <si>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</si>
  <si>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</si>
  <si>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</si>
  <si>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</si>
  <si>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</si>
  <si>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</si>
  <si>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</si>
  <si>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</si>
  <si>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</si>
  <si>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</si>
  <si>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</si>
  <si>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</si>
  <si>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</si>
  <si>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</si>
  <si>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</si>
  <si>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</si>
  <si>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</si>
  <si>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</si>
  <si>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</si>
  <si>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</si>
  <si>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</si>
  <si>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</si>
  <si>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</si>
  <si>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</si>
  <si>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</si>
  <si>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</si>
  <si>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</si>
  <si>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</si>
  <si>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</si>
  <si>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</si>
  <si>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</si>
  <si>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</si>
  <si>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</si>
  <si>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</si>
  <si>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</si>
  <si>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</si>
  <si>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</si>
  <si>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</si>
  <si>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</si>
  <si>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</si>
  <si>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</si>
  <si>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</si>
  <si>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</si>
  <si>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</si>
  <si>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</si>
  <si>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</si>
  <si>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</si>
  <si>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</si>
  <si>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</si>
  <si>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</si>
  <si>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</si>
  <si>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</si>
  <si>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</si>
  <si>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</si>
  <si>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</si>
  <si>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</si>
  <si>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</si>
  <si>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</si>
  <si>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</si>
  <si>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</si>
  <si>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</si>
  <si>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</si>
  <si>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</si>
  <si>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</si>
  <si>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</si>
  <si>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</si>
  <si>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</si>
  <si>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</si>
  <si>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</si>
  <si>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</si>
  <si>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</si>
  <si>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</si>
  <si>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</si>
  <si>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</si>
  <si>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</si>
  <si>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</si>
  <si>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</si>
  <si>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</si>
  <si>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</si>
  <si>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</si>
  <si>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</si>
  <si>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</si>
  <si>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</si>
  <si>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</si>
  <si>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</si>
  <si>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</si>
  <si>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</si>
  <si>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</si>
  <si>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</si>
  <si>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</si>
  <si>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</si>
  <si>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</si>
  <si>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</si>
  <si>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</si>
  <si>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</si>
  <si>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</si>
  <si>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</si>
  <si>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</si>
  <si>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</si>
  <si>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</si>
  <si>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</si>
  <si>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</si>
  <si>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</si>
  <si>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</si>
  <si>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</si>
  <si>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</si>
  <si>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</si>
  <si>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</si>
  <si>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</si>
  <si>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</si>
  <si>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</si>
  <si>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</si>
  <si>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</si>
  <si>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</si>
  <si>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</si>
  <si>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</si>
  <si>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</si>
  <si>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</si>
  <si>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</si>
  <si>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</si>
  <si>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</si>
  <si>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</si>
  <si>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</si>
  <si>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</si>
  <si>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</si>
  <si>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</si>
  <si>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</si>
  <si>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</si>
  <si>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</si>
  <si>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</si>
  <si>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</si>
  <si>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</si>
  <si>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</si>
  <si>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</si>
  <si>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</si>
  <si>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</si>
  <si>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</si>
  <si>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</si>
  <si>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</si>
  <si>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</si>
  <si>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</si>
  <si>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</si>
  <si>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</si>
  <si>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</si>
  <si>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</si>
  <si>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</si>
  <si>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</si>
  <si>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</si>
  <si>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</si>
  <si>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</si>
  <si>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</si>
  <si>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</si>
  <si>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</si>
  <si>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</si>
  <si>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</si>
  <si>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</si>
  <si>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</si>
  <si>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</si>
  <si>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</si>
  <si>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</si>
  <si>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</si>
  <si>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</si>
  <si>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</si>
  <si>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</si>
  <si>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</si>
  <si>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</si>
  <si>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</si>
  <si>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</si>
  <si>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</si>
  <si>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</si>
  <si>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</si>
  <si>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</si>
  <si>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</si>
  <si>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</si>
  <si>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</si>
  <si>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</si>
  <si>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</si>
  <si>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</si>
  <si>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</si>
  <si>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</si>
  <si>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</si>
  <si>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</si>
  <si>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</si>
  <si>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</si>
  <si>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</si>
  <si>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</si>
  <si>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</si>
  <si>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</si>
  <si>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</si>
  <si>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</si>
  <si>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</si>
  <si>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</si>
  <si>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</si>
  <si>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</si>
  <si>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</si>
  <si>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</si>
  <si>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</si>
  <si>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</si>
  <si>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</si>
  <si>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</si>
  <si>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</si>
  <si>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</si>
  <si>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</si>
  <si>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</si>
  <si>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</si>
  <si>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</si>
  <si>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</si>
  <si>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</si>
  <si>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</si>
  <si>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</si>
  <si>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</si>
  <si>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</si>
  <si>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</si>
  <si>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</si>
  <si>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</si>
  <si>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</si>
  <si>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</si>
  <si>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</si>
  <si>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</si>
  <si>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</si>
  <si>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</si>
  <si>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</si>
  <si>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</si>
  <si>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</si>
  <si>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</si>
  <si>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</si>
  <si>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</si>
  <si>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</si>
  <si>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</si>
  <si>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</si>
  <si>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</si>
  <si>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</si>
  <si>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</si>
  <si>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</si>
  <si>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</si>
  <si>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</si>
  <si>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</si>
  <si>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</si>
  <si>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</si>
  <si>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</si>
  <si>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</si>
  <si>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</si>
  <si>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</si>
  <si>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</si>
  <si>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</si>
  <si>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</si>
  <si>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</si>
  <si>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</si>
  <si>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</si>
  <si>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</si>
  <si>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</si>
  <si>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</si>
  <si>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</si>
  <si>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</si>
  <si>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</si>
  <si>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</si>
  <si>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</si>
  <si>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</si>
  <si>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</si>
  <si>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</si>
  <si>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</si>
  <si>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</si>
  <si>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</si>
  <si>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</si>
  <si>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</si>
  <si>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</si>
  <si>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</si>
  <si>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</si>
  <si>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</si>
  <si>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</si>
  <si>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</si>
  <si>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</si>
  <si>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</si>
  <si>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</si>
  <si>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</si>
  <si>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</si>
  <si>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</si>
  <si>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</si>
  <si>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</si>
  <si>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</si>
  <si>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</si>
  <si>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</si>
  <si>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</si>
  <si>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</si>
  <si>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</si>
  <si>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</si>
  <si>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</si>
  <si>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</si>
  <si>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</si>
  <si>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</si>
  <si>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</si>
  <si>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</si>
  <si>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</si>
  <si>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</si>
  <si>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</si>
  <si>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</si>
  <si>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</si>
  <si>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</si>
  <si>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</si>
  <si>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</si>
  <si>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</si>
  <si>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</si>
  <si>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</si>
  <si>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</si>
  <si>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</si>
  <si>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</si>
  <si>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</si>
  <si>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</si>
  <si>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</si>
  <si>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</si>
  <si>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</si>
  <si>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</si>
  <si>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</si>
  <si>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</si>
  <si>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</si>
  <si>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</si>
  <si>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</si>
  <si>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</si>
  <si>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</si>
  <si>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</si>
  <si>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</si>
  <si>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</si>
  <si>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</si>
  <si>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</si>
  <si>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</si>
  <si>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</si>
  <si>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</si>
  <si>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</si>
  <si>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</si>
  <si>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</si>
  <si>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</si>
  <si>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</si>
  <si>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</si>
  <si>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</si>
  <si>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</si>
  <si>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</si>
  <si>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</si>
  <si>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</si>
  <si>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</si>
  <si>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</si>
  <si>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</si>
  <si>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</si>
  <si>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</si>
  <si>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</si>
  <si>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</si>
  <si>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</si>
  <si>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</si>
  <si>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</si>
  <si>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</si>
  <si>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</si>
  <si>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</si>
  <si>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</si>
  <si>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</si>
  <si>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</si>
  <si>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</si>
  <si>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</si>
  <si>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</si>
  <si>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</si>
  <si>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</si>
  <si>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</si>
  <si>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</si>
  <si>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</si>
  <si>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</si>
  <si>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</si>
  <si>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</si>
  <si>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</si>
  <si>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</si>
  <si>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</si>
  <si>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</si>
  <si>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</si>
  <si>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</si>
  <si>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</si>
  <si>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</si>
  <si>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</si>
  <si>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</si>
  <si>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</si>
  <si>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</si>
  <si>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</si>
  <si>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</si>
  <si>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</si>
  <si>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</si>
  <si>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</si>
  <si>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</si>
  <si>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</si>
  <si>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</si>
  <si>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</si>
  <si>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</si>
  <si>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</si>
  <si>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</si>
  <si>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</si>
  <si>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</si>
  <si>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</si>
  <si>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</si>
  <si>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</si>
  <si>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</si>
  <si>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</si>
  <si>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</si>
  <si>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</si>
  <si>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</si>
  <si>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</si>
  <si>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</si>
  <si>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</si>
  <si>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</si>
  <si>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</si>
  <si>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</si>
  <si>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</si>
  <si>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</si>
  <si>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</si>
  <si>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</si>
  <si>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</si>
  <si>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</si>
  <si>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</si>
  <si>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</si>
  <si>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</si>
  <si>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</si>
  <si>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</si>
  <si>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</si>
  <si>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</si>
  <si>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</si>
  <si>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</si>
  <si>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</si>
  <si>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</si>
  <si>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</si>
  <si>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</si>
  <si>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</si>
  <si>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</si>
  <si>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</si>
  <si>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</si>
  <si>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</si>
  <si>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</si>
  <si>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</si>
  <si>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</si>
  <si>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</si>
  <si>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</si>
  <si>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</si>
  <si>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</si>
  <si>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</si>
  <si>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</si>
  <si>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</si>
  <si>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</si>
  <si>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</si>
  <si>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</si>
  <si>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</si>
  <si>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</si>
  <si>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</si>
  <si>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</si>
  <si>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</si>
  <si>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</si>
  <si>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</si>
  <si>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</si>
  <si>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</si>
  <si>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</si>
  <si>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</si>
  <si>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</si>
  <si>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</si>
  <si>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</si>
  <si>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</si>
  <si>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</si>
  <si>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</si>
  <si>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</si>
  <si>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</si>
  <si>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</si>
  <si>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</si>
  <si>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</si>
  <si>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</si>
  <si>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</si>
  <si>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</si>
  <si>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</si>
  <si>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</si>
  <si>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</si>
  <si>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</si>
  <si>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</si>
  <si>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</si>
  <si>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</si>
  <si>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</si>
  <si>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</si>
  <si>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</si>
  <si>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</si>
  <si>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</si>
  <si>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</si>
  <si>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</si>
  <si>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</si>
  <si>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</si>
  <si>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</si>
  <si>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</si>
  <si>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</si>
  <si>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</si>
  <si>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</si>
  <si>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</si>
  <si>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</si>
  <si>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</si>
  <si>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</si>
  <si>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</si>
  <si>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</si>
  <si>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</si>
  <si>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</si>
  <si>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</si>
  <si>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</si>
  <si>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</si>
  <si>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</si>
  <si>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</si>
  <si>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</si>
  <si>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</si>
  <si>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</si>
  <si>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</si>
  <si>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</si>
  <si>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</si>
  <si>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</si>
  <si>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</si>
  <si>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</si>
  <si>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</si>
  <si>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</si>
  <si>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</si>
  <si>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</si>
  <si>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</si>
  <si>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</si>
  <si>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</si>
  <si>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</si>
  <si>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</si>
  <si>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</si>
  <si>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</si>
  <si>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</si>
  <si>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</si>
  <si>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</si>
  <si>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</si>
  <si>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</si>
  <si>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</si>
  <si>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</si>
  <si>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</si>
  <si>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</si>
  <si>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</si>
  <si>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</si>
  <si>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</si>
  <si>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</si>
  <si>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</si>
  <si>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</si>
  <si>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</si>
  <si>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</si>
  <si>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</si>
  <si>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</si>
  <si>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</si>
  <si>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</si>
  <si>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</si>
  <si>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</si>
  <si>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</si>
  <si>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</si>
  <si>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</si>
  <si>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</si>
  <si>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</si>
  <si>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</si>
  <si>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</si>
  <si>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</si>
  <si>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</si>
  <si>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</si>
  <si>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</si>
  <si>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</si>
  <si>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</si>
  <si>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</si>
  <si>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</si>
  <si>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</si>
  <si>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</si>
  <si>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</si>
  <si>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</si>
  <si>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</si>
  <si>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</si>
  <si>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</si>
  <si>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</si>
  <si>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</si>
  <si>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</si>
  <si>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</si>
  <si>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</si>
  <si>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</si>
  <si>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</si>
  <si>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</si>
  <si>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</si>
  <si>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</si>
  <si>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</si>
  <si>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</si>
  <si>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</si>
  <si>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</si>
  <si>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</si>
  <si>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</si>
  <si>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</si>
  <si>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</si>
  <si>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</si>
  <si>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</si>
  <si>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</si>
  <si>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</si>
  <si>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</si>
  <si>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</si>
  <si>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</si>
  <si>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</si>
  <si>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</si>
  <si>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</si>
  <si>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</si>
  <si>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</si>
  <si>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</si>
  <si>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</si>
  <si>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</si>
  <si>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</si>
  <si>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</si>
  <si>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</si>
  <si>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</si>
  <si>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</si>
  <si>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</si>
  <si>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</si>
  <si>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</si>
  <si>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</si>
  <si>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</si>
  <si>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</si>
  <si>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</si>
  <si>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</si>
  <si>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</si>
  <si>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</si>
  <si>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</si>
  <si>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</si>
  <si>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</si>
  <si>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</si>
  <si>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</si>
  <si>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</si>
  <si>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</si>
  <si>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</si>
  <si>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</si>
  <si>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</si>
  <si>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</si>
  <si>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</si>
  <si>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</si>
  <si>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</si>
  <si>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</si>
  <si>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</si>
  <si>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</si>
  <si>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</si>
  <si>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</si>
  <si>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</si>
  <si>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</si>
  <si>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</si>
  <si>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</si>
  <si>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</si>
  <si>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</si>
  <si>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</si>
  <si>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</si>
  <si>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</si>
  <si>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</si>
  <si>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</si>
  <si>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</si>
  <si>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</si>
  <si>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</si>
  <si>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</si>
  <si>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</si>
  <si>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</si>
  <si>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</si>
  <si>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</si>
  <si>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</si>
  <si>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</si>
  <si>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</si>
  <si>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</si>
  <si>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</si>
  <si>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</si>
  <si>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</si>
  <si>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</si>
  <si>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</si>
  <si>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</si>
  <si>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</si>
  <si>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</si>
  <si>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</si>
  <si>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</si>
  <si>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</si>
  <si>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</si>
  <si>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</si>
  <si>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</si>
  <si>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</si>
  <si>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</si>
  <si>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</si>
  <si>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</si>
  <si>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</si>
  <si>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</si>
  <si>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</si>
  <si>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</si>
  <si>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</si>
  <si>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</si>
  <si>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</si>
  <si>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</si>
  <si>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</si>
  <si>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</si>
  <si>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</si>
  <si>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</si>
  <si>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</si>
  <si>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</si>
  <si>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</si>
  <si>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</si>
  <si>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</si>
  <si>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</si>
  <si>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</si>
  <si>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</si>
  <si>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</si>
  <si>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</si>
  <si>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</si>
  <si>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</si>
  <si>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</si>
  <si>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</si>
  <si>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</si>
  <si>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</si>
  <si>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</si>
  <si>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</si>
  <si>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</si>
  <si>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</si>
  <si>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</si>
  <si>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</si>
  <si>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</si>
  <si>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</si>
  <si>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</si>
  <si>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</si>
  <si>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</si>
  <si>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</si>
  <si>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</si>
  <si>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</si>
  <si>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</si>
  <si>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</si>
  <si>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</si>
  <si>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</si>
  <si>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</si>
  <si>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</si>
  <si>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</si>
  <si>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</si>
  <si>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</si>
  <si>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</si>
  <si>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</si>
  <si>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</si>
  <si>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</si>
  <si>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</si>
  <si>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</si>
  <si>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</si>
  <si>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</si>
  <si>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</si>
  <si>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</si>
  <si>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</si>
  <si>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</si>
  <si>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</si>
  <si>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</si>
  <si>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</si>
  <si>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</si>
  <si>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</si>
  <si>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</si>
  <si>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</si>
  <si>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</si>
  <si>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</si>
  <si>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</si>
  <si>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</si>
  <si>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</si>
  <si>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</si>
  <si>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</si>
  <si>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</si>
  <si>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</si>
  <si>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</si>
  <si>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</si>
  <si>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</si>
  <si>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</si>
  <si>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</si>
  <si>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</si>
  <si>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</si>
  <si>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</si>
  <si>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</si>
  <si>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</si>
  <si>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</si>
  <si>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</si>
  <si>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</si>
  <si>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</si>
  <si>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</si>
  <si>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</si>
  <si>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</si>
  <si>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</si>
  <si>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</si>
  <si>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</si>
  <si>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</si>
  <si>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</si>
  <si>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</si>
  <si>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</si>
  <si>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</si>
  <si>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</si>
  <si>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</si>
  <si>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</si>
  <si>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</si>
  <si>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</si>
  <si>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</si>
  <si>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</si>
  <si>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</si>
  <si>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</si>
  <si>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</si>
  <si>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</si>
  <si>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</si>
  <si>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</si>
  <si>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</si>
  <si>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</si>
  <si>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</si>
  <si>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</si>
  <si>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</si>
  <si>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</si>
  <si>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</si>
  <si>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</si>
  <si>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</si>
  <si>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</si>
  <si>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</si>
  <si>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</si>
  <si>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</si>
  <si>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</si>
  <si>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</si>
  <si>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</si>
  <si>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</si>
  <si>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</si>
  <si>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</si>
  <si>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</si>
  <si>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</si>
  <si>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</si>
  <si>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</si>
  <si>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</si>
  <si>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</si>
  <si>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</si>
  <si>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</si>
  <si>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</si>
  <si>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</si>
  <si>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</si>
  <si>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</si>
  <si>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</si>
  <si>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</si>
  <si>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</si>
  <si>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</si>
  <si>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</si>
  <si>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</si>
  <si>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</si>
  <si>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</si>
  <si>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</si>
  <si>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</si>
  <si>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</si>
  <si>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</si>
  <si>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</si>
  <si>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</si>
  <si>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</si>
  <si>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</si>
  <si>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</si>
  <si>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</si>
  <si>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</si>
  <si>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</si>
  <si>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</si>
  <si>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</si>
  <si>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</si>
  <si>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</si>
  <si>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</si>
  <si>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</si>
  <si>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</si>
  <si>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</si>
  <si>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</si>
  <si>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</si>
  <si>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</si>
  <si>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vatican
- rome</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</si>
  <si>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</si>
  <si>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</si>
  <si>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</si>
  <si>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</si>
  <si>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</si>
  <si>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</si>
  <si>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</si>
  <si>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</si>
  <si>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</si>
  <si>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</si>
  <si>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</si>
  <si>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</si>
  <si>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</si>
  <si>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</si>
  <si>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</si>
  <si>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</si>
  <si>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</si>
  <si>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</si>
  <si>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</si>
  <si>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</si>
  <si>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</si>
  <si>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</si>
  <si>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</si>
  <si>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</si>
  <si>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</si>
  <si>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</si>
  <si>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</si>
  <si>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</si>
  <si>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</si>
  <si>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</si>
  <si>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</si>
  <si>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</si>
  <si>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</si>
  <si>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</si>
  <si>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</si>
  <si>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</si>
  <si>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</si>
  <si>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</si>
  <si>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</si>
  <si>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</si>
  <si>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</si>
  <si>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</si>
  <si>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</si>
  <si>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</si>
  <si>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</si>
  <si>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</si>
  <si>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</si>
  <si>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</si>
  <si>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</si>
  <si>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</si>
  <si>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</si>
  <si>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</si>
  <si>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</si>
  <si>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</si>
  <si>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</si>
  <si>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</si>
  <si>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</si>
  <si>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</si>
  <si>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</si>
  <si>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</si>
  <si>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</si>
  <si>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</si>
  <si>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</si>
  <si>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</si>
  <si>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</si>
  <si>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</si>
  <si>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</si>
  <si>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</si>
  <si>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</si>
  <si>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</si>
  <si>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</si>
  <si>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</si>
  <si>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</si>
  <si>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</si>
  <si>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</si>
  <si>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</si>
  <si>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</si>
  <si>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</si>
  <si>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</si>
  <si>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</si>
  <si>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</si>
  <si>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</si>
  <si>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</si>
  <si>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</si>
  <si>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</si>
  <si>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</si>
  <si>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</si>
  <si>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</si>
  <si>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</si>
  <si>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</si>
  <si>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</si>
  <si>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</si>
  <si>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</si>
  <si>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</si>
  <si>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</si>
  <si>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</si>
  <si>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</si>
  <si>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</si>
  <si>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</si>
  <si>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</si>
  <si>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</si>
  <si>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</si>
  <si>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</si>
  <si>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</si>
  <si>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</si>
  <si>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</si>
  <si>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</si>
  <si>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</si>
  <si>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</si>
  <si>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</si>
  <si>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</si>
  <si>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</si>
  <si>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</si>
  <si>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</si>
  <si>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</si>
  <si>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</si>
  <si>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</si>
  <si>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</si>
  <si>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</si>
  <si>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</si>
  <si>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</si>
  <si>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</si>
  <si>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</si>
  <si>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</si>
  <si>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</si>
  <si>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</si>
  <si>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</si>
  <si>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</si>
  <si>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</si>
  <si>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</si>
  <si>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</si>
  <si>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</si>
  <si>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</si>
  <si>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</si>
  <si>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</si>
  <si>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</si>
  <si>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</si>
  <si>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usa
- alabama</t>
  </si>
  <si>
    <t>usa
- alaska</t>
  </si>
  <si>
    <t>usa
- arizona</t>
  </si>
  <si>
    <t>usa
- arkansas</t>
  </si>
  <si>
    <t>usa
- california</t>
  </si>
  <si>
    <t>usa
- colorado</t>
  </si>
  <si>
    <t>usa
- connecticut</t>
  </si>
  <si>
    <t>usa
- delaware</t>
  </si>
  <si>
    <t>usa
- dc</t>
  </si>
  <si>
    <t>usa
- florida</t>
  </si>
  <si>
    <t>usa
- georgia</t>
  </si>
  <si>
    <t>usa
- hawaii</t>
  </si>
  <si>
    <t>usa
- idaho</t>
  </si>
  <si>
    <t>usa
- illinois</t>
  </si>
  <si>
    <t>usa
- indiana</t>
  </si>
  <si>
    <t>usa
- iowa</t>
  </si>
  <si>
    <t>usa
- kansas</t>
  </si>
  <si>
    <t>usa
- kentucky</t>
  </si>
  <si>
    <t>usa
- louisiana</t>
  </si>
  <si>
    <t>usa
- maine</t>
  </si>
  <si>
    <t>usa
- maryland</t>
  </si>
  <si>
    <t>usa
- massachusetts</t>
  </si>
  <si>
    <t>usa
- michigan</t>
  </si>
  <si>
    <t>usa
- minnesota</t>
  </si>
  <si>
    <t>usa
- mississippi</t>
  </si>
  <si>
    <t>usa
- missouri</t>
  </si>
  <si>
    <t>usa
- montana</t>
  </si>
  <si>
    <t>usa
- nebraska</t>
  </si>
  <si>
    <t>usa
- nevada</t>
  </si>
  <si>
    <t>usa
- new-hampshire</t>
  </si>
  <si>
    <t>usa
- new-jersey</t>
  </si>
  <si>
    <t>usa
- new-mexico</t>
  </si>
  <si>
    <t>usa
- new-york</t>
  </si>
  <si>
    <t>usa
- north-carolina</t>
  </si>
  <si>
    <t>usa
- north-dakota</t>
  </si>
  <si>
    <t>usa
- ohio</t>
  </si>
  <si>
    <t>usa
- oklahoma</t>
  </si>
  <si>
    <t>usa
- oregon</t>
  </si>
  <si>
    <t>usa
- pennsylvania</t>
  </si>
  <si>
    <t>usa
- rhode-island</t>
  </si>
  <si>
    <t>usa
- south-carolina</t>
  </si>
  <si>
    <t>usa
- south-dakota</t>
  </si>
  <si>
    <t>usa
- tennessee</t>
  </si>
  <si>
    <t>usa
- texas</t>
  </si>
  <si>
    <t>usa
- utah</t>
  </si>
  <si>
    <t>usa
- vermont</t>
  </si>
  <si>
    <t>usa
- virginia</t>
  </si>
  <si>
    <t>usa
- washington</t>
  </si>
  <si>
    <t>usa
- west-virginia</t>
  </si>
  <si>
    <t>usa
- wisconsin</t>
  </si>
  <si>
    <t>usa
- wyoming</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</si>
  <si>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</si>
  <si>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</si>
  <si>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</si>
  <si>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</si>
  <si>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</si>
  <si>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</si>
  <si>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</si>
  <si>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</si>
  <si>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</si>
  <si>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</si>
  <si>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</si>
  <si>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</si>
  <si>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</si>
  <si>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</si>
  <si>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</si>
  <si>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</si>
  <si>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</si>
  <si>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</si>
  <si>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</si>
  <si>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</si>
  <si>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</si>
  <si>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</si>
  <si>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</si>
  <si>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</si>
  <si>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</si>
  <si>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</si>
  <si>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</si>
  <si>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</si>
  <si>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</si>
  <si>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</si>
  <si>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</si>
  <si>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</si>
  <si>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</si>
  <si>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</si>
  <si>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</si>
  <si>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</si>
  <si>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</si>
  <si>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</si>
  <si>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</si>
  <si>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</si>
  <si>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</si>
  <si>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</si>
  <si>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</si>
  <si>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</si>
  <si>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</si>
  <si>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</si>
  <si>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</si>
  <si>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</si>
  <si>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</si>
  <si>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</si>
  <si>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</si>
  <si>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</si>
  <si>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</si>
  <si>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</si>
  <si>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</si>
  <si>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</si>
  <si>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</si>
  <si>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</si>
  <si>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</si>
  <si>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</si>
  <si>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</si>
  <si>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</si>
  <si>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</si>
  <si>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</si>
  <si>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</si>
  <si>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</si>
  <si>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</si>
  <si>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</si>
  <si>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</si>
  <si>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</si>
  <si>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</si>
  <si>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</si>
  <si>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</si>
  <si>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</si>
  <si>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</si>
  <si>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</si>
  <si>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</si>
  <si>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</si>
  <si>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</si>
  <si>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</si>
  <si>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</si>
  <si>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</si>
  <si>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</si>
  <si>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</si>
  <si>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</si>
  <si>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</si>
  <si>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</si>
  <si>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</si>
  <si>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</si>
  <si>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</si>
  <si>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</si>
  <si>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</si>
  <si>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</si>
  <si>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</si>
  <si>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</si>
  <si>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</si>
  <si>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</si>
  <si>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</si>
  <si>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</si>
  <si>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</si>
  <si>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</si>
  <si>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</si>
  <si>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</si>
  <si>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</si>
  <si>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</si>
  <si>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</si>
  <si>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</si>
  <si>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</si>
  <si>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</si>
  <si>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</si>
  <si>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</si>
  <si>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</si>
  <si>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</si>
  <si>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</si>
  <si>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curacao</t>
  </si>
  <si>
    <t>Country Lookup</t>
  </si>
  <si>
    <t>Applied Tags</t>
  </si>
  <si>
    <t>Individual Tag</t>
  </si>
  <si>
    <t>alabama</t>
  </si>
  <si>
    <t>alaska</t>
  </si>
  <si>
    <t>arizona</t>
  </si>
  <si>
    <t>arkansas</t>
  </si>
  <si>
    <t>california</t>
  </si>
  <si>
    <t>colorado</t>
  </si>
  <si>
    <t>connecticut</t>
  </si>
  <si>
    <t>delaware</t>
  </si>
  <si>
    <t>dc</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</si>
  <si>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</si>
  <si>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</si>
  <si>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</si>
  <si>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</si>
  <si>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</si>
  <si>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</si>
  <si>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</si>
  <si>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</si>
  <si>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</si>
  <si>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</si>
  <si>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</si>
  <si>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</si>
  <si>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</si>
  <si>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</si>
  <si>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</si>
  <si>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</si>
  <si>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</si>
  <si>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</si>
  <si>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</si>
  <si>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new-hampshire</t>
  </si>
  <si>
    <t>new-jersey</t>
  </si>
  <si>
    <t>new-mexico</t>
  </si>
  <si>
    <t>new-york</t>
  </si>
  <si>
    <t>north-carolina</t>
  </si>
  <si>
    <t>north-dakota</t>
  </si>
  <si>
    <t>ohio</t>
  </si>
  <si>
    <t>oklahoma</t>
  </si>
  <si>
    <t>oregon</t>
  </si>
  <si>
    <t>pennsylvania</t>
  </si>
  <si>
    <t>rhode-island</t>
  </si>
  <si>
    <t>south-carolina</t>
  </si>
  <si>
    <t>south-dakota</t>
  </si>
  <si>
    <t>tennessee</t>
  </si>
  <si>
    <t>texas</t>
  </si>
  <si>
    <t>utah</t>
  </si>
  <si>
    <t>vermont</t>
  </si>
  <si>
    <t>virginia</t>
  </si>
  <si>
    <t>washington</t>
  </si>
  <si>
    <t>west-virginia</t>
  </si>
  <si>
    <t>wisconsin</t>
  </si>
  <si>
    <t>wyoming</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</si>
  <si>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</si>
  <si>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</si>
  <si>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</si>
  <si>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</si>
  <si>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</si>
  <si>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</si>
  <si>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</si>
  <si>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</si>
  <si>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</si>
  <si>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</si>
  <si>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</si>
  <si>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</si>
  <si>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</si>
  <si>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</si>
  <si>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</si>
  <si>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</si>
  <si>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</si>
  <si>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</si>
  <si>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</si>
  <si>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</si>
  <si>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</si>
  <si>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</si>
  <si>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</si>
  <si>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</si>
  <si>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</si>
  <si>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</si>
  <si>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</si>
  <si>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</si>
  <si>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</si>
  <si>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</si>
  <si>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</si>
  <si>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</si>
  <si>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</si>
  <si>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</si>
  <si>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</si>
  <si>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</si>
  <si>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</si>
  <si>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</si>
  <si>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</si>
  <si>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</si>
  <si>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</si>
  <si>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</si>
  <si>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</si>
  <si>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</si>
  <si>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</si>
  <si>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</si>
  <si>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</si>
  <si>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</si>
  <si>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</si>
  <si>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</si>
  <si>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vatican</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</si>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</sst>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2" fillId="0" borderId="0" applyNumberFormat="0" applyFill="0" applyBorder="0" applyAlignment="0" applyProtection="0"/>
  </cellStyleXfs>
  <cellXfs count="173">
    <xf numFmtId="0" fontId="0" fillId="0" borderId="0" xfId="0"/>
    <xf numFmtId="0" fontId="23" fillId="0" borderId="0" xfId="0" applyFont="1" applyAlignment="1">
      <alignment vertical="center"/>
    </xf>
    <xf numFmtId="0" fontId="23" fillId="0" borderId="0" xfId="0" quotePrefix="1" applyFont="1" applyAlignment="1">
      <alignment vertical="center"/>
    </xf>
    <xf numFmtId="0" fontId="0" fillId="2" borderId="0" xfId="0" applyFill="1"/>
    <xf numFmtId="0" fontId="0" fillId="3" borderId="0" xfId="0" applyFill="1"/>
    <xf numFmtId="0" fontId="22" fillId="3" borderId="0" xfId="1" applyFill="1"/>
    <xf numFmtId="0" fontId="28" fillId="0" borderId="0" xfId="0" applyFont="1" applyAlignment="1">
      <alignment vertical="center"/>
    </xf>
    <xf numFmtId="0" fontId="23" fillId="0" borderId="0" xfId="0" applyFont="1" applyAlignment="1">
      <alignment vertical="center" wrapText="1"/>
    </xf>
    <xf numFmtId="0" fontId="18" fillId="0" borderId="0" xfId="0" applyFont="1" applyAlignment="1">
      <alignment vertical="center"/>
    </xf>
    <xf numFmtId="0" fontId="19" fillId="0" borderId="0" xfId="0" quotePrefix="1" applyFont="1" applyAlignment="1">
      <alignment vertical="center"/>
    </xf>
    <xf numFmtId="0" fontId="19" fillId="0" borderId="0" xfId="0" applyFont="1" applyAlignment="1">
      <alignment vertical="center" wrapText="1"/>
    </xf>
    <xf numFmtId="0" fontId="26" fillId="0" borderId="0" xfId="0" applyFont="1" applyAlignment="1">
      <alignment vertical="center" wrapText="1"/>
    </xf>
    <xf numFmtId="0" fontId="26" fillId="0" borderId="0" xfId="0" applyFont="1" applyAlignment="1">
      <alignment vertical="center"/>
    </xf>
    <xf numFmtId="0" fontId="26" fillId="0" borderId="0" xfId="0" quotePrefix="1" applyFont="1" applyAlignment="1">
      <alignment vertical="center"/>
    </xf>
    <xf numFmtId="0" fontId="28" fillId="0" borderId="0" xfId="0" applyFont="1" applyAlignment="1">
      <alignment vertical="center" wrapText="1"/>
    </xf>
    <xf numFmtId="0" fontId="20" fillId="0" borderId="0" xfId="0" applyFont="1" applyAlignment="1">
      <alignment vertical="center" wrapText="1"/>
    </xf>
    <xf numFmtId="0" fontId="20" fillId="0" borderId="0" xfId="0" quotePrefix="1" applyFont="1" applyAlignment="1">
      <alignment vertical="center"/>
    </xf>
    <xf numFmtId="0" fontId="20" fillId="0" borderId="0" xfId="0" applyFont="1" applyAlignment="1">
      <alignment vertical="center"/>
    </xf>
    <xf numFmtId="0" fontId="17" fillId="0" borderId="0" xfId="0" applyFont="1" applyAlignment="1">
      <alignment vertical="center"/>
    </xf>
    <xf numFmtId="0" fontId="23" fillId="0" borderId="0" xfId="0" quotePrefix="1" applyFont="1" applyAlignment="1">
      <alignment vertical="center" wrapText="1"/>
    </xf>
    <xf numFmtId="0" fontId="19" fillId="0" borderId="0" xfId="0" quotePrefix="1" applyFont="1" applyAlignment="1">
      <alignment vertical="center" wrapText="1"/>
    </xf>
    <xf numFmtId="0" fontId="26" fillId="0" borderId="0" xfId="0" quotePrefix="1" applyFont="1" applyAlignment="1">
      <alignment vertical="center" wrapText="1"/>
    </xf>
    <xf numFmtId="0" fontId="19" fillId="0" borderId="0" xfId="0" applyFont="1" applyAlignment="1">
      <alignment vertical="center"/>
    </xf>
    <xf numFmtId="0" fontId="18" fillId="0" borderId="0" xfId="0" applyFont="1" applyAlignment="1">
      <alignment vertical="center" wrapText="1"/>
    </xf>
    <xf numFmtId="0" fontId="21" fillId="0" borderId="0" xfId="0" applyFont="1" applyAlignment="1">
      <alignment vertical="center" wrapText="1"/>
    </xf>
    <xf numFmtId="0" fontId="21" fillId="0" borderId="0" xfId="0" applyFont="1" applyAlignment="1">
      <alignment vertical="center"/>
    </xf>
    <xf numFmtId="0" fontId="17" fillId="0" borderId="0" xfId="0" applyFont="1" applyAlignment="1">
      <alignment vertical="center" wrapText="1"/>
    </xf>
    <xf numFmtId="0" fontId="17" fillId="0" borderId="0" xfId="0" quotePrefix="1" applyFont="1" applyAlignment="1">
      <alignment vertical="center" wrapText="1"/>
    </xf>
    <xf numFmtId="0" fontId="16" fillId="0" borderId="0" xfId="0" applyFont="1" applyAlignment="1">
      <alignment vertical="center" wrapText="1"/>
    </xf>
    <xf numFmtId="0" fontId="16" fillId="0" borderId="0" xfId="0" applyFont="1" applyAlignment="1">
      <alignment vertical="center"/>
    </xf>
    <xf numFmtId="0" fontId="23" fillId="0" borderId="1" xfId="0" applyFont="1" applyBorder="1" applyAlignment="1">
      <alignment vertical="center"/>
    </xf>
    <xf numFmtId="0" fontId="23" fillId="0" borderId="1" xfId="0" quotePrefix="1" applyFont="1" applyBorder="1" applyAlignment="1">
      <alignment vertical="center"/>
    </xf>
    <xf numFmtId="0" fontId="20" fillId="0" borderId="1" xfId="0" quotePrefix="1" applyFont="1" applyBorder="1" applyAlignment="1">
      <alignment vertical="center"/>
    </xf>
    <xf numFmtId="0" fontId="23" fillId="0" borderId="1" xfId="0" applyFont="1" applyBorder="1" applyAlignment="1">
      <alignment vertical="center" wrapText="1"/>
    </xf>
    <xf numFmtId="0" fontId="18" fillId="0" borderId="1" xfId="0" applyFont="1" applyBorder="1" applyAlignment="1">
      <alignment vertical="center" wrapText="1"/>
    </xf>
    <xf numFmtId="0" fontId="19" fillId="0" borderId="1" xfId="0" applyFont="1" applyBorder="1" applyAlignment="1">
      <alignment vertical="center" wrapText="1"/>
    </xf>
    <xf numFmtId="0" fontId="21" fillId="0" borderId="1" xfId="0" applyFont="1" applyBorder="1" applyAlignment="1">
      <alignment vertical="center" wrapText="1"/>
    </xf>
    <xf numFmtId="0" fontId="20" fillId="0" borderId="1" xfId="0" applyFont="1" applyBorder="1" applyAlignment="1">
      <alignment vertical="center" wrapText="1"/>
    </xf>
    <xf numFmtId="0" fontId="17" fillId="0" borderId="1" xfId="0" applyFont="1" applyBorder="1" applyAlignment="1">
      <alignment vertical="center" wrapText="1"/>
    </xf>
    <xf numFmtId="0" fontId="23" fillId="0" borderId="3" xfId="0" quotePrefix="1" applyFont="1" applyBorder="1" applyAlignment="1">
      <alignment vertical="center"/>
    </xf>
    <xf numFmtId="0" fontId="23" fillId="0" borderId="3" xfId="0" applyFont="1" applyBorder="1" applyAlignment="1">
      <alignment vertical="center"/>
    </xf>
    <xf numFmtId="0" fontId="20" fillId="0" borderId="3" xfId="0" applyFont="1" applyBorder="1" applyAlignment="1">
      <alignment vertical="center"/>
    </xf>
    <xf numFmtId="0" fontId="17" fillId="0" borderId="3" xfId="0" applyFont="1" applyBorder="1" applyAlignment="1">
      <alignment vertical="center"/>
    </xf>
    <xf numFmtId="0" fontId="23" fillId="0" borderId="4" xfId="0" quotePrefix="1" applyFont="1" applyBorder="1" applyAlignment="1">
      <alignment vertical="center"/>
    </xf>
    <xf numFmtId="0" fontId="23" fillId="0" borderId="4" xfId="0" applyFont="1" applyBorder="1" applyAlignment="1">
      <alignment vertical="center"/>
    </xf>
    <xf numFmtId="0" fontId="20" fillId="0" borderId="4" xfId="0" applyFont="1" applyBorder="1" applyAlignment="1">
      <alignment vertical="center"/>
    </xf>
    <xf numFmtId="0" fontId="17" fillId="0" borderId="4" xfId="0" applyFont="1" applyBorder="1" applyAlignment="1">
      <alignment vertical="center"/>
    </xf>
    <xf numFmtId="0" fontId="24" fillId="0" borderId="5" xfId="0" applyFont="1" applyBorder="1" applyAlignment="1">
      <alignment vertical="center"/>
    </xf>
    <xf numFmtId="0" fontId="25" fillId="0" borderId="5" xfId="0" applyFont="1" applyBorder="1" applyAlignment="1">
      <alignment vertical="center"/>
    </xf>
    <xf numFmtId="0" fontId="27" fillId="0" borderId="5" xfId="0" applyFont="1" applyBorder="1" applyAlignment="1">
      <alignment vertical="center" wrapText="1"/>
    </xf>
    <xf numFmtId="0" fontId="27" fillId="0" borderId="5" xfId="0" applyFont="1" applyBorder="1" applyAlignment="1">
      <alignment vertical="center"/>
    </xf>
    <xf numFmtId="0" fontId="16" fillId="0" borderId="0" xfId="0" quotePrefix="1" applyFont="1" applyAlignment="1">
      <alignment vertical="center"/>
    </xf>
    <xf numFmtId="0" fontId="16" fillId="0" borderId="3" xfId="0" quotePrefix="1" applyFont="1" applyBorder="1" applyAlignment="1">
      <alignment vertical="center"/>
    </xf>
    <xf numFmtId="0" fontId="16" fillId="0" borderId="4" xfId="0" quotePrefix="1" applyFont="1" applyBorder="1" applyAlignment="1">
      <alignment vertical="center"/>
    </xf>
    <xf numFmtId="0" fontId="16" fillId="0" borderId="3" xfId="0" applyFont="1" applyBorder="1" applyAlignment="1">
      <alignment vertical="center"/>
    </xf>
    <xf numFmtId="0" fontId="15" fillId="0" borderId="0" xfId="0" applyFont="1" applyAlignment="1">
      <alignment vertical="center" wrapText="1"/>
    </xf>
    <xf numFmtId="0" fontId="29" fillId="0" borderId="2" xfId="1" applyFont="1" applyFill="1" applyBorder="1" applyAlignment="1">
      <alignment horizontal="left" vertical="center"/>
    </xf>
    <xf numFmtId="0" fontId="23" fillId="0" borderId="0" xfId="0" applyFont="1" applyAlignment="1">
      <alignment horizontal="left" vertical="center"/>
    </xf>
    <xf numFmtId="0" fontId="19" fillId="0" borderId="0" xfId="0" applyFont="1" applyAlignment="1">
      <alignment horizontal="left" vertical="center"/>
    </xf>
    <xf numFmtId="0" fontId="17" fillId="0" borderId="0" xfId="0" applyFont="1" applyAlignment="1">
      <alignment horizontal="left" vertical="center"/>
    </xf>
    <xf numFmtId="0" fontId="29" fillId="0" borderId="2" xfId="0" applyFont="1" applyBorder="1" applyAlignment="1">
      <alignment vertical="center"/>
    </xf>
    <xf numFmtId="0" fontId="15" fillId="0" borderId="1" xfId="0" applyFont="1" applyBorder="1" applyAlignment="1">
      <alignment vertical="center" wrapText="1"/>
    </xf>
    <xf numFmtId="0" fontId="15" fillId="0" borderId="0" xfId="0" applyFont="1" applyAlignment="1">
      <alignment vertical="center"/>
    </xf>
    <xf numFmtId="0" fontId="15" fillId="0" borderId="4" xfId="0" quotePrefix="1" applyFont="1" applyBorder="1" applyAlignment="1">
      <alignment vertical="center"/>
    </xf>
    <xf numFmtId="0" fontId="15" fillId="0" borderId="0" xfId="0" quotePrefix="1" applyFont="1" applyAlignment="1">
      <alignment vertical="center"/>
    </xf>
    <xf numFmtId="0" fontId="15" fillId="0" borderId="3" xfId="0"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20" fillId="0" borderId="1" xfId="0" applyFont="1" applyBorder="1" applyAlignment="1">
      <alignment vertical="center"/>
    </xf>
    <xf numFmtId="0" fontId="17" fillId="0" borderId="1" xfId="0" applyFont="1" applyBorder="1" applyAlignment="1">
      <alignment vertical="center"/>
    </xf>
    <xf numFmtId="0" fontId="15" fillId="0" borderId="1" xfId="0" quotePrefix="1" applyFont="1" applyBorder="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3" xfId="0" applyFont="1" applyBorder="1" applyAlignment="1">
      <alignment vertical="center"/>
    </xf>
    <xf numFmtId="0" fontId="14" fillId="0" borderId="4" xfId="0" quotePrefix="1" applyFont="1" applyBorder="1" applyAlignment="1">
      <alignment vertical="center"/>
    </xf>
    <xf numFmtId="0" fontId="14" fillId="0" borderId="4" xfId="0" applyFont="1" applyBorder="1" applyAlignment="1">
      <alignment vertical="center"/>
    </xf>
    <xf numFmtId="0" fontId="14" fillId="0" borderId="3" xfId="0" quotePrefix="1" applyFont="1" applyBorder="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1" xfId="0" applyFont="1" applyBorder="1" applyAlignment="1">
      <alignment vertical="center" wrapText="1"/>
    </xf>
    <xf numFmtId="0" fontId="13" fillId="0" borderId="0" xfId="0" quotePrefix="1" applyFont="1" applyAlignment="1">
      <alignment vertical="center"/>
    </xf>
    <xf numFmtId="0" fontId="13" fillId="0" borderId="4" xfId="0" quotePrefix="1" applyFont="1" applyBorder="1" applyAlignment="1">
      <alignment vertical="center"/>
    </xf>
    <xf numFmtId="0" fontId="12" fillId="0" borderId="0" xfId="0" applyFont="1" applyAlignment="1">
      <alignment vertical="center" wrapText="1"/>
    </xf>
    <xf numFmtId="0" fontId="12" fillId="0" borderId="0" xfId="0" applyFont="1" applyAlignment="1">
      <alignment vertical="center"/>
    </xf>
    <xf numFmtId="0" fontId="12" fillId="0" borderId="1" xfId="0" applyFont="1" applyBorder="1" applyAlignment="1">
      <alignment vertical="center" wrapText="1"/>
    </xf>
    <xf numFmtId="0" fontId="12" fillId="0" borderId="3" xfId="0" applyFont="1" applyBorder="1" applyAlignment="1">
      <alignment vertical="center"/>
    </xf>
    <xf numFmtId="0" fontId="12" fillId="0" borderId="4" xfId="0" quotePrefix="1" applyFont="1" applyBorder="1" applyAlignment="1">
      <alignment vertical="center"/>
    </xf>
    <xf numFmtId="0" fontId="11" fillId="0" borderId="0" xfId="0"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9" fillId="0" borderId="1" xfId="0" applyFont="1" applyBorder="1" applyAlignment="1">
      <alignment vertical="center" wrapText="1"/>
    </xf>
    <xf numFmtId="0" fontId="9" fillId="0" borderId="0" xfId="0" quotePrefix="1" applyFont="1" applyAlignment="1">
      <alignment vertical="center"/>
    </xf>
    <xf numFmtId="0" fontId="8" fillId="0" borderId="0" xfId="0" applyFont="1" applyAlignment="1">
      <alignment vertical="center" wrapText="1"/>
    </xf>
    <xf numFmtId="0" fontId="8" fillId="0" borderId="0" xfId="0" applyFont="1" applyAlignment="1">
      <alignment vertical="center"/>
    </xf>
    <xf numFmtId="0" fontId="7" fillId="0" borderId="4" xfId="0" quotePrefix="1" applyFont="1" applyBorder="1" applyAlignment="1">
      <alignment vertical="center"/>
    </xf>
    <xf numFmtId="0" fontId="7" fillId="0" borderId="1" xfId="0" applyFont="1" applyBorder="1" applyAlignment="1">
      <alignment vertical="center" wrapText="1"/>
    </xf>
    <xf numFmtId="0" fontId="7" fillId="0" borderId="0" xfId="0" applyFont="1" applyAlignment="1">
      <alignment vertical="center" wrapText="1"/>
    </xf>
    <xf numFmtId="0" fontId="6" fillId="0" borderId="0" xfId="0" quotePrefix="1" applyFont="1" applyAlignment="1">
      <alignment vertical="center"/>
    </xf>
    <xf numFmtId="0" fontId="29" fillId="0" borderId="2" xfId="1" quotePrefix="1" applyFont="1" applyFill="1" applyBorder="1" applyAlignment="1">
      <alignment horizontal="left" vertical="center"/>
    </xf>
    <xf numFmtId="0" fontId="6" fillId="0" borderId="0" xfId="0" quotePrefix="1" applyFont="1" applyAlignment="1">
      <alignment horizontal="left" vertical="center"/>
    </xf>
    <xf numFmtId="0" fontId="6" fillId="0" borderId="1" xfId="0" quotePrefix="1" applyFont="1" applyBorder="1" applyAlignment="1">
      <alignment vertical="center"/>
    </xf>
    <xf numFmtId="0" fontId="30" fillId="4" borderId="5" xfId="0" applyFont="1" applyFill="1" applyBorder="1" applyAlignment="1">
      <alignment vertical="center"/>
    </xf>
    <xf numFmtId="0" fontId="30" fillId="4" borderId="5" xfId="0" applyFont="1" applyFill="1" applyBorder="1" applyAlignment="1">
      <alignment vertical="center" wrapText="1"/>
    </xf>
    <xf numFmtId="0" fontId="30" fillId="4" borderId="6" xfId="0" applyFont="1" applyFill="1" applyBorder="1" applyAlignment="1">
      <alignment vertical="center"/>
    </xf>
    <xf numFmtId="0" fontId="30" fillId="4" borderId="6" xfId="0" applyFont="1" applyFill="1" applyBorder="1" applyAlignment="1">
      <alignment vertical="center" wrapText="1"/>
    </xf>
    <xf numFmtId="0" fontId="30" fillId="4" borderId="7" xfId="0" applyFont="1" applyFill="1" applyBorder="1" applyAlignment="1">
      <alignment vertical="center"/>
    </xf>
    <xf numFmtId="0" fontId="30" fillId="4" borderId="8" xfId="0" applyFont="1" applyFill="1" applyBorder="1" applyAlignment="1">
      <alignment vertical="center"/>
    </xf>
    <xf numFmtId="0" fontId="30" fillId="4" borderId="9" xfId="0" applyFont="1" applyFill="1" applyBorder="1" applyAlignment="1">
      <alignment vertical="center"/>
    </xf>
    <xf numFmtId="0" fontId="30" fillId="4" borderId="5" xfId="0" applyFont="1" applyFill="1" applyBorder="1" applyAlignment="1">
      <alignment horizontal="left" vertical="center"/>
    </xf>
    <xf numFmtId="0" fontId="29" fillId="0" borderId="0" xfId="0" applyFont="1" applyAlignment="1">
      <alignment vertical="center" wrapText="1"/>
    </xf>
    <xf numFmtId="0" fontId="31" fillId="0" borderId="0" xfId="0" applyFont="1" applyAlignment="1">
      <alignment vertical="center" wrapText="1"/>
    </xf>
    <xf numFmtId="0" fontId="31" fillId="0" borderId="0" xfId="0" applyFont="1" applyAlignment="1">
      <alignment vertical="center"/>
    </xf>
    <xf numFmtId="0" fontId="32" fillId="0" borderId="5" xfId="0" applyFont="1" applyBorder="1" applyAlignment="1">
      <alignment vertical="center" wrapText="1"/>
    </xf>
    <xf numFmtId="0" fontId="32" fillId="0" borderId="5" xfId="0" applyFont="1" applyBorder="1" applyAlignment="1">
      <alignment vertical="center"/>
    </xf>
    <xf numFmtId="0" fontId="31" fillId="0" borderId="0" xfId="0" quotePrefix="1" applyFont="1" applyAlignment="1">
      <alignment vertical="center"/>
    </xf>
    <xf numFmtId="0" fontId="23" fillId="4" borderId="0" xfId="0" applyFont="1" applyFill="1" applyAlignment="1">
      <alignment vertical="center"/>
    </xf>
    <xf numFmtId="0" fontId="24" fillId="4" borderId="5" xfId="0" quotePrefix="1" applyFont="1" applyFill="1" applyBorder="1" applyAlignment="1">
      <alignment vertical="center"/>
    </xf>
    <xf numFmtId="0" fontId="16" fillId="4" borderId="0" xfId="0" applyFont="1" applyFill="1" applyAlignment="1">
      <alignment vertical="center"/>
    </xf>
    <xf numFmtId="0" fontId="6" fillId="0" borderId="0" xfId="0" applyFont="1" applyAlignment="1">
      <alignment vertical="center"/>
    </xf>
    <xf numFmtId="0" fontId="6" fillId="0" borderId="1" xfId="0" applyFont="1" applyBorder="1" applyAlignment="1">
      <alignment vertical="center"/>
    </xf>
    <xf numFmtId="0" fontId="6" fillId="0" borderId="0" xfId="0" applyFont="1" applyAlignment="1">
      <alignment vertical="center" wrapText="1"/>
    </xf>
    <xf numFmtId="0" fontId="20" fillId="0" borderId="0" xfId="0" quotePrefix="1" applyFont="1" applyAlignment="1">
      <alignment vertical="center" wrapText="1"/>
    </xf>
    <xf numFmtId="0" fontId="6" fillId="0" borderId="1" xfId="0" applyFont="1" applyBorder="1" applyAlignment="1">
      <alignment vertical="center" wrapText="1"/>
    </xf>
    <xf numFmtId="0" fontId="24" fillId="0" borderId="0" xfId="0" applyFont="1" applyAlignment="1">
      <alignment vertical="center" wrapText="1"/>
    </xf>
    <xf numFmtId="0" fontId="5" fillId="0" borderId="0" xfId="0" applyFont="1" applyAlignment="1">
      <alignment vertical="center" wrapText="1"/>
    </xf>
    <xf numFmtId="0" fontId="5" fillId="0" borderId="3" xfId="0" applyFont="1" applyBorder="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3" xfId="0" quotePrefix="1" applyFont="1" applyBorder="1" applyAlignment="1">
      <alignment vertical="center"/>
    </xf>
    <xf numFmtId="0" fontId="5" fillId="0" borderId="0" xfId="0" quotePrefix="1" applyFont="1" applyAlignment="1">
      <alignment vertical="center"/>
    </xf>
    <xf numFmtId="0" fontId="5" fillId="0" borderId="4" xfId="0" quotePrefix="1" applyFont="1" applyBorder="1" applyAlignment="1">
      <alignment vertical="center"/>
    </xf>
    <xf numFmtId="0" fontId="5" fillId="0" borderId="1" xfId="0" quotePrefix="1" applyFont="1" applyBorder="1" applyAlignment="1">
      <alignment vertical="center"/>
    </xf>
    <xf numFmtId="0" fontId="32" fillId="0" borderId="5" xfId="0" quotePrefix="1" applyFont="1" applyBorder="1" applyAlignment="1">
      <alignment vertical="center"/>
    </xf>
    <xf numFmtId="0" fontId="5" fillId="0" borderId="1" xfId="0" applyFont="1" applyBorder="1" applyAlignment="1">
      <alignment vertical="center" wrapText="1"/>
    </xf>
    <xf numFmtId="0" fontId="23" fillId="0" borderId="1" xfId="0" quotePrefix="1" applyFont="1" applyBorder="1" applyAlignment="1">
      <alignment vertical="center" wrapText="1"/>
    </xf>
    <xf numFmtId="0" fontId="20" fillId="0" borderId="1" xfId="0" quotePrefix="1" applyFont="1" applyBorder="1" applyAlignment="1">
      <alignment vertical="center" wrapText="1"/>
    </xf>
    <xf numFmtId="0" fontId="5" fillId="4" borderId="0" xfId="0" quotePrefix="1" applyFont="1" applyFill="1" applyAlignment="1">
      <alignment vertical="center"/>
    </xf>
    <xf numFmtId="0" fontId="5" fillId="0" borderId="0" xfId="0" quotePrefix="1" applyFont="1" applyAlignment="1">
      <alignment vertical="center" wrapText="1"/>
    </xf>
    <xf numFmtId="0" fontId="4" fillId="0" borderId="0" xfId="0" applyFont="1" applyAlignment="1">
      <alignment vertical="center"/>
    </xf>
    <xf numFmtId="0" fontId="3" fillId="0" borderId="0" xfId="0" applyFont="1" applyAlignment="1">
      <alignment vertical="center"/>
    </xf>
    <xf numFmtId="0" fontId="2" fillId="0" borderId="1" xfId="0" applyFont="1" applyBorder="1" applyAlignment="1">
      <alignment vertical="center" wrapText="1"/>
    </xf>
    <xf numFmtId="0" fontId="2" fillId="0" borderId="0" xfId="0" quotePrefix="1" applyFont="1" applyAlignment="1">
      <alignment vertical="center"/>
    </xf>
    <xf numFmtId="0" fontId="2" fillId="0" borderId="0" xfId="0" applyFont="1" applyAlignment="1">
      <alignment vertical="center" wrapText="1"/>
    </xf>
    <xf numFmtId="0" fontId="2" fillId="0" borderId="0" xfId="0" applyFont="1" applyAlignment="1">
      <alignment vertical="center"/>
    </xf>
    <xf numFmtId="0" fontId="2" fillId="0" borderId="4" xfId="0" quotePrefix="1" applyFont="1" applyBorder="1" applyAlignment="1">
      <alignment vertical="center"/>
    </xf>
    <xf numFmtId="0" fontId="1" fillId="0" borderId="4" xfId="0" quotePrefix="1" applyFont="1" applyBorder="1" applyAlignment="1">
      <alignment vertical="center"/>
    </xf>
    <xf numFmtId="0" fontId="5" fillId="0" borderId="0" xfId="0" applyFont="1" applyBorder="1" applyAlignment="1">
      <alignment vertical="center" wrapText="1"/>
    </xf>
    <xf numFmtId="0" fontId="23" fillId="0" borderId="0" xfId="0" applyFont="1" applyBorder="1" applyAlignment="1">
      <alignment vertical="center" wrapText="1"/>
    </xf>
    <xf numFmtId="0" fontId="15" fillId="0" borderId="0" xfId="0" applyFont="1" applyBorder="1" applyAlignment="1">
      <alignment vertical="center" wrapText="1"/>
    </xf>
    <xf numFmtId="0" fontId="19" fillId="0" borderId="0" xfId="0" applyFont="1" applyBorder="1" applyAlignment="1">
      <alignment vertical="center" wrapText="1"/>
    </xf>
    <xf numFmtId="0" fontId="5" fillId="0" borderId="0" xfId="0" applyFont="1" applyBorder="1" applyAlignment="1">
      <alignment vertical="center"/>
    </xf>
    <xf numFmtId="0" fontId="23" fillId="0" borderId="0" xfId="0" applyFont="1" applyBorder="1" applyAlignment="1">
      <alignment vertical="center"/>
    </xf>
    <xf numFmtId="0" fontId="23" fillId="0" borderId="0" xfId="0" quotePrefix="1" applyFont="1" applyBorder="1" applyAlignment="1">
      <alignment vertical="center"/>
    </xf>
    <xf numFmtId="0" fontId="16" fillId="0" borderId="0" xfId="0" applyFont="1" applyBorder="1" applyAlignment="1">
      <alignment vertical="center"/>
    </xf>
    <xf numFmtId="0" fontId="14" fillId="0" borderId="0" xfId="0" applyFont="1" applyBorder="1" applyAlignment="1">
      <alignment vertical="center"/>
    </xf>
    <xf numFmtId="0" fontId="5" fillId="0" borderId="0" xfId="0" quotePrefix="1" applyFont="1" applyBorder="1" applyAlignment="1">
      <alignment vertical="center"/>
    </xf>
    <xf numFmtId="0" fontId="16" fillId="0" borderId="0" xfId="0" quotePrefix="1" applyFont="1" applyBorder="1" applyAlignment="1">
      <alignment vertical="center"/>
    </xf>
    <xf numFmtId="0" fontId="2" fillId="0" borderId="0" xfId="0" applyFont="1" applyBorder="1" applyAlignment="1">
      <alignment vertical="center"/>
    </xf>
    <xf numFmtId="0" fontId="12" fillId="0" borderId="0" xfId="0" applyFont="1" applyBorder="1" applyAlignment="1">
      <alignment vertical="center"/>
    </xf>
    <xf numFmtId="0" fontId="15" fillId="0" borderId="0" xfId="0" applyFont="1" applyBorder="1" applyAlignment="1">
      <alignment vertical="center"/>
    </xf>
    <xf numFmtId="0" fontId="1" fillId="0" borderId="1" xfId="0" applyFont="1" applyBorder="1" applyAlignment="1">
      <alignment vertical="center" wrapText="1"/>
    </xf>
    <xf numFmtId="0" fontId="2" fillId="0" borderId="0" xfId="0" quotePrefix="1" applyFont="1" applyBorder="1" applyAlignment="1">
      <alignment vertical="center"/>
    </xf>
    <xf numFmtId="0" fontId="1" fillId="0" borderId="0" xfId="0" applyFont="1" applyAlignment="1">
      <alignment vertical="center" wrapText="1"/>
    </xf>
    <xf numFmtId="0" fontId="1" fillId="0" borderId="0" xfId="0" quotePrefix="1" applyFont="1" applyBorder="1" applyAlignment="1">
      <alignment vertical="center"/>
    </xf>
    <xf numFmtId="0" fontId="1" fillId="0" borderId="0" xfId="0" quotePrefix="1" applyFont="1" applyAlignment="1">
      <alignment vertical="center"/>
    </xf>
    <xf numFmtId="0" fontId="1" fillId="0" borderId="0" xfId="0" applyFont="1" applyBorder="1" applyAlignment="1">
      <alignment vertical="center"/>
    </xf>
    <xf numFmtId="0" fontId="1" fillId="0" borderId="0" xfId="0" applyFont="1" applyAlignment="1">
      <alignment vertical="center"/>
    </xf>
  </cellXfs>
  <cellStyles count="2">
    <cellStyle name="Hyperlink" xfId="1" builtinId="8"/>
    <cellStyle name="Normal" xfId="0" builtinId="0"/>
  </cellStyles>
  <dxfs count="18">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133349</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133349</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133349</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E89892DA-CB09-4ACC-94DD-F3718C294DD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104_DOROSZLO_60x96.pdf" TargetMode="External"/><Relationship Id="rId18" Type="http://schemas.openxmlformats.org/officeDocument/2006/relationships/hyperlink" Target="http://www.therealpresence.org/eucharst/misc/BVM/109_LAJAS_96x96.pdf" TargetMode="External"/><Relationship Id="rId26" Type="http://schemas.openxmlformats.org/officeDocument/2006/relationships/hyperlink" Target="http://www.therealpresence.org/eucharst/misc/BVM/26_PONTMAIN_60x96.pdf" TargetMode="External"/><Relationship Id="rId39" Type="http://schemas.openxmlformats.org/officeDocument/2006/relationships/vmlDrawing" Target="../drawings/vmlDrawing1.vml"/><Relationship Id="rId21" Type="http://schemas.openxmlformats.org/officeDocument/2006/relationships/hyperlink" Target="http://www.therealpresence.org/eucharst/misc/BVM/06_PARIGI_60x96.pdf" TargetMode="External"/><Relationship Id="rId34"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3_VALVERDE_6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102_CUBA_96x96.pdf" TargetMode="External"/><Relationship Id="rId20" Type="http://schemas.openxmlformats.org/officeDocument/2006/relationships/hyperlink" Target="http://www.therealpresence.org/eucharst/misc/BVM/110_LICHEN_96x96.pdf" TargetMode="External"/><Relationship Id="rId29" Type="http://schemas.openxmlformats.org/officeDocument/2006/relationships/hyperlink" Target="http://www.therealpresence.org/eucharst/misc/BVM/63_KNOCK_60x96.pdf" TargetMode="External"/><Relationship Id="rId41" Type="http://schemas.openxmlformats.org/officeDocument/2006/relationships/ctrlProp" Target="../ctrlProps/ctrlProp2.xm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40_LOURDES_140x96.pdf" TargetMode="External"/><Relationship Id="rId32" Type="http://schemas.openxmlformats.org/officeDocument/2006/relationships/hyperlink" Target="http://www.therealpresence.org/eucharst/misc/BVM/124_NGOME_140x96.pdf" TargetMode="External"/><Relationship Id="rId37" Type="http://schemas.openxmlformats.org/officeDocument/2006/relationships/printerSettings" Target="../printerSettings/printerSettings1.bin"/><Relationship Id="rId40" Type="http://schemas.openxmlformats.org/officeDocument/2006/relationships/ctrlProp" Target="../ctrlProps/ctrlProp1.xm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88_MANAOAG_60x96.pdf" TargetMode="External"/><Relationship Id="rId23" Type="http://schemas.openxmlformats.org/officeDocument/2006/relationships/hyperlink" Target="http://www.therealpresence.org/eucharst/misc/BVM/30_LA_SALETTE_96x96.pdf" TargetMode="External"/><Relationship Id="rId28" Type="http://schemas.openxmlformats.org/officeDocument/2006/relationships/hyperlink" Target="http://www.therealpresence.org/eucharst/misc/BVM/85_GIETRZALD_96x96.pdf" TargetMode="External"/><Relationship Id="rId36" Type="http://schemas.openxmlformats.org/officeDocument/2006/relationships/hyperlink" Target="http://www.therealpresence.org/eucharst/misc/BVM/20_KIBEHO_96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21_LAVANG_60x96.pdf" TargetMode="External"/><Relationship Id="rId31"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57_SILUVA_96x96.pdf" TargetMode="External"/><Relationship Id="rId22" Type="http://schemas.openxmlformats.org/officeDocument/2006/relationships/hyperlink" Target="http://www.therealpresence.org/eucharst/misc/BVM/23_ROMA_60x96.pdf" TargetMode="External"/><Relationship Id="rId27" Type="http://schemas.openxmlformats.org/officeDocument/2006/relationships/hyperlink" Target="http://www.therealpresence.org/eucharst/misc/BVM/07_PELLEVOISIN_60x96.pdf" TargetMode="External"/><Relationship Id="rId30" Type="http://schemas.openxmlformats.org/officeDocument/2006/relationships/hyperlink" Target="http://www.therealpresence.org/eucharst/misc/BVM/154_FATIMA_96x96_1.pdf" TargetMode="External"/><Relationship Id="rId35" Type="http://schemas.openxmlformats.org/officeDocument/2006/relationships/hyperlink" Target="http://www.therealpresence.org/eucharst/misc/BVM/16_CUAP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 Id="rId12" Type="http://schemas.openxmlformats.org/officeDocument/2006/relationships/hyperlink" Target="http://www.therealpresence.org/eucharst/misc/BVM/94_CAYSASAY_60x96.pdf" TargetMode="External"/><Relationship Id="rId17" Type="http://schemas.openxmlformats.org/officeDocument/2006/relationships/hyperlink" Target="http://www.therealpresence.org/eucharst/misc/BVM/69_LAUS_140x96.pdf" TargetMode="External"/><Relationship Id="rId25" Type="http://schemas.openxmlformats.org/officeDocument/2006/relationships/hyperlink" Target="http://www.therealpresence.org/eucharst/misc/BVM/89_FILIPOV_96x96.pdf" TargetMode="External"/><Relationship Id="rId33" Type="http://schemas.openxmlformats.org/officeDocument/2006/relationships/hyperlink" Target="http://www.therealpresence.org/eucharst/misc/BVM/144_ZEITUN_96x96.pdf" TargetMode="External"/><Relationship Id="rId38"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41"/>
  <sheetViews>
    <sheetView tabSelected="1" zoomScale="80" zoomScaleNormal="80" workbookViewId="0">
      <pane xSplit="7" ySplit="5" topLeftCell="H6"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1899</v>
      </c>
      <c r="B1" s="130" t="s">
        <v>1900</v>
      </c>
      <c r="C1" s="7" t="s">
        <v>1890</v>
      </c>
      <c r="D1" s="148" t="s">
        <v>2055</v>
      </c>
      <c r="E1" s="124" t="s">
        <v>57</v>
      </c>
      <c r="F1" s="125" t="s">
        <v>1883</v>
      </c>
      <c r="G1" s="126" t="s">
        <v>1884</v>
      </c>
      <c r="H1" s="128" t="s">
        <v>1885</v>
      </c>
      <c r="I1" s="126" t="s">
        <v>1886</v>
      </c>
      <c r="J1" s="126" t="s">
        <v>1887</v>
      </c>
      <c r="K1" s="126" t="s">
        <v>1888</v>
      </c>
      <c r="L1" s="126" t="s">
        <v>1889</v>
      </c>
      <c r="M1" s="126" t="s">
        <v>1891</v>
      </c>
      <c r="N1" s="128" t="s">
        <v>1892</v>
      </c>
      <c r="O1" s="124" t="s">
        <v>1893</v>
      </c>
      <c r="P1" s="124" t="s">
        <v>1894</v>
      </c>
      <c r="Q1" s="131" t="s">
        <v>1906</v>
      </c>
      <c r="R1" s="132" t="s">
        <v>1907</v>
      </c>
      <c r="S1" s="133" t="s">
        <v>1908</v>
      </c>
      <c r="T1" s="134" t="s">
        <v>53</v>
      </c>
      <c r="U1" s="135" t="s">
        <v>53</v>
      </c>
      <c r="V1" s="136" t="s">
        <v>53</v>
      </c>
      <c r="W1" s="135" t="s">
        <v>53</v>
      </c>
      <c r="X1" s="135" t="s">
        <v>53</v>
      </c>
      <c r="Y1" s="137" t="s">
        <v>53</v>
      </c>
      <c r="Z1" s="1" t="s">
        <v>1898</v>
      </c>
      <c r="AJ1" s="60" t="s">
        <v>53</v>
      </c>
      <c r="AK1" s="57" t="s">
        <v>53</v>
      </c>
      <c r="AL1" s="1" t="s">
        <v>53</v>
      </c>
      <c r="AM1" s="1" t="s">
        <v>53</v>
      </c>
      <c r="AN1" s="1" t="s">
        <v>53</v>
      </c>
      <c r="AO1" s="1" t="s">
        <v>53</v>
      </c>
      <c r="AP1" s="1" t="s">
        <v>53</v>
      </c>
      <c r="AQ1" s="30" t="s">
        <v>53</v>
      </c>
      <c r="AS1" s="116" t="b">
        <f t="shared" ref="AS1" si="0">IF(OR(A1="Done",A1="In Progress"),TRUE)</f>
        <v>0</v>
      </c>
      <c r="AT1" s="117" t="str">
        <f t="shared" ref="AT1" si="1">"title: """&amp;G1&amp;""""</f>
        <v>title: "Page Title (what will display on website)"</v>
      </c>
      <c r="AU1" s="117" t="str">
        <f t="shared" ref="AU1" si="2">"location: {lat: "&amp;E1&amp;", lng: "&amp;F1&amp;"}"</f>
        <v>location: {lat: Lat, lng: Lon}</v>
      </c>
      <c r="AV1" s="117" t="str">
        <f t="shared" ref="AV1" si="3">"interest: "&amp;I1</f>
        <v>interest: Interest Level</v>
      </c>
      <c r="AW1" s="117" t="e">
        <f>"- "&amp;VLOOKUP(C1,'Country Tags'!C:E,3,)</f>
        <v>#N/A</v>
      </c>
      <c r="AX1" s="117" t="str">
        <f t="shared" ref="AX1" si="4">IF(LEN(D1)&gt;1,"- "&amp;LOWER(SUBSTITUTE(D1," ","-")),"")</f>
        <v>- diocese-(optional)</v>
      </c>
      <c r="AY1" s="117" t="e">
        <f t="shared" ref="AY1" si="5">IF(J1,"- churches","")</f>
        <v>#VALUE!</v>
      </c>
      <c r="AZ1" s="117" t="e">
        <f t="shared" ref="AZ1" si="6">IF(K1,"- marian-sites","")</f>
        <v>#VALUE!</v>
      </c>
      <c r="BA1" s="117" t="e">
        <f t="shared" ref="BA1" si="7">IF(L1,"- holy-persons","")</f>
        <v>#VALUE!</v>
      </c>
      <c r="BB1" s="117" t="str">
        <f t="shared" ref="BB1" si="8">IF(LEN(Z1)&gt;0,"- "&amp;Z1,"")</f>
        <v>- Additional Tags (must add to tag sheet)</v>
      </c>
      <c r="BC1" s="117" t="str">
        <f t="shared" ref="BC1" si="9">IF(LEN(AA1)&gt;0,"- "&amp;AA1,"")</f>
        <v/>
      </c>
      <c r="BD1" s="117" t="str">
        <f t="shared" ref="BD1" si="10">IF(LEN(AB1)&gt;0,"- "&amp;AB1,"")</f>
        <v/>
      </c>
      <c r="BE1" s="117" t="str">
        <f t="shared" ref="BE1" si="11">IF(LEN(AC1)&gt;0,"- "&amp;AC1,"")</f>
        <v/>
      </c>
      <c r="BF1" s="117" t="str">
        <f t="shared" ref="BF1" si="12">IF(LEN(AD1)&gt;0,"- "&amp;AD1,"")</f>
        <v/>
      </c>
      <c r="BG1" s="117" t="str">
        <f t="shared" ref="BG1" si="13">IF(LEN(AE1)&gt;0,"- "&amp;AE1,"")</f>
        <v/>
      </c>
      <c r="BH1" s="117" t="str">
        <f t="shared" ref="BH1" si="14">IF(LEN(AF1)&gt;0,"- "&amp;AF1,"")</f>
        <v/>
      </c>
      <c r="BI1" s="117" t="str">
        <f t="shared" ref="BI1" si="15">IF(LEN(AG1)&gt;0,"- "&amp;AG1,"")</f>
        <v/>
      </c>
      <c r="BJ1" s="117" t="str">
        <f t="shared" ref="BJ1" si="16">IF(LEN(AH1)&gt;0,"- "&amp;AH1,"")</f>
        <v/>
      </c>
      <c r="BK1" s="117" t="str">
        <f t="shared" ref="BK1" si="17">IF(LEN(AI1)&gt;0,"- "&amp;AI1,"")</f>
        <v/>
      </c>
      <c r="BL1" s="117" t="e">
        <f t="shared" ref="BL1" si="18">"tags:"&amp;CHAR(10)&amp;concatl(AW1:BK1)</f>
        <v>#VALUE!</v>
      </c>
      <c r="BM1" s="117" t="str">
        <f t="shared" ref="BM1" si="19">IF(LEN(O1)&gt;0,TRIM(CONCATENATE("[Official site](",O1,") ",IF(LEN(P1)&gt;0,"- "&amp;P1,P1))),"")</f>
        <v>[Official site](Official URL) - Comment</v>
      </c>
      <c r="BN1" s="117" t="str">
        <f t="shared" ref="BN1" si="20">IF(LEN(R1)&gt;0,TRIM(CONCATENATE("["&amp;Q1&amp;"](",R1,") ",IF(LEN(S1)&gt;0,"- "&amp;S1,S1))),"")</f>
        <v>[Link Name](Link URL) - Link Comment</v>
      </c>
      <c r="BO1" s="117" t="str">
        <f t="shared" ref="BO1" si="21">IF(LEN(U1)&gt;0,TRIM(CONCATENATE("["&amp;T1&amp;"](",U1,") ",IF(LEN(V1)&gt;0,"- "&amp;V1,V1))),"")</f>
        <v/>
      </c>
      <c r="BP1" s="117" t="str">
        <f t="shared" ref="BP1" si="22">IF(LEN(X1)&gt;0,TRIM(CONCATENATE("["&amp;W1&amp;"](",X1,") ",IF(LEN(Y1)&gt;0,"- "&amp;Y1,Y1))),"")</f>
        <v/>
      </c>
      <c r="BQ1" s="117" t="str">
        <f t="shared" ref="BQ1" si="23">IF(LEN(BM1)&gt;0,"* "&amp;BM1&amp;CHAR(10),"")&amp;
IF(LEN(BN1)&gt;0,"* "&amp;BN1&amp;CHAR(10),"")&amp;
IF(LEN(BO1)&gt;0,"* "&amp;BO1&amp;CHAR(10),"")&amp;
IF(LEN(BP1)&gt;0,"* "&amp;BP1&amp;CHAR(10),"")</f>
        <v xml:space="preserve">* [Official site](Official URL) - Comment
* [Link Name](Link URL) - Link Comment
</v>
      </c>
      <c r="BR1" s="117" t="str">
        <f t="shared" ref="BR1" si="24">IF(LEN(AL1)&gt;0,TRIM(CONCATENATE("[Link](",AL1,") ",AM1)),"")</f>
        <v/>
      </c>
      <c r="BS1" s="117" t="str">
        <f t="shared" ref="BS1" si="25">IF(LEN(AN1)&gt;0,TRIM(CONCATENATE("[Link](",AN1,") ",AO1)),"")</f>
        <v/>
      </c>
      <c r="BT1" s="117" t="str">
        <f t="shared" ref="BT1" si="26">IF(LEN(AP1)&gt;0,TRIM(CONCATENATE("[Link](",AP1,") ",AQ1)),"")</f>
        <v/>
      </c>
      <c r="BU1" s="117" t="str">
        <f>IF(LEN(concat(BR1:BT1))&gt;0,concat("| ",BR1," | ",BS1," | ",BT1," |"),"")</f>
        <v/>
      </c>
      <c r="BV1" s="117" t="e">
        <f t="shared" ref="BV1" si="27">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 t="shared" ref="CJ1" si="28">"|"&amp;IF(LEN(CG1)&gt;1," "&amp;CG1,"")&amp;IF(LEN(CH1)&gt;1,", "&amp;CH1,"")&amp;IF(LEN(CI1)&gt;1,", "&amp;CI1,"")&amp;" "</f>
        <v>#VALUE!</v>
      </c>
      <c r="CK1" s="12" t="str">
        <f t="shared" ref="CK1" si="29">"| "&amp;IF(AS1,"["&amp;AJ1&amp;"](/places/"&amp;SUBSTITUTE(CB1,".md","")&amp;")",AJ1)&amp;" "</f>
        <v xml:space="preserve">|  </v>
      </c>
      <c r="CL1" s="12" t="str">
        <f>"| "&amp;IF(AS1,GetTagPage(C1,VLOOKUP(C1,'Country Tags'!C:E,3,)),C1)&amp; " "</f>
        <v xml:space="preserve">| Country Name </v>
      </c>
      <c r="CM1" s="12" t="str">
        <f t="shared" ref="CM1" si="30">"| "&amp;AK1&amp;" "</f>
        <v xml:space="preserve">|  </v>
      </c>
      <c r="CN1" s="12" t="str">
        <f t="shared" ref="CN1" si="31">"|"&amp;IF(AS1," [Link](/places/"&amp;SUBSTITUTE(CB1,".md","")&amp;")","")&amp;" "</f>
        <v xml:space="preserve">| </v>
      </c>
      <c r="CO1" s="12" t="e">
        <f t="shared" ref="CO1" si="32">"
"&amp;CK1&amp;CL1&amp;CM1&amp;CN1&amp;BM1&amp;BR1&amp;BS1&amp;BT1&amp;CJ1&amp;"|"</f>
        <v>#VALUE!</v>
      </c>
    </row>
    <row r="2" spans="1:93" x14ac:dyDescent="0.25">
      <c r="Y2" s="125"/>
    </row>
    <row r="5" spans="1:93" s="47" customFormat="1" ht="26.25" thickBot="1" x14ac:dyDescent="0.3">
      <c r="A5" s="108" t="s">
        <v>787</v>
      </c>
      <c r="B5" s="108" t="s">
        <v>1904</v>
      </c>
      <c r="C5" s="108" t="s">
        <v>200</v>
      </c>
      <c r="D5" s="108" t="s">
        <v>2127</v>
      </c>
      <c r="E5" s="107" t="s">
        <v>1909</v>
      </c>
      <c r="F5" s="109" t="s">
        <v>1910</v>
      </c>
      <c r="G5" s="108" t="s">
        <v>440</v>
      </c>
      <c r="H5" s="110" t="s">
        <v>441</v>
      </c>
      <c r="I5" s="108" t="s">
        <v>1868</v>
      </c>
      <c r="J5" s="108" t="s">
        <v>1220</v>
      </c>
      <c r="K5" s="108" t="s">
        <v>1194</v>
      </c>
      <c r="L5" s="108" t="s">
        <v>1184</v>
      </c>
      <c r="M5" s="108" t="s">
        <v>10</v>
      </c>
      <c r="N5" s="110" t="s">
        <v>84</v>
      </c>
      <c r="O5" s="107" t="s">
        <v>1205</v>
      </c>
      <c r="P5" s="107" t="s">
        <v>1202</v>
      </c>
      <c r="Q5" s="111" t="s">
        <v>1203</v>
      </c>
      <c r="R5" s="107" t="s">
        <v>1204</v>
      </c>
      <c r="S5" s="112" t="s">
        <v>1895</v>
      </c>
      <c r="T5" s="111" t="s">
        <v>1206</v>
      </c>
      <c r="U5" s="107" t="s">
        <v>1207</v>
      </c>
      <c r="V5" s="112" t="s">
        <v>1896</v>
      </c>
      <c r="W5" s="107" t="s">
        <v>1208</v>
      </c>
      <c r="X5" s="107" t="s">
        <v>1209</v>
      </c>
      <c r="Y5" s="109" t="s">
        <v>1897</v>
      </c>
      <c r="Z5" s="107" t="s">
        <v>874</v>
      </c>
      <c r="AA5" s="107" t="s">
        <v>876</v>
      </c>
      <c r="AB5" s="107" t="s">
        <v>878</v>
      </c>
      <c r="AC5" s="107" t="s">
        <v>1195</v>
      </c>
      <c r="AD5" s="107" t="s">
        <v>1196</v>
      </c>
      <c r="AE5" s="107" t="s">
        <v>1197</v>
      </c>
      <c r="AF5" s="107" t="s">
        <v>1198</v>
      </c>
      <c r="AG5" s="107" t="s">
        <v>1199</v>
      </c>
      <c r="AH5" s="107" t="s">
        <v>1200</v>
      </c>
      <c r="AI5" s="107" t="s">
        <v>1201</v>
      </c>
      <c r="AJ5" s="113" t="s">
        <v>1194</v>
      </c>
      <c r="AK5" s="114" t="s">
        <v>8</v>
      </c>
      <c r="AL5" s="107" t="s">
        <v>50</v>
      </c>
      <c r="AM5" s="107" t="s">
        <v>790</v>
      </c>
      <c r="AN5" s="107" t="s">
        <v>52</v>
      </c>
      <c r="AO5" s="107" t="s">
        <v>791</v>
      </c>
      <c r="AP5" s="107" t="s">
        <v>65</v>
      </c>
      <c r="AQ5" s="109" t="s">
        <v>792</v>
      </c>
      <c r="AR5" s="122" t="s">
        <v>53</v>
      </c>
      <c r="AS5" s="118" t="s">
        <v>908</v>
      </c>
      <c r="AT5" s="119" t="s">
        <v>706</v>
      </c>
      <c r="AU5" s="119" t="s">
        <v>9</v>
      </c>
      <c r="AV5" s="119" t="s">
        <v>1868</v>
      </c>
      <c r="AW5" s="119" t="s">
        <v>1224</v>
      </c>
      <c r="AX5" s="119" t="s">
        <v>1225</v>
      </c>
      <c r="AY5" s="119" t="s">
        <v>1223</v>
      </c>
      <c r="AZ5" s="119" t="s">
        <v>1221</v>
      </c>
      <c r="BA5" s="119" t="s">
        <v>1222</v>
      </c>
      <c r="BB5" s="119" t="s">
        <v>1210</v>
      </c>
      <c r="BC5" s="119" t="s">
        <v>1211</v>
      </c>
      <c r="BD5" s="119" t="s">
        <v>1212</v>
      </c>
      <c r="BE5" s="119" t="s">
        <v>1213</v>
      </c>
      <c r="BF5" s="119" t="s">
        <v>1214</v>
      </c>
      <c r="BG5" s="119" t="s">
        <v>1215</v>
      </c>
      <c r="BH5" s="119" t="s">
        <v>1216</v>
      </c>
      <c r="BI5" s="119" t="s">
        <v>1217</v>
      </c>
      <c r="BJ5" s="119" t="s">
        <v>1218</v>
      </c>
      <c r="BK5" s="119" t="s">
        <v>1219</v>
      </c>
      <c r="BL5" s="119" t="s">
        <v>55</v>
      </c>
      <c r="BM5" s="119" t="s">
        <v>708</v>
      </c>
      <c r="BN5" s="119" t="s">
        <v>1229</v>
      </c>
      <c r="BO5" s="119" t="s">
        <v>1230</v>
      </c>
      <c r="BP5" s="119" t="s">
        <v>1231</v>
      </c>
      <c r="BQ5" s="119" t="s">
        <v>1236</v>
      </c>
      <c r="BR5" s="119" t="s">
        <v>1228</v>
      </c>
      <c r="BS5" s="119" t="s">
        <v>7</v>
      </c>
      <c r="BT5" s="119" t="s">
        <v>335</v>
      </c>
      <c r="BU5" s="119" t="s">
        <v>1232</v>
      </c>
      <c r="BV5" s="119" t="s">
        <v>1227</v>
      </c>
      <c r="BW5" s="119" t="s">
        <v>1674</v>
      </c>
      <c r="BX5" s="119" t="s">
        <v>1226</v>
      </c>
      <c r="BY5" s="138" t="s">
        <v>53</v>
      </c>
      <c r="BZ5" s="138" t="s">
        <v>53</v>
      </c>
      <c r="CA5" s="50" t="s">
        <v>1233</v>
      </c>
      <c r="CB5" s="49" t="s">
        <v>699</v>
      </c>
      <c r="CC5" s="49"/>
      <c r="CD5" s="48" t="s">
        <v>875</v>
      </c>
      <c r="CE5" s="48" t="s">
        <v>877</v>
      </c>
      <c r="CF5" s="48" t="s">
        <v>879</v>
      </c>
      <c r="CG5" s="48" t="s">
        <v>902</v>
      </c>
      <c r="CH5" s="48" t="s">
        <v>903</v>
      </c>
      <c r="CI5" s="48" t="s">
        <v>904</v>
      </c>
      <c r="CJ5" s="48" t="s">
        <v>901</v>
      </c>
      <c r="CK5" s="48" t="s">
        <v>906</v>
      </c>
      <c r="CL5" s="48" t="s">
        <v>907</v>
      </c>
      <c r="CM5" s="48" t="s">
        <v>909</v>
      </c>
      <c r="CN5" s="48" t="s">
        <v>910</v>
      </c>
      <c r="CO5" s="48" t="s">
        <v>905</v>
      </c>
    </row>
    <row r="6" spans="1:93" ht="89.25" x14ac:dyDescent="0.25">
      <c r="A6" s="129" t="s">
        <v>786</v>
      </c>
      <c r="B6" s="130" t="s">
        <v>1901</v>
      </c>
      <c r="C6" s="7" t="s">
        <v>215</v>
      </c>
      <c r="E6" s="1">
        <v>-34.564198513371799</v>
      </c>
      <c r="F6" s="30">
        <v>-59.121408231421597</v>
      </c>
      <c r="G6" s="15" t="s">
        <v>862</v>
      </c>
      <c r="H6" s="37" t="s">
        <v>862</v>
      </c>
      <c r="I6" s="15" t="s">
        <v>1165</v>
      </c>
      <c r="J6" s="23" t="b">
        <v>1</v>
      </c>
      <c r="K6" s="7" t="b">
        <v>1</v>
      </c>
      <c r="M6" s="28" t="s">
        <v>1235</v>
      </c>
      <c r="O6" s="1" t="s">
        <v>863</v>
      </c>
      <c r="P6" s="1" t="s">
        <v>53</v>
      </c>
      <c r="Z6" s="1" t="s">
        <v>53</v>
      </c>
      <c r="AJ6" s="56" t="s">
        <v>767</v>
      </c>
      <c r="AK6" s="57" t="s">
        <v>758</v>
      </c>
      <c r="AL6" s="1" t="s">
        <v>24</v>
      </c>
      <c r="AM6" s="1" t="s">
        <v>53</v>
      </c>
      <c r="AN6" s="1" t="s">
        <v>864</v>
      </c>
      <c r="AO6" s="17" t="s">
        <v>865</v>
      </c>
      <c r="AP6" s="1" t="s">
        <v>53</v>
      </c>
      <c r="AQ6" s="30" t="s">
        <v>53</v>
      </c>
      <c r="AS6" s="116" t="b">
        <f t="shared" ref="AS6:AS37" si="33">IF(OR(A6="Done",A6="In Progress"),TRUE)</f>
        <v>1</v>
      </c>
      <c r="AT6" s="117" t="str">
        <f t="shared" ref="AT6:AT37" si="34">"title: """&amp;G6&amp;""""</f>
        <v>title: "Basilica of Our Lady of Lujan"</v>
      </c>
      <c r="AU6" s="117" t="str">
        <f t="shared" ref="AU6:AU37" si="35">"location: {lat: "&amp;E6&amp;", lng: "&amp;F6&amp;"}"</f>
        <v>location: {lat: -34.5641985133718, lng: -59.1214082314216}</v>
      </c>
      <c r="AV6" s="117" t="str">
        <f t="shared" ref="AV6:AV37" si="36">"interest: "&amp;I6</f>
        <v>interest: global</v>
      </c>
      <c r="AW6" s="117" t="str">
        <f>"- "&amp;VLOOKUP(C6,'Country Tags'!C:E,3,)</f>
        <v>- argentina</v>
      </c>
      <c r="AX6" s="117" t="str">
        <f t="shared" ref="AX6:AX37" si="37">IF(LEN(D6)&gt;1,"- "&amp;LOWER(SUBSTITUTE(D6," ","-")),"")</f>
        <v/>
      </c>
      <c r="AY6" s="117" t="str">
        <f t="shared" ref="AY6:AY37" si="38">IF(J6,"- churches","")</f>
        <v>- churches</v>
      </c>
      <c r="AZ6" s="117" t="str">
        <f t="shared" ref="AZ6:AZ37" si="39">IF(K6,"- marian-sites","")</f>
        <v>- marian-sites</v>
      </c>
      <c r="BA6" s="117" t="str">
        <f t="shared" ref="BA6:BA37" si="40">IF(L6,"- holy-persons","")</f>
        <v/>
      </c>
      <c r="BB6" s="117" t="str">
        <f t="shared" ref="BB6:BB37" si="41">IF(LEN(Z6)&gt;0,"- "&amp;Z6,"")</f>
        <v/>
      </c>
      <c r="BC6" s="117" t="str">
        <f t="shared" ref="BC6:BC37" si="42">IF(LEN(AA6)&gt;0,"- "&amp;AA6,"")</f>
        <v/>
      </c>
      <c r="BD6" s="117" t="str">
        <f t="shared" ref="BD6:BD37" si="43">IF(LEN(AB6)&gt;0,"- "&amp;AB6,"")</f>
        <v/>
      </c>
      <c r="BE6" s="117" t="str">
        <f t="shared" ref="BE6:BE37" si="44">IF(LEN(AC6)&gt;0,"- "&amp;AC6,"")</f>
        <v/>
      </c>
      <c r="BF6" s="117" t="str">
        <f t="shared" ref="BF6:BF37" si="45">IF(LEN(AD6)&gt;0,"- "&amp;AD6,"")</f>
        <v/>
      </c>
      <c r="BG6" s="117" t="str">
        <f t="shared" ref="BG6:BG37" si="46">IF(LEN(AE6)&gt;0,"- "&amp;AE6,"")</f>
        <v/>
      </c>
      <c r="BH6" s="117" t="str">
        <f t="shared" ref="BH6:BH37" si="47">IF(LEN(AF6)&gt;0,"- "&amp;AF6,"")</f>
        <v/>
      </c>
      <c r="BI6" s="117" t="str">
        <f t="shared" ref="BI6:BI37" si="48">IF(LEN(AG6)&gt;0,"- "&amp;AG6,"")</f>
        <v/>
      </c>
      <c r="BJ6" s="117" t="str">
        <f t="shared" ref="BJ6:BJ37" si="49">IF(LEN(AH6)&gt;0,"- "&amp;AH6,"")</f>
        <v/>
      </c>
      <c r="BK6" s="117" t="str">
        <f t="shared" ref="BK6:BK37" si="50">IF(LEN(AI6)&gt;0,"- "&amp;AI6,"")</f>
        <v/>
      </c>
      <c r="BL6" s="117" t="str">
        <f t="shared" ref="BL6:BL37" si="51">"tags:"&amp;CHAR(10)&amp;concatl(AW6:BK6)</f>
        <v xml:space="preserve">tags:
- argentina_x000D_
- churches_x000D_
- marian-sites_x000D_
</v>
      </c>
      <c r="BM6" s="120" t="str">
        <f>IF(LEN(O6)&gt;0,TRIM(CONCATENATE("[Official site](",O6,") ",IF(LEN(P6)&gt;0,"- "&amp;P6,P6))),"")</f>
        <v>[Official site](https://santuariodelujan.org.ar/)</v>
      </c>
      <c r="BN6" s="120" t="str">
        <f>IF(LEN(R6)&gt;0,TRIM(CONCATENATE("["&amp;Q6&amp;"](",R6,") ",IF(LEN(S6)&gt;0,"- "&amp;S6,S6))),"")</f>
        <v/>
      </c>
      <c r="BO6" s="120" t="str">
        <f>IF(LEN(U6)&gt;0,TRIM(CONCATENATE("["&amp;T6&amp;"](",U6,") ",IF(LEN(V6)&gt;0,"- "&amp;V6,V6))),"")</f>
        <v/>
      </c>
      <c r="BP6" s="120" t="str">
        <f>IF(LEN(X6)&gt;0,TRIM(CONCATENATE("["&amp;W6&amp;"](",X6,") ",IF(LEN(Y6)&gt;0,"- "&amp;Y6,Y6))),"")</f>
        <v/>
      </c>
      <c r="BQ6" s="120" t="str">
        <f t="shared" ref="BQ6:BQ37" si="52">IF(LEN(BM6)&gt;0,"* "&amp;BM6&amp;CHAR(10),"")&amp;
IF(LEN(BN6)&gt;0,"* "&amp;BN6&amp;CHAR(10),"")&amp;
IF(LEN(BO6)&gt;0,"* "&amp;BO6&amp;CHAR(10),"")&amp;
IF(LEN(BP6)&gt;0,"* "&amp;BP6&amp;CHAR(10),"")</f>
        <v xml:space="preserve">* [Official site](https://santuariodelujan.org.ar/)
</v>
      </c>
      <c r="BR6" s="120" t="str">
        <f t="shared" ref="BR6:BR37" si="53">IF(LEN(AL6)&gt;0,TRIM(CONCATENATE("[Link](",AL6,") ",AM6)),"")</f>
        <v>[Link](http://www.therealpresence.org/eucharst/misc/BVM/112_LUJAN_96x96.pdf)</v>
      </c>
      <c r="BS6" s="120" t="str">
        <f t="shared" ref="BS6:BS37" si="54">IF(LEN(AN6)&gt;0,TRIM(CONCATENATE("[Link](",AN6,") ",AO6)),"")</f>
        <v>[Link](http://www.miraclehunter.com/miraculous_images/icons_1600-1699.html) (Search "Lujan")</v>
      </c>
      <c r="BT6" s="120" t="str">
        <f t="shared" ref="BT6:BT37" si="55">IF(LEN(AP6)&gt;0,TRIM(CONCATENATE("[Link](",AP6,") ",AQ6)),"")</f>
        <v/>
      </c>
      <c r="BU6" s="120" t="str">
        <f>IF(LEN(concat(BR6:BT6))&gt;0,concat("| ",BR6," | ",BS6," | ",BT6," |"),"")</f>
        <v>| [Link](http://www.therealpresence.org/eucharst/misc/BVM/112_LUJAN_96x96.pdf) | [Link](http://www.miraclehunter.com/miraculous_images/icons_1600-1699.html) (Search "Lujan") |  |</v>
      </c>
      <c r="BV6" s="117" t="str">
        <f t="shared" ref="BV6:BV37" si="56">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57">"|"&amp;IF(LEN(CG6)&gt;1," "&amp;CG6,"")&amp;IF(LEN(CH6)&gt;1,", "&amp;CH6,"")&amp;IF(LEN(CI6)&gt;1,", "&amp;CI6,"")&amp;" "</f>
        <v xml:space="preserve">| </v>
      </c>
      <c r="CK6" s="13" t="str">
        <f t="shared" ref="CK6:CK37" si="58">"| "&amp;IF(AS6,"["&amp;AJ6&amp;"](/places/"&amp;SUBSTITUTE(CB6,".md","")&amp;")",AJ6)&amp;" "</f>
        <v xml:space="preserve">| [Luján](/places/places\ar-basilica-of-our-lady-of-lujan) </v>
      </c>
      <c r="CL6" s="13" t="str">
        <f>"| "&amp;IF(AS6,GetTagPage(C6,VLOOKUP(C6,'Country Tags'!C:E,3,)),C6)&amp; " "</f>
        <v xml:space="preserve">| [Argentina](/tags/argentina) </v>
      </c>
      <c r="CM6" s="13" t="str">
        <f t="shared" ref="CM6:CM37" si="59">"| "&amp;AK6&amp;" "</f>
        <v xml:space="preserve">| 17th Century </v>
      </c>
      <c r="CN6" s="13" t="str">
        <f t="shared" ref="CN6:CN37" si="60">"|"&amp;IF(AS6," [Link](/places/"&amp;SUBSTITUTE(CB6,".md","")&amp;")","")&amp;" "</f>
        <v xml:space="preserve">| [Link](/places/places\ar-basilica-of-our-lady-of-lujan) </v>
      </c>
      <c r="CO6" s="12" t="str">
        <f t="shared" ref="CO6:CO37" si="61">"
"&amp;CK6&amp;CL6&amp;CM6&amp;CN6&amp;BM6&amp;BR6&amp;BS6&amp;BT6&amp;CJ6&amp;"|"</f>
        <v xml:space="preserve">
| [Luján](/places/places\ar-basilica-of-our-lady-of-lujan) | [Argentina](/tags/argentina)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1902</v>
      </c>
      <c r="C7" s="55" t="s">
        <v>224</v>
      </c>
      <c r="D7" s="55" t="s">
        <v>1246</v>
      </c>
      <c r="E7" s="1">
        <v>50.847874450660399</v>
      </c>
      <c r="F7" s="30">
        <v>4.35897312161425</v>
      </c>
      <c r="G7" s="55" t="s">
        <v>1244</v>
      </c>
      <c r="H7" s="61" t="s">
        <v>1250</v>
      </c>
      <c r="I7" s="55" t="s">
        <v>1187</v>
      </c>
      <c r="J7" s="7" t="b">
        <v>1</v>
      </c>
      <c r="M7" s="55" t="s">
        <v>1251</v>
      </c>
      <c r="N7" s="139" t="s">
        <v>1911</v>
      </c>
      <c r="O7" s="62" t="s">
        <v>1245</v>
      </c>
      <c r="P7" s="1" t="s">
        <v>53</v>
      </c>
      <c r="AS7" s="116" t="b">
        <f t="shared" si="33"/>
        <v>1</v>
      </c>
      <c r="AT7" s="117" t="str">
        <f t="shared" si="34"/>
        <v>title: "St. Michael and St. Gudula Cathedral (Brussels Cathedral)"</v>
      </c>
      <c r="AU7" s="117" t="str">
        <f t="shared" si="35"/>
        <v>location: {lat: 50.8478744506604, lng: 4.35897312161425}</v>
      </c>
      <c r="AV7" s="117" t="str">
        <f t="shared" si="36"/>
        <v>interest: regional</v>
      </c>
      <c r="AW7" s="117" t="str">
        <f>"- "&amp;VLOOKUP(C7,'Country Tags'!C:E,3,)</f>
        <v>- belgium</v>
      </c>
      <c r="AX7" s="117" t="str">
        <f t="shared" si="37"/>
        <v>- brussels</v>
      </c>
      <c r="AY7" s="117" t="str">
        <f t="shared" si="38"/>
        <v>- churches</v>
      </c>
      <c r="AZ7" s="117" t="str">
        <f t="shared" si="39"/>
        <v/>
      </c>
      <c r="BA7" s="117" t="str">
        <f t="shared" si="40"/>
        <v/>
      </c>
      <c r="BB7" s="117" t="str">
        <f t="shared" si="41"/>
        <v/>
      </c>
      <c r="BC7" s="117" t="str">
        <f t="shared" si="42"/>
        <v/>
      </c>
      <c r="BD7" s="117" t="str">
        <f t="shared" si="43"/>
        <v/>
      </c>
      <c r="BE7" s="117" t="str">
        <f t="shared" si="44"/>
        <v/>
      </c>
      <c r="BF7" s="117" t="str">
        <f t="shared" si="45"/>
        <v/>
      </c>
      <c r="BG7" s="117" t="str">
        <f t="shared" si="46"/>
        <v/>
      </c>
      <c r="BH7" s="117" t="str">
        <f t="shared" si="47"/>
        <v/>
      </c>
      <c r="BI7" s="117" t="str">
        <f t="shared" si="48"/>
        <v/>
      </c>
      <c r="BJ7" s="117" t="str">
        <f t="shared" si="49"/>
        <v/>
      </c>
      <c r="BK7" s="117" t="str">
        <f t="shared" si="50"/>
        <v/>
      </c>
      <c r="BL7" s="117" t="str">
        <f t="shared" si="51"/>
        <v xml:space="preserve">tags:
- belgium_x000D_
- brussels_x000D_
- churches_x000D_
</v>
      </c>
      <c r="BM7" s="120" t="str">
        <f t="shared" ref="BM7:BM70" si="62">IF(LEN(O7)&gt;0,TRIM(CONCATENATE("[Official site](",O7,") ",IF(LEN(P7)&gt;0,"- "&amp;P7,P7))),"")</f>
        <v>[Official site](https://www.cathedralisbruxellensis.be/)</v>
      </c>
      <c r="BN7" s="120" t="str">
        <f t="shared" ref="BN7:BN70" si="63">IF(LEN(R7)&gt;0,TRIM(CONCATENATE("["&amp;Q7&amp;"](",R7,") ",IF(LEN(S7)&gt;0,"- "&amp;S7,S7))),"")</f>
        <v/>
      </c>
      <c r="BO7" s="120" t="str">
        <f t="shared" ref="BO7:BO70" si="64">IF(LEN(U7)&gt;0,TRIM(CONCATENATE("["&amp;T7&amp;"](",U7,") ",IF(LEN(V7)&gt;0,"- "&amp;V7,V7))),"")</f>
        <v/>
      </c>
      <c r="BP7" s="120" t="str">
        <f t="shared" ref="BP7:BP70" si="65">IF(LEN(X7)&gt;0,TRIM(CONCATENATE("["&amp;W7&amp;"](",X7,") ",IF(LEN(Y7)&gt;0,"- "&amp;Y7,Y7))),"")</f>
        <v/>
      </c>
      <c r="BQ7" s="120" t="str">
        <f t="shared" si="52"/>
        <v xml:space="preserve">* [Official site](https://www.cathedralisbruxellensis.be/)
</v>
      </c>
      <c r="BR7" s="120" t="str">
        <f t="shared" si="53"/>
        <v/>
      </c>
      <c r="BS7" s="120" t="str">
        <f t="shared" si="54"/>
        <v/>
      </c>
      <c r="BT7" s="120" t="str">
        <f t="shared" si="55"/>
        <v/>
      </c>
      <c r="BU7" s="120" t="str">
        <f>IF(LEN(concat(BR7:BT7))&gt;0,concat("| ",BR7," | ",BS7," | ",BT7," |"),"")</f>
        <v/>
      </c>
      <c r="BV7" s="117" t="str">
        <f t="shared" si="56"/>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belgium_x000D_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57"/>
        <v xml:space="preserve">| </v>
      </c>
      <c r="CK7" s="13" t="str">
        <f t="shared" si="58"/>
        <v xml:space="preserve">| [](/places/places\be-brussels-cathedral) </v>
      </c>
      <c r="CL7" s="13" t="str">
        <f>"| "&amp;IF(AS7,GetTagPage(C7,VLOOKUP(C7,'Country Tags'!C:E,3,)),C7)&amp; " "</f>
        <v xml:space="preserve">| [Belgium](/tags/belgium) </v>
      </c>
      <c r="CM7" s="13" t="str">
        <f t="shared" si="59"/>
        <v xml:space="preserve">|  </v>
      </c>
      <c r="CN7" s="13" t="str">
        <f t="shared" si="60"/>
        <v xml:space="preserve">| [Link](/places/places\be-brussels-cathedral) </v>
      </c>
      <c r="CO7" s="12" t="str">
        <f t="shared" si="61"/>
        <v xml:space="preserve">
| [](/places/places\be-brussels-cathedral) | [Belgium](/tags/belgium) |  | [Link](/places/places\be-brussels-cathedral) [Official site](https://www.cathedralisbruxellensis.be/)| |</v>
      </c>
    </row>
    <row r="8" spans="1:93" ht="25.5" x14ac:dyDescent="0.25">
      <c r="A8" s="129" t="s">
        <v>786</v>
      </c>
      <c r="B8" s="7" t="s">
        <v>1902</v>
      </c>
      <c r="C8" s="7" t="s">
        <v>224</v>
      </c>
      <c r="D8" s="7" t="s">
        <v>1246</v>
      </c>
      <c r="E8" s="1">
        <v>50.850689952510798</v>
      </c>
      <c r="F8" s="30">
        <v>4.3480492761285401</v>
      </c>
      <c r="G8" s="55" t="s">
        <v>1247</v>
      </c>
      <c r="H8" s="61" t="s">
        <v>1869</v>
      </c>
      <c r="I8" s="55" t="s">
        <v>1248</v>
      </c>
      <c r="J8" s="7" t="b">
        <v>1</v>
      </c>
      <c r="M8" s="55" t="s">
        <v>1249</v>
      </c>
      <c r="N8" s="139" t="s">
        <v>1912</v>
      </c>
      <c r="O8" s="1" t="s">
        <v>1245</v>
      </c>
      <c r="P8" s="1" t="s">
        <v>53</v>
      </c>
      <c r="AS8" s="116" t="b">
        <f t="shared" si="33"/>
        <v>1</v>
      </c>
      <c r="AT8" s="117" t="str">
        <f t="shared" si="34"/>
        <v>title: "St. Catherine's Church"</v>
      </c>
      <c r="AU8" s="117" t="str">
        <f t="shared" si="35"/>
        <v>location: {lat: 50.8506899525108, lng: 4.34804927612854}</v>
      </c>
      <c r="AV8" s="117" t="str">
        <f t="shared" si="36"/>
        <v>interest: local</v>
      </c>
      <c r="AW8" s="117" t="str">
        <f>"- "&amp;VLOOKUP(C8,'Country Tags'!C:E,3,)</f>
        <v>- belgium</v>
      </c>
      <c r="AX8" s="117" t="str">
        <f t="shared" si="37"/>
        <v>- brussels</v>
      </c>
      <c r="AY8" s="117" t="str">
        <f t="shared" si="38"/>
        <v>- churches</v>
      </c>
      <c r="AZ8" s="117" t="str">
        <f t="shared" si="39"/>
        <v/>
      </c>
      <c r="BA8" s="117" t="str">
        <f t="shared" si="40"/>
        <v/>
      </c>
      <c r="BB8" s="117" t="str">
        <f t="shared" si="41"/>
        <v/>
      </c>
      <c r="BC8" s="117" t="str">
        <f t="shared" si="42"/>
        <v/>
      </c>
      <c r="BD8" s="117" t="str">
        <f t="shared" si="43"/>
        <v/>
      </c>
      <c r="BE8" s="117" t="str">
        <f t="shared" si="44"/>
        <v/>
      </c>
      <c r="BF8" s="117" t="str">
        <f t="shared" si="45"/>
        <v/>
      </c>
      <c r="BG8" s="117" t="str">
        <f t="shared" si="46"/>
        <v/>
      </c>
      <c r="BH8" s="117" t="str">
        <f t="shared" si="47"/>
        <v/>
      </c>
      <c r="BI8" s="117" t="str">
        <f t="shared" si="48"/>
        <v/>
      </c>
      <c r="BJ8" s="117" t="str">
        <f t="shared" si="49"/>
        <v/>
      </c>
      <c r="BK8" s="117" t="str">
        <f t="shared" si="50"/>
        <v/>
      </c>
      <c r="BL8" s="117" t="str">
        <f t="shared" si="51"/>
        <v xml:space="preserve">tags:
- belgium_x000D_
- brussels_x000D_
- churches_x000D_
</v>
      </c>
      <c r="BM8" s="120" t="str">
        <f t="shared" si="62"/>
        <v>[Official site](https://www.cathedralisbruxellensis.be/)</v>
      </c>
      <c r="BN8" s="120" t="str">
        <f t="shared" si="63"/>
        <v/>
      </c>
      <c r="BO8" s="120" t="str">
        <f t="shared" si="64"/>
        <v/>
      </c>
      <c r="BP8" s="120" t="str">
        <f t="shared" si="65"/>
        <v/>
      </c>
      <c r="BQ8" s="117" t="str">
        <f t="shared" si="52"/>
        <v xml:space="preserve">* [Official site](https://www.cathedralisbruxellensis.be/)
</v>
      </c>
      <c r="BR8" s="117" t="str">
        <f t="shared" si="53"/>
        <v/>
      </c>
      <c r="BS8" s="117" t="str">
        <f t="shared" si="54"/>
        <v/>
      </c>
      <c r="BT8" s="117" t="str">
        <f t="shared" si="55"/>
        <v/>
      </c>
      <c r="BU8" s="117" t="str">
        <f>IF(LEN(concat(BR8:BT8))&gt;0,concat("| ",BR8," | ",BS8," | ",BT8," |"),"")</f>
        <v/>
      </c>
      <c r="BV8" s="117" t="str">
        <f t="shared" si="56"/>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belgium_x000D_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57"/>
        <v xml:space="preserve">| </v>
      </c>
      <c r="CK8" s="12" t="str">
        <f t="shared" si="58"/>
        <v xml:space="preserve">| [](/places/places\be-brussels-st-catherine) </v>
      </c>
      <c r="CL8" s="13" t="str">
        <f>"| "&amp;IF(AS8,GetTagPage(C8,VLOOKUP(C8,'Country Tags'!C:E,3,)),C8)&amp; " "</f>
        <v xml:space="preserve">| [Belgium](/tags/belgium) </v>
      </c>
      <c r="CM8" s="12" t="str">
        <f t="shared" si="59"/>
        <v xml:space="preserve">|  </v>
      </c>
      <c r="CN8" s="12" t="str">
        <f t="shared" si="60"/>
        <v xml:space="preserve">| [Link](/places/places\be-brussels-st-catherine) </v>
      </c>
      <c r="CO8" s="12" t="str">
        <f t="shared" si="61"/>
        <v xml:space="preserve">
| [](/places/places\be-brussels-st-catherine) | [Belgium](/tags/belgium) |  | [Link](/places/places\be-brussels-st-catherine) [Official site](https://www.cathedralisbruxellensis.be/)| |</v>
      </c>
    </row>
    <row r="9" spans="1:93" ht="216.75" x14ac:dyDescent="0.25">
      <c r="A9" s="129" t="s">
        <v>786</v>
      </c>
      <c r="B9" s="130" t="s">
        <v>1901</v>
      </c>
      <c r="C9" s="7" t="s">
        <v>249</v>
      </c>
      <c r="E9" s="1">
        <v>0.80532486588234498</v>
      </c>
      <c r="F9" s="30">
        <v>-77.585922676282493</v>
      </c>
      <c r="G9" s="7" t="s">
        <v>795</v>
      </c>
      <c r="H9" s="33" t="s">
        <v>796</v>
      </c>
      <c r="I9" s="7" t="s">
        <v>1165</v>
      </c>
      <c r="J9" s="23" t="b">
        <v>1</v>
      </c>
      <c r="K9" s="7" t="b">
        <v>1</v>
      </c>
      <c r="M9" s="7" t="s">
        <v>807</v>
      </c>
      <c r="N9" s="139" t="s">
        <v>1913</v>
      </c>
      <c r="O9" s="1" t="s">
        <v>797</v>
      </c>
      <c r="P9" s="1" t="s">
        <v>53</v>
      </c>
      <c r="Z9" s="1" t="s">
        <v>53</v>
      </c>
      <c r="AJ9" s="56" t="s">
        <v>771</v>
      </c>
      <c r="AK9" s="57">
        <v>1754</v>
      </c>
      <c r="AL9" s="1" t="s">
        <v>31</v>
      </c>
      <c r="AM9" s="1" t="s">
        <v>53</v>
      </c>
      <c r="AN9" s="1" t="s">
        <v>794</v>
      </c>
      <c r="AO9" s="1" t="s">
        <v>53</v>
      </c>
      <c r="AP9" s="1" t="s">
        <v>53</v>
      </c>
      <c r="AQ9" s="30" t="s">
        <v>53</v>
      </c>
      <c r="AS9" s="116" t="b">
        <f t="shared" si="33"/>
        <v>1</v>
      </c>
      <c r="AT9" s="117" t="str">
        <f t="shared" si="34"/>
        <v>title: "National Shrine Basilica of Our Lady of Las Lajas"</v>
      </c>
      <c r="AU9" s="117" t="str">
        <f t="shared" si="35"/>
        <v>location: {lat: 0.805324865882345, lng: -77.5859226762825}</v>
      </c>
      <c r="AV9" s="117" t="str">
        <f t="shared" si="36"/>
        <v>interest: global</v>
      </c>
      <c r="AW9" s="117" t="str">
        <f>"- "&amp;VLOOKUP(C9,'Country Tags'!C:E,3,)</f>
        <v>- colombia</v>
      </c>
      <c r="AX9" s="117" t="str">
        <f t="shared" si="37"/>
        <v/>
      </c>
      <c r="AY9" s="117" t="str">
        <f t="shared" si="38"/>
        <v>- churches</v>
      </c>
      <c r="AZ9" s="117" t="str">
        <f t="shared" si="39"/>
        <v>- marian-sites</v>
      </c>
      <c r="BA9" s="117" t="str">
        <f t="shared" si="40"/>
        <v/>
      </c>
      <c r="BB9" s="117" t="str">
        <f t="shared" si="41"/>
        <v/>
      </c>
      <c r="BC9" s="117" t="str">
        <f t="shared" si="42"/>
        <v/>
      </c>
      <c r="BD9" s="117" t="str">
        <f t="shared" si="43"/>
        <v/>
      </c>
      <c r="BE9" s="117" t="str">
        <f t="shared" si="44"/>
        <v/>
      </c>
      <c r="BF9" s="117" t="str">
        <f t="shared" si="45"/>
        <v/>
      </c>
      <c r="BG9" s="117" t="str">
        <f t="shared" si="46"/>
        <v/>
      </c>
      <c r="BH9" s="117" t="str">
        <f t="shared" si="47"/>
        <v/>
      </c>
      <c r="BI9" s="117" t="str">
        <f t="shared" si="48"/>
        <v/>
      </c>
      <c r="BJ9" s="117" t="str">
        <f t="shared" si="49"/>
        <v/>
      </c>
      <c r="BK9" s="117" t="str">
        <f t="shared" si="50"/>
        <v/>
      </c>
      <c r="BL9" s="117" t="str">
        <f t="shared" si="51"/>
        <v xml:space="preserve">tags:
- colombia_x000D_
- churches_x000D_
- marian-sites_x000D_
</v>
      </c>
      <c r="BM9" s="120" t="str">
        <f t="shared" si="62"/>
        <v>[Official site](https://www.laslajas.org/)</v>
      </c>
      <c r="BN9" s="120" t="str">
        <f t="shared" si="63"/>
        <v/>
      </c>
      <c r="BO9" s="120" t="str">
        <f t="shared" si="64"/>
        <v/>
      </c>
      <c r="BP9" s="120" t="str">
        <f t="shared" si="65"/>
        <v/>
      </c>
      <c r="BQ9" s="120" t="str">
        <f t="shared" si="52"/>
        <v xml:space="preserve">* [Official site](https://www.laslajas.org/)
</v>
      </c>
      <c r="BR9" s="120" t="str">
        <f t="shared" si="53"/>
        <v>[Link](http://www.therealpresence.org/eucharst/misc/BVM/109_LAJAS_96x96.pdf)</v>
      </c>
      <c r="BS9" s="120" t="str">
        <f t="shared" si="54"/>
        <v>[Link](http://www.miraclehunter.com/marian_apparitions/approved_apparitions/guaitara/index.html)</v>
      </c>
      <c r="BT9" s="120" t="str">
        <f t="shared" si="55"/>
        <v/>
      </c>
      <c r="BU9" s="120" t="str">
        <f>IF(LEN(concat(BR9:BT9))&gt;0,concat("| ",BR9," | ",BS9," | ",BT9," |"),"")</f>
        <v>| [Link](http://www.therealpresence.org/eucharst/misc/BVM/109_LAJAS_96x96.pdf) | [Link](http://www.miraclehunter.com/marian_apparitions/approved_apparitions/guaitara/index.html) |  |</v>
      </c>
      <c r="BV9" s="117" t="str">
        <f t="shared" si="56"/>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57"/>
        <v xml:space="preserve">| </v>
      </c>
      <c r="CK9" s="13" t="str">
        <f t="shared" si="58"/>
        <v xml:space="preserve">| [Las Lajas](/places/places\co-basilica-of-our-lady-of-las-lajas) </v>
      </c>
      <c r="CL9" s="13" t="str">
        <f>"| "&amp;IF(AS9,GetTagPage(C9,VLOOKUP(C9,'Country Tags'!C:E,3,)),C9)&amp; " "</f>
        <v xml:space="preserve">| [Colombia](/tags/colombia) </v>
      </c>
      <c r="CM9" s="13" t="str">
        <f t="shared" si="59"/>
        <v xml:space="preserve">| 1754 </v>
      </c>
      <c r="CN9" s="13" t="str">
        <f t="shared" si="60"/>
        <v xml:space="preserve">| [Link](/places/places\co-basilica-of-our-lady-of-las-lajas) </v>
      </c>
      <c r="CO9" s="12" t="str">
        <f t="shared" si="61"/>
        <v xml:space="preserve">
| [Las Lajas](/places/places\co-basilica-of-our-lady-of-las-lajas) | [Colombia](/tags/colombia)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1901</v>
      </c>
      <c r="C10" s="7" t="s">
        <v>255</v>
      </c>
      <c r="E10" s="1">
        <v>50.980685700000002</v>
      </c>
      <c r="F10" s="30">
        <v>14.597349899999999</v>
      </c>
      <c r="G10" s="7" t="s">
        <v>83</v>
      </c>
      <c r="H10" s="33" t="s">
        <v>83</v>
      </c>
      <c r="I10" s="7" t="s">
        <v>1165</v>
      </c>
      <c r="J10" s="23" t="b">
        <v>1</v>
      </c>
      <c r="K10" s="7" t="b">
        <v>1</v>
      </c>
      <c r="M10" s="7" t="s">
        <v>80</v>
      </c>
      <c r="N10" s="139" t="s">
        <v>1914</v>
      </c>
      <c r="O10" s="1" t="s">
        <v>82</v>
      </c>
      <c r="P10" s="29"/>
      <c r="Q10" s="54" t="s">
        <v>1242</v>
      </c>
      <c r="R10" s="1" t="s">
        <v>1239</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33"/>
        <v>1</v>
      </c>
      <c r="AT10" s="117" t="str">
        <f t="shared" si="34"/>
        <v>title: "Basilica of Our Lady Help of Christians"</v>
      </c>
      <c r="AU10" s="117" t="str">
        <f t="shared" si="35"/>
        <v>location: {lat: 50.9806857, lng: 14.5973499}</v>
      </c>
      <c r="AV10" s="117" t="str">
        <f t="shared" si="36"/>
        <v>interest: global</v>
      </c>
      <c r="AW10" s="117" t="str">
        <f>"- "&amp;VLOOKUP(C10,'Country Tags'!C:E,3,)</f>
        <v>- czechia</v>
      </c>
      <c r="AX10" s="117" t="str">
        <f t="shared" si="37"/>
        <v/>
      </c>
      <c r="AY10" s="117" t="str">
        <f t="shared" si="38"/>
        <v>- churches</v>
      </c>
      <c r="AZ10" s="117" t="str">
        <f t="shared" si="39"/>
        <v>- marian-sites</v>
      </c>
      <c r="BA10" s="117" t="str">
        <f t="shared" si="40"/>
        <v/>
      </c>
      <c r="BB10" s="117" t="str">
        <f t="shared" si="41"/>
        <v/>
      </c>
      <c r="BC10" s="117" t="str">
        <f t="shared" si="42"/>
        <v/>
      </c>
      <c r="BD10" s="117" t="str">
        <f t="shared" si="43"/>
        <v/>
      </c>
      <c r="BE10" s="117" t="str">
        <f t="shared" si="44"/>
        <v/>
      </c>
      <c r="BF10" s="117" t="str">
        <f t="shared" si="45"/>
        <v/>
      </c>
      <c r="BG10" s="117" t="str">
        <f t="shared" si="46"/>
        <v/>
      </c>
      <c r="BH10" s="117" t="str">
        <f t="shared" si="47"/>
        <v/>
      </c>
      <c r="BI10" s="117" t="str">
        <f t="shared" si="48"/>
        <v/>
      </c>
      <c r="BJ10" s="117" t="str">
        <f t="shared" si="49"/>
        <v/>
      </c>
      <c r="BK10" s="117" t="str">
        <f t="shared" si="50"/>
        <v/>
      </c>
      <c r="BL10" s="117" t="str">
        <f t="shared" si="51"/>
        <v xml:space="preserve">tags:
- czechia_x000D_
- churches_x000D_
- marian-sites_x000D_
</v>
      </c>
      <c r="BM10" s="120" t="str">
        <f t="shared" si="62"/>
        <v>[Official site](http://cz.poutni-mista-sluknovsko.cz/bazilika-minor-panny-marie-pomocnice-krestanu-filipov.html)</v>
      </c>
      <c r="BN10" s="120" t="str">
        <f t="shared" si="63"/>
        <v>[Official Facebook page](https://www.facebook.com/poutnimistofilipov)</v>
      </c>
      <c r="BO10" s="120" t="str">
        <f t="shared" si="64"/>
        <v/>
      </c>
      <c r="BP10" s="120" t="str">
        <f t="shared" si="65"/>
        <v/>
      </c>
      <c r="BQ10" s="120" t="str">
        <f t="shared" si="52"/>
        <v xml:space="preserve">* [Official site](http://cz.poutni-mista-sluknovsko.cz/bazilika-minor-panny-marie-pomocnice-krestanu-filipov.html)
* [Official Facebook page](https://www.facebook.com/poutnimistofilipov)
</v>
      </c>
      <c r="BR10" s="120" t="str">
        <f t="shared" si="53"/>
        <v>[Link](http://www.therealpresence.org/eucharst/misc/BVM/89_FILIPOV_96x96.pdf)</v>
      </c>
      <c r="BS10" s="120" t="str">
        <f t="shared" si="54"/>
        <v>[Link](https://www.miraclehunter.com/marian_apparitions/approved_apparitions/filippsdorf/index.html)</v>
      </c>
      <c r="BT10" s="120" t="str">
        <f t="shared" si="55"/>
        <v/>
      </c>
      <c r="BU10" s="120" t="str">
        <f>IF(LEN(concat(BR10:BT10))&gt;0,concat("| ",BR10," | ",BS10," | ",BT10," |"),"")</f>
        <v>| [Link](http://www.therealpresence.org/eucharst/misc/BVM/89_FILIPOV_96x96.pdf) | [Link](https://www.miraclehunter.com/marian_apparitions/approved_apparitions/filippsdorf/index.html) |  |</v>
      </c>
      <c r="BV10" s="117" t="str">
        <f t="shared" si="56"/>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57"/>
        <v xml:space="preserve">| </v>
      </c>
      <c r="CK10" s="13" t="str">
        <f t="shared" si="58"/>
        <v xml:space="preserve">| [Filipov](/places/places\cz-basilica-of-our-lady-help-of-christians) </v>
      </c>
      <c r="CL10" s="13" t="str">
        <f>"| "&amp;IF(AS10,GetTagPage(C10,VLOOKUP(C10,'Country Tags'!C:E,3,)),C10)&amp; " "</f>
        <v xml:space="preserve">| [Czechia](/tags/czechia) </v>
      </c>
      <c r="CM10" s="13" t="str">
        <f t="shared" si="59"/>
        <v xml:space="preserve">| 1866 </v>
      </c>
      <c r="CN10" s="13" t="str">
        <f t="shared" si="60"/>
        <v xml:space="preserve">| [Link](/places/places\cz-basilica-of-our-lady-help-of-christians) </v>
      </c>
      <c r="CO10" s="12" t="str">
        <f t="shared" si="61"/>
        <v xml:space="preserve">
| [Filipov](/places/places\cz-basilica-of-our-lady-help-of-christians) | [Czechia](/tags/czechia)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1901</v>
      </c>
      <c r="C11" s="7" t="s">
        <v>2</v>
      </c>
      <c r="E11" s="1">
        <v>30.104622926940898</v>
      </c>
      <c r="F11" s="30">
        <v>31.315544743810101</v>
      </c>
      <c r="G11" s="7" t="s">
        <v>720</v>
      </c>
      <c r="H11" s="33" t="s">
        <v>719</v>
      </c>
      <c r="I11" s="7" t="s">
        <v>1165</v>
      </c>
      <c r="J11" s="23" t="b">
        <v>1</v>
      </c>
      <c r="K11" s="7" t="b">
        <v>1</v>
      </c>
      <c r="M11" s="7" t="s">
        <v>721</v>
      </c>
      <c r="N11" s="139" t="s">
        <v>1915</v>
      </c>
      <c r="O11" s="1" t="s">
        <v>724</v>
      </c>
      <c r="P11" s="1" t="s">
        <v>53</v>
      </c>
      <c r="Z11" s="1" t="s">
        <v>725</v>
      </c>
      <c r="AJ11" s="56" t="s">
        <v>735</v>
      </c>
      <c r="AK11" s="57" t="s">
        <v>718</v>
      </c>
      <c r="AL11" s="1" t="s">
        <v>46</v>
      </c>
      <c r="AM11" s="1" t="s">
        <v>53</v>
      </c>
      <c r="AN11" s="1" t="s">
        <v>722</v>
      </c>
      <c r="AO11" s="1" t="s">
        <v>53</v>
      </c>
      <c r="AP11" s="1" t="s">
        <v>723</v>
      </c>
      <c r="AQ11" s="30" t="s">
        <v>53</v>
      </c>
      <c r="AS11" s="116" t="b">
        <f t="shared" si="33"/>
        <v>1</v>
      </c>
      <c r="AT11" s="117" t="str">
        <f t="shared" si="34"/>
        <v>title: "Virgin Mary Church in Zeitoun (Our Lady of Zeitoun, Our Lady of Light)"</v>
      </c>
      <c r="AU11" s="117" t="str">
        <f t="shared" si="35"/>
        <v>location: {lat: 30.1046229269409, lng: 31.3155447438101}</v>
      </c>
      <c r="AV11" s="117" t="str">
        <f t="shared" si="36"/>
        <v>interest: global</v>
      </c>
      <c r="AW11" s="117" t="str">
        <f>"- "&amp;VLOOKUP(C11,'Country Tags'!C:E,3,)</f>
        <v>- egypt</v>
      </c>
      <c r="AX11" s="117" t="str">
        <f t="shared" si="37"/>
        <v/>
      </c>
      <c r="AY11" s="117" t="str">
        <f t="shared" si="38"/>
        <v>- churches</v>
      </c>
      <c r="AZ11" s="117" t="str">
        <f t="shared" si="39"/>
        <v>- marian-sites</v>
      </c>
      <c r="BA11" s="117" t="str">
        <f t="shared" si="40"/>
        <v/>
      </c>
      <c r="BB11" s="117" t="str">
        <f t="shared" si="41"/>
        <v>- coptic</v>
      </c>
      <c r="BC11" s="117" t="str">
        <f t="shared" si="42"/>
        <v/>
      </c>
      <c r="BD11" s="117" t="str">
        <f t="shared" si="43"/>
        <v/>
      </c>
      <c r="BE11" s="117" t="str">
        <f t="shared" si="44"/>
        <v/>
      </c>
      <c r="BF11" s="117" t="str">
        <f t="shared" si="45"/>
        <v/>
      </c>
      <c r="BG11" s="117" t="str">
        <f t="shared" si="46"/>
        <v/>
      </c>
      <c r="BH11" s="117" t="str">
        <f t="shared" si="47"/>
        <v/>
      </c>
      <c r="BI11" s="117" t="str">
        <f t="shared" si="48"/>
        <v/>
      </c>
      <c r="BJ11" s="117" t="str">
        <f t="shared" si="49"/>
        <v/>
      </c>
      <c r="BK11" s="117" t="str">
        <f t="shared" si="50"/>
        <v/>
      </c>
      <c r="BL11" s="117" t="str">
        <f t="shared" si="51"/>
        <v xml:space="preserve">tags:
- egypt_x000D_
- churches_x000D_
- marian-sites_x000D_
- coptic_x000D_
</v>
      </c>
      <c r="BM11" s="120" t="str">
        <f t="shared" si="62"/>
        <v>[Official site](https://www.stmaryztn.org/saintmary/en/)</v>
      </c>
      <c r="BN11" s="120" t="str">
        <f t="shared" si="63"/>
        <v/>
      </c>
      <c r="BO11" s="120" t="str">
        <f t="shared" si="64"/>
        <v/>
      </c>
      <c r="BP11" s="120" t="str">
        <f t="shared" si="65"/>
        <v/>
      </c>
      <c r="BQ11" s="120" t="str">
        <f t="shared" si="52"/>
        <v xml:space="preserve">* [Official site](https://www.stmaryztn.org/saintmary/en/)
</v>
      </c>
      <c r="BR11" s="120" t="str">
        <f t="shared" si="53"/>
        <v>[Link](http://www.therealpresence.org/eucharst/misc/BVM/144_ZEITUN_96x96.pdf)</v>
      </c>
      <c r="BS11" s="120" t="str">
        <f t="shared" si="54"/>
        <v>[Link](https://www.miraclehunter.com/marian_apparitions/approved_apparitions/zeitun/index.html)</v>
      </c>
      <c r="BT11" s="120" t="str">
        <f t="shared" si="55"/>
        <v>[Link](https://www.marypages.com/zeitoen-ca%C3%AFro-(egypt)-en.html)</v>
      </c>
      <c r="BU11" s="120" t="str">
        <f>IF(LEN(concat(BR11:BT11))&gt;0,concat("| ",BR11," | ",BS11," | ",BT11," |"),"")</f>
        <v>| [Link](http://www.therealpresence.org/eucharst/misc/BVM/144_ZEITUN_96x96.pdf) | [Link](https://www.miraclehunter.com/marian_apparitions/approved_apparitions/zeitun/index.html) | [Link](https://www.marypages.com/zeitoen-ca%C3%AFro-(egypt)-en.html) |</v>
      </c>
      <c r="BV11" s="117" t="str">
        <f t="shared" si="56"/>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57"/>
        <v>#VALUE!</v>
      </c>
      <c r="CK11" s="13" t="str">
        <f t="shared" si="58"/>
        <v xml:space="preserve">| [Zeitoun](/places/places\eg-virgin-mary-church-in-zeitoun) </v>
      </c>
      <c r="CL11" s="13" t="str">
        <f>"| "&amp;IF(AS11,GetTagPage(C11,VLOOKUP(C11,'Country Tags'!C:E,3,)),C11)&amp; " "</f>
        <v xml:space="preserve">| [Egypt](/tags/egypt) </v>
      </c>
      <c r="CM11" s="13" t="str">
        <f t="shared" si="59"/>
        <v xml:space="preserve">| 1968-1970 </v>
      </c>
      <c r="CN11" s="13" t="str">
        <f t="shared" si="60"/>
        <v xml:space="preserve">| [Link](/places/places\eg-virgin-mary-church-in-zeitoun) </v>
      </c>
      <c r="CO11" s="12" t="e">
        <f t="shared" si="61"/>
        <v>#VALUE!</v>
      </c>
    </row>
    <row r="12" spans="1:93" ht="51" x14ac:dyDescent="0.25">
      <c r="A12" s="129" t="s">
        <v>786</v>
      </c>
      <c r="B12" s="7" t="s">
        <v>1901</v>
      </c>
      <c r="C12" s="7" t="s">
        <v>271</v>
      </c>
      <c r="D12" s="19"/>
      <c r="E12" s="1">
        <v>45.045629644626899</v>
      </c>
      <c r="F12" s="30">
        <v>3.8846338389333201</v>
      </c>
      <c r="G12" s="7" t="s">
        <v>804</v>
      </c>
      <c r="H12" s="33" t="s">
        <v>804</v>
      </c>
      <c r="I12" s="7" t="s">
        <v>1165</v>
      </c>
      <c r="J12" s="23" t="b">
        <v>1</v>
      </c>
      <c r="K12" s="19" t="b">
        <v>1</v>
      </c>
      <c r="L12" s="19"/>
      <c r="M12" s="7" t="s">
        <v>54</v>
      </c>
      <c r="O12" s="2" t="s">
        <v>805</v>
      </c>
      <c r="P12" s="2" t="s">
        <v>53</v>
      </c>
      <c r="Q12" s="39"/>
      <c r="R12" s="2"/>
      <c r="S12" s="43"/>
      <c r="T12" s="39"/>
      <c r="U12" s="2"/>
      <c r="V12" s="43"/>
      <c r="W12" s="2"/>
      <c r="X12" s="2"/>
      <c r="Y12" s="31"/>
      <c r="Z12" s="62" t="s">
        <v>1528</v>
      </c>
      <c r="AJ12" s="56" t="s">
        <v>760</v>
      </c>
      <c r="AK12" s="57">
        <v>47</v>
      </c>
      <c r="AL12" s="1" t="s">
        <v>14</v>
      </c>
      <c r="AM12" s="1" t="s">
        <v>53</v>
      </c>
      <c r="AN12" s="2" t="s">
        <v>4</v>
      </c>
      <c r="AO12" s="2" t="s">
        <v>53</v>
      </c>
      <c r="AP12" s="2" t="s">
        <v>53</v>
      </c>
      <c r="AQ12" s="31" t="s">
        <v>53</v>
      </c>
      <c r="AS12" s="116" t="b">
        <f t="shared" si="33"/>
        <v>1</v>
      </c>
      <c r="AT12" s="117" t="str">
        <f t="shared" si="34"/>
        <v>title: "Cathedral of Our Lady of Puy"</v>
      </c>
      <c r="AU12" s="117" t="str">
        <f t="shared" si="35"/>
        <v>location: {lat: 45.0456296446269, lng: 3.88463383893332}</v>
      </c>
      <c r="AV12" s="117" t="str">
        <f t="shared" si="36"/>
        <v>interest: global</v>
      </c>
      <c r="AW12" s="117" t="str">
        <f>"- "&amp;VLOOKUP(C12,'Country Tags'!C:E,3,)</f>
        <v>- france</v>
      </c>
      <c r="AX12" s="117" t="str">
        <f t="shared" si="37"/>
        <v/>
      </c>
      <c r="AY12" s="117" t="str">
        <f t="shared" si="38"/>
        <v>- churches</v>
      </c>
      <c r="AZ12" s="117" t="str">
        <f t="shared" si="39"/>
        <v>- marian-sites</v>
      </c>
      <c r="BA12" s="117" t="str">
        <f t="shared" si="40"/>
        <v/>
      </c>
      <c r="BB12" s="117" t="str">
        <f t="shared" si="41"/>
        <v>- camino</v>
      </c>
      <c r="BC12" s="117" t="str">
        <f t="shared" si="42"/>
        <v/>
      </c>
      <c r="BD12" s="117" t="str">
        <f t="shared" si="43"/>
        <v/>
      </c>
      <c r="BE12" s="117" t="str">
        <f t="shared" si="44"/>
        <v/>
      </c>
      <c r="BF12" s="117" t="str">
        <f t="shared" si="45"/>
        <v/>
      </c>
      <c r="BG12" s="117" t="str">
        <f t="shared" si="46"/>
        <v/>
      </c>
      <c r="BH12" s="117" t="str">
        <f t="shared" si="47"/>
        <v/>
      </c>
      <c r="BI12" s="117" t="str">
        <f t="shared" si="48"/>
        <v/>
      </c>
      <c r="BJ12" s="117" t="str">
        <f t="shared" si="49"/>
        <v/>
      </c>
      <c r="BK12" s="117" t="str">
        <f t="shared" si="50"/>
        <v/>
      </c>
      <c r="BL12" s="117" t="str">
        <f t="shared" si="51"/>
        <v xml:space="preserve">tags:
- france_x000D_
- churches_x000D_
- marian-sites_x000D_
- camino_x000D_
</v>
      </c>
      <c r="BM12" s="120" t="str">
        <f t="shared" si="62"/>
        <v>[Official site](https://www.cathedraledupuy.org/)</v>
      </c>
      <c r="BN12" s="120" t="str">
        <f t="shared" si="63"/>
        <v/>
      </c>
      <c r="BO12" s="120" t="str">
        <f t="shared" si="64"/>
        <v/>
      </c>
      <c r="BP12" s="120" t="str">
        <f t="shared" si="65"/>
        <v/>
      </c>
      <c r="BQ12" s="120" t="str">
        <f t="shared" si="52"/>
        <v xml:space="preserve">* [Official site](https://www.cathedraledupuy.org/)
</v>
      </c>
      <c r="BR12" s="120" t="str">
        <f t="shared" si="53"/>
        <v>[Link](http://www.therealpresence.org/eucharst/misc/BVM/68_LE_PUY_60x96.pdf)</v>
      </c>
      <c r="BS12" s="120" t="str">
        <f t="shared" si="54"/>
        <v>[Link](https://www.miraclehunter.com/marian_apparitions/approved_apparitions/lepuy/index.html)</v>
      </c>
      <c r="BT12" s="120" t="str">
        <f t="shared" si="55"/>
        <v/>
      </c>
      <c r="BU12" s="120" t="str">
        <f>IF(LEN(concat(BR12:BT12))&gt;0,concat("| ",BR12," | ",BS12," | ",BT12," |"),"")</f>
        <v>| [Link](http://www.therealpresence.org/eucharst/misc/BVM/68_LE_PUY_60x96.pdf) | [Link](https://www.miraclehunter.com/marian_apparitions/approved_apparitions/lepuy/index.html) |  |</v>
      </c>
      <c r="BV12" s="117" t="str">
        <f t="shared" si="56"/>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57"/>
        <v>#VALUE!</v>
      </c>
      <c r="CK12" s="13" t="str">
        <f t="shared" si="58"/>
        <v xml:space="preserve">| [Le Puy En Velay](/places/places\fr-cathedral-of-our-lady-of-puy) </v>
      </c>
      <c r="CL12" s="13" t="str">
        <f>"| "&amp;IF(AS12,GetTagPage(C12,VLOOKUP(C12,'Country Tags'!C:E,3,)),C12)&amp; " "</f>
        <v xml:space="preserve">| [France](/tags/france) </v>
      </c>
      <c r="CM12" s="13" t="str">
        <f t="shared" si="59"/>
        <v xml:space="preserve">| 47 </v>
      </c>
      <c r="CN12" s="13" t="str">
        <f t="shared" si="60"/>
        <v xml:space="preserve">| [Link](/places/places\fr-cathedral-of-our-lady-of-puy) </v>
      </c>
      <c r="CO12" s="12" t="e">
        <f t="shared" si="61"/>
        <v>#VALUE!</v>
      </c>
    </row>
    <row r="13" spans="1:93" ht="76.5" x14ac:dyDescent="0.25">
      <c r="A13" s="129" t="s">
        <v>786</v>
      </c>
      <c r="B13" s="7" t="s">
        <v>1901</v>
      </c>
      <c r="C13" s="7" t="s">
        <v>271</v>
      </c>
      <c r="E13" s="1">
        <v>44.521201599999998</v>
      </c>
      <c r="F13" s="30">
        <v>6.1521160000000004</v>
      </c>
      <c r="G13" s="7" t="s">
        <v>715</v>
      </c>
      <c r="H13" s="33" t="s">
        <v>715</v>
      </c>
      <c r="I13" s="7" t="s">
        <v>1165</v>
      </c>
      <c r="J13" s="23" t="b">
        <v>1</v>
      </c>
      <c r="K13" s="7" t="b">
        <v>1</v>
      </c>
      <c r="L13" s="7" t="b">
        <v>1</v>
      </c>
      <c r="M13" s="7" t="s">
        <v>183</v>
      </c>
      <c r="N13" s="139" t="s">
        <v>1916</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33"/>
        <v>1</v>
      </c>
      <c r="AT13" s="117" t="str">
        <f t="shared" si="34"/>
        <v>title: "Sanctuary of Our Lady of Laus"</v>
      </c>
      <c r="AU13" s="117" t="str">
        <f t="shared" si="35"/>
        <v>location: {lat: 44.5212016, lng: 6.152116}</v>
      </c>
      <c r="AV13" s="117" t="str">
        <f t="shared" si="36"/>
        <v>interest: global</v>
      </c>
      <c r="AW13" s="117" t="str">
        <f>"- "&amp;VLOOKUP(C13,'Country Tags'!C:E,3,)</f>
        <v>- france</v>
      </c>
      <c r="AX13" s="117" t="str">
        <f t="shared" si="37"/>
        <v/>
      </c>
      <c r="AY13" s="117" t="str">
        <f t="shared" si="38"/>
        <v>- churches</v>
      </c>
      <c r="AZ13" s="117" t="str">
        <f t="shared" si="39"/>
        <v>- marian-sites</v>
      </c>
      <c r="BA13" s="117" t="str">
        <f t="shared" si="40"/>
        <v>- holy-persons</v>
      </c>
      <c r="BB13" s="117" t="str">
        <f t="shared" si="41"/>
        <v>- benoite-rencurel</v>
      </c>
      <c r="BC13" s="117" t="str">
        <f t="shared" si="42"/>
        <v/>
      </c>
      <c r="BD13" s="117" t="str">
        <f t="shared" si="43"/>
        <v/>
      </c>
      <c r="BE13" s="117" t="str">
        <f t="shared" si="44"/>
        <v/>
      </c>
      <c r="BF13" s="117" t="str">
        <f t="shared" si="45"/>
        <v/>
      </c>
      <c r="BG13" s="117" t="str">
        <f t="shared" si="46"/>
        <v/>
      </c>
      <c r="BH13" s="117" t="str">
        <f t="shared" si="47"/>
        <v/>
      </c>
      <c r="BI13" s="117" t="str">
        <f t="shared" si="48"/>
        <v/>
      </c>
      <c r="BJ13" s="117" t="str">
        <f t="shared" si="49"/>
        <v/>
      </c>
      <c r="BK13" s="117" t="str">
        <f t="shared" si="50"/>
        <v/>
      </c>
      <c r="BL13" s="117" t="str">
        <f t="shared" si="51"/>
        <v xml:space="preserve">tags:
- france_x000D_
- churches_x000D_
- marian-sites_x000D_
- holy-persons_x000D_
- benoite-rencurel_x000D_
</v>
      </c>
      <c r="BM13" s="120" t="str">
        <f t="shared" si="62"/>
        <v>[Official site](https://www.sanctuaire-notredamedulaus.com/)</v>
      </c>
      <c r="BN13" s="120" t="str">
        <f t="shared" si="63"/>
        <v/>
      </c>
      <c r="BO13" s="120" t="str">
        <f t="shared" si="64"/>
        <v/>
      </c>
      <c r="BP13" s="120" t="str">
        <f t="shared" si="65"/>
        <v/>
      </c>
      <c r="BQ13" s="120" t="str">
        <f t="shared" si="52"/>
        <v xml:space="preserve">* [Official site](https://www.sanctuaire-notredamedulaus.com/)
</v>
      </c>
      <c r="BR13" s="120" t="str">
        <f t="shared" si="53"/>
        <v>[Link](http://www.therealpresence.org/eucharst/misc/BVM/69_LAUS_140x96.pdf)</v>
      </c>
      <c r="BS13" s="120" t="str">
        <f t="shared" si="54"/>
        <v>[Link](https://www.miraclehunter.com/marian_apparitions/approved_apparitions/laus/index.html)</v>
      </c>
      <c r="BT13" s="120" t="str">
        <f t="shared" si="55"/>
        <v>[Link](https://www.marypages.com/laus-(france)-en.html)</v>
      </c>
      <c r="BU13" s="120" t="str">
        <f>IF(LEN(concat(BR13:BT13))&gt;0,concat("| ",BR13," | ",BS13," | ",BT13," |"),"")</f>
        <v>| [Link](http://www.therealpresence.org/eucharst/misc/BVM/69_LAUS_140x96.pdf) | [Link](https://www.miraclehunter.com/marian_apparitions/approved_apparitions/laus/index.html) | [Link](https://www.marypages.com/laus-(france)-en.html) |</v>
      </c>
      <c r="BV13" s="117" t="str">
        <f t="shared" si="56"/>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57"/>
        <v>#VALUE!</v>
      </c>
      <c r="CK13" s="13" t="str">
        <f t="shared" si="58"/>
        <v xml:space="preserve">| [Laus](/places/places\fr-sanctuary-of-our-lady-of-laus) </v>
      </c>
      <c r="CL13" s="13" t="str">
        <f>"| "&amp;IF(AS13,GetTagPage(C13,VLOOKUP(C13,'Country Tags'!C:E,3,)),C13)&amp; " "</f>
        <v xml:space="preserve">| [France](/tags/france) </v>
      </c>
      <c r="CM13" s="13" t="str">
        <f t="shared" si="59"/>
        <v xml:space="preserve">| 1664-1718 </v>
      </c>
      <c r="CN13" s="13" t="str">
        <f t="shared" si="60"/>
        <v xml:space="preserve">| [Link](/places/places\fr-sanctuary-of-our-lady-of-laus) </v>
      </c>
      <c r="CO13" s="12" t="e">
        <f t="shared" si="61"/>
        <v>#VALUE!</v>
      </c>
    </row>
    <row r="14" spans="1:93" ht="204" x14ac:dyDescent="0.25">
      <c r="A14" s="129" t="s">
        <v>786</v>
      </c>
      <c r="B14" s="10" t="s">
        <v>1901</v>
      </c>
      <c r="C14" s="10" t="s">
        <v>271</v>
      </c>
      <c r="D14" s="26" t="s">
        <v>730</v>
      </c>
      <c r="E14" s="1">
        <v>48.850785899999998</v>
      </c>
      <c r="F14" s="30">
        <v>2.3229912000000001</v>
      </c>
      <c r="G14" s="7" t="s">
        <v>174</v>
      </c>
      <c r="H14" s="33" t="s">
        <v>174</v>
      </c>
      <c r="I14" s="7" t="s">
        <v>1165</v>
      </c>
      <c r="J14" s="23" t="b">
        <v>1</v>
      </c>
      <c r="K14" s="7" t="b">
        <v>1</v>
      </c>
      <c r="L14" s="7" t="b">
        <v>1</v>
      </c>
      <c r="M14" s="26" t="s">
        <v>1169</v>
      </c>
      <c r="N14" s="139" t="s">
        <v>1917</v>
      </c>
      <c r="O14" s="1" t="s">
        <v>131</v>
      </c>
      <c r="P14" s="1" t="s">
        <v>53</v>
      </c>
      <c r="Z14" s="19" t="s">
        <v>203</v>
      </c>
      <c r="AA14" s="20" t="s">
        <v>1156</v>
      </c>
      <c r="AB14" s="27" t="s">
        <v>1170</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33"/>
        <v>1</v>
      </c>
      <c r="AT14" s="117" t="str">
        <f t="shared" si="34"/>
        <v>title: "Chapel of Our Lady of the Miraculous Medal"</v>
      </c>
      <c r="AU14" s="117" t="str">
        <f t="shared" si="35"/>
        <v>location: {lat: 48.8507859, lng: 2.3229912}</v>
      </c>
      <c r="AV14" s="117" t="str">
        <f t="shared" si="36"/>
        <v>interest: global</v>
      </c>
      <c r="AW14" s="117" t="str">
        <f>"- "&amp;VLOOKUP(C14,'Country Tags'!C:E,3,)</f>
        <v>- france</v>
      </c>
      <c r="AX14" s="117" t="str">
        <f t="shared" si="37"/>
        <v>- paris</v>
      </c>
      <c r="AY14" s="117" t="str">
        <f t="shared" si="38"/>
        <v>- churches</v>
      </c>
      <c r="AZ14" s="117" t="str">
        <f t="shared" si="39"/>
        <v>- marian-sites</v>
      </c>
      <c r="BA14" s="117" t="str">
        <f t="shared" si="40"/>
        <v>- holy-persons</v>
      </c>
      <c r="BB14" s="117" t="str">
        <f t="shared" si="41"/>
        <v>- catherine-laboure</v>
      </c>
      <c r="BC14" s="117" t="str">
        <f t="shared" si="42"/>
        <v>- vincent-de-paul</v>
      </c>
      <c r="BD14" s="117" t="str">
        <f t="shared" si="43"/>
        <v>- louise-de-marillac</v>
      </c>
      <c r="BE14" s="117" t="str">
        <f t="shared" si="44"/>
        <v/>
      </c>
      <c r="BF14" s="117" t="str">
        <f t="shared" si="45"/>
        <v/>
      </c>
      <c r="BG14" s="117" t="str">
        <f t="shared" si="46"/>
        <v/>
      </c>
      <c r="BH14" s="117" t="str">
        <f t="shared" si="47"/>
        <v/>
      </c>
      <c r="BI14" s="117" t="str">
        <f t="shared" si="48"/>
        <v/>
      </c>
      <c r="BJ14" s="117" t="str">
        <f t="shared" si="49"/>
        <v/>
      </c>
      <c r="BK14" s="117" t="str">
        <f t="shared" si="50"/>
        <v/>
      </c>
      <c r="BL14" s="117" t="str">
        <f t="shared" si="51"/>
        <v xml:space="preserve">tags:
- france_x000D_
- paris_x000D_
- churches_x000D_
- marian-sites_x000D_
- holy-persons_x000D_
- catherine-laboure_x000D_
- vincent-de-paul_x000D_
- louise-de-marillac_x000D_
</v>
      </c>
      <c r="BM14" s="120" t="str">
        <f t="shared" si="62"/>
        <v>[Official site](https://www.chapellenotredamedelamedaillemiraculeuse.com/)</v>
      </c>
      <c r="BN14" s="120" t="str">
        <f t="shared" si="63"/>
        <v/>
      </c>
      <c r="BO14" s="120" t="str">
        <f t="shared" si="64"/>
        <v/>
      </c>
      <c r="BP14" s="120" t="str">
        <f t="shared" si="65"/>
        <v/>
      </c>
      <c r="BQ14" s="120" t="str">
        <f t="shared" si="52"/>
        <v xml:space="preserve">* [Official site](https://www.chapellenotredamedelamedaillemiraculeuse.com/)
</v>
      </c>
      <c r="BR14" s="120" t="str">
        <f t="shared" si="53"/>
        <v>[Link](http://www.therealpresence.org/eucharst/misc/BVM/06_PARIGI_60x96.pdf)</v>
      </c>
      <c r="BS14" s="120" t="str">
        <f t="shared" si="54"/>
        <v>[Link](https://www.miraclehunter.com/marian_apparitions/approved_apparitions/ruedubac/index.html)</v>
      </c>
      <c r="BT14" s="120" t="str">
        <f t="shared" si="55"/>
        <v>[Link](https://www.marypages.com/paris-(france)-en.html)</v>
      </c>
      <c r="BU14" s="120" t="str">
        <f>IF(LEN(concat(BR14:BT14))&gt;0,concat("| ",BR14," | ",BS14," | ",BT14," |"),"")</f>
        <v>| [Link](http://www.therealpresence.org/eucharst/misc/BVM/06_PARIGI_60x96.pdf) | [Link](https://www.miraclehunter.com/marian_apparitions/approved_apparitions/ruedubac/index.html) | [Link](https://www.marypages.com/paris-(france)-en.html) |</v>
      </c>
      <c r="BV14" s="117" t="str">
        <f t="shared" si="56"/>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57"/>
        <v>#VALUE!</v>
      </c>
      <c r="CK14" s="13" t="str">
        <f t="shared" si="58"/>
        <v xml:space="preserve">| [Paris](/places/places\fr-paris-chapel-of-our-lady-of-the-miraculous-medal) </v>
      </c>
      <c r="CL14" s="13" t="str">
        <f>"| "&amp;IF(AS14,GetTagPage(C14,VLOOKUP(C14,'Country Tags'!C:E,3,)),C14)&amp; " "</f>
        <v xml:space="preserve">| [France](/tags/france) </v>
      </c>
      <c r="CM14" s="13" t="str">
        <f t="shared" si="59"/>
        <v xml:space="preserve">| 1830 </v>
      </c>
      <c r="CN14" s="13" t="str">
        <f t="shared" si="60"/>
        <v xml:space="preserve">| [Link](/places/places\fr-paris-chapel-of-our-lady-of-the-miraculous-medal) </v>
      </c>
      <c r="CO14" s="12" t="e">
        <f t="shared" si="61"/>
        <v>#VALUE!</v>
      </c>
    </row>
    <row r="15" spans="1:93" ht="51" x14ac:dyDescent="0.25">
      <c r="A15" s="129" t="s">
        <v>786</v>
      </c>
      <c r="B15" s="7" t="s">
        <v>1901</v>
      </c>
      <c r="C15" s="7" t="s">
        <v>271</v>
      </c>
      <c r="E15" s="1">
        <v>44.8586296</v>
      </c>
      <c r="F15" s="30">
        <v>5.9788043999999996</v>
      </c>
      <c r="G15" s="7" t="s">
        <v>732</v>
      </c>
      <c r="H15" s="33" t="s">
        <v>732</v>
      </c>
      <c r="I15" s="7" t="s">
        <v>1165</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33"/>
        <v>1</v>
      </c>
      <c r="AT15" s="117" t="str">
        <f t="shared" si="34"/>
        <v>title: "Sanctuary of Our Lady of La Salette"</v>
      </c>
      <c r="AU15" s="117" t="str">
        <f t="shared" si="35"/>
        <v>location: {lat: 44.8586296, lng: 5.9788044}</v>
      </c>
      <c r="AV15" s="117" t="str">
        <f t="shared" si="36"/>
        <v>interest: global</v>
      </c>
      <c r="AW15" s="117" t="str">
        <f>"- "&amp;VLOOKUP(C15,'Country Tags'!C:E,3,)</f>
        <v>- france</v>
      </c>
      <c r="AX15" s="117" t="str">
        <f t="shared" si="37"/>
        <v/>
      </c>
      <c r="AY15" s="117" t="str">
        <f t="shared" si="38"/>
        <v>- churches</v>
      </c>
      <c r="AZ15" s="117" t="str">
        <f t="shared" si="39"/>
        <v>- marian-sites</v>
      </c>
      <c r="BA15" s="117" t="str">
        <f t="shared" si="40"/>
        <v/>
      </c>
      <c r="BB15" s="117" t="str">
        <f t="shared" si="41"/>
        <v/>
      </c>
      <c r="BC15" s="117" t="str">
        <f t="shared" si="42"/>
        <v/>
      </c>
      <c r="BD15" s="117" t="str">
        <f t="shared" si="43"/>
        <v/>
      </c>
      <c r="BE15" s="117" t="str">
        <f t="shared" si="44"/>
        <v/>
      </c>
      <c r="BF15" s="117" t="str">
        <f t="shared" si="45"/>
        <v/>
      </c>
      <c r="BG15" s="117" t="str">
        <f t="shared" si="46"/>
        <v/>
      </c>
      <c r="BH15" s="117" t="str">
        <f t="shared" si="47"/>
        <v/>
      </c>
      <c r="BI15" s="117" t="str">
        <f t="shared" si="48"/>
        <v/>
      </c>
      <c r="BJ15" s="117" t="str">
        <f t="shared" si="49"/>
        <v/>
      </c>
      <c r="BK15" s="117" t="str">
        <f t="shared" si="50"/>
        <v/>
      </c>
      <c r="BL15" s="117" t="str">
        <f t="shared" si="51"/>
        <v xml:space="preserve">tags:
- france_x000D_
- churches_x000D_
- marian-sites_x000D_
</v>
      </c>
      <c r="BM15" s="120" t="str">
        <f t="shared" si="62"/>
        <v>[Official site](https://lasalette.cef.fr/)</v>
      </c>
      <c r="BN15" s="120" t="str">
        <f t="shared" si="63"/>
        <v/>
      </c>
      <c r="BO15" s="120" t="str">
        <f t="shared" si="64"/>
        <v/>
      </c>
      <c r="BP15" s="120" t="str">
        <f t="shared" si="65"/>
        <v/>
      </c>
      <c r="BQ15" s="120" t="str">
        <f t="shared" si="52"/>
        <v xml:space="preserve">* [Official site](https://lasalette.cef.fr/)
</v>
      </c>
      <c r="BR15" s="120" t="str">
        <f t="shared" si="53"/>
        <v>[Link](http://www.therealpresence.org/eucharst/misc/BVM/30_LA_SALETTE_96x96.pdf)</v>
      </c>
      <c r="BS15" s="120" t="str">
        <f t="shared" si="54"/>
        <v>[Link](https://www.miraclehunter.com/marian_apparitions/approved_apparitions/lasalette/index.html)</v>
      </c>
      <c r="BT15" s="120" t="str">
        <f t="shared" si="55"/>
        <v>[Link](https://www.marypages.com/la-salette-(france)-en.html)</v>
      </c>
      <c r="BU15" s="120" t="str">
        <f>IF(LEN(concat(BR15:BT15))&gt;0,concat("| ",BR15," | ",BS15," | ",BT15," |"),"")</f>
        <v>| [Link](http://www.therealpresence.org/eucharst/misc/BVM/30_LA_SALETTE_96x96.pdf) | [Link](https://www.miraclehunter.com/marian_apparitions/approved_apparitions/lasalette/index.html) | [Link](https://www.marypages.com/la-salette-(france)-en.html) |</v>
      </c>
      <c r="BV15" s="117" t="str">
        <f t="shared" si="56"/>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57"/>
        <v xml:space="preserve">| </v>
      </c>
      <c r="CK15" s="13" t="str">
        <f t="shared" si="58"/>
        <v xml:space="preserve">| [La Salette](/places/places\fr-sanctuary-of-our-lady-of-la-salette) </v>
      </c>
      <c r="CL15" s="13" t="str">
        <f>"| "&amp;IF(AS15,GetTagPage(C15,VLOOKUP(C15,'Country Tags'!C:E,3,)),C15)&amp; " "</f>
        <v xml:space="preserve">| [France](/tags/france) </v>
      </c>
      <c r="CM15" s="13" t="str">
        <f t="shared" si="59"/>
        <v xml:space="preserve">| 1846 </v>
      </c>
      <c r="CN15" s="13" t="str">
        <f t="shared" si="60"/>
        <v xml:space="preserve">| [Link](/places/places\fr-sanctuary-of-our-lady-of-la-salette) </v>
      </c>
      <c r="CO15" s="12" t="str">
        <f t="shared" si="61"/>
        <v xml:space="preserve">
| [La Salette](/places/places\fr-sanctuary-of-our-lady-of-la-salette) | [France](/tags/france)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1901</v>
      </c>
      <c r="C16" s="7" t="s">
        <v>271</v>
      </c>
      <c r="E16" s="1">
        <v>43.0974206</v>
      </c>
      <c r="F16" s="30">
        <v>-5.8261100000000003E-2</v>
      </c>
      <c r="G16" s="7" t="s">
        <v>716</v>
      </c>
      <c r="H16" s="33" t="s">
        <v>716</v>
      </c>
      <c r="I16" s="7" t="s">
        <v>1165</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33"/>
        <v>1</v>
      </c>
      <c r="AT16" s="117" t="str">
        <f t="shared" si="34"/>
        <v>title: "Sanctuary of Our Lady of Lourdes"</v>
      </c>
      <c r="AU16" s="117" t="str">
        <f t="shared" si="35"/>
        <v>location: {lat: 43.0974206, lng: -0.0582611}</v>
      </c>
      <c r="AV16" s="117" t="str">
        <f t="shared" si="36"/>
        <v>interest: global</v>
      </c>
      <c r="AW16" s="117" t="str">
        <f>"- "&amp;VLOOKUP(C16,'Country Tags'!C:E,3,)</f>
        <v>- france</v>
      </c>
      <c r="AX16" s="117" t="str">
        <f t="shared" si="37"/>
        <v/>
      </c>
      <c r="AY16" s="117" t="str">
        <f t="shared" si="38"/>
        <v>- churches</v>
      </c>
      <c r="AZ16" s="117" t="str">
        <f t="shared" si="39"/>
        <v>- marian-sites</v>
      </c>
      <c r="BA16" s="117" t="str">
        <f t="shared" si="40"/>
        <v>- holy-persons</v>
      </c>
      <c r="BB16" s="117" t="str">
        <f t="shared" si="41"/>
        <v>- bernadette-soubirous</v>
      </c>
      <c r="BC16" s="117" t="str">
        <f t="shared" si="42"/>
        <v/>
      </c>
      <c r="BD16" s="117" t="str">
        <f t="shared" si="43"/>
        <v/>
      </c>
      <c r="BE16" s="117" t="str">
        <f t="shared" si="44"/>
        <v/>
      </c>
      <c r="BF16" s="117" t="str">
        <f t="shared" si="45"/>
        <v/>
      </c>
      <c r="BG16" s="117" t="str">
        <f t="shared" si="46"/>
        <v/>
      </c>
      <c r="BH16" s="117" t="str">
        <f t="shared" si="47"/>
        <v/>
      </c>
      <c r="BI16" s="117" t="str">
        <f t="shared" si="48"/>
        <v/>
      </c>
      <c r="BJ16" s="117" t="str">
        <f t="shared" si="49"/>
        <v/>
      </c>
      <c r="BK16" s="117" t="str">
        <f t="shared" si="50"/>
        <v/>
      </c>
      <c r="BL16" s="117" t="str">
        <f t="shared" si="51"/>
        <v xml:space="preserve">tags:
- france_x000D_
- churches_x000D_
- marian-sites_x000D_
- holy-persons_x000D_
- bernadette-soubirous_x000D_
</v>
      </c>
      <c r="BM16" s="120" t="str">
        <f t="shared" si="62"/>
        <v>[Official site](https://www.lourdes-france.org/)</v>
      </c>
      <c r="BN16" s="120" t="str">
        <f t="shared" si="63"/>
        <v/>
      </c>
      <c r="BO16" s="120" t="str">
        <f t="shared" si="64"/>
        <v/>
      </c>
      <c r="BP16" s="120" t="str">
        <f t="shared" si="65"/>
        <v/>
      </c>
      <c r="BQ16" s="120" t="str">
        <f t="shared" si="52"/>
        <v xml:space="preserve">* [Official site](https://www.lourdes-france.org/)
</v>
      </c>
      <c r="BR16" s="120" t="str">
        <f t="shared" si="53"/>
        <v>[Link](http://www.therealpresence.org/eucharst/misc/BVM/40_LOURDES_140x96.pdf)</v>
      </c>
      <c r="BS16" s="120" t="str">
        <f t="shared" si="54"/>
        <v>[Link](https://www.miraclehunter.com/marian_apparitions/approved_apparitions/lourdes/index.html)</v>
      </c>
      <c r="BT16" s="120" t="str">
        <f t="shared" si="55"/>
        <v>[Link](https://www.marypages.com/lourdes-(frankrijk)-1858/)</v>
      </c>
      <c r="BU16" s="120" t="str">
        <f>IF(LEN(concat(BR16:BT16))&gt;0,concat("| ",BR16," | ",BS16," | ",BT16," |"),"")</f>
        <v>| [Link](http://www.therealpresence.org/eucharst/misc/BVM/40_LOURDES_140x96.pdf) | [Link](https://www.miraclehunter.com/marian_apparitions/approved_apparitions/lourdes/index.html) | [Link](https://www.marypages.com/lourdes-(frankrijk)-1858/) |</v>
      </c>
      <c r="BV16" s="117" t="str">
        <f t="shared" si="56"/>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57"/>
        <v>#VALUE!</v>
      </c>
      <c r="CK16" s="13" t="str">
        <f t="shared" si="58"/>
        <v xml:space="preserve">| [Lourdes](/places/places\fr-sanctuary-of-our-lady-of-lourdes) </v>
      </c>
      <c r="CL16" s="13" t="str">
        <f>"| "&amp;IF(AS16,GetTagPage(C16,VLOOKUP(C16,'Country Tags'!C:E,3,)),C16)&amp; " "</f>
        <v xml:space="preserve">| [France](/tags/france) </v>
      </c>
      <c r="CM16" s="13" t="str">
        <f t="shared" si="59"/>
        <v xml:space="preserve">| 1858 </v>
      </c>
      <c r="CN16" s="13" t="str">
        <f t="shared" si="60"/>
        <v xml:space="preserve">| [Link](/places/places\fr-sanctuary-of-our-lady-of-lourdes) </v>
      </c>
      <c r="CO16" s="12" t="e">
        <f t="shared" si="61"/>
        <v>#VALUE!</v>
      </c>
    </row>
    <row r="17" spans="1:93" ht="51" x14ac:dyDescent="0.25">
      <c r="A17" s="129" t="s">
        <v>786</v>
      </c>
      <c r="B17" s="7" t="s">
        <v>1901</v>
      </c>
      <c r="C17" s="7" t="s">
        <v>271</v>
      </c>
      <c r="E17" s="1">
        <v>48.439602100000002</v>
      </c>
      <c r="F17" s="30">
        <v>-1.0592325</v>
      </c>
      <c r="G17" s="7" t="s">
        <v>193</v>
      </c>
      <c r="H17" s="33" t="s">
        <v>700</v>
      </c>
      <c r="I17" s="7" t="s">
        <v>1165</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33"/>
        <v>1</v>
      </c>
      <c r="AT17" s="117" t="str">
        <f t="shared" si="34"/>
        <v>title: "Sanctuary of Pontmain (Mother of Hope)"</v>
      </c>
      <c r="AU17" s="117" t="str">
        <f t="shared" si="35"/>
        <v>location: {lat: 48.4396021, lng: -1.0592325}</v>
      </c>
      <c r="AV17" s="117" t="str">
        <f t="shared" si="36"/>
        <v>interest: global</v>
      </c>
      <c r="AW17" s="117" t="str">
        <f>"- "&amp;VLOOKUP(C17,'Country Tags'!C:E,3,)</f>
        <v>- france</v>
      </c>
      <c r="AX17" s="117" t="str">
        <f t="shared" si="37"/>
        <v/>
      </c>
      <c r="AY17" s="117" t="str">
        <f t="shared" si="38"/>
        <v>- churches</v>
      </c>
      <c r="AZ17" s="117" t="str">
        <f t="shared" si="39"/>
        <v>- marian-sites</v>
      </c>
      <c r="BA17" s="117" t="str">
        <f t="shared" si="40"/>
        <v/>
      </c>
      <c r="BB17" s="117" t="str">
        <f t="shared" si="41"/>
        <v/>
      </c>
      <c r="BC17" s="117" t="str">
        <f t="shared" si="42"/>
        <v/>
      </c>
      <c r="BD17" s="117" t="str">
        <f t="shared" si="43"/>
        <v/>
      </c>
      <c r="BE17" s="117" t="str">
        <f t="shared" si="44"/>
        <v/>
      </c>
      <c r="BF17" s="117" t="str">
        <f t="shared" si="45"/>
        <v/>
      </c>
      <c r="BG17" s="117" t="str">
        <f t="shared" si="46"/>
        <v/>
      </c>
      <c r="BH17" s="117" t="str">
        <f t="shared" si="47"/>
        <v/>
      </c>
      <c r="BI17" s="117" t="str">
        <f t="shared" si="48"/>
        <v/>
      </c>
      <c r="BJ17" s="117" t="str">
        <f t="shared" si="49"/>
        <v/>
      </c>
      <c r="BK17" s="117" t="str">
        <f t="shared" si="50"/>
        <v/>
      </c>
      <c r="BL17" s="117" t="str">
        <f t="shared" si="51"/>
        <v xml:space="preserve">tags:
- france_x000D_
- churches_x000D_
- marian-sites_x000D_
</v>
      </c>
      <c r="BM17" s="120" t="str">
        <f t="shared" si="62"/>
        <v>[Official site](https://sanctuaire-pontmain.com/)</v>
      </c>
      <c r="BN17" s="120" t="str">
        <f t="shared" si="63"/>
        <v/>
      </c>
      <c r="BO17" s="120" t="str">
        <f t="shared" si="64"/>
        <v/>
      </c>
      <c r="BP17" s="120" t="str">
        <f t="shared" si="65"/>
        <v/>
      </c>
      <c r="BQ17" s="120" t="str">
        <f t="shared" si="52"/>
        <v xml:space="preserve">* [Official site](https://sanctuaire-pontmain.com/)
</v>
      </c>
      <c r="BR17" s="120" t="str">
        <f t="shared" si="53"/>
        <v>[Link](http://www.therealpresence.org/eucharst/misc/BVM/26_PONTMAIN_60x96.pdf)</v>
      </c>
      <c r="BS17" s="120" t="str">
        <f t="shared" si="54"/>
        <v>[Link](https://www.miraclehunter.com/marian_apparitions/approved_apparitions/pontmain/index.html))</v>
      </c>
      <c r="BT17" s="120" t="str">
        <f t="shared" si="55"/>
        <v>[Link](https://www.marypages.com/pontmain-(france)-en.html)</v>
      </c>
      <c r="BU17" s="120" t="str">
        <f>IF(LEN(concat(BR17:BT17))&gt;0,concat("| ",BR17," | ",BS17," | ",BT17," |"),"")</f>
        <v>| [Link](http://www.therealpresence.org/eucharst/misc/BVM/26_PONTMAIN_60x96.pdf) | [Link](https://www.miraclehunter.com/marian_apparitions/approved_apparitions/pontmain/index.html)) | [Link](https://www.marypages.com/pontmain-(france)-en.html) |</v>
      </c>
      <c r="BV17" s="117" t="str">
        <f t="shared" si="56"/>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57"/>
        <v xml:space="preserve">| </v>
      </c>
      <c r="CK17" s="13" t="str">
        <f t="shared" si="58"/>
        <v xml:space="preserve">| [Pontmain](/places/places\fr-sanctuary-of-pontmain) </v>
      </c>
      <c r="CL17" s="13" t="str">
        <f>"| "&amp;IF(AS17,GetTagPage(C17,VLOOKUP(C17,'Country Tags'!C:E,3,)),C17)&amp; " "</f>
        <v xml:space="preserve">| [France](/tags/france) </v>
      </c>
      <c r="CM17" s="13" t="str">
        <f t="shared" si="59"/>
        <v xml:space="preserve">| 1871 </v>
      </c>
      <c r="CN17" s="13" t="str">
        <f t="shared" si="60"/>
        <v xml:space="preserve">| [Link](/places/places\fr-sanctuary-of-pontmain) </v>
      </c>
      <c r="CO17" s="12" t="str">
        <f t="shared" si="61"/>
        <v xml:space="preserve">
| [Pontmain](/places/places\fr-sanctuary-of-pontmain) | [France](/tags/france)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1901</v>
      </c>
      <c r="C18" s="55" t="s">
        <v>271</v>
      </c>
      <c r="D18" s="55" t="s">
        <v>730</v>
      </c>
      <c r="E18" s="1">
        <v>48.848857382512399</v>
      </c>
      <c r="F18" s="30">
        <v>2.3216311122635598</v>
      </c>
      <c r="G18" s="7" t="s">
        <v>1277</v>
      </c>
      <c r="H18" s="61" t="s">
        <v>1277</v>
      </c>
      <c r="I18" s="7" t="s">
        <v>1187</v>
      </c>
      <c r="J18" s="7" t="b">
        <v>1</v>
      </c>
      <c r="L18" s="7" t="b">
        <v>1</v>
      </c>
      <c r="M18" s="55" t="s">
        <v>1278</v>
      </c>
      <c r="N18" s="139" t="s">
        <v>1918</v>
      </c>
      <c r="P18" s="1" t="s">
        <v>53</v>
      </c>
      <c r="Z18" s="1" t="s">
        <v>1156</v>
      </c>
      <c r="AA18" s="62" t="s">
        <v>1171</v>
      </c>
      <c r="AB18" s="62" t="s">
        <v>1474</v>
      </c>
      <c r="AS18" s="116" t="b">
        <f t="shared" si="33"/>
        <v>1</v>
      </c>
      <c r="AT18" s="117" t="str">
        <f t="shared" si="34"/>
        <v>title: "St. Vincent De Paul Chapel"</v>
      </c>
      <c r="AU18" s="117" t="str">
        <f t="shared" si="35"/>
        <v>location: {lat: 48.8488573825124, lng: 2.32163111226356}</v>
      </c>
      <c r="AV18" s="117" t="str">
        <f t="shared" si="36"/>
        <v>interest: regional</v>
      </c>
      <c r="AW18" s="117" t="str">
        <f>"- "&amp;VLOOKUP(C18,'Country Tags'!C:E,3,)</f>
        <v>- france</v>
      </c>
      <c r="AX18" s="117" t="str">
        <f t="shared" si="37"/>
        <v>- paris</v>
      </c>
      <c r="AY18" s="117" t="str">
        <f t="shared" si="38"/>
        <v>- churches</v>
      </c>
      <c r="AZ18" s="117" t="str">
        <f t="shared" si="39"/>
        <v/>
      </c>
      <c r="BA18" s="117" t="str">
        <f t="shared" si="40"/>
        <v>- holy-persons</v>
      </c>
      <c r="BB18" s="117" t="str">
        <f t="shared" si="41"/>
        <v>- vincent-de-paul</v>
      </c>
      <c r="BC18" s="117" t="str">
        <f t="shared" si="42"/>
        <v>- jean-gabriel-perboyre</v>
      </c>
      <c r="BD18" s="117" t="str">
        <f t="shared" si="43"/>
        <v>- vincentians</v>
      </c>
      <c r="BE18" s="117" t="str">
        <f t="shared" si="44"/>
        <v/>
      </c>
      <c r="BF18" s="117" t="str">
        <f t="shared" si="45"/>
        <v/>
      </c>
      <c r="BG18" s="117" t="str">
        <f t="shared" si="46"/>
        <v/>
      </c>
      <c r="BH18" s="117" t="str">
        <f t="shared" si="47"/>
        <v/>
      </c>
      <c r="BI18" s="117" t="str">
        <f t="shared" si="48"/>
        <v/>
      </c>
      <c r="BJ18" s="117" t="str">
        <f t="shared" si="49"/>
        <v/>
      </c>
      <c r="BK18" s="117" t="str">
        <f t="shared" si="50"/>
        <v/>
      </c>
      <c r="BL18" s="117" t="str">
        <f t="shared" si="51"/>
        <v xml:space="preserve">tags:
- france_x000D_
- paris_x000D_
- churches_x000D_
- holy-persons_x000D_
- vincent-de-paul_x000D_
- jean-gabriel-perboyre_x000D_
- vincentians_x000D_
</v>
      </c>
      <c r="BM18" s="120" t="str">
        <f t="shared" si="62"/>
        <v/>
      </c>
      <c r="BN18" s="120" t="str">
        <f t="shared" si="63"/>
        <v/>
      </c>
      <c r="BO18" s="120" t="str">
        <f t="shared" si="64"/>
        <v/>
      </c>
      <c r="BP18" s="120" t="str">
        <f t="shared" si="65"/>
        <v/>
      </c>
      <c r="BQ18" s="117" t="str">
        <f t="shared" si="52"/>
        <v/>
      </c>
      <c r="BR18" s="117" t="str">
        <f t="shared" si="53"/>
        <v/>
      </c>
      <c r="BS18" s="117" t="str">
        <f t="shared" si="54"/>
        <v/>
      </c>
      <c r="BT18" s="117" t="str">
        <f t="shared" si="55"/>
        <v/>
      </c>
      <c r="BU18" s="117" t="str">
        <f>IF(LEN(concat(BR18:BT18))&gt;0,concat("| ",BR18," | ",BS18," | ",BT18," |"),"")</f>
        <v/>
      </c>
      <c r="BV18" s="117" t="str">
        <f t="shared" si="56"/>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57"/>
        <v>#VALUE!</v>
      </c>
      <c r="CK18" s="12" t="str">
        <f t="shared" si="58"/>
        <v xml:space="preserve">| [](/places/places\fr-paris-st-vincent-de-paul-chapel) </v>
      </c>
      <c r="CL18" s="13" t="str">
        <f>"| "&amp;IF(AS18,GetTagPage(C18,VLOOKUP(C18,'Country Tags'!C:E,3,)),C18)&amp; " "</f>
        <v xml:space="preserve">| [France](/tags/france) </v>
      </c>
      <c r="CM18" s="12" t="str">
        <f t="shared" si="59"/>
        <v xml:space="preserve">|  </v>
      </c>
      <c r="CN18" s="12" t="str">
        <f t="shared" si="60"/>
        <v xml:space="preserve">| [Link](/places/places\fr-paris-st-vincent-de-paul-chapel) </v>
      </c>
      <c r="CO18" s="12" t="e">
        <f t="shared" si="61"/>
        <v>#VALUE!</v>
      </c>
    </row>
    <row r="19" spans="1:93" ht="38.25" x14ac:dyDescent="0.25">
      <c r="A19" s="129" t="s">
        <v>786</v>
      </c>
      <c r="B19" s="130" t="s">
        <v>1902</v>
      </c>
      <c r="C19" s="55" t="s">
        <v>256</v>
      </c>
      <c r="D19" s="55" t="s">
        <v>1274</v>
      </c>
      <c r="E19" s="1">
        <v>48.373341813628898</v>
      </c>
      <c r="F19" s="30">
        <v>10.8960887661434</v>
      </c>
      <c r="G19" s="7" t="s">
        <v>1252</v>
      </c>
      <c r="H19" s="61" t="s">
        <v>1253</v>
      </c>
      <c r="I19" s="55" t="s">
        <v>1187</v>
      </c>
      <c r="L19" s="7" t="b">
        <v>1</v>
      </c>
      <c r="M19" s="55" t="s">
        <v>1261</v>
      </c>
      <c r="O19" s="1" t="s">
        <v>1254</v>
      </c>
      <c r="P19" s="1" t="s">
        <v>53</v>
      </c>
      <c r="Z19" s="62" t="s">
        <v>1255</v>
      </c>
      <c r="AA19" s="62" t="s">
        <v>1256</v>
      </c>
      <c r="AB19" s="62" t="s">
        <v>1259</v>
      </c>
      <c r="AS19" s="116" t="b">
        <f t="shared" si="33"/>
        <v>1</v>
      </c>
      <c r="AT19" s="117" t="str">
        <f t="shared" si="34"/>
        <v>title: "Diocesan Museum of St. Afra"</v>
      </c>
      <c r="AU19" s="117" t="str">
        <f t="shared" si="35"/>
        <v>location: {lat: 48.3733418136289, lng: 10.8960887661434}</v>
      </c>
      <c r="AV19" s="117" t="str">
        <f t="shared" si="36"/>
        <v>interest: regional</v>
      </c>
      <c r="AW19" s="117" t="str">
        <f>"- "&amp;VLOOKUP(C19,'Country Tags'!C:E,3,)</f>
        <v>- germany</v>
      </c>
      <c r="AX19" s="117" t="str">
        <f t="shared" si="37"/>
        <v>- augsburg</v>
      </c>
      <c r="AY19" s="117" t="str">
        <f t="shared" si="38"/>
        <v/>
      </c>
      <c r="AZ19" s="117" t="str">
        <f t="shared" si="39"/>
        <v/>
      </c>
      <c r="BA19" s="117" t="str">
        <f t="shared" si="40"/>
        <v>- holy-persons</v>
      </c>
      <c r="BB19" s="117" t="str">
        <f t="shared" si="41"/>
        <v>- ulrich</v>
      </c>
      <c r="BC19" s="117" t="str">
        <f t="shared" si="42"/>
        <v>- afra</v>
      </c>
      <c r="BD19" s="117" t="str">
        <f t="shared" si="43"/>
        <v>- simpert</v>
      </c>
      <c r="BE19" s="117" t="str">
        <f t="shared" si="44"/>
        <v/>
      </c>
      <c r="BF19" s="117" t="str">
        <f t="shared" si="45"/>
        <v/>
      </c>
      <c r="BG19" s="117" t="str">
        <f t="shared" si="46"/>
        <v/>
      </c>
      <c r="BH19" s="117" t="str">
        <f t="shared" si="47"/>
        <v/>
      </c>
      <c r="BI19" s="117" t="str">
        <f t="shared" si="48"/>
        <v/>
      </c>
      <c r="BJ19" s="117" t="str">
        <f t="shared" si="49"/>
        <v/>
      </c>
      <c r="BK19" s="117" t="str">
        <f t="shared" si="50"/>
        <v/>
      </c>
      <c r="BL19" s="117" t="str">
        <f t="shared" si="51"/>
        <v xml:space="preserve">tags:
- germany_x000D_
- augsburg_x000D_
- holy-persons_x000D_
- ulrich_x000D_
- afra_x000D_
- simpert_x000D_
</v>
      </c>
      <c r="BM19" s="120" t="str">
        <f t="shared" si="62"/>
        <v>[Official site](https://www.museum-st-afra.de/en/)</v>
      </c>
      <c r="BN19" s="120" t="str">
        <f t="shared" si="63"/>
        <v/>
      </c>
      <c r="BO19" s="120" t="str">
        <f t="shared" si="64"/>
        <v/>
      </c>
      <c r="BP19" s="120" t="str">
        <f t="shared" si="65"/>
        <v/>
      </c>
      <c r="BQ19" s="117" t="str">
        <f t="shared" si="52"/>
        <v xml:space="preserve">* [Official site](https://www.museum-st-afra.de/en/)
</v>
      </c>
      <c r="BR19" s="117" t="str">
        <f t="shared" si="53"/>
        <v/>
      </c>
      <c r="BS19" s="117" t="str">
        <f t="shared" si="54"/>
        <v/>
      </c>
      <c r="BT19" s="117" t="str">
        <f t="shared" si="55"/>
        <v/>
      </c>
      <c r="BU19" s="117" t="str">
        <f>IF(LEN(concat(BR19:BT19))&gt;0,concat("| ",BR19," | ",BS19," | ",BT19," |"),"")</f>
        <v/>
      </c>
      <c r="BV19" s="117" t="str">
        <f t="shared" si="56"/>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57"/>
        <v>#VALUE!</v>
      </c>
      <c r="CK19" s="12" t="str">
        <f t="shared" si="58"/>
        <v xml:space="preserve">| [](/places/places\de-augsburg-diocesan-museum) </v>
      </c>
      <c r="CL19" s="13" t="str">
        <f>"| "&amp;IF(AS19,GetTagPage(C19,VLOOKUP(C19,'Country Tags'!C:E,3,)),C19)&amp; " "</f>
        <v xml:space="preserve">| [Germany](/tags/germany) </v>
      </c>
      <c r="CM19" s="12" t="str">
        <f t="shared" si="59"/>
        <v xml:space="preserve">|  </v>
      </c>
      <c r="CN19" s="12" t="str">
        <f t="shared" si="60"/>
        <v xml:space="preserve">| [Link](/places/places\de-augsburg-diocesan-museum) </v>
      </c>
      <c r="CO19" s="12" t="e">
        <f t="shared" si="61"/>
        <v>#VALUE!</v>
      </c>
    </row>
    <row r="20" spans="1:93" ht="25.5" x14ac:dyDescent="0.25">
      <c r="A20" s="129" t="s">
        <v>786</v>
      </c>
      <c r="B20" s="130" t="s">
        <v>1902</v>
      </c>
      <c r="C20" s="7" t="s">
        <v>256</v>
      </c>
      <c r="D20" s="7" t="s">
        <v>1274</v>
      </c>
      <c r="E20" s="1">
        <v>48.372656224858602</v>
      </c>
      <c r="F20" s="30">
        <v>10.896980204558901</v>
      </c>
      <c r="G20" s="55" t="s">
        <v>1263</v>
      </c>
      <c r="H20" s="61" t="s">
        <v>1250</v>
      </c>
      <c r="I20" s="55" t="s">
        <v>1248</v>
      </c>
      <c r="J20" s="7" t="b">
        <v>1</v>
      </c>
      <c r="L20" s="7" t="b">
        <v>1</v>
      </c>
      <c r="M20" s="55" t="s">
        <v>1262</v>
      </c>
      <c r="O20" s="1" t="s">
        <v>1264</v>
      </c>
      <c r="P20" s="1" t="s">
        <v>53</v>
      </c>
      <c r="Z20" s="1" t="s">
        <v>1265</v>
      </c>
      <c r="AS20" s="116" t="b">
        <f t="shared" si="33"/>
        <v>1</v>
      </c>
      <c r="AT20" s="117" t="str">
        <f t="shared" si="34"/>
        <v>title: "Augsburg Cathedral (Augsburgur Dom)"</v>
      </c>
      <c r="AU20" s="117" t="str">
        <f t="shared" si="35"/>
        <v>location: {lat: 48.3726562248586, lng: 10.8969802045589}</v>
      </c>
      <c r="AV20" s="117" t="str">
        <f t="shared" si="36"/>
        <v>interest: local</v>
      </c>
      <c r="AW20" s="117" t="str">
        <f>"- "&amp;VLOOKUP(C20,'Country Tags'!C:E,3,)</f>
        <v>- germany</v>
      </c>
      <c r="AX20" s="117" t="str">
        <f t="shared" si="37"/>
        <v>- augsburg</v>
      </c>
      <c r="AY20" s="117" t="str">
        <f t="shared" si="38"/>
        <v>- churches</v>
      </c>
      <c r="AZ20" s="117" t="str">
        <f t="shared" si="39"/>
        <v/>
      </c>
      <c r="BA20" s="117" t="str">
        <f t="shared" si="40"/>
        <v>- holy-persons</v>
      </c>
      <c r="BB20" s="117" t="str">
        <f t="shared" si="41"/>
        <v>- peter-canisius</v>
      </c>
      <c r="BC20" s="117" t="str">
        <f t="shared" si="42"/>
        <v/>
      </c>
      <c r="BD20" s="117" t="str">
        <f t="shared" si="43"/>
        <v/>
      </c>
      <c r="BE20" s="117" t="str">
        <f t="shared" si="44"/>
        <v/>
      </c>
      <c r="BF20" s="117" t="str">
        <f t="shared" si="45"/>
        <v/>
      </c>
      <c r="BG20" s="117" t="str">
        <f t="shared" si="46"/>
        <v/>
      </c>
      <c r="BH20" s="117" t="str">
        <f t="shared" si="47"/>
        <v/>
      </c>
      <c r="BI20" s="117" t="str">
        <f t="shared" si="48"/>
        <v/>
      </c>
      <c r="BJ20" s="117" t="str">
        <f t="shared" si="49"/>
        <v/>
      </c>
      <c r="BK20" s="117" t="str">
        <f t="shared" si="50"/>
        <v/>
      </c>
      <c r="BL20" s="117" t="str">
        <f t="shared" si="51"/>
        <v xml:space="preserve">tags:
- germany_x000D_
- augsburg_x000D_
- churches_x000D_
- holy-persons_x000D_
- peter-canisius_x000D_
</v>
      </c>
      <c r="BM20" s="120" t="str">
        <f t="shared" si="62"/>
        <v>[Official site](https://bistum-augsburg.de/Bistum/Unser-Bistum/Kathedrale/Hoher-Dom)</v>
      </c>
      <c r="BN20" s="120" t="str">
        <f t="shared" si="63"/>
        <v/>
      </c>
      <c r="BO20" s="120" t="str">
        <f t="shared" si="64"/>
        <v/>
      </c>
      <c r="BP20" s="120" t="str">
        <f t="shared" si="65"/>
        <v/>
      </c>
      <c r="BQ20" s="117" t="str">
        <f t="shared" si="52"/>
        <v xml:space="preserve">* [Official site](https://bistum-augsburg.de/Bistum/Unser-Bistum/Kathedrale/Hoher-Dom)
</v>
      </c>
      <c r="BR20" s="117" t="str">
        <f t="shared" si="53"/>
        <v/>
      </c>
      <c r="BS20" s="117" t="str">
        <f t="shared" si="54"/>
        <v/>
      </c>
      <c r="BT20" s="117" t="str">
        <f t="shared" si="55"/>
        <v/>
      </c>
      <c r="BU20" s="117" t="str">
        <f>IF(LEN(concat(BR20:BT20))&gt;0,concat("| ",BR20," | ",BS20," | ",BT20," |"),"")</f>
        <v/>
      </c>
      <c r="BV20" s="117" t="str">
        <f t="shared" si="56"/>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germany_x000D_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57"/>
        <v>#VALUE!</v>
      </c>
      <c r="CK20" s="12" t="str">
        <f t="shared" si="58"/>
        <v xml:space="preserve">| [](/places/places\de-augsburg-cathedral) </v>
      </c>
      <c r="CL20" s="13" t="str">
        <f>"| "&amp;IF(AS20,GetTagPage(C20,VLOOKUP(C20,'Country Tags'!C:E,3,)),C20)&amp; " "</f>
        <v xml:space="preserve">| [Germany](/tags/germany) </v>
      </c>
      <c r="CM20" s="12" t="str">
        <f t="shared" si="59"/>
        <v xml:space="preserve">|  </v>
      </c>
      <c r="CN20" s="12" t="str">
        <f t="shared" si="60"/>
        <v xml:space="preserve">| [Link](/places/places\de-augsburg-cathedral) </v>
      </c>
      <c r="CO20" s="12" t="e">
        <f t="shared" si="61"/>
        <v>#VALUE!</v>
      </c>
    </row>
    <row r="21" spans="1:93" ht="25.5" x14ac:dyDescent="0.25">
      <c r="A21" s="129" t="s">
        <v>786</v>
      </c>
      <c r="B21" s="7" t="s">
        <v>1902</v>
      </c>
      <c r="C21" s="7" t="s">
        <v>256</v>
      </c>
      <c r="D21" s="7" t="s">
        <v>1274</v>
      </c>
      <c r="E21" s="1">
        <v>48.372337108375902</v>
      </c>
      <c r="F21" s="30">
        <v>10.8944612321084</v>
      </c>
      <c r="G21" s="7" t="s">
        <v>1267</v>
      </c>
      <c r="H21" s="61" t="s">
        <v>1268</v>
      </c>
      <c r="I21" s="7" t="s">
        <v>1248</v>
      </c>
      <c r="M21" s="7" t="s">
        <v>1269</v>
      </c>
      <c r="N21" s="139" t="s">
        <v>1919</v>
      </c>
      <c r="P21" s="1" t="s">
        <v>53</v>
      </c>
      <c r="Z21" s="62" t="s">
        <v>1275</v>
      </c>
      <c r="AS21" s="116" t="b">
        <f t="shared" si="33"/>
        <v>1</v>
      </c>
      <c r="AT21" s="117" t="str">
        <f t="shared" si="34"/>
        <v>title: "Former Residence of the Prince-Bishop of Augsburg"</v>
      </c>
      <c r="AU21" s="117" t="str">
        <f t="shared" si="35"/>
        <v>location: {lat: 48.3723371083759, lng: 10.8944612321084}</v>
      </c>
      <c r="AV21" s="117" t="str">
        <f t="shared" si="36"/>
        <v>interest: local</v>
      </c>
      <c r="AW21" s="117" t="str">
        <f>"- "&amp;VLOOKUP(C21,'Country Tags'!C:E,3,)</f>
        <v>- germany</v>
      </c>
      <c r="AX21" s="117" t="str">
        <f t="shared" si="37"/>
        <v>- augsburg</v>
      </c>
      <c r="AY21" s="117" t="str">
        <f t="shared" si="38"/>
        <v/>
      </c>
      <c r="AZ21" s="117" t="str">
        <f t="shared" si="39"/>
        <v/>
      </c>
      <c r="BA21" s="117" t="str">
        <f t="shared" si="40"/>
        <v/>
      </c>
      <c r="BB21" s="117" t="str">
        <f t="shared" si="41"/>
        <v>- reformation</v>
      </c>
      <c r="BC21" s="117" t="str">
        <f t="shared" si="42"/>
        <v/>
      </c>
      <c r="BD21" s="117" t="str">
        <f t="shared" si="43"/>
        <v/>
      </c>
      <c r="BE21" s="117" t="str">
        <f t="shared" si="44"/>
        <v/>
      </c>
      <c r="BF21" s="117" t="str">
        <f t="shared" si="45"/>
        <v/>
      </c>
      <c r="BG21" s="117" t="str">
        <f t="shared" si="46"/>
        <v/>
      </c>
      <c r="BH21" s="117" t="str">
        <f t="shared" si="47"/>
        <v/>
      </c>
      <c r="BI21" s="117" t="str">
        <f t="shared" si="48"/>
        <v/>
      </c>
      <c r="BJ21" s="117" t="str">
        <f t="shared" si="49"/>
        <v/>
      </c>
      <c r="BK21" s="117" t="str">
        <f t="shared" si="50"/>
        <v/>
      </c>
      <c r="BL21" s="117" t="str">
        <f t="shared" si="51"/>
        <v xml:space="preserve">tags:
- germany_x000D_
- augsburg_x000D_
- reformation_x000D_
</v>
      </c>
      <c r="BM21" s="120" t="str">
        <f t="shared" si="62"/>
        <v/>
      </c>
      <c r="BN21" s="120" t="str">
        <f t="shared" si="63"/>
        <v/>
      </c>
      <c r="BO21" s="120" t="str">
        <f t="shared" si="64"/>
        <v/>
      </c>
      <c r="BP21" s="120" t="str">
        <f t="shared" si="65"/>
        <v/>
      </c>
      <c r="BQ21" s="117" t="str">
        <f t="shared" si="52"/>
        <v/>
      </c>
      <c r="BR21" s="117" t="str">
        <f t="shared" si="53"/>
        <v/>
      </c>
      <c r="BS21" s="117" t="str">
        <f t="shared" si="54"/>
        <v/>
      </c>
      <c r="BT21" s="117" t="str">
        <f t="shared" si="55"/>
        <v/>
      </c>
      <c r="BU21" s="117" t="str">
        <f>IF(LEN(concat(BR21:BT21))&gt;0,concat("| ",BR21," | ",BS21," | ",BT21," |"),"")</f>
        <v/>
      </c>
      <c r="BV21" s="117" t="str">
        <f t="shared" si="56"/>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57"/>
        <v>#VALUE!</v>
      </c>
      <c r="CK21" s="12" t="str">
        <f t="shared" si="58"/>
        <v xml:space="preserve">| [](/places/places\de-augsburg-prince-bishop-residence) </v>
      </c>
      <c r="CL21" s="13" t="str">
        <f>"| "&amp;IF(AS21,GetTagPage(C21,VLOOKUP(C21,'Country Tags'!C:E,3,)),C21)&amp; " "</f>
        <v xml:space="preserve">| [Germany](/tags/germany) </v>
      </c>
      <c r="CM21" s="12" t="str">
        <f t="shared" si="59"/>
        <v xml:space="preserve">|  </v>
      </c>
      <c r="CN21" s="12" t="str">
        <f t="shared" si="60"/>
        <v xml:space="preserve">| [Link](/places/places\de-augsburg-prince-bishop-residence) </v>
      </c>
      <c r="CO21" s="12" t="e">
        <f t="shared" si="61"/>
        <v>#VALUE!</v>
      </c>
    </row>
    <row r="22" spans="1:93" ht="63.75" x14ac:dyDescent="0.25">
      <c r="A22" s="129" t="s">
        <v>786</v>
      </c>
      <c r="B22" s="7" t="s">
        <v>1902</v>
      </c>
      <c r="C22" s="7" t="s">
        <v>256</v>
      </c>
      <c r="D22" s="7" t="s">
        <v>1274</v>
      </c>
      <c r="E22" s="1">
        <v>48.361479239335097</v>
      </c>
      <c r="F22" s="30">
        <v>10.9000712149692</v>
      </c>
      <c r="G22" s="7" t="s">
        <v>1270</v>
      </c>
      <c r="H22" s="61" t="s">
        <v>1271</v>
      </c>
      <c r="I22" s="55" t="s">
        <v>1187</v>
      </c>
      <c r="J22" s="7" t="b">
        <v>1</v>
      </c>
      <c r="L22" s="7" t="b">
        <v>1</v>
      </c>
      <c r="M22" s="55" t="s">
        <v>1272</v>
      </c>
      <c r="N22" s="139" t="s">
        <v>1920</v>
      </c>
      <c r="O22" s="1" t="s">
        <v>1273</v>
      </c>
      <c r="P22" s="1" t="s">
        <v>53</v>
      </c>
      <c r="Z22" s="1" t="s">
        <v>1255</v>
      </c>
      <c r="AA22" s="1" t="s">
        <v>1256</v>
      </c>
      <c r="AB22" s="1" t="s">
        <v>1259</v>
      </c>
      <c r="AS22" s="116" t="b">
        <f t="shared" si="33"/>
        <v>1</v>
      </c>
      <c r="AT22" s="117" t="str">
        <f t="shared" si="34"/>
        <v>title: "Basilica of Sts. Ulrich and Afra"</v>
      </c>
      <c r="AU22" s="117" t="str">
        <f t="shared" si="35"/>
        <v>location: {lat: 48.3614792393351, lng: 10.9000712149692}</v>
      </c>
      <c r="AV22" s="117" t="str">
        <f t="shared" si="36"/>
        <v>interest: regional</v>
      </c>
      <c r="AW22" s="117" t="str">
        <f>"- "&amp;VLOOKUP(C22,'Country Tags'!C:E,3,)</f>
        <v>- germany</v>
      </c>
      <c r="AX22" s="117" t="str">
        <f t="shared" si="37"/>
        <v>- augsburg</v>
      </c>
      <c r="AY22" s="117" t="str">
        <f t="shared" si="38"/>
        <v>- churches</v>
      </c>
      <c r="AZ22" s="117" t="str">
        <f t="shared" si="39"/>
        <v/>
      </c>
      <c r="BA22" s="117" t="str">
        <f t="shared" si="40"/>
        <v>- holy-persons</v>
      </c>
      <c r="BB22" s="117" t="str">
        <f t="shared" si="41"/>
        <v>- ulrich</v>
      </c>
      <c r="BC22" s="117" t="str">
        <f t="shared" si="42"/>
        <v>- afra</v>
      </c>
      <c r="BD22" s="117" t="str">
        <f t="shared" si="43"/>
        <v>- simpert</v>
      </c>
      <c r="BE22" s="117" t="str">
        <f t="shared" si="44"/>
        <v/>
      </c>
      <c r="BF22" s="117" t="str">
        <f t="shared" si="45"/>
        <v/>
      </c>
      <c r="BG22" s="117" t="str">
        <f t="shared" si="46"/>
        <v/>
      </c>
      <c r="BH22" s="117" t="str">
        <f t="shared" si="47"/>
        <v/>
      </c>
      <c r="BI22" s="117" t="str">
        <f t="shared" si="48"/>
        <v/>
      </c>
      <c r="BJ22" s="117" t="str">
        <f t="shared" si="49"/>
        <v/>
      </c>
      <c r="BK22" s="117" t="str">
        <f t="shared" si="50"/>
        <v/>
      </c>
      <c r="BL22" s="117" t="str">
        <f t="shared" si="51"/>
        <v xml:space="preserve">tags:
- germany_x000D_
- augsburg_x000D_
- churches_x000D_
- holy-persons_x000D_
- ulrich_x000D_
- afra_x000D_
- simpert_x000D_
</v>
      </c>
      <c r="BM22" s="120" t="str">
        <f t="shared" si="62"/>
        <v>[Official site](https://ulrich-afra-anton.de)</v>
      </c>
      <c r="BN22" s="120" t="str">
        <f t="shared" si="63"/>
        <v/>
      </c>
      <c r="BO22" s="120" t="str">
        <f t="shared" si="64"/>
        <v/>
      </c>
      <c r="BP22" s="120" t="str">
        <f t="shared" si="65"/>
        <v/>
      </c>
      <c r="BQ22" s="117" t="str">
        <f t="shared" si="52"/>
        <v xml:space="preserve">* [Official site](https://ulrich-afra-anton.de)
</v>
      </c>
      <c r="BR22" s="117" t="str">
        <f t="shared" si="53"/>
        <v/>
      </c>
      <c r="BS22" s="117" t="str">
        <f t="shared" si="54"/>
        <v/>
      </c>
      <c r="BT22" s="117" t="str">
        <f t="shared" si="55"/>
        <v/>
      </c>
      <c r="BU22" s="117" t="str">
        <f>IF(LEN(concat(BR22:BT22))&gt;0,concat("| ",BR22," | ",BS22," | ",BT22," |"),"")</f>
        <v/>
      </c>
      <c r="BV22" s="117" t="str">
        <f t="shared" si="56"/>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57"/>
        <v>#VALUE!</v>
      </c>
      <c r="CK22" s="12" t="str">
        <f t="shared" si="58"/>
        <v xml:space="preserve">| [](/places/places\de-augsburg-basilica-of-sts-ulrich-and-afra) </v>
      </c>
      <c r="CL22" s="13" t="str">
        <f>"| "&amp;IF(AS22,GetTagPage(C22,VLOOKUP(C22,'Country Tags'!C:E,3,)),C22)&amp; " "</f>
        <v xml:space="preserve">| [Germany](/tags/germany) </v>
      </c>
      <c r="CM22" s="12" t="str">
        <f t="shared" si="59"/>
        <v xml:space="preserve">|  </v>
      </c>
      <c r="CN22" s="12" t="str">
        <f t="shared" si="60"/>
        <v xml:space="preserve">| [Link](/places/places\de-augsburg-basilica-of-sts-ulrich-and-afra) </v>
      </c>
      <c r="CO22" s="12" t="e">
        <f t="shared" si="61"/>
        <v>#VALUE!</v>
      </c>
    </row>
    <row r="23" spans="1:93" ht="38.25" x14ac:dyDescent="0.25">
      <c r="A23" s="129" t="s">
        <v>786</v>
      </c>
      <c r="B23" s="130" t="s">
        <v>1901</v>
      </c>
      <c r="C23" s="55" t="s">
        <v>286</v>
      </c>
      <c r="D23" s="55" t="s">
        <v>1281</v>
      </c>
      <c r="E23" s="1">
        <v>14.638171</v>
      </c>
      <c r="F23" s="30">
        <v>-91.229102999999995</v>
      </c>
      <c r="G23" s="55" t="s">
        <v>1279</v>
      </c>
      <c r="H23" s="61" t="s">
        <v>1280</v>
      </c>
      <c r="I23" s="55" t="s">
        <v>1187</v>
      </c>
      <c r="J23" s="55" t="b">
        <v>1</v>
      </c>
      <c r="L23" s="7" t="b">
        <v>1</v>
      </c>
      <c r="M23" s="55" t="s">
        <v>1284</v>
      </c>
      <c r="P23" s="1" t="s">
        <v>53</v>
      </c>
      <c r="Z23" s="62" t="s">
        <v>1282</v>
      </c>
      <c r="AS23" s="116" t="b">
        <f t="shared" si="33"/>
        <v>1</v>
      </c>
      <c r="AT23" s="117" t="str">
        <f t="shared" si="34"/>
        <v>title: "Church of St. James the Apostle (Iglesia Santiago Apostol)"</v>
      </c>
      <c r="AU23" s="117" t="str">
        <f t="shared" si="35"/>
        <v>location: {lat: 14.638171, lng: -91.229103}</v>
      </c>
      <c r="AV23" s="117" t="str">
        <f t="shared" si="36"/>
        <v>interest: regional</v>
      </c>
      <c r="AW23" s="117" t="str">
        <f>"- "&amp;VLOOKUP(C23,'Country Tags'!C:E,3,)</f>
        <v>- guatemala</v>
      </c>
      <c r="AX23" s="117" t="str">
        <f t="shared" si="37"/>
        <v>- atitlan</v>
      </c>
      <c r="AY23" s="117" t="str">
        <f t="shared" si="38"/>
        <v>- churches</v>
      </c>
      <c r="AZ23" s="117" t="str">
        <f t="shared" si="39"/>
        <v/>
      </c>
      <c r="BA23" s="117" t="str">
        <f t="shared" si="40"/>
        <v>- holy-persons</v>
      </c>
      <c r="BB23" s="117" t="str">
        <f t="shared" si="41"/>
        <v>- stanley-rother</v>
      </c>
      <c r="BC23" s="117" t="str">
        <f t="shared" si="42"/>
        <v/>
      </c>
      <c r="BD23" s="117" t="str">
        <f t="shared" si="43"/>
        <v/>
      </c>
      <c r="BE23" s="117" t="str">
        <f t="shared" si="44"/>
        <v/>
      </c>
      <c r="BF23" s="117" t="str">
        <f t="shared" si="45"/>
        <v/>
      </c>
      <c r="BG23" s="117" t="str">
        <f t="shared" si="46"/>
        <v/>
      </c>
      <c r="BH23" s="117" t="str">
        <f t="shared" si="47"/>
        <v/>
      </c>
      <c r="BI23" s="117" t="str">
        <f t="shared" si="48"/>
        <v/>
      </c>
      <c r="BJ23" s="117" t="str">
        <f t="shared" si="49"/>
        <v/>
      </c>
      <c r="BK23" s="117" t="str">
        <f t="shared" si="50"/>
        <v/>
      </c>
      <c r="BL23" s="117" t="str">
        <f t="shared" si="51"/>
        <v xml:space="preserve">tags:
- guatemala_x000D_
- atitlan_x000D_
- churches_x000D_
- holy-persons_x000D_
- stanley-rother_x000D_
</v>
      </c>
      <c r="BM23" s="120" t="str">
        <f t="shared" si="62"/>
        <v/>
      </c>
      <c r="BN23" s="120" t="str">
        <f t="shared" si="63"/>
        <v/>
      </c>
      <c r="BO23" s="120" t="str">
        <f t="shared" si="64"/>
        <v/>
      </c>
      <c r="BP23" s="120" t="str">
        <f t="shared" si="65"/>
        <v/>
      </c>
      <c r="BQ23" s="117" t="str">
        <f t="shared" si="52"/>
        <v/>
      </c>
      <c r="BR23" s="117" t="str">
        <f t="shared" si="53"/>
        <v/>
      </c>
      <c r="BS23" s="117" t="str">
        <f t="shared" si="54"/>
        <v/>
      </c>
      <c r="BT23" s="117" t="str">
        <f t="shared" si="55"/>
        <v/>
      </c>
      <c r="BU23" s="117" t="str">
        <f>IF(LEN(concat(BR23:BT23))&gt;0,concat("| ",BR23," | ",BS23," | ",BT23," |"),"")</f>
        <v/>
      </c>
      <c r="BV23" s="117" t="str">
        <f t="shared" si="56"/>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57"/>
        <v>#VALUE!</v>
      </c>
      <c r="CK23" s="12" t="str">
        <f t="shared" si="58"/>
        <v xml:space="preserve">| [](/places/places\gt-atitlan-iglesia-santiago-apostol) </v>
      </c>
      <c r="CL23" s="13" t="str">
        <f>"| "&amp;IF(AS23,GetTagPage(C23,VLOOKUP(C23,'Country Tags'!C:E,3,)),C23)&amp; " "</f>
        <v xml:space="preserve">| [Guatemala](/tags/guatemala) </v>
      </c>
      <c r="CM23" s="12" t="str">
        <f t="shared" si="59"/>
        <v xml:space="preserve">|  </v>
      </c>
      <c r="CN23" s="12" t="str">
        <f t="shared" si="60"/>
        <v xml:space="preserve">| [Link](/places/places\gt-atitlan-iglesia-santiago-apostol) </v>
      </c>
      <c r="CO23" s="12" t="e">
        <f t="shared" si="61"/>
        <v>#VALUE!</v>
      </c>
    </row>
    <row r="24" spans="1:93" ht="63.75" x14ac:dyDescent="0.25">
      <c r="A24" s="129" t="s">
        <v>786</v>
      </c>
      <c r="B24" s="15" t="s">
        <v>1901</v>
      </c>
      <c r="C24" s="15" t="s">
        <v>0</v>
      </c>
      <c r="D24" s="127"/>
      <c r="E24" s="1">
        <v>9.7544459999999997</v>
      </c>
      <c r="F24" s="30">
        <v>76.564819999999997</v>
      </c>
      <c r="G24" s="15" t="s">
        <v>857</v>
      </c>
      <c r="H24" s="37" t="s">
        <v>858</v>
      </c>
      <c r="I24" s="15" t="s">
        <v>1165</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33"/>
        <v>1</v>
      </c>
      <c r="AT24" s="117" t="str">
        <f t="shared" si="34"/>
        <v>title: "Major Archiepiscopal Marth Mariam Archdeacon Pilgrim Church at Kuravilangad"</v>
      </c>
      <c r="AU24" s="117" t="str">
        <f t="shared" si="35"/>
        <v>location: {lat: 9.754446, lng: 76.56482}</v>
      </c>
      <c r="AV24" s="117" t="str">
        <f t="shared" si="36"/>
        <v>interest: global</v>
      </c>
      <c r="AW24" s="117" t="str">
        <f>"- "&amp;VLOOKUP(C24,'Country Tags'!C:E,3,)</f>
        <v>- india</v>
      </c>
      <c r="AX24" s="117" t="str">
        <f t="shared" si="37"/>
        <v/>
      </c>
      <c r="AY24" s="117" t="str">
        <f t="shared" si="38"/>
        <v>- churches</v>
      </c>
      <c r="AZ24" s="117" t="str">
        <f t="shared" si="39"/>
        <v>- marian-sites</v>
      </c>
      <c r="BA24" s="117" t="str">
        <f t="shared" si="40"/>
        <v/>
      </c>
      <c r="BB24" s="117" t="str">
        <f t="shared" si="41"/>
        <v>- syro-malabar</v>
      </c>
      <c r="BC24" s="117" t="str">
        <f t="shared" si="42"/>
        <v/>
      </c>
      <c r="BD24" s="117" t="str">
        <f t="shared" si="43"/>
        <v/>
      </c>
      <c r="BE24" s="117" t="str">
        <f t="shared" si="44"/>
        <v/>
      </c>
      <c r="BF24" s="117" t="str">
        <f t="shared" si="45"/>
        <v/>
      </c>
      <c r="BG24" s="117" t="str">
        <f t="shared" si="46"/>
        <v/>
      </c>
      <c r="BH24" s="117" t="str">
        <f t="shared" si="47"/>
        <v/>
      </c>
      <c r="BI24" s="117" t="str">
        <f t="shared" si="48"/>
        <v/>
      </c>
      <c r="BJ24" s="117" t="str">
        <f t="shared" si="49"/>
        <v/>
      </c>
      <c r="BK24" s="117" t="str">
        <f t="shared" si="50"/>
        <v/>
      </c>
      <c r="BL24" s="117" t="str">
        <f t="shared" si="51"/>
        <v xml:space="preserve">tags:
- india_x000D_
- churches_x000D_
- marian-sites_x000D_
- syro-malabar_x000D_
</v>
      </c>
      <c r="BM24" s="120" t="str">
        <f t="shared" si="62"/>
        <v>[Official site](http://kuravilangadpally.com/)</v>
      </c>
      <c r="BN24" s="120" t="str">
        <f t="shared" si="63"/>
        <v/>
      </c>
      <c r="BO24" s="120" t="str">
        <f t="shared" si="64"/>
        <v/>
      </c>
      <c r="BP24" s="120" t="str">
        <f t="shared" si="65"/>
        <v/>
      </c>
      <c r="BQ24" s="120" t="str">
        <f t="shared" si="52"/>
        <v xml:space="preserve">* [Official site](http://kuravilangadpally.com/)
</v>
      </c>
      <c r="BR24" s="120" t="str">
        <f t="shared" si="53"/>
        <v/>
      </c>
      <c r="BS24" s="120" t="str">
        <f t="shared" si="54"/>
        <v>[Link](https://www.miraclehunter.com/marian_apparitions/approved_apparitions/apparitions_0040-0999.html) (Search "Kuravilangad")</v>
      </c>
      <c r="BT24" s="120" t="str">
        <f t="shared" si="55"/>
        <v/>
      </c>
      <c r="BU24" s="120" t="str">
        <f>IF(LEN(concat(BR24:BT24))&gt;0,concat("| ",BR24," | ",BS24," | ",BT24," |"),"")</f>
        <v>|  | [Link](https://www.miraclehunter.com/marian_apparitions/approved_apparitions/apparitions_0040-0999.html) (Search "Kuravilangad") |  |</v>
      </c>
      <c r="BV24" s="117" t="str">
        <f t="shared" si="56"/>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57"/>
        <v>#VALUE!</v>
      </c>
      <c r="CK24" s="13" t="str">
        <f t="shared" si="58"/>
        <v xml:space="preserve">| [Kuravilangad](/places/places\in-marth-mariam-archdeacon-pilgrim-church-at-kuravilangad) </v>
      </c>
      <c r="CL24" s="13" t="str">
        <f>"| "&amp;IF(AS24,GetTagPage(C24,VLOOKUP(C24,'Country Tags'!C:E,3,)),C24)&amp; " "</f>
        <v xml:space="preserve">| [India](/tags/india) </v>
      </c>
      <c r="CM24" s="13" t="str">
        <f t="shared" si="59"/>
        <v xml:space="preserve">| 335 </v>
      </c>
      <c r="CN24" s="13" t="str">
        <f t="shared" si="60"/>
        <v xml:space="preserve">| [Link](/places/places\in-marth-mariam-archdeacon-pilgrim-church-at-kuravilangad) </v>
      </c>
      <c r="CO24" s="12" t="e">
        <f t="shared" si="61"/>
        <v>#VALUE!</v>
      </c>
    </row>
    <row r="25" spans="1:93" ht="51" x14ac:dyDescent="0.25">
      <c r="A25" s="129" t="s">
        <v>786</v>
      </c>
      <c r="B25" s="130" t="s">
        <v>1905</v>
      </c>
      <c r="C25" s="7" t="s">
        <v>0</v>
      </c>
      <c r="E25" s="1">
        <v>10.6803068</v>
      </c>
      <c r="F25" s="30">
        <v>79.849313699999996</v>
      </c>
      <c r="G25" s="23" t="s">
        <v>1162</v>
      </c>
      <c r="H25" s="34" t="s">
        <v>1157</v>
      </c>
      <c r="I25" s="23" t="s">
        <v>1165</v>
      </c>
      <c r="J25" s="23" t="b">
        <v>1</v>
      </c>
      <c r="K25" s="7" t="b">
        <v>1</v>
      </c>
      <c r="M25" s="23" t="s">
        <v>1160</v>
      </c>
      <c r="N25" s="139" t="s">
        <v>1921</v>
      </c>
      <c r="O25" s="8" t="s">
        <v>1158</v>
      </c>
      <c r="P25" s="1" t="s">
        <v>53</v>
      </c>
      <c r="Z25" s="1" t="s">
        <v>53</v>
      </c>
      <c r="AJ25" s="56" t="s">
        <v>764</v>
      </c>
      <c r="AK25" s="57" t="s">
        <v>757</v>
      </c>
      <c r="AL25" s="1" t="s">
        <v>20</v>
      </c>
      <c r="AM25" s="1" t="s">
        <v>53</v>
      </c>
      <c r="AN25" s="8" t="s">
        <v>1159</v>
      </c>
      <c r="AO25" s="1" t="s">
        <v>53</v>
      </c>
      <c r="AP25" s="1" t="s">
        <v>1161</v>
      </c>
      <c r="AQ25" s="30" t="s">
        <v>53</v>
      </c>
      <c r="AS25" s="116" t="b">
        <f t="shared" si="33"/>
        <v>1</v>
      </c>
      <c r="AT25" s="117" t="str">
        <f t="shared" si="34"/>
        <v>title: "Basilica of Our Lady of Good Health (Our Lady of Velankanni)"</v>
      </c>
      <c r="AU25" s="117" t="str">
        <f t="shared" si="35"/>
        <v>location: {lat: 10.6803068, lng: 79.8493137}</v>
      </c>
      <c r="AV25" s="117" t="str">
        <f t="shared" si="36"/>
        <v>interest: global</v>
      </c>
      <c r="AW25" s="117" t="str">
        <f>"- "&amp;VLOOKUP(C25,'Country Tags'!C:E,3,)</f>
        <v>- india</v>
      </c>
      <c r="AX25" s="117" t="str">
        <f t="shared" si="37"/>
        <v/>
      </c>
      <c r="AY25" s="117" t="str">
        <f t="shared" si="38"/>
        <v>- churches</v>
      </c>
      <c r="AZ25" s="117" t="str">
        <f t="shared" si="39"/>
        <v>- marian-sites</v>
      </c>
      <c r="BA25" s="117" t="str">
        <f t="shared" si="40"/>
        <v/>
      </c>
      <c r="BB25" s="117" t="str">
        <f t="shared" si="41"/>
        <v/>
      </c>
      <c r="BC25" s="117" t="str">
        <f t="shared" si="42"/>
        <v/>
      </c>
      <c r="BD25" s="117" t="str">
        <f t="shared" si="43"/>
        <v/>
      </c>
      <c r="BE25" s="117" t="str">
        <f t="shared" si="44"/>
        <v/>
      </c>
      <c r="BF25" s="117" t="str">
        <f t="shared" si="45"/>
        <v/>
      </c>
      <c r="BG25" s="117" t="str">
        <f t="shared" si="46"/>
        <v/>
      </c>
      <c r="BH25" s="117" t="str">
        <f t="shared" si="47"/>
        <v/>
      </c>
      <c r="BI25" s="117" t="str">
        <f t="shared" si="48"/>
        <v/>
      </c>
      <c r="BJ25" s="117" t="str">
        <f t="shared" si="49"/>
        <v/>
      </c>
      <c r="BK25" s="117" t="str">
        <f t="shared" si="50"/>
        <v/>
      </c>
      <c r="BL25" s="117" t="str">
        <f t="shared" si="51"/>
        <v xml:space="preserve">tags:
- india_x000D_
- churches_x000D_
- marian-sites_x000D_
</v>
      </c>
      <c r="BM25" s="120" t="str">
        <f t="shared" si="62"/>
        <v>[Official site](https://www.velankannichurch.com/)</v>
      </c>
      <c r="BN25" s="120" t="str">
        <f t="shared" si="63"/>
        <v/>
      </c>
      <c r="BO25" s="120" t="str">
        <f t="shared" si="64"/>
        <v/>
      </c>
      <c r="BP25" s="120" t="str">
        <f t="shared" si="65"/>
        <v/>
      </c>
      <c r="BQ25" s="120" t="str">
        <f t="shared" si="52"/>
        <v xml:space="preserve">* [Official site](https://www.velankannichurch.com/)
</v>
      </c>
      <c r="BR25" s="120" t="str">
        <f t="shared" si="53"/>
        <v>[Link](http://www.therealpresence.org/eucharst/misc/BVM/32_VAILANKANNI_60x96.pdf)</v>
      </c>
      <c r="BS25" s="120" t="str">
        <f t="shared" si="54"/>
        <v>[Link](https://www.miraclehunter.com/marian_apparitions/approved_apparitions/vailankanni/)</v>
      </c>
      <c r="BT25" s="120" t="str">
        <f t="shared" si="55"/>
        <v>[Link](https://www.marypages.com/vailankanni-(india)-en.html)</v>
      </c>
      <c r="BU25" s="120" t="str">
        <f>IF(LEN(concat(BR25:BT25))&gt;0,concat("| ",BR25," | ",BS25," | ",BT25," |"),"")</f>
        <v>| [Link](http://www.therealpresence.org/eucharst/misc/BVM/32_VAILANKANNI_60x96.pdf) | [Link](https://www.miraclehunter.com/marian_apparitions/approved_apparitions/vailankanni/) | [Link](https://www.marypages.com/vailankanni-(india)-en.html) |</v>
      </c>
      <c r="BV25" s="117" t="str">
        <f t="shared" si="56"/>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57"/>
        <v xml:space="preserve">| </v>
      </c>
      <c r="CK25" s="13" t="str">
        <f t="shared" si="58"/>
        <v xml:space="preserve">| [Vailankanni](/places/places\in-basilica-of-our-lady-of-good-health) </v>
      </c>
      <c r="CL25" s="13" t="str">
        <f>"| "&amp;IF(AS25,GetTagPage(C25,VLOOKUP(C25,'Country Tags'!C:E,3,)),C25)&amp; " "</f>
        <v xml:space="preserve">| [India](/tags/india) </v>
      </c>
      <c r="CM25" s="13" t="str">
        <f t="shared" si="59"/>
        <v xml:space="preserve">| 16th Century </v>
      </c>
      <c r="CN25" s="13" t="str">
        <f t="shared" si="60"/>
        <v xml:space="preserve">| [Link](/places/places\in-basilica-of-our-lady-of-good-health) </v>
      </c>
      <c r="CO25" s="12" t="str">
        <f t="shared" si="61"/>
        <v xml:space="preserve">
| [Vailankanni](/places/places\in-basilica-of-our-lady-of-good-health) | [India](/tags/india)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1905</v>
      </c>
      <c r="C26" s="7" t="s">
        <v>0</v>
      </c>
      <c r="D26" s="7" t="s">
        <v>1821</v>
      </c>
      <c r="E26" s="1">
        <v>15.391251440231599</v>
      </c>
      <c r="F26" s="30">
        <v>73.903795958225004</v>
      </c>
      <c r="G26" s="7" t="s">
        <v>1822</v>
      </c>
      <c r="H26" s="33" t="s">
        <v>1870</v>
      </c>
      <c r="I26" s="7" t="s">
        <v>1248</v>
      </c>
      <c r="J26" s="7" t="b">
        <v>1</v>
      </c>
      <c r="L26" s="7" t="b">
        <v>1</v>
      </c>
      <c r="M26" s="84" t="s">
        <v>1827</v>
      </c>
      <c r="O26" s="1" t="s">
        <v>1826</v>
      </c>
      <c r="P26" s="1" t="s">
        <v>53</v>
      </c>
      <c r="Q26" s="40" t="s">
        <v>1825</v>
      </c>
      <c r="R26" s="1" t="s">
        <v>1823</v>
      </c>
      <c r="S26" s="44" t="s">
        <v>53</v>
      </c>
      <c r="Z26" s="1" t="s">
        <v>1824</v>
      </c>
      <c r="AA26" s="89" t="s">
        <v>1828</v>
      </c>
      <c r="AS26" s="116" t="b">
        <f t="shared" si="33"/>
        <v>1</v>
      </c>
      <c r="AT26" s="117" t="str">
        <f t="shared" si="34"/>
        <v>title: "Sanctuary of St. Joseph Vaz"</v>
      </c>
      <c r="AU26" s="117" t="str">
        <f t="shared" si="35"/>
        <v>location: {lat: 15.3912514402316, lng: 73.903795958225}</v>
      </c>
      <c r="AV26" s="117" t="str">
        <f t="shared" si="36"/>
        <v>interest: local</v>
      </c>
      <c r="AW26" s="117" t="str">
        <f>"- "&amp;VLOOKUP(C26,'Country Tags'!C:E,3,)</f>
        <v>- india</v>
      </c>
      <c r="AX26" s="117" t="str">
        <f t="shared" si="37"/>
        <v>- goa</v>
      </c>
      <c r="AY26" s="117" t="str">
        <f t="shared" si="38"/>
        <v>- churches</v>
      </c>
      <c r="AZ26" s="117" t="str">
        <f t="shared" si="39"/>
        <v/>
      </c>
      <c r="BA26" s="117" t="str">
        <f t="shared" si="40"/>
        <v>- holy-persons</v>
      </c>
      <c r="BB26" s="117" t="str">
        <f t="shared" si="41"/>
        <v>- joseph-vaz</v>
      </c>
      <c r="BC26" s="117" t="str">
        <f t="shared" si="42"/>
        <v>- oratorians</v>
      </c>
      <c r="BD26" s="117" t="str">
        <f t="shared" si="43"/>
        <v/>
      </c>
      <c r="BE26" s="117" t="str">
        <f t="shared" si="44"/>
        <v/>
      </c>
      <c r="BF26" s="117" t="str">
        <f t="shared" si="45"/>
        <v/>
      </c>
      <c r="BG26" s="117" t="str">
        <f t="shared" si="46"/>
        <v/>
      </c>
      <c r="BH26" s="117" t="str">
        <f t="shared" si="47"/>
        <v/>
      </c>
      <c r="BI26" s="117" t="str">
        <f t="shared" si="48"/>
        <v/>
      </c>
      <c r="BJ26" s="117" t="str">
        <f t="shared" si="49"/>
        <v/>
      </c>
      <c r="BK26" s="117" t="str">
        <f t="shared" si="50"/>
        <v/>
      </c>
      <c r="BL26" s="117" t="str">
        <f t="shared" si="51"/>
        <v xml:space="preserve">tags:
- india_x000D_
- goa_x000D_
- churches_x000D_
- holy-persons_x000D_
- joseph-vaz_x000D_
- oratorians_x000D_
</v>
      </c>
      <c r="BM26" s="120" t="str">
        <f t="shared" si="62"/>
        <v>[Official site](https://blessedjosephvaz.org/sanctuary.htm)</v>
      </c>
      <c r="BN26" s="120" t="str">
        <f t="shared" si="63"/>
        <v>[Missionary Oblates of Mary Immaculate biography](https://www.omiworld.org/our-charism/our-saints/non-oblate-causes/saint-joseph-vaz-1651-1711/biography/)</v>
      </c>
      <c r="BO26" s="120" t="str">
        <f t="shared" si="64"/>
        <v/>
      </c>
      <c r="BP26" s="120" t="str">
        <f t="shared" si="65"/>
        <v/>
      </c>
      <c r="BQ26" s="117" t="str">
        <f t="shared" si="52"/>
        <v xml:space="preserve">* [Official site](https://blessedjosephvaz.org/sanctuary.htm)
* [Missionary Oblates of Mary Immaculate biography](https://www.omiworld.org/our-charism/our-saints/non-oblate-causes/saint-joseph-vaz-1651-1711/biography/)
</v>
      </c>
      <c r="BR26" s="117" t="str">
        <f t="shared" si="53"/>
        <v/>
      </c>
      <c r="BS26" s="117" t="str">
        <f t="shared" si="54"/>
        <v/>
      </c>
      <c r="BT26" s="117" t="str">
        <f t="shared" si="55"/>
        <v/>
      </c>
      <c r="BU26" s="117" t="str">
        <f>IF(LEN(concat(BR26:BT26))&gt;0,concat("| ",BR26," | ",BS26," | ",BT26," |"),"")</f>
        <v/>
      </c>
      <c r="BV26" s="117" t="str">
        <f t="shared" si="56"/>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india_x000D_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57"/>
        <v>#VALUE!</v>
      </c>
      <c r="CK26" s="12" t="str">
        <f t="shared" si="58"/>
        <v xml:space="preserve">| [](/places/places\in-goa-st-joseph-vaz) </v>
      </c>
      <c r="CL26" s="13" t="str">
        <f>"| "&amp;IF(AS26,GetTagPage(C26,VLOOKUP(C26,'Country Tags'!C:E,3,)),C26)&amp; " "</f>
        <v xml:space="preserve">| [India](/tags/india) </v>
      </c>
      <c r="CM26" s="12" t="str">
        <f t="shared" si="59"/>
        <v xml:space="preserve">|  </v>
      </c>
      <c r="CN26" s="12" t="str">
        <f t="shared" si="60"/>
        <v xml:space="preserve">| [Link](/places/places\in-goa-st-joseph-vaz) </v>
      </c>
      <c r="CO26" s="12" t="e">
        <f t="shared" si="61"/>
        <v>#VALUE!</v>
      </c>
    </row>
    <row r="27" spans="1:93" ht="76.5" x14ac:dyDescent="0.25">
      <c r="A27" s="129" t="s">
        <v>786</v>
      </c>
      <c r="B27" s="7" t="s">
        <v>1901</v>
      </c>
      <c r="C27" s="7" t="s">
        <v>297</v>
      </c>
      <c r="E27" s="1">
        <v>53.792756199999999</v>
      </c>
      <c r="F27" s="30">
        <v>-8.9189810000000005</v>
      </c>
      <c r="G27" s="7" t="s">
        <v>63</v>
      </c>
      <c r="H27" s="33" t="s">
        <v>119</v>
      </c>
      <c r="I27" s="7" t="s">
        <v>1165</v>
      </c>
      <c r="J27" s="23" t="b">
        <v>1</v>
      </c>
      <c r="K27" s="7" t="b">
        <v>1</v>
      </c>
      <c r="M27" s="7" t="s">
        <v>707</v>
      </c>
      <c r="N27" s="139" t="s">
        <v>1922</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33"/>
        <v>1</v>
      </c>
      <c r="AT27" s="117" t="str">
        <f t="shared" si="34"/>
        <v>title: "Knock Shrine (Our Lady of Knock)"</v>
      </c>
      <c r="AU27" s="117" t="str">
        <f t="shared" si="35"/>
        <v>location: {lat: 53.7927562, lng: -8.918981}</v>
      </c>
      <c r="AV27" s="117" t="str">
        <f t="shared" si="36"/>
        <v>interest: global</v>
      </c>
      <c r="AW27" s="117" t="str">
        <f>"- "&amp;VLOOKUP(C27,'Country Tags'!C:E,3,)</f>
        <v>- ireland</v>
      </c>
      <c r="AX27" s="117" t="str">
        <f t="shared" si="37"/>
        <v/>
      </c>
      <c r="AY27" s="117" t="str">
        <f t="shared" si="38"/>
        <v>- churches</v>
      </c>
      <c r="AZ27" s="117" t="str">
        <f t="shared" si="39"/>
        <v>- marian-sites</v>
      </c>
      <c r="BA27" s="117" t="str">
        <f t="shared" si="40"/>
        <v/>
      </c>
      <c r="BB27" s="117" t="str">
        <f t="shared" si="41"/>
        <v/>
      </c>
      <c r="BC27" s="117" t="str">
        <f t="shared" si="42"/>
        <v/>
      </c>
      <c r="BD27" s="117" t="str">
        <f t="shared" si="43"/>
        <v/>
      </c>
      <c r="BE27" s="117" t="str">
        <f t="shared" si="44"/>
        <v/>
      </c>
      <c r="BF27" s="117" t="str">
        <f t="shared" si="45"/>
        <v/>
      </c>
      <c r="BG27" s="117" t="str">
        <f t="shared" si="46"/>
        <v/>
      </c>
      <c r="BH27" s="117" t="str">
        <f t="shared" si="47"/>
        <v/>
      </c>
      <c r="BI27" s="117" t="str">
        <f t="shared" si="48"/>
        <v/>
      </c>
      <c r="BJ27" s="117" t="str">
        <f t="shared" si="49"/>
        <v/>
      </c>
      <c r="BK27" s="117" t="str">
        <f t="shared" si="50"/>
        <v/>
      </c>
      <c r="BL27" s="117" t="str">
        <f t="shared" si="51"/>
        <v xml:space="preserve">tags:
- ireland_x000D_
- churches_x000D_
- marian-sites_x000D_
</v>
      </c>
      <c r="BM27" s="120" t="str">
        <f t="shared" si="62"/>
        <v>[Official site](https://www.knockshrine.ie/)</v>
      </c>
      <c r="BN27" s="120" t="str">
        <f t="shared" si="63"/>
        <v/>
      </c>
      <c r="BO27" s="120" t="str">
        <f t="shared" si="64"/>
        <v/>
      </c>
      <c r="BP27" s="120" t="str">
        <f t="shared" si="65"/>
        <v/>
      </c>
      <c r="BQ27" s="120" t="str">
        <f t="shared" si="52"/>
        <v xml:space="preserve">* [Official site](https://www.knockshrine.ie/)
</v>
      </c>
      <c r="BR27" s="120" t="str">
        <f t="shared" si="53"/>
        <v>[Link](http://www.therealpresence.org/eucharst/misc/BVM/63_KNOCK_60x96.pdf)</v>
      </c>
      <c r="BS27" s="120" t="str">
        <f t="shared" si="54"/>
        <v>[Link](http://www.miraclehunter.com/marian_apparitions/approved_apparitions/knock/index.html)</v>
      </c>
      <c r="BT27" s="120" t="str">
        <f t="shared" si="55"/>
        <v>[Link](https://www.marypages.com/knock-(ireland)-en.html)</v>
      </c>
      <c r="BU27" s="120" t="str">
        <f>IF(LEN(concat(BR27:BT27))&gt;0,concat("| ",BR27," | ",BS27," | ",BT27," |"),"")</f>
        <v>| [Link](http://www.therealpresence.org/eucharst/misc/BVM/63_KNOCK_60x96.pdf) | [Link](http://www.miraclehunter.com/marian_apparitions/approved_apparitions/knock/index.html) | [Link](https://www.marypages.com/knock-(ireland)-en.html) |</v>
      </c>
      <c r="BV27" s="117" t="str">
        <f t="shared" si="56"/>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57"/>
        <v xml:space="preserve">| </v>
      </c>
      <c r="CK27" s="13" t="str">
        <f t="shared" si="58"/>
        <v xml:space="preserve">| [Knock](/places/places\ie-knock-shrine) </v>
      </c>
      <c r="CL27" s="13" t="str">
        <f>"| "&amp;IF(AS27,GetTagPage(C27,VLOOKUP(C27,'Country Tags'!C:E,3,)),C27)&amp; " "</f>
        <v xml:space="preserve">| [Ireland](/tags/ireland) </v>
      </c>
      <c r="CM27" s="13" t="str">
        <f t="shared" si="59"/>
        <v xml:space="preserve">| 1879 </v>
      </c>
      <c r="CN27" s="13" t="str">
        <f t="shared" si="60"/>
        <v xml:space="preserve">| [Link](/places/places\ie-knock-shrine) </v>
      </c>
      <c r="CO27" s="12" t="str">
        <f t="shared" si="61"/>
        <v xml:space="preserve">
| [Knock](/places/places\ie-knock-shrine) | [Ireland](/tags/ireland)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1901</v>
      </c>
      <c r="C28" s="10" t="s">
        <v>1</v>
      </c>
      <c r="D28" s="26" t="s">
        <v>709</v>
      </c>
      <c r="E28" s="1">
        <v>41.897293109963897</v>
      </c>
      <c r="F28" s="30">
        <v>12.4989743434214</v>
      </c>
      <c r="G28" s="130" t="s">
        <v>1958</v>
      </c>
      <c r="H28" s="139" t="s">
        <v>1959</v>
      </c>
      <c r="I28" s="7" t="s">
        <v>1165</v>
      </c>
      <c r="J28" s="23" t="b">
        <v>1</v>
      </c>
      <c r="K28" s="7" t="b">
        <v>1</v>
      </c>
      <c r="M28" s="130" t="s">
        <v>1960</v>
      </c>
      <c r="O28" s="1" t="s">
        <v>11</v>
      </c>
      <c r="P28" s="1" t="s">
        <v>53</v>
      </c>
      <c r="Z28" s="143" t="s">
        <v>1956</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33"/>
        <v>1</v>
      </c>
      <c r="AT28" s="117" t="str">
        <f t="shared" si="34"/>
        <v>title: "St. Mary Major (S. Maria Maggiore) (Our Lady of the Snows)"</v>
      </c>
      <c r="AU28" s="117" t="str">
        <f t="shared" si="35"/>
        <v>location: {lat: 41.8972931099639, lng: 12.4989743434214}</v>
      </c>
      <c r="AV28" s="117" t="str">
        <f t="shared" si="36"/>
        <v>interest: global</v>
      </c>
      <c r="AW28" s="117" t="str">
        <f>"- "&amp;VLOOKUP(C28,'Country Tags'!C:E,3,)</f>
        <v>- italy</v>
      </c>
      <c r="AX28" s="117" t="str">
        <f t="shared" si="37"/>
        <v>- rome</v>
      </c>
      <c r="AY28" s="117" t="str">
        <f t="shared" si="38"/>
        <v>- churches</v>
      </c>
      <c r="AZ28" s="117" t="str">
        <f t="shared" si="39"/>
        <v>- marian-sites</v>
      </c>
      <c r="BA28" s="117" t="str">
        <f t="shared" si="40"/>
        <v/>
      </c>
      <c r="BB28" s="117" t="str">
        <f t="shared" si="41"/>
        <v>- major-basilicas</v>
      </c>
      <c r="BC28" s="117" t="str">
        <f t="shared" si="42"/>
        <v/>
      </c>
      <c r="BD28" s="117" t="str">
        <f t="shared" si="43"/>
        <v/>
      </c>
      <c r="BE28" s="117" t="str">
        <f t="shared" si="44"/>
        <v/>
      </c>
      <c r="BF28" s="117" t="str">
        <f t="shared" si="45"/>
        <v/>
      </c>
      <c r="BG28" s="117" t="str">
        <f t="shared" si="46"/>
        <v/>
      </c>
      <c r="BH28" s="117" t="str">
        <f t="shared" si="47"/>
        <v/>
      </c>
      <c r="BI28" s="117" t="str">
        <f t="shared" si="48"/>
        <v/>
      </c>
      <c r="BJ28" s="117" t="str">
        <f t="shared" si="49"/>
        <v/>
      </c>
      <c r="BK28" s="117" t="str">
        <f t="shared" si="50"/>
        <v/>
      </c>
      <c r="BL28" s="117" t="str">
        <f t="shared" si="51"/>
        <v xml:space="preserve">tags:
- italy_x000D_
- rome_x000D_
- churches_x000D_
- marian-sites_x000D_
- major-basilicas_x000D_
</v>
      </c>
      <c r="BM28" s="120" t="str">
        <f t="shared" si="62"/>
        <v>[Official site](https://www.vatican.va/various/basiliche/sm_maggiore/index_en.html)</v>
      </c>
      <c r="BN28" s="120" t="str">
        <f t="shared" si="63"/>
        <v/>
      </c>
      <c r="BO28" s="120" t="str">
        <f t="shared" si="64"/>
        <v/>
      </c>
      <c r="BP28" s="120" t="str">
        <f t="shared" si="65"/>
        <v/>
      </c>
      <c r="BQ28" s="120" t="str">
        <f t="shared" si="52"/>
        <v xml:space="preserve">* [Official site](https://www.vatican.va/various/basiliche/sm_maggiore/index_en.html)
</v>
      </c>
      <c r="BR28" s="120" t="str">
        <f t="shared" si="53"/>
        <v>[Link](http://www.therealpresence.org/eucharst/misc/BVM/117_ROMA_60x96.pdf)</v>
      </c>
      <c r="BS28" s="120" t="str">
        <f t="shared" si="54"/>
        <v>[Link](https://www.miraclehunter.com/marian_apparitions/approved_apparitions/rome/index.html)</v>
      </c>
      <c r="BT28" s="120" t="str">
        <f t="shared" si="55"/>
        <v>[Link](https://www.marypages.com/our-lady-of-the-snows-en.html)</v>
      </c>
      <c r="BU28" s="120" t="str">
        <f>IF(LEN(concat(BR28:BT28))&gt;0,concat("| ",BR28," | ",BS28," | ",BT28," |"),"")</f>
        <v>| [Link](http://www.therealpresence.org/eucharst/misc/BVM/117_ROMA_60x96.pdf) | [Link](https://www.miraclehunter.com/marian_apparitions/approved_apparitions/rome/index.html) | [Link](https://www.marypages.com/our-lady-of-the-snows-en.html) |</v>
      </c>
      <c r="BV28" s="117" t="str">
        <f t="shared" si="56"/>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italy_x000D_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57"/>
        <v>#VALUE!</v>
      </c>
      <c r="CK28" s="13" t="str">
        <f t="shared" si="58"/>
        <v xml:space="preserve">| [Rome (Santa Maria Maggiore)](/places/places\it-rome-st-mary-major) </v>
      </c>
      <c r="CL28" s="13" t="str">
        <f>"| "&amp;IF(AS28,GetTagPage(C28,VLOOKUP(C28,'Country Tags'!C:E,3,)),C28)&amp; " "</f>
        <v xml:space="preserve">| [Italy](/tags/italy) </v>
      </c>
      <c r="CM28" s="13" t="str">
        <f t="shared" si="59"/>
        <v xml:space="preserve">| 352 </v>
      </c>
      <c r="CN28" s="13" t="str">
        <f t="shared" si="60"/>
        <v xml:space="preserve">| [Link](/places/places\it-rome-st-mary-major) </v>
      </c>
      <c r="CO28" s="12" t="e">
        <f t="shared" si="61"/>
        <v>#VALUE!</v>
      </c>
    </row>
    <row r="29" spans="1:93" ht="76.5" x14ac:dyDescent="0.25">
      <c r="A29" s="129" t="s">
        <v>786</v>
      </c>
      <c r="B29" s="7" t="s">
        <v>1901</v>
      </c>
      <c r="C29" s="7" t="s">
        <v>1</v>
      </c>
      <c r="E29" s="1">
        <v>45.523673865207101</v>
      </c>
      <c r="F29" s="30">
        <v>10.3142692079531</v>
      </c>
      <c r="G29" s="55" t="s">
        <v>1302</v>
      </c>
      <c r="H29" s="33" t="s">
        <v>1302</v>
      </c>
      <c r="I29" s="7" t="s">
        <v>1165</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33"/>
        <v>1</v>
      </c>
      <c r="AT29" s="117" t="str">
        <f t="shared" si="34"/>
        <v>title: "Sanctuary of Our Lady of Valverde"</v>
      </c>
      <c r="AU29" s="117" t="str">
        <f t="shared" si="35"/>
        <v>location: {lat: 45.5236738652071, lng: 10.3142692079531}</v>
      </c>
      <c r="AV29" s="117" t="str">
        <f t="shared" si="36"/>
        <v>interest: global</v>
      </c>
      <c r="AW29" s="117" t="str">
        <f>"- "&amp;VLOOKUP(C29,'Country Tags'!C:E,3,)</f>
        <v>- italy</v>
      </c>
      <c r="AX29" s="117" t="str">
        <f t="shared" si="37"/>
        <v/>
      </c>
      <c r="AY29" s="117" t="str">
        <f t="shared" si="38"/>
        <v>- churches</v>
      </c>
      <c r="AZ29" s="117" t="str">
        <f t="shared" si="39"/>
        <v>- marian-sites</v>
      </c>
      <c r="BA29" s="117" t="str">
        <f t="shared" si="40"/>
        <v/>
      </c>
      <c r="BB29" s="117" t="str">
        <f t="shared" si="41"/>
        <v/>
      </c>
      <c r="BC29" s="117" t="str">
        <f t="shared" si="42"/>
        <v/>
      </c>
      <c r="BD29" s="117" t="str">
        <f t="shared" si="43"/>
        <v/>
      </c>
      <c r="BE29" s="117" t="str">
        <f t="shared" si="44"/>
        <v/>
      </c>
      <c r="BF29" s="117" t="str">
        <f t="shared" si="45"/>
        <v/>
      </c>
      <c r="BG29" s="117" t="str">
        <f t="shared" si="46"/>
        <v/>
      </c>
      <c r="BH29" s="117" t="str">
        <f t="shared" si="47"/>
        <v/>
      </c>
      <c r="BI29" s="117" t="str">
        <f t="shared" si="48"/>
        <v/>
      </c>
      <c r="BJ29" s="117" t="str">
        <f t="shared" si="49"/>
        <v/>
      </c>
      <c r="BK29" s="117" t="str">
        <f t="shared" si="50"/>
        <v/>
      </c>
      <c r="BL29" s="117" t="str">
        <f t="shared" si="51"/>
        <v xml:space="preserve">tags:
- italy_x000D_
- churches_x000D_
- marian-sites_x000D_
</v>
      </c>
      <c r="BM29" s="120" t="str">
        <f t="shared" si="62"/>
        <v>[Official site](https://www.uprezzatovirle.it/santuario-valverde)</v>
      </c>
      <c r="BN29" s="120" t="str">
        <f t="shared" si="63"/>
        <v/>
      </c>
      <c r="BO29" s="120" t="str">
        <f t="shared" si="64"/>
        <v/>
      </c>
      <c r="BP29" s="120" t="str">
        <f t="shared" si="65"/>
        <v/>
      </c>
      <c r="BQ29" s="120" t="str">
        <f t="shared" si="52"/>
        <v xml:space="preserve">* [Official site](https://www.uprezzatovirle.it/santuario-valverde)
</v>
      </c>
      <c r="BR29" s="120" t="str">
        <f t="shared" si="53"/>
        <v>[Link](http://www.therealpresence.org/eucharst/misc/BVM/13_VALVERDE_60x96.pdf)</v>
      </c>
      <c r="BS29" s="120" t="str">
        <f t="shared" si="54"/>
        <v>[Link](https://www.miraclehunter.com/marian_apparitions/approved_apparitions/apparitions_1700-1799.html) (Search for "Valverde")</v>
      </c>
      <c r="BT29" s="120" t="str">
        <f t="shared" si="55"/>
        <v/>
      </c>
      <c r="BU29" s="120" t="str">
        <f>IF(LEN(concat(BR29:BT29))&gt;0,concat("| ",BR29," | ",BS29," | ",BT29," |"),"")</f>
        <v>| [Link](http://www.therealpresence.org/eucharst/misc/BVM/13_VALVERDE_60x96.pdf) | [Link](https://www.miraclehunter.com/marian_apparitions/approved_apparitions/apparitions_1700-1799.html) (Search for "Valverde") |  |</v>
      </c>
      <c r="BV29" s="117" t="str">
        <f t="shared" si="56"/>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57"/>
        <v xml:space="preserve">| </v>
      </c>
      <c r="CK29" s="13" t="str">
        <f t="shared" si="58"/>
        <v xml:space="preserve">| [Valverde Di Rezzato](/places/places\it-sanctuary-of-our-lady-of-valverde) </v>
      </c>
      <c r="CL29" s="13" t="str">
        <f>"| "&amp;IF(AS29,GetTagPage(C29,VLOOKUP(C29,'Country Tags'!C:E,3,)),C29)&amp; " "</f>
        <v xml:space="preserve">| [Italy](/tags/italy) </v>
      </c>
      <c r="CM29" s="13" t="str">
        <f t="shared" si="59"/>
        <v xml:space="preserve">| 1399, 1711 </v>
      </c>
      <c r="CN29" s="13" t="str">
        <f t="shared" si="60"/>
        <v xml:space="preserve">| [Link](/places/places\it-sanctuary-of-our-lady-of-valverde) </v>
      </c>
      <c r="CO29" s="12" t="str">
        <f t="shared" si="61"/>
        <v xml:space="preserve">
| [Valverde Di Rezzato](/places/places\it-sanctuary-of-our-lady-of-valverde) | [Italy](/tags/italy)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1901</v>
      </c>
      <c r="C30" s="7" t="s">
        <v>1</v>
      </c>
      <c r="D30" s="26" t="s">
        <v>709</v>
      </c>
      <c r="E30" s="1">
        <v>41.903563699999999</v>
      </c>
      <c r="F30" s="30">
        <v>12.483673899999999</v>
      </c>
      <c r="G30" s="7" t="s">
        <v>733</v>
      </c>
      <c r="H30" s="33" t="s">
        <v>734</v>
      </c>
      <c r="I30" s="7" t="s">
        <v>1165</v>
      </c>
      <c r="J30" s="23" t="b">
        <v>1</v>
      </c>
      <c r="K30" s="7" t="b">
        <v>1</v>
      </c>
      <c r="M30" s="26" t="s">
        <v>1178</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33"/>
        <v>1</v>
      </c>
      <c r="AT30" s="117" t="str">
        <f t="shared" si="34"/>
        <v>title: "Sant'Andrea delle Fratte (Shrine of Our Lady of the Miracle, Our Lady of Zion)"</v>
      </c>
      <c r="AU30" s="117" t="str">
        <f t="shared" si="35"/>
        <v>location: {lat: 41.9035637, lng: 12.4836739}</v>
      </c>
      <c r="AV30" s="117" t="str">
        <f t="shared" si="36"/>
        <v>interest: global</v>
      </c>
      <c r="AW30" s="117" t="str">
        <f>"- "&amp;VLOOKUP(C30,'Country Tags'!C:E,3,)</f>
        <v>- italy</v>
      </c>
      <c r="AX30" s="117" t="str">
        <f t="shared" si="37"/>
        <v>- rome</v>
      </c>
      <c r="AY30" s="117" t="str">
        <f t="shared" si="38"/>
        <v>- churches</v>
      </c>
      <c r="AZ30" s="117" t="str">
        <f t="shared" si="39"/>
        <v>- marian-sites</v>
      </c>
      <c r="BA30" s="117" t="str">
        <f t="shared" si="40"/>
        <v/>
      </c>
      <c r="BB30" s="117" t="str">
        <f t="shared" si="41"/>
        <v>- marie-alphonse-ratisbonne</v>
      </c>
      <c r="BC30" s="117" t="str">
        <f t="shared" si="42"/>
        <v/>
      </c>
      <c r="BD30" s="117" t="str">
        <f t="shared" si="43"/>
        <v/>
      </c>
      <c r="BE30" s="117" t="str">
        <f t="shared" si="44"/>
        <v/>
      </c>
      <c r="BF30" s="117" t="str">
        <f t="shared" si="45"/>
        <v/>
      </c>
      <c r="BG30" s="117" t="str">
        <f t="shared" si="46"/>
        <v/>
      </c>
      <c r="BH30" s="117" t="str">
        <f t="shared" si="47"/>
        <v/>
      </c>
      <c r="BI30" s="117" t="str">
        <f t="shared" si="48"/>
        <v/>
      </c>
      <c r="BJ30" s="117" t="str">
        <f t="shared" si="49"/>
        <v/>
      </c>
      <c r="BK30" s="117" t="str">
        <f t="shared" si="50"/>
        <v/>
      </c>
      <c r="BL30" s="117" t="str">
        <f t="shared" si="51"/>
        <v xml:space="preserve">tags:
- italy_x000D_
- rome_x000D_
- churches_x000D_
- marian-sites_x000D_
- marie-alphonse-ratisbonne_x000D_
</v>
      </c>
      <c r="BM30" s="120" t="str">
        <f t="shared" si="62"/>
        <v>[Official site](https://www.madonnadelmiracolo.it/)</v>
      </c>
      <c r="BN30" s="120" t="str">
        <f t="shared" si="63"/>
        <v/>
      </c>
      <c r="BO30" s="120" t="str">
        <f t="shared" si="64"/>
        <v/>
      </c>
      <c r="BP30" s="120" t="str">
        <f t="shared" si="65"/>
        <v/>
      </c>
      <c r="BQ30" s="120" t="str">
        <f t="shared" si="52"/>
        <v xml:space="preserve">* [Official site](https://www.madonnadelmiracolo.it/)
</v>
      </c>
      <c r="BR30" s="120" t="str">
        <f t="shared" si="53"/>
        <v>[Link](http://www.therealpresence.org/eucharst/misc/BVM/23_ROMA_60x96.pdf)</v>
      </c>
      <c r="BS30" s="120" t="str">
        <f t="shared" si="54"/>
        <v>[Link](https://www.miraclehunter.com/marian_apparitions/approved_apparitions/rome1842/index.html)</v>
      </c>
      <c r="BT30" s="120" t="str">
        <f t="shared" si="55"/>
        <v>[Link](https://www.marypages.com/rome-(itali%C3%AB).html)</v>
      </c>
      <c r="BU30" s="120" t="str">
        <f>IF(LEN(concat(BR30:BT30))&gt;0,concat("| ",BR30," | ",BS30," | ",BT30," |"),"")</f>
        <v>| [Link](http://www.therealpresence.org/eucharst/misc/BVM/23_ROMA_60x96.pdf) | [Link](https://www.miraclehunter.com/marian_apparitions/approved_apparitions/rome1842/index.html) | [Link](https://www.marypages.com/rome-(itali%C3%AB).html) |</v>
      </c>
      <c r="BV30" s="117" t="str">
        <f t="shared" si="56"/>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57"/>
        <v>#VALUE!</v>
      </c>
      <c r="CK30" s="13" t="str">
        <f t="shared" si="58"/>
        <v xml:space="preserve">| [Rome](/places/places\it-rome-sant-andrea-delle-fratte) </v>
      </c>
      <c r="CL30" s="13" t="str">
        <f>"| "&amp;IF(AS30,GetTagPage(C30,VLOOKUP(C30,'Country Tags'!C:E,3,)),C30)&amp; " "</f>
        <v xml:space="preserve">| [Italy](/tags/italy) </v>
      </c>
      <c r="CM30" s="13" t="str">
        <f t="shared" si="59"/>
        <v xml:space="preserve">| 1842 </v>
      </c>
      <c r="CN30" s="13" t="str">
        <f t="shared" si="60"/>
        <v xml:space="preserve">| [Link](/places/places\it-rome-sant-andrea-delle-fratte) </v>
      </c>
      <c r="CO30" s="12" t="e">
        <f t="shared" si="61"/>
        <v>#VALUE!</v>
      </c>
    </row>
    <row r="31" spans="1:93" ht="165.75" x14ac:dyDescent="0.25">
      <c r="A31" s="129" t="s">
        <v>786</v>
      </c>
      <c r="B31" s="130" t="s">
        <v>1903</v>
      </c>
      <c r="C31" s="7" t="s">
        <v>1</v>
      </c>
      <c r="D31" s="55" t="s">
        <v>1296</v>
      </c>
      <c r="E31" s="1">
        <v>41.457154000000003</v>
      </c>
      <c r="F31" s="30">
        <v>12.668148</v>
      </c>
      <c r="G31" s="55" t="s">
        <v>1298</v>
      </c>
      <c r="H31" s="61" t="s">
        <v>1299</v>
      </c>
      <c r="I31" s="26" t="s">
        <v>1187</v>
      </c>
      <c r="J31" s="23" t="b">
        <v>1</v>
      </c>
      <c r="K31" s="7" t="b">
        <v>1</v>
      </c>
      <c r="L31" s="7" t="b">
        <v>1</v>
      </c>
      <c r="M31" s="26" t="s">
        <v>1179</v>
      </c>
      <c r="N31" s="139" t="s">
        <v>1923</v>
      </c>
      <c r="O31" s="18" t="s">
        <v>1181</v>
      </c>
      <c r="P31" s="145" t="s">
        <v>1988</v>
      </c>
      <c r="Q31" s="54" t="s">
        <v>1242</v>
      </c>
      <c r="R31" s="18" t="s">
        <v>1241</v>
      </c>
      <c r="S31" s="63" t="s">
        <v>53</v>
      </c>
      <c r="T31" s="42"/>
      <c r="U31" s="18"/>
      <c r="V31" s="46"/>
      <c r="W31" s="18"/>
      <c r="X31" s="18"/>
      <c r="Y31" s="69"/>
      <c r="Z31" s="18" t="s">
        <v>1182</v>
      </c>
      <c r="AA31" s="132" t="s">
        <v>1943</v>
      </c>
      <c r="AB31" s="132" t="s">
        <v>1944</v>
      </c>
      <c r="AC31" s="18"/>
      <c r="AD31" s="18"/>
      <c r="AE31" s="18"/>
      <c r="AF31" s="18"/>
      <c r="AG31" s="18"/>
      <c r="AH31" s="18"/>
      <c r="AI31" s="18"/>
      <c r="AJ31" s="60" t="s">
        <v>866</v>
      </c>
      <c r="AL31" s="1" t="s">
        <v>53</v>
      </c>
      <c r="AM31" s="1" t="s">
        <v>53</v>
      </c>
      <c r="AN31" s="1" t="s">
        <v>848</v>
      </c>
      <c r="AO31" s="18" t="s">
        <v>1180</v>
      </c>
      <c r="AP31" s="1" t="s">
        <v>53</v>
      </c>
      <c r="AS31" s="116" t="b">
        <f t="shared" si="33"/>
        <v>1</v>
      </c>
      <c r="AT31" s="117" t="str">
        <f t="shared" si="34"/>
        <v>title: "Basilica of Our Lady of Graces and St. Maria Goretti"</v>
      </c>
      <c r="AU31" s="117" t="str">
        <f t="shared" si="35"/>
        <v>location: {lat: 41.457154, lng: 12.668148}</v>
      </c>
      <c r="AV31" s="117" t="str">
        <f t="shared" si="36"/>
        <v>interest: regional</v>
      </c>
      <c r="AW31" s="117" t="str">
        <f>"- "&amp;VLOOKUP(C31,'Country Tags'!C:E,3,)</f>
        <v>- italy</v>
      </c>
      <c r="AX31" s="117" t="str">
        <f t="shared" si="37"/>
        <v>- nettuno</v>
      </c>
      <c r="AY31" s="117" t="str">
        <f t="shared" si="38"/>
        <v>- churches</v>
      </c>
      <c r="AZ31" s="117" t="str">
        <f t="shared" si="39"/>
        <v>- marian-sites</v>
      </c>
      <c r="BA31" s="117" t="str">
        <f t="shared" si="40"/>
        <v>- holy-persons</v>
      </c>
      <c r="BB31" s="117" t="str">
        <f t="shared" si="41"/>
        <v>- maria-goretti</v>
      </c>
      <c r="BC31" s="117" t="str">
        <f t="shared" si="42"/>
        <v>- our-lady-grace</v>
      </c>
      <c r="BD31" s="117" t="str">
        <f t="shared" si="43"/>
        <v>- our-lady-ipswich</v>
      </c>
      <c r="BE31" s="117" t="str">
        <f t="shared" si="44"/>
        <v/>
      </c>
      <c r="BF31" s="117" t="str">
        <f t="shared" si="45"/>
        <v/>
      </c>
      <c r="BG31" s="117" t="str">
        <f t="shared" si="46"/>
        <v/>
      </c>
      <c r="BH31" s="117" t="str">
        <f t="shared" si="47"/>
        <v/>
      </c>
      <c r="BI31" s="117" t="str">
        <f t="shared" si="48"/>
        <v/>
      </c>
      <c r="BJ31" s="117" t="str">
        <f t="shared" si="49"/>
        <v/>
      </c>
      <c r="BK31" s="117" t="str">
        <f t="shared" si="50"/>
        <v/>
      </c>
      <c r="BL31" s="117" t="str">
        <f t="shared" si="51"/>
        <v xml:space="preserve">tags:
- italy_x000D_
- nettuno_x000D_
- churches_x000D_
- marian-sites_x000D_
- holy-persons_x000D_
- maria-goretti_x000D_
- our-lady-grace_x000D_
- our-lady-ipswich_x000D_
</v>
      </c>
      <c r="BM31" s="120" t="str">
        <f t="shared" si="62"/>
        <v>[Official site](http://www.santuarionettuno.it/) - Note: website not active at time of writing</v>
      </c>
      <c r="BN31" s="120" t="str">
        <f t="shared" si="63"/>
        <v>[Official Facebook page](https://www.facebook.com/profile.php?id=100069705631532)</v>
      </c>
      <c r="BO31" s="120" t="str">
        <f t="shared" si="64"/>
        <v/>
      </c>
      <c r="BP31" s="120" t="str">
        <f t="shared" si="65"/>
        <v/>
      </c>
      <c r="BQ31" s="120" t="str">
        <f t="shared" si="52"/>
        <v xml:space="preserve">* [Official site](http://www.santuarionettuno.it/) - Note: website not active at time of writing
* [Official Facebook page](https://www.facebook.com/profile.php?id=100069705631532)
</v>
      </c>
      <c r="BR31" s="120" t="str">
        <f t="shared" si="53"/>
        <v/>
      </c>
      <c r="BS31" s="120" t="str">
        <f t="shared" si="54"/>
        <v>[Link](https://www.miraclehunter.com/marian_apparitions/approved_apparitions/apparitions_1500-1599.html) (Search "Ipswich")</v>
      </c>
      <c r="BT31" s="120" t="str">
        <f t="shared" si="55"/>
        <v/>
      </c>
      <c r="BU31" s="120" t="str">
        <f>IF(LEN(concat(BR31:BT31))&gt;0,concat("| ",BR31," | ",BS31," | ",BT31," |"),"")</f>
        <v>|  | [Link](https://www.miraclehunter.com/marian_apparitions/approved_apparitions/apparitions_1500-1599.html) (Search "Ipswich") |  |</v>
      </c>
      <c r="BV31" s="117" t="str">
        <f t="shared" si="56"/>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italy_x000D_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57"/>
        <v>#VALUE!</v>
      </c>
      <c r="CK31" s="13" t="str">
        <f t="shared" si="58"/>
        <v xml:space="preserve">| [Our Lady of Grace and St. Maria Goretti](/places/places\it-nettuno-basilica-of-our-lady-of-graces) </v>
      </c>
      <c r="CL31" s="13" t="str">
        <f>"| "&amp;IF(AS31,GetTagPage(C31,VLOOKUP(C31,'Country Tags'!C:E,3,)),C31)&amp; " "</f>
        <v xml:space="preserve">| [Italy](/tags/italy) </v>
      </c>
      <c r="CM31" s="13" t="str">
        <f t="shared" si="59"/>
        <v xml:space="preserve">|  </v>
      </c>
      <c r="CN31" s="13" t="str">
        <f t="shared" si="60"/>
        <v xml:space="preserve">| [Link](/places/places\it-nettuno-basilica-of-our-lady-of-graces) </v>
      </c>
      <c r="CO31" s="12" t="e">
        <f t="shared" si="61"/>
        <v>#VALUE!</v>
      </c>
    </row>
    <row r="32" spans="1:93" ht="102" x14ac:dyDescent="0.25">
      <c r="A32" s="129" t="s">
        <v>786</v>
      </c>
      <c r="B32" s="130" t="s">
        <v>1902</v>
      </c>
      <c r="C32" s="26" t="s">
        <v>1</v>
      </c>
      <c r="E32" s="1">
        <v>45.6258893442062</v>
      </c>
      <c r="F32" s="30">
        <v>7.9823763846553701</v>
      </c>
      <c r="G32" s="26" t="s">
        <v>1190</v>
      </c>
      <c r="H32" s="38" t="s">
        <v>1189</v>
      </c>
      <c r="I32" s="26" t="s">
        <v>1187</v>
      </c>
      <c r="J32" s="23" t="b">
        <v>1</v>
      </c>
      <c r="K32" s="7" t="b">
        <v>1</v>
      </c>
      <c r="M32" s="26" t="s">
        <v>1193</v>
      </c>
      <c r="O32" s="1" t="s">
        <v>1191</v>
      </c>
      <c r="P32" s="1" t="s">
        <v>53</v>
      </c>
      <c r="Z32" s="1" t="s">
        <v>1192</v>
      </c>
      <c r="AJ32" s="60" t="s">
        <v>1189</v>
      </c>
      <c r="AL32" s="1" t="s">
        <v>53</v>
      </c>
      <c r="AM32" s="1" t="s">
        <v>53</v>
      </c>
      <c r="AN32" s="1" t="s">
        <v>53</v>
      </c>
      <c r="AO32" s="1" t="s">
        <v>53</v>
      </c>
      <c r="AP32" s="1" t="s">
        <v>53</v>
      </c>
      <c r="AS32" s="116" t="b">
        <f t="shared" si="33"/>
        <v>1</v>
      </c>
      <c r="AT32" s="117" t="str">
        <f t="shared" si="34"/>
        <v>title: "Sanctuary of Oropa (Black Madonna of Oropa)"</v>
      </c>
      <c r="AU32" s="117" t="str">
        <f t="shared" si="35"/>
        <v>location: {lat: 45.6258893442062, lng: 7.98237638465537}</v>
      </c>
      <c r="AV32" s="117" t="str">
        <f t="shared" si="36"/>
        <v>interest: regional</v>
      </c>
      <c r="AW32" s="117" t="str">
        <f>"- "&amp;VLOOKUP(C32,'Country Tags'!C:E,3,)</f>
        <v>- italy</v>
      </c>
      <c r="AX32" s="117" t="str">
        <f t="shared" si="37"/>
        <v/>
      </c>
      <c r="AY32" s="117" t="str">
        <f t="shared" si="38"/>
        <v>- churches</v>
      </c>
      <c r="AZ32" s="117" t="str">
        <f t="shared" si="39"/>
        <v>- marian-sites</v>
      </c>
      <c r="BA32" s="117" t="str">
        <f t="shared" si="40"/>
        <v/>
      </c>
      <c r="BB32" s="117" t="str">
        <f t="shared" si="41"/>
        <v>- pier-giorgio-frassati</v>
      </c>
      <c r="BC32" s="117" t="str">
        <f t="shared" si="42"/>
        <v/>
      </c>
      <c r="BD32" s="117" t="str">
        <f t="shared" si="43"/>
        <v/>
      </c>
      <c r="BE32" s="117" t="str">
        <f t="shared" si="44"/>
        <v/>
      </c>
      <c r="BF32" s="117" t="str">
        <f t="shared" si="45"/>
        <v/>
      </c>
      <c r="BG32" s="117" t="str">
        <f t="shared" si="46"/>
        <v/>
      </c>
      <c r="BH32" s="117" t="str">
        <f t="shared" si="47"/>
        <v/>
      </c>
      <c r="BI32" s="117" t="str">
        <f t="shared" si="48"/>
        <v/>
      </c>
      <c r="BJ32" s="117" t="str">
        <f t="shared" si="49"/>
        <v/>
      </c>
      <c r="BK32" s="117" t="str">
        <f t="shared" si="50"/>
        <v/>
      </c>
      <c r="BL32" s="117" t="str">
        <f t="shared" si="51"/>
        <v xml:space="preserve">tags:
- italy_x000D_
- churches_x000D_
- marian-sites_x000D_
- pier-giorgio-frassati_x000D_
</v>
      </c>
      <c r="BM32" s="120" t="str">
        <f t="shared" si="62"/>
        <v>[Official site](https://www.santuariodioropa.it/en/)</v>
      </c>
      <c r="BN32" s="120" t="str">
        <f t="shared" si="63"/>
        <v/>
      </c>
      <c r="BO32" s="120" t="str">
        <f t="shared" si="64"/>
        <v/>
      </c>
      <c r="BP32" s="120" t="str">
        <f t="shared" si="65"/>
        <v/>
      </c>
      <c r="BQ32" s="120" t="str">
        <f t="shared" si="52"/>
        <v xml:space="preserve">* [Official site](https://www.santuariodioropa.it/en/)
</v>
      </c>
      <c r="BR32" s="120" t="str">
        <f t="shared" si="53"/>
        <v/>
      </c>
      <c r="BS32" s="120" t="str">
        <f t="shared" si="54"/>
        <v/>
      </c>
      <c r="BT32" s="120" t="str">
        <f t="shared" si="55"/>
        <v/>
      </c>
      <c r="BU32" s="120" t="str">
        <f>IF(LEN(concat(BR32:BT32))&gt;0,concat("| ",BR32," | ",BS32," | ",BT32," |"),"")</f>
        <v/>
      </c>
      <c r="BV32" s="117" t="str">
        <f t="shared" si="56"/>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57"/>
        <v>#VALUE!</v>
      </c>
      <c r="CK32" s="13" t="str">
        <f t="shared" si="58"/>
        <v xml:space="preserve">| [Sanctuary of Oropa](/places/places\it-sanctuary-of-oropa) </v>
      </c>
      <c r="CL32" s="13" t="str">
        <f>"| "&amp;IF(AS32,GetTagPage(C32,VLOOKUP(C32,'Country Tags'!C:E,3,)),C32)&amp; " "</f>
        <v xml:space="preserve">| [Italy](/tags/italy) </v>
      </c>
      <c r="CM32" s="13" t="str">
        <f t="shared" si="59"/>
        <v xml:space="preserve">|  </v>
      </c>
      <c r="CN32" s="13" t="str">
        <f t="shared" si="60"/>
        <v xml:space="preserve">| [Link](/places/places\it-sanctuary-of-oropa) </v>
      </c>
      <c r="CO32" s="12" t="e">
        <f t="shared" si="61"/>
        <v>#VALUE!</v>
      </c>
    </row>
    <row r="33" spans="1:93" ht="38.25" x14ac:dyDescent="0.25">
      <c r="A33" s="129" t="s">
        <v>786</v>
      </c>
      <c r="B33" s="130" t="s">
        <v>1902</v>
      </c>
      <c r="C33" s="55" t="s">
        <v>1</v>
      </c>
      <c r="D33" s="55" t="s">
        <v>1285</v>
      </c>
      <c r="E33" s="1">
        <v>43.650784999999999</v>
      </c>
      <c r="F33" s="30">
        <v>13.047758</v>
      </c>
      <c r="G33" s="55" t="s">
        <v>1286</v>
      </c>
      <c r="H33" s="61" t="s">
        <v>1871</v>
      </c>
      <c r="I33" s="55" t="s">
        <v>1248</v>
      </c>
      <c r="J33" s="7" t="b">
        <v>1</v>
      </c>
      <c r="L33" s="7" t="b">
        <v>1</v>
      </c>
      <c r="M33" s="55" t="s">
        <v>1287</v>
      </c>
      <c r="N33" s="61"/>
      <c r="P33" s="1" t="s">
        <v>53</v>
      </c>
      <c r="Z33" s="62" t="s">
        <v>1182</v>
      </c>
      <c r="AA33" s="62"/>
      <c r="AS33" s="116" t="b">
        <f t="shared" si="33"/>
        <v>1</v>
      </c>
      <c r="AT33" s="117" t="str">
        <f t="shared" si="34"/>
        <v>title: "Church of St. Francis, Corinaldo"</v>
      </c>
      <c r="AU33" s="117" t="str">
        <f t="shared" si="35"/>
        <v>location: {lat: 43.650785, lng: 13.047758}</v>
      </c>
      <c r="AV33" s="117" t="str">
        <f t="shared" si="36"/>
        <v>interest: local</v>
      </c>
      <c r="AW33" s="117" t="str">
        <f>"- "&amp;VLOOKUP(C33,'Country Tags'!C:E,3,)</f>
        <v>- italy</v>
      </c>
      <c r="AX33" s="117" t="str">
        <f t="shared" si="37"/>
        <v>- corinaldo</v>
      </c>
      <c r="AY33" s="117" t="str">
        <f t="shared" si="38"/>
        <v>- churches</v>
      </c>
      <c r="AZ33" s="117" t="str">
        <f t="shared" si="39"/>
        <v/>
      </c>
      <c r="BA33" s="117" t="str">
        <f t="shared" si="40"/>
        <v>- holy-persons</v>
      </c>
      <c r="BB33" s="117" t="str">
        <f t="shared" si="41"/>
        <v>- maria-goretti</v>
      </c>
      <c r="BC33" s="117" t="str">
        <f t="shared" si="42"/>
        <v/>
      </c>
      <c r="BD33" s="117" t="str">
        <f t="shared" si="43"/>
        <v/>
      </c>
      <c r="BE33" s="117" t="str">
        <f t="shared" si="44"/>
        <v/>
      </c>
      <c r="BF33" s="117" t="str">
        <f t="shared" si="45"/>
        <v/>
      </c>
      <c r="BG33" s="117" t="str">
        <f t="shared" si="46"/>
        <v/>
      </c>
      <c r="BH33" s="117" t="str">
        <f t="shared" si="47"/>
        <v/>
      </c>
      <c r="BI33" s="117" t="str">
        <f t="shared" si="48"/>
        <v/>
      </c>
      <c r="BJ33" s="117" t="str">
        <f t="shared" si="49"/>
        <v/>
      </c>
      <c r="BK33" s="117" t="str">
        <f t="shared" si="50"/>
        <v/>
      </c>
      <c r="BL33" s="117" t="str">
        <f t="shared" si="51"/>
        <v xml:space="preserve">tags:
- italy_x000D_
- corinaldo_x000D_
- churches_x000D_
- holy-persons_x000D_
- maria-goretti_x000D_
</v>
      </c>
      <c r="BM33" s="120" t="str">
        <f t="shared" si="62"/>
        <v/>
      </c>
      <c r="BN33" s="120" t="str">
        <f t="shared" si="63"/>
        <v/>
      </c>
      <c r="BO33" s="120" t="str">
        <f t="shared" si="64"/>
        <v/>
      </c>
      <c r="BP33" s="120" t="str">
        <f t="shared" si="65"/>
        <v/>
      </c>
      <c r="BQ33" s="117" t="str">
        <f t="shared" si="52"/>
        <v/>
      </c>
      <c r="BR33" s="117" t="str">
        <f t="shared" si="53"/>
        <v/>
      </c>
      <c r="BS33" s="117" t="str">
        <f t="shared" si="54"/>
        <v/>
      </c>
      <c r="BT33" s="117" t="str">
        <f t="shared" si="55"/>
        <v/>
      </c>
      <c r="BU33" s="117" t="str">
        <f>IF(LEN(concat(BR33:BT33))&gt;0,concat("| ",BR33," | ",BS33," | ",BT33," |"),"")</f>
        <v/>
      </c>
      <c r="BV33" s="117" t="str">
        <f t="shared" si="56"/>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57"/>
        <v>#VALUE!</v>
      </c>
      <c r="CK33" s="12" t="str">
        <f t="shared" si="58"/>
        <v xml:space="preserve">| [](/places/places\it-corinaldo-church-of-st-francis) </v>
      </c>
      <c r="CL33" s="13" t="str">
        <f>"| "&amp;IF(AS33,GetTagPage(C33,VLOOKUP(C33,'Country Tags'!C:E,3,)),C33)&amp; " "</f>
        <v xml:space="preserve">| [Italy](/tags/italy) </v>
      </c>
      <c r="CM33" s="12" t="str">
        <f t="shared" si="59"/>
        <v xml:space="preserve">|  </v>
      </c>
      <c r="CN33" s="12" t="str">
        <f t="shared" si="60"/>
        <v xml:space="preserve">| [Link](/places/places\it-corinaldo-church-of-st-francis) </v>
      </c>
      <c r="CO33" s="12" t="e">
        <f t="shared" si="61"/>
        <v>#VALUE!</v>
      </c>
    </row>
    <row r="34" spans="1:93" x14ac:dyDescent="0.25">
      <c r="A34" s="129" t="s">
        <v>786</v>
      </c>
      <c r="B34" s="7" t="s">
        <v>1902</v>
      </c>
      <c r="C34" s="7" t="s">
        <v>1</v>
      </c>
      <c r="D34" s="7" t="s">
        <v>1285</v>
      </c>
      <c r="E34" s="1">
        <v>43.659849000000001</v>
      </c>
      <c r="F34" s="30">
        <v>13.051119999999999</v>
      </c>
      <c r="G34" s="7" t="s">
        <v>1288</v>
      </c>
      <c r="H34" s="61" t="s">
        <v>1288</v>
      </c>
      <c r="I34" s="55" t="s">
        <v>1248</v>
      </c>
      <c r="L34" s="7" t="b">
        <v>1</v>
      </c>
      <c r="M34" s="55" t="s">
        <v>1289</v>
      </c>
      <c r="P34" s="1" t="s">
        <v>53</v>
      </c>
      <c r="Z34" s="1" t="s">
        <v>1182</v>
      </c>
      <c r="AS34" s="116" t="b">
        <f t="shared" si="33"/>
        <v>1</v>
      </c>
      <c r="AT34" s="117" t="str">
        <f t="shared" si="34"/>
        <v>title: "Birthplace of St. Maria Goretti"</v>
      </c>
      <c r="AU34" s="117" t="str">
        <f t="shared" si="35"/>
        <v>location: {lat: 43.659849, lng: 13.05112}</v>
      </c>
      <c r="AV34" s="117" t="str">
        <f t="shared" si="36"/>
        <v>interest: local</v>
      </c>
      <c r="AW34" s="117" t="str">
        <f>"- "&amp;VLOOKUP(C34,'Country Tags'!C:E,3,)</f>
        <v>- italy</v>
      </c>
      <c r="AX34" s="117" t="str">
        <f t="shared" si="37"/>
        <v>- corinaldo</v>
      </c>
      <c r="AY34" s="117" t="str">
        <f t="shared" si="38"/>
        <v/>
      </c>
      <c r="AZ34" s="117" t="str">
        <f t="shared" si="39"/>
        <v/>
      </c>
      <c r="BA34" s="117" t="str">
        <f t="shared" si="40"/>
        <v>- holy-persons</v>
      </c>
      <c r="BB34" s="117" t="str">
        <f t="shared" si="41"/>
        <v>- maria-goretti</v>
      </c>
      <c r="BC34" s="117" t="str">
        <f t="shared" si="42"/>
        <v/>
      </c>
      <c r="BD34" s="117" t="str">
        <f t="shared" si="43"/>
        <v/>
      </c>
      <c r="BE34" s="117" t="str">
        <f t="shared" si="44"/>
        <v/>
      </c>
      <c r="BF34" s="117" t="str">
        <f t="shared" si="45"/>
        <v/>
      </c>
      <c r="BG34" s="117" t="str">
        <f t="shared" si="46"/>
        <v/>
      </c>
      <c r="BH34" s="117" t="str">
        <f t="shared" si="47"/>
        <v/>
      </c>
      <c r="BI34" s="117" t="str">
        <f t="shared" si="48"/>
        <v/>
      </c>
      <c r="BJ34" s="117" t="str">
        <f t="shared" si="49"/>
        <v/>
      </c>
      <c r="BK34" s="117" t="str">
        <f t="shared" si="50"/>
        <v/>
      </c>
      <c r="BL34" s="117" t="str">
        <f t="shared" si="51"/>
        <v xml:space="preserve">tags:
- italy_x000D_
- corinaldo_x000D_
- holy-persons_x000D_
- maria-goretti_x000D_
</v>
      </c>
      <c r="BM34" s="120" t="str">
        <f t="shared" si="62"/>
        <v/>
      </c>
      <c r="BN34" s="120" t="str">
        <f t="shared" si="63"/>
        <v/>
      </c>
      <c r="BO34" s="120" t="str">
        <f t="shared" si="64"/>
        <v/>
      </c>
      <c r="BP34" s="120" t="str">
        <f t="shared" si="65"/>
        <v/>
      </c>
      <c r="BQ34" s="117" t="str">
        <f t="shared" si="52"/>
        <v/>
      </c>
      <c r="BR34" s="117" t="str">
        <f t="shared" si="53"/>
        <v/>
      </c>
      <c r="BS34" s="117" t="str">
        <f t="shared" si="54"/>
        <v/>
      </c>
      <c r="BT34" s="117" t="str">
        <f t="shared" si="55"/>
        <v/>
      </c>
      <c r="BU34" s="117" t="str">
        <f>IF(LEN(concat(BR34:BT34))&gt;0,concat("| ",BR34," | ",BS34," | ",BT34," |"),"")</f>
        <v/>
      </c>
      <c r="BV34" s="117" t="str">
        <f t="shared" si="56"/>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italy_x000D_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57"/>
        <v>#VALUE!</v>
      </c>
      <c r="CK34" s="12" t="str">
        <f t="shared" si="58"/>
        <v xml:space="preserve">| [](/places/places\it-corinaldo-birthplace-of-st-maria-goretti) </v>
      </c>
      <c r="CL34" s="13" t="str">
        <f>"| "&amp;IF(AS34,GetTagPage(C34,VLOOKUP(C34,'Country Tags'!C:E,3,)),C34)&amp; " "</f>
        <v xml:space="preserve">| [Italy](/tags/italy) </v>
      </c>
      <c r="CM34" s="12" t="str">
        <f t="shared" si="59"/>
        <v xml:space="preserve">|  </v>
      </c>
      <c r="CN34" s="12" t="str">
        <f t="shared" si="60"/>
        <v xml:space="preserve">| [Link](/places/places\it-corinaldo-birthplace-of-st-maria-goretti) </v>
      </c>
      <c r="CO34" s="12" t="e">
        <f t="shared" si="61"/>
        <v>#VALUE!</v>
      </c>
    </row>
    <row r="35" spans="1:93" ht="38.25" x14ac:dyDescent="0.25">
      <c r="A35" s="129" t="s">
        <v>786</v>
      </c>
      <c r="B35" s="7" t="s">
        <v>1902</v>
      </c>
      <c r="C35" s="7" t="s">
        <v>1</v>
      </c>
      <c r="D35" s="7" t="s">
        <v>1285</v>
      </c>
      <c r="E35" s="1">
        <v>43.649306500000002</v>
      </c>
      <c r="F35" s="30">
        <v>13.0472097</v>
      </c>
      <c r="G35" s="55" t="s">
        <v>1291</v>
      </c>
      <c r="H35" s="61" t="s">
        <v>1872</v>
      </c>
      <c r="I35" s="55" t="s">
        <v>1187</v>
      </c>
      <c r="J35" s="7" t="b">
        <v>1</v>
      </c>
      <c r="L35" s="7" t="b">
        <v>1</v>
      </c>
      <c r="M35" s="55" t="s">
        <v>1292</v>
      </c>
      <c r="O35" s="1" t="s">
        <v>1290</v>
      </c>
      <c r="P35" s="1" t="s">
        <v>53</v>
      </c>
      <c r="Z35" s="1" t="s">
        <v>1182</v>
      </c>
      <c r="AS35" s="116" t="b">
        <f t="shared" si="33"/>
        <v>1</v>
      </c>
      <c r="AT35" s="117" t="str">
        <f t="shared" si="34"/>
        <v>title: "Diocesan Sanctuary of St. Maria Goretti"</v>
      </c>
      <c r="AU35" s="117" t="str">
        <f t="shared" si="35"/>
        <v>location: {lat: 43.6493065, lng: 13.0472097}</v>
      </c>
      <c r="AV35" s="117" t="str">
        <f t="shared" si="36"/>
        <v>interest: regional</v>
      </c>
      <c r="AW35" s="117" t="str">
        <f>"- "&amp;VLOOKUP(C35,'Country Tags'!C:E,3,)</f>
        <v>- italy</v>
      </c>
      <c r="AX35" s="117" t="str">
        <f t="shared" si="37"/>
        <v>- corinaldo</v>
      </c>
      <c r="AY35" s="117" t="str">
        <f t="shared" si="38"/>
        <v>- churches</v>
      </c>
      <c r="AZ35" s="117" t="str">
        <f t="shared" si="39"/>
        <v/>
      </c>
      <c r="BA35" s="117" t="str">
        <f t="shared" si="40"/>
        <v>- holy-persons</v>
      </c>
      <c r="BB35" s="117" t="str">
        <f t="shared" si="41"/>
        <v>- maria-goretti</v>
      </c>
      <c r="BC35" s="117" t="str">
        <f t="shared" si="42"/>
        <v/>
      </c>
      <c r="BD35" s="117" t="str">
        <f t="shared" si="43"/>
        <v/>
      </c>
      <c r="BE35" s="117" t="str">
        <f t="shared" si="44"/>
        <v/>
      </c>
      <c r="BF35" s="117" t="str">
        <f t="shared" si="45"/>
        <v/>
      </c>
      <c r="BG35" s="117" t="str">
        <f t="shared" si="46"/>
        <v/>
      </c>
      <c r="BH35" s="117" t="str">
        <f t="shared" si="47"/>
        <v/>
      </c>
      <c r="BI35" s="117" t="str">
        <f t="shared" si="48"/>
        <v/>
      </c>
      <c r="BJ35" s="117" t="str">
        <f t="shared" si="49"/>
        <v/>
      </c>
      <c r="BK35" s="117" t="str">
        <f t="shared" si="50"/>
        <v/>
      </c>
      <c r="BL35" s="117" t="str">
        <f t="shared" si="51"/>
        <v xml:space="preserve">tags:
- italy_x000D_
- corinaldo_x000D_
- churches_x000D_
- holy-persons_x000D_
- maria-goretti_x000D_
</v>
      </c>
      <c r="BM35" s="120" t="str">
        <f t="shared" si="62"/>
        <v>[Official site](https://www.santamariagoretti.it/home/)</v>
      </c>
      <c r="BN35" s="120" t="str">
        <f t="shared" si="63"/>
        <v/>
      </c>
      <c r="BO35" s="120" t="str">
        <f t="shared" si="64"/>
        <v/>
      </c>
      <c r="BP35" s="120" t="str">
        <f t="shared" si="65"/>
        <v/>
      </c>
      <c r="BQ35" s="117" t="str">
        <f t="shared" si="52"/>
        <v xml:space="preserve">* [Official site](https://www.santamariagoretti.it/home/)
</v>
      </c>
      <c r="BR35" s="117" t="str">
        <f t="shared" si="53"/>
        <v/>
      </c>
      <c r="BS35" s="117" t="str">
        <f t="shared" si="54"/>
        <v/>
      </c>
      <c r="BT35" s="117" t="str">
        <f t="shared" si="55"/>
        <v/>
      </c>
      <c r="BU35" s="117" t="str">
        <f>IF(LEN(concat(BR35:BT35))&gt;0,concat("| ",BR35," | ",BS35," | ",BT35," |"),"")</f>
        <v/>
      </c>
      <c r="BV35" s="117" t="str">
        <f t="shared" si="56"/>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57"/>
        <v>#VALUE!</v>
      </c>
      <c r="CK35" s="12" t="str">
        <f t="shared" si="58"/>
        <v xml:space="preserve">| [](/places/places\it-corinaldo-sanctuary-of-st-maria-goretti) </v>
      </c>
      <c r="CL35" s="13" t="str">
        <f>"| "&amp;IF(AS35,GetTagPage(C35,VLOOKUP(C35,'Country Tags'!C:E,3,)),C35)&amp; " "</f>
        <v xml:space="preserve">| [Italy](/tags/italy) </v>
      </c>
      <c r="CM35" s="12" t="str">
        <f t="shared" si="59"/>
        <v xml:space="preserve">|  </v>
      </c>
      <c r="CN35" s="12" t="str">
        <f t="shared" si="60"/>
        <v xml:space="preserve">| [Link](/places/places\it-corinaldo-sanctuary-of-st-maria-goretti) </v>
      </c>
      <c r="CO35" s="12" t="e">
        <f t="shared" si="61"/>
        <v>#VALUE!</v>
      </c>
    </row>
    <row r="36" spans="1:93" ht="38.25" x14ac:dyDescent="0.25">
      <c r="A36" s="129" t="s">
        <v>786</v>
      </c>
      <c r="B36" s="55" t="s">
        <v>1902</v>
      </c>
      <c r="C36" s="55" t="s">
        <v>1</v>
      </c>
      <c r="D36" s="55" t="s">
        <v>1293</v>
      </c>
      <c r="E36" s="1">
        <v>41.516100799999997</v>
      </c>
      <c r="F36" s="30">
        <v>12.7567</v>
      </c>
      <c r="G36" s="55" t="s">
        <v>1294</v>
      </c>
      <c r="H36" s="33" t="s">
        <v>1294</v>
      </c>
      <c r="I36" s="55" t="s">
        <v>1187</v>
      </c>
      <c r="L36" s="7" t="b">
        <v>1</v>
      </c>
      <c r="M36" s="55" t="s">
        <v>1295</v>
      </c>
      <c r="P36" s="1" t="s">
        <v>53</v>
      </c>
      <c r="Z36" s="1" t="s">
        <v>1182</v>
      </c>
      <c r="AS36" s="116" t="b">
        <f t="shared" si="33"/>
        <v>1</v>
      </c>
      <c r="AT36" s="117" t="str">
        <f t="shared" si="34"/>
        <v>title: "Goretti House"</v>
      </c>
      <c r="AU36" s="117" t="str">
        <f t="shared" si="35"/>
        <v>location: {lat: 41.5161008, lng: 12.7567}</v>
      </c>
      <c r="AV36" s="117" t="str">
        <f t="shared" si="36"/>
        <v>interest: regional</v>
      </c>
      <c r="AW36" s="117" t="str">
        <f>"- "&amp;VLOOKUP(C36,'Country Tags'!C:E,3,)</f>
        <v>- italy</v>
      </c>
      <c r="AX36" s="117" t="str">
        <f t="shared" si="37"/>
        <v>- la-ferriere</v>
      </c>
      <c r="AY36" s="117" t="str">
        <f t="shared" si="38"/>
        <v/>
      </c>
      <c r="AZ36" s="117" t="str">
        <f t="shared" si="39"/>
        <v/>
      </c>
      <c r="BA36" s="117" t="str">
        <f t="shared" si="40"/>
        <v>- holy-persons</v>
      </c>
      <c r="BB36" s="117" t="str">
        <f t="shared" si="41"/>
        <v>- maria-goretti</v>
      </c>
      <c r="BC36" s="117" t="str">
        <f t="shared" si="42"/>
        <v/>
      </c>
      <c r="BD36" s="117" t="str">
        <f t="shared" si="43"/>
        <v/>
      </c>
      <c r="BE36" s="117" t="str">
        <f t="shared" si="44"/>
        <v/>
      </c>
      <c r="BF36" s="117" t="str">
        <f t="shared" si="45"/>
        <v/>
      </c>
      <c r="BG36" s="117" t="str">
        <f t="shared" si="46"/>
        <v/>
      </c>
      <c r="BH36" s="117" t="str">
        <f t="shared" si="47"/>
        <v/>
      </c>
      <c r="BI36" s="117" t="str">
        <f t="shared" si="48"/>
        <v/>
      </c>
      <c r="BJ36" s="117" t="str">
        <f t="shared" si="49"/>
        <v/>
      </c>
      <c r="BK36" s="117" t="str">
        <f t="shared" si="50"/>
        <v/>
      </c>
      <c r="BL36" s="117" t="str">
        <f t="shared" si="51"/>
        <v xml:space="preserve">tags:
- italy_x000D_
- la-ferriere_x000D_
- holy-persons_x000D_
- maria-goretti_x000D_
</v>
      </c>
      <c r="BM36" s="120" t="str">
        <f t="shared" si="62"/>
        <v/>
      </c>
      <c r="BN36" s="120" t="str">
        <f t="shared" si="63"/>
        <v/>
      </c>
      <c r="BO36" s="120" t="str">
        <f t="shared" si="64"/>
        <v/>
      </c>
      <c r="BP36" s="120" t="str">
        <f t="shared" si="65"/>
        <v/>
      </c>
      <c r="BQ36" s="117" t="str">
        <f t="shared" si="52"/>
        <v/>
      </c>
      <c r="BR36" s="117" t="str">
        <f t="shared" si="53"/>
        <v/>
      </c>
      <c r="BS36" s="117" t="str">
        <f t="shared" si="54"/>
        <v/>
      </c>
      <c r="BT36" s="117" t="str">
        <f t="shared" si="55"/>
        <v/>
      </c>
      <c r="BU36" s="117" t="str">
        <f>IF(LEN(concat(BR36:BT36))&gt;0,concat("| ",BR36," | ",BS36," | ",BT36," |"),"")</f>
        <v/>
      </c>
      <c r="BV36" s="117" t="str">
        <f t="shared" si="56"/>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57"/>
        <v>#VALUE!</v>
      </c>
      <c r="CK36" s="12" t="str">
        <f t="shared" si="58"/>
        <v xml:space="preserve">| [](/places/places\it-la-ferriere-goretti-house) </v>
      </c>
      <c r="CL36" s="13" t="str">
        <f>"| "&amp;IF(AS36,GetTagPage(C36,VLOOKUP(C36,'Country Tags'!C:E,3,)),C36)&amp; " "</f>
        <v xml:space="preserve">| [Italy](/tags/italy) </v>
      </c>
      <c r="CM36" s="12" t="str">
        <f t="shared" si="59"/>
        <v xml:space="preserve">|  </v>
      </c>
      <c r="CN36" s="12" t="str">
        <f t="shared" si="60"/>
        <v xml:space="preserve">| [Link](/places/places\it-la-ferriere-goretti-house) </v>
      </c>
      <c r="CO36" s="12" t="e">
        <f t="shared" si="61"/>
        <v>#VALUE!</v>
      </c>
    </row>
    <row r="37" spans="1:93" x14ac:dyDescent="0.25">
      <c r="A37" s="129" t="s">
        <v>786</v>
      </c>
      <c r="B37" s="55" t="s">
        <v>1902</v>
      </c>
      <c r="C37" s="55" t="s">
        <v>1</v>
      </c>
      <c r="D37" s="55" t="s">
        <v>1296</v>
      </c>
      <c r="E37" s="1">
        <v>41.457250000000002</v>
      </c>
      <c r="F37" s="30">
        <v>12.655849999999999</v>
      </c>
      <c r="G37" s="55" t="s">
        <v>1297</v>
      </c>
      <c r="H37" s="61" t="s">
        <v>1297</v>
      </c>
      <c r="I37" s="55" t="s">
        <v>1248</v>
      </c>
      <c r="L37" s="7" t="b">
        <v>1</v>
      </c>
      <c r="M37" s="7" t="s">
        <v>1300</v>
      </c>
      <c r="P37" s="1" t="s">
        <v>53</v>
      </c>
      <c r="Z37" s="1" t="s">
        <v>1182</v>
      </c>
      <c r="AS37" s="116" t="b">
        <f t="shared" si="33"/>
        <v>1</v>
      </c>
      <c r="AT37" s="117" t="str">
        <f t="shared" si="34"/>
        <v>title: "Statue of St. Maria Goretti"</v>
      </c>
      <c r="AU37" s="117" t="str">
        <f t="shared" si="35"/>
        <v>location: {lat: 41.45725, lng: 12.65585}</v>
      </c>
      <c r="AV37" s="117" t="str">
        <f t="shared" si="36"/>
        <v>interest: local</v>
      </c>
      <c r="AW37" s="117" t="str">
        <f>"- "&amp;VLOOKUP(C37,'Country Tags'!C:E,3,)</f>
        <v>- italy</v>
      </c>
      <c r="AX37" s="117" t="str">
        <f t="shared" si="37"/>
        <v>- nettuno</v>
      </c>
      <c r="AY37" s="117" t="str">
        <f t="shared" si="38"/>
        <v/>
      </c>
      <c r="AZ37" s="117" t="str">
        <f t="shared" si="39"/>
        <v/>
      </c>
      <c r="BA37" s="117" t="str">
        <f t="shared" si="40"/>
        <v>- holy-persons</v>
      </c>
      <c r="BB37" s="117" t="str">
        <f t="shared" si="41"/>
        <v>- maria-goretti</v>
      </c>
      <c r="BC37" s="117" t="str">
        <f t="shared" si="42"/>
        <v/>
      </c>
      <c r="BD37" s="117" t="str">
        <f t="shared" si="43"/>
        <v/>
      </c>
      <c r="BE37" s="117" t="str">
        <f t="shared" si="44"/>
        <v/>
      </c>
      <c r="BF37" s="117" t="str">
        <f t="shared" si="45"/>
        <v/>
      </c>
      <c r="BG37" s="117" t="str">
        <f t="shared" si="46"/>
        <v/>
      </c>
      <c r="BH37" s="117" t="str">
        <f t="shared" si="47"/>
        <v/>
      </c>
      <c r="BI37" s="117" t="str">
        <f t="shared" si="48"/>
        <v/>
      </c>
      <c r="BJ37" s="117" t="str">
        <f t="shared" si="49"/>
        <v/>
      </c>
      <c r="BK37" s="117" t="str">
        <f t="shared" si="50"/>
        <v/>
      </c>
      <c r="BL37" s="117" t="str">
        <f t="shared" si="51"/>
        <v xml:space="preserve">tags:
- italy_x000D_
- nettuno_x000D_
- holy-persons_x000D_
- maria-goretti_x000D_
</v>
      </c>
      <c r="BM37" s="120" t="str">
        <f t="shared" si="62"/>
        <v/>
      </c>
      <c r="BN37" s="120" t="str">
        <f t="shared" si="63"/>
        <v/>
      </c>
      <c r="BO37" s="120" t="str">
        <f t="shared" si="64"/>
        <v/>
      </c>
      <c r="BP37" s="120" t="str">
        <f t="shared" si="65"/>
        <v/>
      </c>
      <c r="BQ37" s="117" t="str">
        <f t="shared" si="52"/>
        <v/>
      </c>
      <c r="BR37" s="117" t="str">
        <f t="shared" si="53"/>
        <v/>
      </c>
      <c r="BS37" s="117" t="str">
        <f t="shared" si="54"/>
        <v/>
      </c>
      <c r="BT37" s="117" t="str">
        <f t="shared" si="55"/>
        <v/>
      </c>
      <c r="BU37" s="117" t="str">
        <f>IF(LEN(concat(BR37:BT37))&gt;0,concat("| ",BR37," | ",BS37," | ",BT37," |"),"")</f>
        <v/>
      </c>
      <c r="BV37" s="117" t="str">
        <f t="shared" si="56"/>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italy_x000D_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57"/>
        <v>#VALUE!</v>
      </c>
      <c r="CK37" s="12" t="str">
        <f t="shared" si="58"/>
        <v xml:space="preserve">| [](/places/places\it-nettuno-statue-of-st-maria-goretti) </v>
      </c>
      <c r="CL37" s="13" t="str">
        <f>"| "&amp;IF(AS37,GetTagPage(C37,VLOOKUP(C37,'Country Tags'!C:E,3,)),C37)&amp; " "</f>
        <v xml:space="preserve">| [Italy](/tags/italy) </v>
      </c>
      <c r="CM37" s="12" t="str">
        <f t="shared" si="59"/>
        <v xml:space="preserve">|  </v>
      </c>
      <c r="CN37" s="12" t="str">
        <f t="shared" si="60"/>
        <v xml:space="preserve">| [Link](/places/places\it-nettuno-statue-of-st-maria-goretti) </v>
      </c>
      <c r="CO37" s="12" t="e">
        <f t="shared" si="61"/>
        <v>#VALUE!</v>
      </c>
    </row>
    <row r="38" spans="1:93" ht="51" x14ac:dyDescent="0.25">
      <c r="A38" s="129" t="s">
        <v>786</v>
      </c>
      <c r="B38" s="55" t="s">
        <v>1902</v>
      </c>
      <c r="C38" s="55" t="s">
        <v>1</v>
      </c>
      <c r="D38" s="55" t="s">
        <v>1296</v>
      </c>
      <c r="E38" s="1">
        <v>41.456946000000002</v>
      </c>
      <c r="F38" s="30">
        <v>12.649850000000001</v>
      </c>
      <c r="G38" s="55" t="s">
        <v>1314</v>
      </c>
      <c r="H38" s="61" t="s">
        <v>1873</v>
      </c>
      <c r="I38" s="7" t="s">
        <v>1248</v>
      </c>
      <c r="L38" s="7" t="b">
        <v>1</v>
      </c>
      <c r="M38" s="55" t="s">
        <v>1301</v>
      </c>
      <c r="P38" s="1" t="s">
        <v>53</v>
      </c>
      <c r="Z38" s="1" t="s">
        <v>1182</v>
      </c>
      <c r="AS38" s="116" t="b">
        <f t="shared" ref="AS38:AS69" si="66">IF(OR(A38="Done",A38="In Progress"),TRUE)</f>
        <v>1</v>
      </c>
      <c r="AT38" s="117" t="str">
        <f t="shared" ref="AT38:AT69" si="67">"title: """&amp;G38&amp;""""</f>
        <v>title: "St. Maria Goretti Tent of Pardon (Tenda del Perdono)"</v>
      </c>
      <c r="AU38" s="117" t="str">
        <f t="shared" ref="AU38:AU69" si="68">"location: {lat: "&amp;E38&amp;", lng: "&amp;F38&amp;"}"</f>
        <v>location: {lat: 41.456946, lng: 12.64985}</v>
      </c>
      <c r="AV38" s="117" t="str">
        <f t="shared" ref="AV38:AV69" si="69">"interest: "&amp;I38</f>
        <v>interest: local</v>
      </c>
      <c r="AW38" s="117" t="str">
        <f>"- "&amp;VLOOKUP(C38,'Country Tags'!C:E,3,)</f>
        <v>- italy</v>
      </c>
      <c r="AX38" s="117" t="str">
        <f t="shared" ref="AX38:AX69" si="70">IF(LEN(D38)&gt;1,"- "&amp;LOWER(SUBSTITUTE(D38," ","-")),"")</f>
        <v>- nettuno</v>
      </c>
      <c r="AY38" s="117" t="str">
        <f t="shared" ref="AY38:AY69" si="71">IF(J38,"- churches","")</f>
        <v/>
      </c>
      <c r="AZ38" s="117" t="str">
        <f t="shared" ref="AZ38:AZ69" si="72">IF(K38,"- marian-sites","")</f>
        <v/>
      </c>
      <c r="BA38" s="117" t="str">
        <f t="shared" ref="BA38:BA69" si="73">IF(L38,"- holy-persons","")</f>
        <v>- holy-persons</v>
      </c>
      <c r="BB38" s="117" t="str">
        <f t="shared" ref="BB38:BB69" si="74">IF(LEN(Z38)&gt;0,"- "&amp;Z38,"")</f>
        <v>- maria-goretti</v>
      </c>
      <c r="BC38" s="117" t="str">
        <f t="shared" ref="BC38:BC69" si="75">IF(LEN(AA38)&gt;0,"- "&amp;AA38,"")</f>
        <v/>
      </c>
      <c r="BD38" s="117" t="str">
        <f t="shared" ref="BD38:BD69" si="76">IF(LEN(AB38)&gt;0,"- "&amp;AB38,"")</f>
        <v/>
      </c>
      <c r="BE38" s="117" t="str">
        <f t="shared" ref="BE38:BE69" si="77">IF(LEN(AC38)&gt;0,"- "&amp;AC38,"")</f>
        <v/>
      </c>
      <c r="BF38" s="117" t="str">
        <f t="shared" ref="BF38:BF69" si="78">IF(LEN(AD38)&gt;0,"- "&amp;AD38,"")</f>
        <v/>
      </c>
      <c r="BG38" s="117" t="str">
        <f t="shared" ref="BG38:BG69" si="79">IF(LEN(AE38)&gt;0,"- "&amp;AE38,"")</f>
        <v/>
      </c>
      <c r="BH38" s="117" t="str">
        <f t="shared" ref="BH38:BH69" si="80">IF(LEN(AF38)&gt;0,"- "&amp;AF38,"")</f>
        <v/>
      </c>
      <c r="BI38" s="117" t="str">
        <f t="shared" ref="BI38:BI69" si="81">IF(LEN(AG38)&gt;0,"- "&amp;AG38,"")</f>
        <v/>
      </c>
      <c r="BJ38" s="117" t="str">
        <f t="shared" ref="BJ38:BJ69" si="82">IF(LEN(AH38)&gt;0,"- "&amp;AH38,"")</f>
        <v/>
      </c>
      <c r="BK38" s="117" t="str">
        <f t="shared" ref="BK38:BK69" si="83">IF(LEN(AI38)&gt;0,"- "&amp;AI38,"")</f>
        <v/>
      </c>
      <c r="BL38" s="117" t="str">
        <f t="shared" ref="BL38:BL69" si="84">"tags:"&amp;CHAR(10)&amp;concatl(AW38:BK38)</f>
        <v xml:space="preserve">tags:
- italy_x000D_
- nettuno_x000D_
- holy-persons_x000D_
- maria-goretti_x000D_
</v>
      </c>
      <c r="BM38" s="120" t="str">
        <f t="shared" si="62"/>
        <v/>
      </c>
      <c r="BN38" s="120" t="str">
        <f t="shared" si="63"/>
        <v/>
      </c>
      <c r="BO38" s="120" t="str">
        <f t="shared" si="64"/>
        <v/>
      </c>
      <c r="BP38" s="120" t="str">
        <f t="shared" si="65"/>
        <v/>
      </c>
      <c r="BQ38" s="117" t="str">
        <f t="shared" ref="BQ38:BQ69" si="85">IF(LEN(BM38)&gt;0,"* "&amp;BM38&amp;CHAR(10),"")&amp;
IF(LEN(BN38)&gt;0,"* "&amp;BN38&amp;CHAR(10),"")&amp;
IF(LEN(BO38)&gt;0,"* "&amp;BO38&amp;CHAR(10),"")&amp;
IF(LEN(BP38)&gt;0,"* "&amp;BP38&amp;CHAR(10),"")</f>
        <v/>
      </c>
      <c r="BR38" s="117" t="str">
        <f t="shared" ref="BR38:BR69" si="86">IF(LEN(AL38)&gt;0,TRIM(CONCATENATE("[Link](",AL38,") ",AM38)),"")</f>
        <v/>
      </c>
      <c r="BS38" s="117" t="str">
        <f t="shared" ref="BS38:BS69" si="87">IF(LEN(AN38)&gt;0,TRIM(CONCATENATE("[Link](",AN38,") ",AO38)),"")</f>
        <v/>
      </c>
      <c r="BT38" s="117" t="str">
        <f t="shared" ref="BT38:BT69" si="88">IF(LEN(AP38)&gt;0,TRIM(CONCATENATE("[Link](",AP38,") ",AQ38)),"")</f>
        <v/>
      </c>
      <c r="BU38" s="117" t="str">
        <f>IF(LEN(concat(BR38:BT38))&gt;0,concat("| ",BR38," | ",BS38," | ",BT38," |"),"")</f>
        <v/>
      </c>
      <c r="BV38" s="117" t="str">
        <f t="shared" ref="BV38:BV69" si="89">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90">"|"&amp;IF(LEN(CG38)&gt;1," "&amp;CG38,"")&amp;IF(LEN(CH38)&gt;1,", "&amp;CH38,"")&amp;IF(LEN(CI38)&gt;1,", "&amp;CI38,"")&amp;" "</f>
        <v>#VALUE!</v>
      </c>
      <c r="CK38" s="12" t="str">
        <f t="shared" ref="CK38:CK69" si="91">"| "&amp;IF(AS38,"["&amp;AJ38&amp;"](/places/"&amp;SUBSTITUTE(CB38,".md","")&amp;")",AJ38)&amp;" "</f>
        <v xml:space="preserve">| [](/places/places\it-nettuno-st-maria-goretti-tent-of-pardon) </v>
      </c>
      <c r="CL38" s="13" t="str">
        <f>"| "&amp;IF(AS38,GetTagPage(C38,VLOOKUP(C38,'Country Tags'!C:E,3,)),C38)&amp; " "</f>
        <v xml:space="preserve">| [Italy](/tags/italy) </v>
      </c>
      <c r="CM38" s="12" t="str">
        <f t="shared" ref="CM38:CM69" si="92">"| "&amp;AK38&amp;" "</f>
        <v xml:space="preserve">|  </v>
      </c>
      <c r="CN38" s="12" t="str">
        <f t="shared" ref="CN38:CN69" si="93">"|"&amp;IF(AS38," [Link](/places/"&amp;SUBSTITUTE(CB38,".md","")&amp;")","")&amp;" "</f>
        <v xml:space="preserve">| [Link](/places/places\it-nettuno-st-maria-goretti-tent-of-pardon) </v>
      </c>
      <c r="CO38" s="12" t="e">
        <f t="shared" ref="CO38:CO69" si="94">"
"&amp;CK38&amp;CL38&amp;CM38&amp;CN38&amp;BM38&amp;BR38&amp;BS38&amp;BT38&amp;CJ38&amp;"|"</f>
        <v>#VALUE!</v>
      </c>
    </row>
    <row r="39" spans="1:93" ht="51" x14ac:dyDescent="0.25">
      <c r="A39" s="129" t="s">
        <v>786</v>
      </c>
      <c r="B39" s="7" t="s">
        <v>1901</v>
      </c>
      <c r="C39" s="7" t="s">
        <v>306</v>
      </c>
      <c r="E39" s="1">
        <v>39.759224404162097</v>
      </c>
      <c r="F39" s="30">
        <v>140.14975314135</v>
      </c>
      <c r="G39" s="7" t="s">
        <v>820</v>
      </c>
      <c r="H39" s="33" t="s">
        <v>821</v>
      </c>
      <c r="I39" s="7" t="s">
        <v>1165</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66"/>
        <v>1</v>
      </c>
      <c r="AT39" s="117" t="str">
        <f t="shared" si="67"/>
        <v>title: "Seitai Hoshikai (Our Lady of Akita)"</v>
      </c>
      <c r="AU39" s="117" t="str">
        <f t="shared" si="68"/>
        <v>location: {lat: 39.7592244041621, lng: 140.14975314135}</v>
      </c>
      <c r="AV39" s="117" t="str">
        <f t="shared" si="69"/>
        <v>interest: global</v>
      </c>
      <c r="AW39" s="117" t="str">
        <f>"- "&amp;VLOOKUP(C39,'Country Tags'!C:E,3,)</f>
        <v>- japan</v>
      </c>
      <c r="AX39" s="117" t="str">
        <f t="shared" si="70"/>
        <v/>
      </c>
      <c r="AY39" s="117" t="str">
        <f t="shared" si="71"/>
        <v>- churches</v>
      </c>
      <c r="AZ39" s="117" t="str">
        <f t="shared" si="72"/>
        <v>- marian-sites</v>
      </c>
      <c r="BA39" s="117" t="str">
        <f t="shared" si="73"/>
        <v/>
      </c>
      <c r="BB39" s="117" t="str">
        <f t="shared" si="74"/>
        <v/>
      </c>
      <c r="BC39" s="117" t="str">
        <f t="shared" si="75"/>
        <v/>
      </c>
      <c r="BD39" s="117" t="str">
        <f t="shared" si="76"/>
        <v/>
      </c>
      <c r="BE39" s="117" t="str">
        <f t="shared" si="77"/>
        <v/>
      </c>
      <c r="BF39" s="117" t="str">
        <f t="shared" si="78"/>
        <v/>
      </c>
      <c r="BG39" s="117" t="str">
        <f t="shared" si="79"/>
        <v/>
      </c>
      <c r="BH39" s="117" t="str">
        <f t="shared" si="80"/>
        <v/>
      </c>
      <c r="BI39" s="117" t="str">
        <f t="shared" si="81"/>
        <v/>
      </c>
      <c r="BJ39" s="117" t="str">
        <f t="shared" si="82"/>
        <v/>
      </c>
      <c r="BK39" s="117" t="str">
        <f t="shared" si="83"/>
        <v/>
      </c>
      <c r="BL39" s="117" t="str">
        <f t="shared" si="84"/>
        <v xml:space="preserve">tags:
- japan_x000D_
- churches_x000D_
- marian-sites_x000D_
</v>
      </c>
      <c r="BM39" s="120" t="str">
        <f t="shared" si="62"/>
        <v>[Official site](https://www.seitaihoshikai.com/)</v>
      </c>
      <c r="BN39" s="120" t="str">
        <f t="shared" si="63"/>
        <v/>
      </c>
      <c r="BO39" s="120" t="str">
        <f t="shared" si="64"/>
        <v/>
      </c>
      <c r="BP39" s="120" t="str">
        <f t="shared" si="65"/>
        <v/>
      </c>
      <c r="BQ39" s="120" t="str">
        <f t="shared" si="85"/>
        <v xml:space="preserve">* [Official site](https://www.seitaihoshikai.com/)
</v>
      </c>
      <c r="BR39" s="120" t="str">
        <f t="shared" si="86"/>
        <v>[Link](http://www.therealpresence.org/eucharst/misc/BVM/01_AKITA_60x96.pdf)</v>
      </c>
      <c r="BS39" s="120" t="str">
        <f t="shared" si="87"/>
        <v>[Link](https://www.miraclehunter.com/marian_apparitions/approved_apparitions/akita/index.html)</v>
      </c>
      <c r="BT39" s="120" t="str">
        <f t="shared" si="88"/>
        <v>[Link](https://www.marypages.com/akita-(japan)-en.html)</v>
      </c>
      <c r="BU39" s="120" t="str">
        <f>IF(LEN(concat(BR39:BT39))&gt;0,concat("| ",BR39," | ",BS39," | ",BT39," |"),"")</f>
        <v>| [Link](http://www.therealpresence.org/eucharst/misc/BVM/01_AKITA_60x96.pdf) | [Link](https://www.miraclehunter.com/marian_apparitions/approved_apparitions/akita/index.html) | [Link](https://www.marypages.com/akita-(japan)-en.html) |</v>
      </c>
      <c r="BV39" s="117" t="str">
        <f t="shared" si="89"/>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90"/>
        <v xml:space="preserve">| </v>
      </c>
      <c r="CK39" s="13" t="str">
        <f t="shared" si="91"/>
        <v xml:space="preserve">| [Akita](/places/places\jp-seitai-hoshikai) </v>
      </c>
      <c r="CL39" s="13" t="str">
        <f>"| "&amp;IF(AS39,GetTagPage(C39,VLOOKUP(C39,'Country Tags'!C:E,3,)),C39)&amp; " "</f>
        <v xml:space="preserve">| [Japan](/tags/japan) </v>
      </c>
      <c r="CM39" s="13" t="str">
        <f t="shared" si="92"/>
        <v xml:space="preserve">| 1973 </v>
      </c>
      <c r="CN39" s="13" t="str">
        <f t="shared" si="93"/>
        <v xml:space="preserve">| [Link](/places/places\jp-seitai-hoshikai) </v>
      </c>
      <c r="CO39" s="12" t="str">
        <f t="shared" si="94"/>
        <v xml:space="preserve">
| [Akita](/places/places\jp-seitai-hoshikai) | [Japan](/tags/japan)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1901</v>
      </c>
      <c r="C40" s="7" t="s">
        <v>321</v>
      </c>
      <c r="E40" s="1">
        <v>55.530612599999998</v>
      </c>
      <c r="F40" s="30">
        <v>23.219925199999999</v>
      </c>
      <c r="G40" s="7" t="s">
        <v>736</v>
      </c>
      <c r="H40" s="33" t="s">
        <v>712</v>
      </c>
      <c r="I40" s="7" t="s">
        <v>1165</v>
      </c>
      <c r="J40" s="23" t="b">
        <v>1</v>
      </c>
      <c r="K40" s="7" t="b">
        <v>1</v>
      </c>
      <c r="M40" s="7" t="s">
        <v>177</v>
      </c>
      <c r="N40" s="139" t="s">
        <v>1924</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66"/>
        <v>1</v>
      </c>
      <c r="AT40" s="117" t="str">
        <f t="shared" si="67"/>
        <v>title: "Basilica of the Nativity of the Blessed Virgin Mary (Our Lady of Siluva)"</v>
      </c>
      <c r="AU40" s="117" t="str">
        <f t="shared" si="68"/>
        <v>location: {lat: 55.5306126, lng: 23.2199252}</v>
      </c>
      <c r="AV40" s="117" t="str">
        <f t="shared" si="69"/>
        <v>interest: global</v>
      </c>
      <c r="AW40" s="117" t="str">
        <f>"- "&amp;VLOOKUP(C40,'Country Tags'!C:E,3,)</f>
        <v>- lithuania</v>
      </c>
      <c r="AX40" s="117" t="str">
        <f t="shared" si="70"/>
        <v/>
      </c>
      <c r="AY40" s="117" t="str">
        <f t="shared" si="71"/>
        <v>- churches</v>
      </c>
      <c r="AZ40" s="117" t="str">
        <f t="shared" si="72"/>
        <v>- marian-sites</v>
      </c>
      <c r="BA40" s="117" t="str">
        <f t="shared" si="73"/>
        <v/>
      </c>
      <c r="BB40" s="117" t="str">
        <f t="shared" si="74"/>
        <v/>
      </c>
      <c r="BC40" s="117" t="str">
        <f t="shared" si="75"/>
        <v/>
      </c>
      <c r="BD40" s="117" t="str">
        <f t="shared" si="76"/>
        <v/>
      </c>
      <c r="BE40" s="117" t="str">
        <f t="shared" si="77"/>
        <v/>
      </c>
      <c r="BF40" s="117" t="str">
        <f t="shared" si="78"/>
        <v/>
      </c>
      <c r="BG40" s="117" t="str">
        <f t="shared" si="79"/>
        <v/>
      </c>
      <c r="BH40" s="117" t="str">
        <f t="shared" si="80"/>
        <v/>
      </c>
      <c r="BI40" s="117" t="str">
        <f t="shared" si="81"/>
        <v/>
      </c>
      <c r="BJ40" s="117" t="str">
        <f t="shared" si="82"/>
        <v/>
      </c>
      <c r="BK40" s="117" t="str">
        <f t="shared" si="83"/>
        <v/>
      </c>
      <c r="BL40" s="117" t="str">
        <f t="shared" si="84"/>
        <v xml:space="preserve">tags:
- lithuania_x000D_
- churches_x000D_
- marian-sites_x000D_
</v>
      </c>
      <c r="BM40" s="120" t="str">
        <f t="shared" si="62"/>
        <v>[Official site](https://siluva.lt/)</v>
      </c>
      <c r="BN40" s="120" t="str">
        <f t="shared" si="63"/>
        <v/>
      </c>
      <c r="BO40" s="120" t="str">
        <f t="shared" si="64"/>
        <v/>
      </c>
      <c r="BP40" s="120" t="str">
        <f t="shared" si="65"/>
        <v/>
      </c>
      <c r="BQ40" s="120" t="str">
        <f t="shared" si="85"/>
        <v xml:space="preserve">* [Official site](https://siluva.lt/)
</v>
      </c>
      <c r="BR40" s="120" t="str">
        <f t="shared" si="86"/>
        <v>[Link](http://www.therealpresence.org/eucharst/misc/BVM/57_SILUVA_96x96.pdf)</v>
      </c>
      <c r="BS40" s="120" t="str">
        <f t="shared" si="87"/>
        <v>[Link](https://www.miraclehunter.com/marian_apparitions/approved_apparitions/siluva/index.html)</v>
      </c>
      <c r="BT40" s="120" t="str">
        <f t="shared" si="88"/>
        <v>[Link](https://www.marypages.com/our-lady-of-siluva-en.html)</v>
      </c>
      <c r="BU40" s="120" t="str">
        <f>IF(LEN(concat(BR40:BT40))&gt;0,concat("| ",BR40," | ",BS40," | ",BT40," |"),"")</f>
        <v>| [Link](http://www.therealpresence.org/eucharst/misc/BVM/57_SILUVA_96x96.pdf) | [Link](https://www.miraclehunter.com/marian_apparitions/approved_apparitions/siluva/index.html) | [Link](https://www.marypages.com/our-lady-of-siluva-en.html) |</v>
      </c>
      <c r="BV40" s="117" t="str">
        <f t="shared" si="89"/>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90"/>
        <v xml:space="preserve">| </v>
      </c>
      <c r="CK40" s="13" t="str">
        <f t="shared" si="91"/>
        <v xml:space="preserve">| [Šiluva](/places/places\lt-basilica-of-the-nativity-of-the-blessed-virgin-mary) </v>
      </c>
      <c r="CL40" s="13" t="str">
        <f>"| "&amp;IF(AS40,GetTagPage(C40,VLOOKUP(C40,'Country Tags'!C:E,3,)),C40)&amp; " "</f>
        <v xml:space="preserve">| [Lithuania](/tags/lithuania) </v>
      </c>
      <c r="CM40" s="13" t="str">
        <f t="shared" si="92"/>
        <v xml:space="preserve">| 1608 </v>
      </c>
      <c r="CN40" s="13" t="str">
        <f t="shared" si="93"/>
        <v xml:space="preserve">| [Link](/places/places\lt-basilica-of-the-nativity-of-the-blessed-virgin-mary) </v>
      </c>
      <c r="CO40" s="12" t="str">
        <f t="shared" si="94"/>
        <v xml:space="preserve">
| [Šiluva](/places/places\lt-basilica-of-the-nativity-of-the-blessed-virgin-mary) | [Lithuania](/tags/lithuania)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1901</v>
      </c>
      <c r="C41" s="7" t="s">
        <v>344</v>
      </c>
      <c r="D41" s="26" t="s">
        <v>1188</v>
      </c>
      <c r="E41" s="1">
        <v>19.483432799999999</v>
      </c>
      <c r="F41" s="30">
        <v>-99.117410300000003</v>
      </c>
      <c r="G41" s="7" t="s">
        <v>147</v>
      </c>
      <c r="H41" s="33" t="s">
        <v>147</v>
      </c>
      <c r="I41" s="7" t="s">
        <v>1165</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66"/>
        <v>1</v>
      </c>
      <c r="AT41" s="117" t="str">
        <f t="shared" si="67"/>
        <v>title: "Basilica of Our Lady of Guadalupe"</v>
      </c>
      <c r="AU41" s="117" t="str">
        <f t="shared" si="68"/>
        <v>location: {lat: 19.4834328, lng: -99.1174103}</v>
      </c>
      <c r="AV41" s="117" t="str">
        <f t="shared" si="69"/>
        <v>interest: global</v>
      </c>
      <c r="AW41" s="117" t="str">
        <f>"- "&amp;VLOOKUP(C41,'Country Tags'!C:E,3,)</f>
        <v>- mexico</v>
      </c>
      <c r="AX41" s="117" t="str">
        <f t="shared" si="70"/>
        <v>- mexico-city</v>
      </c>
      <c r="AY41" s="117" t="str">
        <f t="shared" si="71"/>
        <v>- churches</v>
      </c>
      <c r="AZ41" s="117" t="str">
        <f t="shared" si="72"/>
        <v>- marian-sites</v>
      </c>
      <c r="BA41" s="117" t="str">
        <f t="shared" si="73"/>
        <v>- holy-persons</v>
      </c>
      <c r="BB41" s="117" t="str">
        <f t="shared" si="74"/>
        <v>- juan-diego</v>
      </c>
      <c r="BC41" s="117" t="str">
        <f t="shared" si="75"/>
        <v/>
      </c>
      <c r="BD41" s="117" t="str">
        <f t="shared" si="76"/>
        <v/>
      </c>
      <c r="BE41" s="117" t="str">
        <f t="shared" si="77"/>
        <v/>
      </c>
      <c r="BF41" s="117" t="str">
        <f t="shared" si="78"/>
        <v/>
      </c>
      <c r="BG41" s="117" t="str">
        <f t="shared" si="79"/>
        <v/>
      </c>
      <c r="BH41" s="117" t="str">
        <f t="shared" si="80"/>
        <v/>
      </c>
      <c r="BI41" s="117" t="str">
        <f t="shared" si="81"/>
        <v/>
      </c>
      <c r="BJ41" s="117" t="str">
        <f t="shared" si="82"/>
        <v/>
      </c>
      <c r="BK41" s="117" t="str">
        <f t="shared" si="83"/>
        <v/>
      </c>
      <c r="BL41" s="117" t="str">
        <f t="shared" si="84"/>
        <v xml:space="preserve">tags:
- mexico_x000D_
- mexico-city_x000D_
- churches_x000D_
- marian-sites_x000D_
- holy-persons_x000D_
- juan-diego_x000D_
</v>
      </c>
      <c r="BM41" s="120" t="str">
        <f t="shared" si="62"/>
        <v>[Official site](https://virgendeguadalupe.org.mx/)</v>
      </c>
      <c r="BN41" s="120" t="str">
        <f t="shared" si="63"/>
        <v/>
      </c>
      <c r="BO41" s="120" t="str">
        <f t="shared" si="64"/>
        <v/>
      </c>
      <c r="BP41" s="120" t="str">
        <f t="shared" si="65"/>
        <v/>
      </c>
      <c r="BQ41" s="120" t="str">
        <f t="shared" si="85"/>
        <v xml:space="preserve">* [Official site](https://virgendeguadalupe.org.mx/)
</v>
      </c>
      <c r="BR41" s="120" t="str">
        <f t="shared" si="86"/>
        <v>[Link](http://www.therealpresence.org/eucharst/misc/BVM/70_GUADALUPE_96x96.pdf)</v>
      </c>
      <c r="BS41" s="120" t="str">
        <f t="shared" si="87"/>
        <v>[Link](https://www.miraclehunter.com/marian_apparitions/approved_apparitions/guadalupe/index.html)</v>
      </c>
      <c r="BT41" s="120" t="str">
        <f t="shared" si="88"/>
        <v>[Link](https://www.marypages.com/guadalupe-(mexico).html)</v>
      </c>
      <c r="BU41" s="120" t="str">
        <f>IF(LEN(concat(BR41:BT41))&gt;0,concat("| ",BR41," | ",BS41," | ",BT41," |"),"")</f>
        <v>| [Link](http://www.therealpresence.org/eucharst/misc/BVM/70_GUADALUPE_96x96.pdf) | [Link](https://www.miraclehunter.com/marian_apparitions/approved_apparitions/guadalupe/index.html) | [Link](https://www.marypages.com/guadalupe-(mexico).html) |</v>
      </c>
      <c r="BV41" s="117" t="str">
        <f t="shared" si="89"/>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90"/>
        <v>#VALUE!</v>
      </c>
      <c r="CK41" s="13" t="str">
        <f t="shared" si="91"/>
        <v xml:space="preserve">| [Guadalupe](/places/places\mx-mexico-city-basilica-of-our-lady-of-guadalupe) </v>
      </c>
      <c r="CL41" s="13" t="str">
        <f>"| "&amp;IF(AS41,GetTagPage(C41,VLOOKUP(C41,'Country Tags'!C:E,3,)),C41)&amp; " "</f>
        <v xml:space="preserve">| [Mexico](/tags/mexico) </v>
      </c>
      <c r="CM41" s="13" t="str">
        <f t="shared" si="92"/>
        <v xml:space="preserve">| 1531 </v>
      </c>
      <c r="CN41" s="13" t="str">
        <f t="shared" si="93"/>
        <v xml:space="preserve">| [Link](/places/places\mx-mexico-city-basilica-of-our-lady-of-guadalupe) </v>
      </c>
      <c r="CO41" s="12" t="e">
        <f t="shared" si="94"/>
        <v>#VALUE!</v>
      </c>
    </row>
    <row r="42" spans="1:93" ht="38.25" x14ac:dyDescent="0.25">
      <c r="A42" s="129" t="s">
        <v>786</v>
      </c>
      <c r="B42" s="7" t="s">
        <v>1902</v>
      </c>
      <c r="C42" s="7" t="s">
        <v>344</v>
      </c>
      <c r="D42" s="7" t="s">
        <v>1188</v>
      </c>
      <c r="E42" s="1">
        <v>19.422522000000001</v>
      </c>
      <c r="F42" s="30">
        <v>-99.160942700000007</v>
      </c>
      <c r="G42" s="7" t="s">
        <v>1303</v>
      </c>
      <c r="H42" s="61" t="s">
        <v>1304</v>
      </c>
      <c r="I42" s="55" t="s">
        <v>1187</v>
      </c>
      <c r="J42" s="7" t="b">
        <v>1</v>
      </c>
      <c r="L42" s="7" t="b">
        <v>1</v>
      </c>
      <c r="M42" s="55" t="s">
        <v>1305</v>
      </c>
      <c r="P42" s="1" t="s">
        <v>53</v>
      </c>
      <c r="Z42" s="62" t="s">
        <v>1306</v>
      </c>
      <c r="AA42" s="62" t="s">
        <v>1476</v>
      </c>
      <c r="AS42" s="116" t="b">
        <f t="shared" si="66"/>
        <v>1</v>
      </c>
      <c r="AT42" s="117" t="str">
        <f t="shared" si="67"/>
        <v>title: "Church of the Holy Family (La Sagrada Familia), Mexico City"</v>
      </c>
      <c r="AU42" s="117" t="str">
        <f t="shared" si="68"/>
        <v>location: {lat: 19.422522, lng: -99.1609427}</v>
      </c>
      <c r="AV42" s="117" t="str">
        <f t="shared" si="69"/>
        <v>interest: regional</v>
      </c>
      <c r="AW42" s="117" t="str">
        <f>"- "&amp;VLOOKUP(C42,'Country Tags'!C:E,3,)</f>
        <v>- mexico</v>
      </c>
      <c r="AX42" s="117" t="str">
        <f t="shared" si="70"/>
        <v>- mexico-city</v>
      </c>
      <c r="AY42" s="117" t="str">
        <f t="shared" si="71"/>
        <v>- churches</v>
      </c>
      <c r="AZ42" s="117" t="str">
        <f t="shared" si="72"/>
        <v/>
      </c>
      <c r="BA42" s="117" t="str">
        <f t="shared" si="73"/>
        <v>- holy-persons</v>
      </c>
      <c r="BB42" s="117" t="str">
        <f t="shared" si="74"/>
        <v>- miguel-pro</v>
      </c>
      <c r="BC42" s="117" t="str">
        <f t="shared" si="75"/>
        <v>- jesuits</v>
      </c>
      <c r="BD42" s="117" t="str">
        <f t="shared" si="76"/>
        <v/>
      </c>
      <c r="BE42" s="117" t="str">
        <f t="shared" si="77"/>
        <v/>
      </c>
      <c r="BF42" s="117" t="str">
        <f t="shared" si="78"/>
        <v/>
      </c>
      <c r="BG42" s="117" t="str">
        <f t="shared" si="79"/>
        <v/>
      </c>
      <c r="BH42" s="117" t="str">
        <f t="shared" si="80"/>
        <v/>
      </c>
      <c r="BI42" s="117" t="str">
        <f t="shared" si="81"/>
        <v/>
      </c>
      <c r="BJ42" s="117" t="str">
        <f t="shared" si="82"/>
        <v/>
      </c>
      <c r="BK42" s="117" t="str">
        <f t="shared" si="83"/>
        <v/>
      </c>
      <c r="BL42" s="117" t="str">
        <f t="shared" si="84"/>
        <v xml:space="preserve">tags:
- mexico_x000D_
- mexico-city_x000D_
- churches_x000D_
- holy-persons_x000D_
- miguel-pro_x000D_
- jesuits_x000D_
</v>
      </c>
      <c r="BM42" s="120" t="str">
        <f t="shared" si="62"/>
        <v/>
      </c>
      <c r="BN42" s="120" t="str">
        <f t="shared" si="63"/>
        <v/>
      </c>
      <c r="BO42" s="120" t="str">
        <f t="shared" si="64"/>
        <v/>
      </c>
      <c r="BP42" s="120" t="str">
        <f t="shared" si="65"/>
        <v/>
      </c>
      <c r="BQ42" s="117" t="str">
        <f t="shared" si="85"/>
        <v/>
      </c>
      <c r="BR42" s="117" t="str">
        <f t="shared" si="86"/>
        <v/>
      </c>
      <c r="BS42" s="117" t="str">
        <f t="shared" si="87"/>
        <v/>
      </c>
      <c r="BT42" s="117" t="str">
        <f t="shared" si="88"/>
        <v/>
      </c>
      <c r="BU42" s="117" t="str">
        <f>IF(LEN(concat(BR42:BT42))&gt;0,concat("| ",BR42," | ",BS42," | ",BT42," |"),"")</f>
        <v/>
      </c>
      <c r="BV42" s="117" t="str">
        <f t="shared" si="89"/>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90"/>
        <v>#VALUE!</v>
      </c>
      <c r="CK42" s="12" t="str">
        <f t="shared" si="91"/>
        <v xml:space="preserve">| [](/places/places\mx-mexico-city-la-sagrada-familia) </v>
      </c>
      <c r="CL42" s="13" t="str">
        <f>"| "&amp;IF(AS42,GetTagPage(C42,VLOOKUP(C42,'Country Tags'!C:E,3,)),C42)&amp; " "</f>
        <v xml:space="preserve">| [Mexico](/tags/mexico) </v>
      </c>
      <c r="CM42" s="12" t="str">
        <f t="shared" si="92"/>
        <v xml:space="preserve">|  </v>
      </c>
      <c r="CN42" s="12" t="str">
        <f t="shared" si="93"/>
        <v xml:space="preserve">| [Link](/places/places\mx-mexico-city-la-sagrada-familia) </v>
      </c>
      <c r="CO42" s="12" t="e">
        <f t="shared" si="94"/>
        <v>#VALUE!</v>
      </c>
    </row>
    <row r="43" spans="1:93" ht="51" x14ac:dyDescent="0.25">
      <c r="A43" s="129" t="s">
        <v>786</v>
      </c>
      <c r="B43" s="7" t="s">
        <v>1902</v>
      </c>
      <c r="C43" s="7" t="s">
        <v>344</v>
      </c>
      <c r="D43" s="7" t="s">
        <v>1188</v>
      </c>
      <c r="E43" s="1">
        <v>19.436178000000002</v>
      </c>
      <c r="F43" s="30">
        <v>-99.150290999999996</v>
      </c>
      <c r="G43" s="55" t="s">
        <v>1310</v>
      </c>
      <c r="H43" s="61" t="s">
        <v>1308</v>
      </c>
      <c r="I43" s="55" t="s">
        <v>1187</v>
      </c>
      <c r="L43" s="7" t="b">
        <v>1</v>
      </c>
      <c r="M43" s="55" t="s">
        <v>1309</v>
      </c>
      <c r="N43" s="139" t="s">
        <v>1925</v>
      </c>
      <c r="P43" s="1" t="s">
        <v>53</v>
      </c>
      <c r="Z43" s="1" t="s">
        <v>1306</v>
      </c>
      <c r="AA43" s="1" t="s">
        <v>1476</v>
      </c>
      <c r="AS43" s="116" t="b">
        <f t="shared" si="66"/>
        <v>1</v>
      </c>
      <c r="AT43" s="117" t="str">
        <f t="shared" si="67"/>
        <v>title: "Site of Bl. Miguel Pro's Martyrdom"</v>
      </c>
      <c r="AU43" s="117" t="str">
        <f t="shared" si="68"/>
        <v>location: {lat: 19.436178, lng: -99.150291}</v>
      </c>
      <c r="AV43" s="117" t="str">
        <f t="shared" si="69"/>
        <v>interest: regional</v>
      </c>
      <c r="AW43" s="117" t="str">
        <f>"- "&amp;VLOOKUP(C43,'Country Tags'!C:E,3,)</f>
        <v>- mexico</v>
      </c>
      <c r="AX43" s="117" t="str">
        <f t="shared" si="70"/>
        <v>- mexico-city</v>
      </c>
      <c r="AY43" s="117" t="str">
        <f t="shared" si="71"/>
        <v/>
      </c>
      <c r="AZ43" s="117" t="str">
        <f t="shared" si="72"/>
        <v/>
      </c>
      <c r="BA43" s="117" t="str">
        <f t="shared" si="73"/>
        <v>- holy-persons</v>
      </c>
      <c r="BB43" s="117" t="str">
        <f t="shared" si="74"/>
        <v>- miguel-pro</v>
      </c>
      <c r="BC43" s="117" t="str">
        <f t="shared" si="75"/>
        <v>- jesuits</v>
      </c>
      <c r="BD43" s="117" t="str">
        <f t="shared" si="76"/>
        <v/>
      </c>
      <c r="BE43" s="117" t="str">
        <f t="shared" si="77"/>
        <v/>
      </c>
      <c r="BF43" s="117" t="str">
        <f t="shared" si="78"/>
        <v/>
      </c>
      <c r="BG43" s="117" t="str">
        <f t="shared" si="79"/>
        <v/>
      </c>
      <c r="BH43" s="117" t="str">
        <f t="shared" si="80"/>
        <v/>
      </c>
      <c r="BI43" s="117" t="str">
        <f t="shared" si="81"/>
        <v/>
      </c>
      <c r="BJ43" s="117" t="str">
        <f t="shared" si="82"/>
        <v/>
      </c>
      <c r="BK43" s="117" t="str">
        <f t="shared" si="83"/>
        <v/>
      </c>
      <c r="BL43" s="117" t="str">
        <f t="shared" si="84"/>
        <v xml:space="preserve">tags:
- mexico_x000D_
- mexico-city_x000D_
- holy-persons_x000D_
- miguel-pro_x000D_
- jesuits_x000D_
</v>
      </c>
      <c r="BM43" s="120" t="str">
        <f t="shared" si="62"/>
        <v/>
      </c>
      <c r="BN43" s="120" t="str">
        <f t="shared" si="63"/>
        <v/>
      </c>
      <c r="BO43" s="120" t="str">
        <f t="shared" si="64"/>
        <v/>
      </c>
      <c r="BP43" s="120" t="str">
        <f t="shared" si="65"/>
        <v/>
      </c>
      <c r="BQ43" s="117" t="str">
        <f t="shared" si="85"/>
        <v/>
      </c>
      <c r="BR43" s="117" t="str">
        <f t="shared" si="86"/>
        <v/>
      </c>
      <c r="BS43" s="117" t="str">
        <f t="shared" si="87"/>
        <v/>
      </c>
      <c r="BT43" s="117" t="str">
        <f t="shared" si="88"/>
        <v/>
      </c>
      <c r="BU43" s="117" t="str">
        <f>IF(LEN(concat(BR43:BT43))&gt;0,concat("| ",BR43," | ",BS43," | ",BT43," |"),"")</f>
        <v/>
      </c>
      <c r="BV43" s="117" t="str">
        <f t="shared" si="89"/>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90"/>
        <v>#VALUE!</v>
      </c>
      <c r="CK43" s="12" t="str">
        <f t="shared" si="91"/>
        <v xml:space="preserve">| [](/places/places\mx-mexico-city-miguel-pro-martyrdom-site) </v>
      </c>
      <c r="CL43" s="13" t="str">
        <f>"| "&amp;IF(AS43,GetTagPage(C43,VLOOKUP(C43,'Country Tags'!C:E,3,)),C43)&amp; " "</f>
        <v xml:space="preserve">| [Mexico](/tags/mexico) </v>
      </c>
      <c r="CM43" s="12" t="str">
        <f t="shared" si="92"/>
        <v xml:space="preserve">|  </v>
      </c>
      <c r="CN43" s="12" t="str">
        <f t="shared" si="93"/>
        <v xml:space="preserve">| [Link](/places/places\mx-mexico-city-miguel-pro-martyrdom-site) </v>
      </c>
      <c r="CO43" s="12" t="e">
        <f t="shared" si="94"/>
        <v>#VALUE!</v>
      </c>
    </row>
    <row r="44" spans="1:93" ht="76.5" x14ac:dyDescent="0.25">
      <c r="A44" s="129" t="s">
        <v>786</v>
      </c>
      <c r="B44" s="7" t="s">
        <v>1902</v>
      </c>
      <c r="C44" s="7" t="s">
        <v>344</v>
      </c>
      <c r="D44" s="7" t="s">
        <v>1188</v>
      </c>
      <c r="E44" s="1">
        <v>19.4224</v>
      </c>
      <c r="F44" s="30">
        <v>-99.16095</v>
      </c>
      <c r="G44" s="55" t="s">
        <v>1311</v>
      </c>
      <c r="H44" s="61" t="s">
        <v>1312</v>
      </c>
      <c r="I44" s="7" t="s">
        <v>1187</v>
      </c>
      <c r="L44" s="7" t="b">
        <v>1</v>
      </c>
      <c r="M44" s="55" t="s">
        <v>1313</v>
      </c>
      <c r="N44" s="139" t="s">
        <v>1926</v>
      </c>
      <c r="P44" s="1" t="s">
        <v>53</v>
      </c>
      <c r="Z44" s="1" t="s">
        <v>1306</v>
      </c>
      <c r="AA44" s="1" t="s">
        <v>1476</v>
      </c>
      <c r="AS44" s="116" t="b">
        <f t="shared" si="66"/>
        <v>1</v>
      </c>
      <c r="AT44" s="117" t="str">
        <f t="shared" si="67"/>
        <v>title: "Museum of Bl. Miguel Agustin Pro"</v>
      </c>
      <c r="AU44" s="117" t="str">
        <f t="shared" si="68"/>
        <v>location: {lat: 19.4224, lng: -99.16095}</v>
      </c>
      <c r="AV44" s="117" t="str">
        <f t="shared" si="69"/>
        <v>interest: regional</v>
      </c>
      <c r="AW44" s="117" t="str">
        <f>"- "&amp;VLOOKUP(C44,'Country Tags'!C:E,3,)</f>
        <v>- mexico</v>
      </c>
      <c r="AX44" s="117" t="str">
        <f t="shared" si="70"/>
        <v>- mexico-city</v>
      </c>
      <c r="AY44" s="117" t="str">
        <f t="shared" si="71"/>
        <v/>
      </c>
      <c r="AZ44" s="117" t="str">
        <f t="shared" si="72"/>
        <v/>
      </c>
      <c r="BA44" s="117" t="str">
        <f t="shared" si="73"/>
        <v>- holy-persons</v>
      </c>
      <c r="BB44" s="117" t="str">
        <f t="shared" si="74"/>
        <v>- miguel-pro</v>
      </c>
      <c r="BC44" s="117" t="str">
        <f t="shared" si="75"/>
        <v>- jesuits</v>
      </c>
      <c r="BD44" s="117" t="str">
        <f t="shared" si="76"/>
        <v/>
      </c>
      <c r="BE44" s="117" t="str">
        <f t="shared" si="77"/>
        <v/>
      </c>
      <c r="BF44" s="117" t="str">
        <f t="shared" si="78"/>
        <v/>
      </c>
      <c r="BG44" s="117" t="str">
        <f t="shared" si="79"/>
        <v/>
      </c>
      <c r="BH44" s="117" t="str">
        <f t="shared" si="80"/>
        <v/>
      </c>
      <c r="BI44" s="117" t="str">
        <f t="shared" si="81"/>
        <v/>
      </c>
      <c r="BJ44" s="117" t="str">
        <f t="shared" si="82"/>
        <v/>
      </c>
      <c r="BK44" s="117" t="str">
        <f t="shared" si="83"/>
        <v/>
      </c>
      <c r="BL44" s="117" t="str">
        <f t="shared" si="84"/>
        <v xml:space="preserve">tags:
- mexico_x000D_
- mexico-city_x000D_
- holy-persons_x000D_
- miguel-pro_x000D_
- jesuits_x000D_
</v>
      </c>
      <c r="BM44" s="120" t="str">
        <f t="shared" si="62"/>
        <v/>
      </c>
      <c r="BN44" s="120" t="str">
        <f t="shared" si="63"/>
        <v/>
      </c>
      <c r="BO44" s="120" t="str">
        <f t="shared" si="64"/>
        <v/>
      </c>
      <c r="BP44" s="120" t="str">
        <f t="shared" si="65"/>
        <v/>
      </c>
      <c r="BQ44" s="117" t="str">
        <f t="shared" si="85"/>
        <v/>
      </c>
      <c r="BR44" s="117" t="str">
        <f t="shared" si="86"/>
        <v/>
      </c>
      <c r="BS44" s="117" t="str">
        <f t="shared" si="87"/>
        <v/>
      </c>
      <c r="BT44" s="117" t="str">
        <f t="shared" si="88"/>
        <v/>
      </c>
      <c r="BU44" s="117" t="str">
        <f>IF(LEN(concat(BR44:BT44))&gt;0,concat("| ",BR44," | ",BS44," | ",BT44," |"),"")</f>
        <v/>
      </c>
      <c r="BV44" s="117" t="str">
        <f t="shared" si="89"/>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90"/>
        <v>#VALUE!</v>
      </c>
      <c r="CK44" s="12" t="str">
        <f t="shared" si="91"/>
        <v xml:space="preserve">| [](/places/places\mx-mexico-city-miguel-pro-museum) </v>
      </c>
      <c r="CL44" s="13" t="str">
        <f>"| "&amp;IF(AS44,GetTagPage(C44,VLOOKUP(C44,'Country Tags'!C:E,3,)),C44)&amp; " "</f>
        <v xml:space="preserve">| [Mexico](/tags/mexico) </v>
      </c>
      <c r="CM44" s="12" t="str">
        <f t="shared" si="92"/>
        <v xml:space="preserve">|  </v>
      </c>
      <c r="CN44" s="12" t="str">
        <f t="shared" si="93"/>
        <v xml:space="preserve">| [Link](/places/places\mx-mexico-city-miguel-pro-museum) </v>
      </c>
      <c r="CO44" s="12" t="e">
        <f t="shared" si="94"/>
        <v>#VALUE!</v>
      </c>
    </row>
    <row r="45" spans="1:93" ht="63.75" x14ac:dyDescent="0.25">
      <c r="A45" s="129" t="s">
        <v>786</v>
      </c>
      <c r="B45" s="7" t="s">
        <v>1901</v>
      </c>
      <c r="C45" s="7" t="s">
        <v>363</v>
      </c>
      <c r="E45" s="1">
        <v>16.0440593284094</v>
      </c>
      <c r="F45" s="30">
        <v>120.488325579597</v>
      </c>
      <c r="G45" s="7" t="s">
        <v>841</v>
      </c>
      <c r="H45" s="33" t="s">
        <v>842</v>
      </c>
      <c r="I45" s="7" t="s">
        <v>1165</v>
      </c>
      <c r="J45" s="23" t="b">
        <v>1</v>
      </c>
      <c r="K45" s="7" t="b">
        <v>1</v>
      </c>
      <c r="M45" s="130" t="s">
        <v>1941</v>
      </c>
      <c r="O45" s="1" t="s">
        <v>843</v>
      </c>
      <c r="P45" s="1" t="s">
        <v>53</v>
      </c>
      <c r="Z45" s="1" t="s">
        <v>53</v>
      </c>
      <c r="AJ45" s="56" t="s">
        <v>770</v>
      </c>
      <c r="AK45" s="57">
        <v>1610</v>
      </c>
      <c r="AL45" s="1" t="s">
        <v>28</v>
      </c>
      <c r="AM45" s="1" t="s">
        <v>53</v>
      </c>
      <c r="AN45" s="1" t="s">
        <v>844</v>
      </c>
      <c r="AO45" s="1" t="s">
        <v>53</v>
      </c>
      <c r="AP45" s="1" t="s">
        <v>53</v>
      </c>
      <c r="AQ45" s="30" t="s">
        <v>53</v>
      </c>
      <c r="AS45" s="116" t="b">
        <f t="shared" si="66"/>
        <v>1</v>
      </c>
      <c r="AT45" s="117" t="str">
        <f t="shared" si="67"/>
        <v>title: "Minor Basilica of Our Lady of the Rosary of Manaoag"</v>
      </c>
      <c r="AU45" s="117" t="str">
        <f t="shared" si="68"/>
        <v>location: {lat: 16.0440593284094, lng: 120.488325579597}</v>
      </c>
      <c r="AV45" s="117" t="str">
        <f t="shared" si="69"/>
        <v>interest: global</v>
      </c>
      <c r="AW45" s="117" t="str">
        <f>"- "&amp;VLOOKUP(C45,'Country Tags'!C:E,3,)</f>
        <v>- philippines</v>
      </c>
      <c r="AX45" s="117" t="str">
        <f t="shared" si="70"/>
        <v/>
      </c>
      <c r="AY45" s="117" t="str">
        <f t="shared" si="71"/>
        <v>- churches</v>
      </c>
      <c r="AZ45" s="117" t="str">
        <f t="shared" si="72"/>
        <v>- marian-sites</v>
      </c>
      <c r="BA45" s="117" t="str">
        <f t="shared" si="73"/>
        <v/>
      </c>
      <c r="BB45" s="117" t="str">
        <f t="shared" si="74"/>
        <v/>
      </c>
      <c r="BC45" s="117" t="str">
        <f t="shared" si="75"/>
        <v/>
      </c>
      <c r="BD45" s="117" t="str">
        <f t="shared" si="76"/>
        <v/>
      </c>
      <c r="BE45" s="117" t="str">
        <f t="shared" si="77"/>
        <v/>
      </c>
      <c r="BF45" s="117" t="str">
        <f t="shared" si="78"/>
        <v/>
      </c>
      <c r="BG45" s="117" t="str">
        <f t="shared" si="79"/>
        <v/>
      </c>
      <c r="BH45" s="117" t="str">
        <f t="shared" si="80"/>
        <v/>
      </c>
      <c r="BI45" s="117" t="str">
        <f t="shared" si="81"/>
        <v/>
      </c>
      <c r="BJ45" s="117" t="str">
        <f t="shared" si="82"/>
        <v/>
      </c>
      <c r="BK45" s="117" t="str">
        <f t="shared" si="83"/>
        <v/>
      </c>
      <c r="BL45" s="117" t="str">
        <f t="shared" si="84"/>
        <v xml:space="preserve">tags:
- philippines_x000D_
- churches_x000D_
- marian-sites_x000D_
</v>
      </c>
      <c r="BM45" s="120" t="str">
        <f t="shared" si="62"/>
        <v>[Official site](https://www.manaoagminorbasilica.org/)</v>
      </c>
      <c r="BN45" s="120" t="str">
        <f t="shared" si="63"/>
        <v/>
      </c>
      <c r="BO45" s="120" t="str">
        <f t="shared" si="64"/>
        <v/>
      </c>
      <c r="BP45" s="120" t="str">
        <f t="shared" si="65"/>
        <v/>
      </c>
      <c r="BQ45" s="120" t="str">
        <f t="shared" si="85"/>
        <v xml:space="preserve">* [Official site](https://www.manaoagminorbasilica.org/)
</v>
      </c>
      <c r="BR45" s="120" t="str">
        <f t="shared" si="86"/>
        <v>[Link](http://www.therealpresence.org/eucharst/misc/BVM/88_MANAOAG_60x96.pdf)</v>
      </c>
      <c r="BS45" s="120" t="str">
        <f t="shared" si="87"/>
        <v>[Link](https://www.miraclehunter.com/marian_apparitions/approved_apparitions/manaoag/index.html)</v>
      </c>
      <c r="BT45" s="120" t="str">
        <f t="shared" si="88"/>
        <v/>
      </c>
      <c r="BU45" s="120" t="str">
        <f>IF(LEN(concat(BR45:BT45))&gt;0,concat("| ",BR45," | ",BS45," | ",BT45," |"),"")</f>
        <v>| [Link](http://www.therealpresence.org/eucharst/misc/BVM/88_MANAOAG_60x96.pdf) | [Link](https://www.miraclehunter.com/marian_apparitions/approved_apparitions/manaoag/index.html) |  |</v>
      </c>
      <c r="BV45" s="117" t="str">
        <f t="shared" si="89"/>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90"/>
        <v xml:space="preserve">| </v>
      </c>
      <c r="CK45" s="13" t="str">
        <f t="shared" si="91"/>
        <v xml:space="preserve">| [Manaoag](/places/places\ph-basilica-of-our-lady-of-the-rosary-of-manaoag) </v>
      </c>
      <c r="CL45" s="13" t="str">
        <f>"| "&amp;IF(AS45,GetTagPage(C45,VLOOKUP(C45,'Country Tags'!C:E,3,)),C45)&amp; " "</f>
        <v xml:space="preserve">| [Philippines](/tags/philippines) </v>
      </c>
      <c r="CM45" s="13" t="str">
        <f t="shared" si="92"/>
        <v xml:space="preserve">| 1610 </v>
      </c>
      <c r="CN45" s="13" t="str">
        <f t="shared" si="93"/>
        <v xml:space="preserve">| [Link](/places/places\ph-basilica-of-our-lady-of-the-rosary-of-manaoag) </v>
      </c>
      <c r="CO45" s="12" t="str">
        <f t="shared" si="94"/>
        <v xml:space="preserve">
| [Manaoag](/places/places\ph-basilica-of-our-lady-of-the-rosary-of-manaoag) | [Philippines](/tags/philippines)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1901</v>
      </c>
      <c r="C46" s="7" t="s">
        <v>365</v>
      </c>
      <c r="E46" s="1">
        <v>54.024675490094602</v>
      </c>
      <c r="F46" s="30">
        <v>21.217746272668698</v>
      </c>
      <c r="G46" s="7" t="s">
        <v>781</v>
      </c>
      <c r="H46" s="33" t="s">
        <v>781</v>
      </c>
      <c r="I46" s="7" t="s">
        <v>1165</v>
      </c>
      <c r="J46" s="23" t="b">
        <v>1</v>
      </c>
      <c r="K46" s="7" t="b">
        <v>1</v>
      </c>
      <c r="M46" s="23" t="s">
        <v>1163</v>
      </c>
      <c r="N46" s="139" t="s">
        <v>1927</v>
      </c>
      <c r="O46" s="1" t="s">
        <v>788</v>
      </c>
      <c r="P46" s="1" t="s">
        <v>53</v>
      </c>
      <c r="Z46" s="1" t="s">
        <v>53</v>
      </c>
      <c r="AJ46" s="56" t="s">
        <v>763</v>
      </c>
      <c r="AK46" s="57" t="s">
        <v>756</v>
      </c>
      <c r="AL46" s="1" t="s">
        <v>18</v>
      </c>
      <c r="AM46" s="1" t="s">
        <v>53</v>
      </c>
      <c r="AN46" s="1" t="s">
        <v>789</v>
      </c>
      <c r="AO46" s="1" t="s">
        <v>801</v>
      </c>
      <c r="AP46" s="1" t="s">
        <v>53</v>
      </c>
      <c r="AQ46" s="30" t="s">
        <v>53</v>
      </c>
      <c r="AS46" s="116" t="b">
        <f t="shared" si="66"/>
        <v>1</v>
      </c>
      <c r="AT46" s="117" t="str">
        <f t="shared" si="67"/>
        <v>title: "Swieta Lipka Sanctuary"</v>
      </c>
      <c r="AU46" s="117" t="str">
        <f t="shared" si="68"/>
        <v>location: {lat: 54.0246754900946, lng: 21.2177462726687}</v>
      </c>
      <c r="AV46" s="117" t="str">
        <f t="shared" si="69"/>
        <v>interest: global</v>
      </c>
      <c r="AW46" s="117" t="str">
        <f>"- "&amp;VLOOKUP(C46,'Country Tags'!C:E,3,)</f>
        <v>- poland</v>
      </c>
      <c r="AX46" s="117" t="str">
        <f t="shared" si="70"/>
        <v/>
      </c>
      <c r="AY46" s="117" t="str">
        <f t="shared" si="71"/>
        <v>- churches</v>
      </c>
      <c r="AZ46" s="117" t="str">
        <f t="shared" si="72"/>
        <v>- marian-sites</v>
      </c>
      <c r="BA46" s="117" t="str">
        <f t="shared" si="73"/>
        <v/>
      </c>
      <c r="BB46" s="117" t="str">
        <f t="shared" si="74"/>
        <v/>
      </c>
      <c r="BC46" s="117" t="str">
        <f t="shared" si="75"/>
        <v/>
      </c>
      <c r="BD46" s="117" t="str">
        <f t="shared" si="76"/>
        <v/>
      </c>
      <c r="BE46" s="117" t="str">
        <f t="shared" si="77"/>
        <v/>
      </c>
      <c r="BF46" s="117" t="str">
        <f t="shared" si="78"/>
        <v/>
      </c>
      <c r="BG46" s="117" t="str">
        <f t="shared" si="79"/>
        <v/>
      </c>
      <c r="BH46" s="117" t="str">
        <f t="shared" si="80"/>
        <v/>
      </c>
      <c r="BI46" s="117" t="str">
        <f t="shared" si="81"/>
        <v/>
      </c>
      <c r="BJ46" s="117" t="str">
        <f t="shared" si="82"/>
        <v/>
      </c>
      <c r="BK46" s="117" t="str">
        <f t="shared" si="83"/>
        <v/>
      </c>
      <c r="BL46" s="117" t="str">
        <f t="shared" si="84"/>
        <v xml:space="preserve">tags:
- poland_x000D_
- churches_x000D_
- marian-sites_x000D_
</v>
      </c>
      <c r="BM46" s="120" t="str">
        <f t="shared" si="62"/>
        <v>[Official site](https://www.swlipka.pl/)</v>
      </c>
      <c r="BN46" s="120" t="str">
        <f t="shared" si="63"/>
        <v/>
      </c>
      <c r="BO46" s="120" t="str">
        <f t="shared" si="64"/>
        <v/>
      </c>
      <c r="BP46" s="120" t="str">
        <f t="shared" si="65"/>
        <v/>
      </c>
      <c r="BQ46" s="120" t="str">
        <f t="shared" si="85"/>
        <v xml:space="preserve">* [Official site](https://www.swlipka.pl/)
</v>
      </c>
      <c r="BR46" s="120" t="str">
        <f t="shared" si="86"/>
        <v>[Link](http://www.therealpresence.org/eucharst/misc/BVM/138_SWIETA_LIPKA_60x96.pdf)</v>
      </c>
      <c r="BS46" s="120" t="str">
        <f t="shared" si="87"/>
        <v>[Link](http://www.miraclehunter.com/marian_apparitions/approved_apparitions/apparitions_1200-1299.html) (Search for "Swieta Lipka")</v>
      </c>
      <c r="BT46" s="120" t="str">
        <f t="shared" si="88"/>
        <v/>
      </c>
      <c r="BU46" s="120" t="str">
        <f>IF(LEN(concat(BR46:BT46))&gt;0,concat("| ",BR46," | ",BS46," | ",BT46," |"),"")</f>
        <v>| [Link](http://www.therealpresence.org/eucharst/misc/BVM/138_SWIETA_LIPKA_60x96.pdf) | [Link](http://www.miraclehunter.com/marian_apparitions/approved_apparitions/apparitions_1200-1299.html) (Search for "Swieta Lipka") |  |</v>
      </c>
      <c r="BV46" s="117" t="str">
        <f t="shared" si="89"/>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90"/>
        <v xml:space="preserve">| </v>
      </c>
      <c r="CK46" s="13" t="str">
        <f t="shared" si="91"/>
        <v xml:space="preserve">| [Swieta Lipka](/places/places\pl-swieta-lipka-sanctuary) </v>
      </c>
      <c r="CL46" s="13" t="str">
        <f>"| "&amp;IF(AS46,GetTagPage(C46,VLOOKUP(C46,'Country Tags'!C:E,3,)),C46)&amp; " "</f>
        <v xml:space="preserve">| [Poland](/tags/poland) </v>
      </c>
      <c r="CM46" s="13" t="str">
        <f t="shared" si="92"/>
        <v xml:space="preserve">| 13th Century </v>
      </c>
      <c r="CN46" s="13" t="str">
        <f t="shared" si="93"/>
        <v xml:space="preserve">| [Link](/places/places\pl-swieta-lipka-sanctuary) </v>
      </c>
      <c r="CO46" s="12" t="str">
        <f t="shared" si="94"/>
        <v xml:space="preserve">
| [Swieta Lipka](/places/places\pl-swieta-lipka-sanctuary) | [Poland](/tags/poland)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1901</v>
      </c>
      <c r="C47" s="10" t="s">
        <v>365</v>
      </c>
      <c r="E47" s="1">
        <v>49.465129655108299</v>
      </c>
      <c r="F47" s="30">
        <v>19.982843057005098</v>
      </c>
      <c r="G47" s="10" t="s">
        <v>870</v>
      </c>
      <c r="H47" s="33" t="s">
        <v>870</v>
      </c>
      <c r="I47" s="7" t="s">
        <v>1165</v>
      </c>
      <c r="J47" s="23" t="b">
        <v>1</v>
      </c>
      <c r="K47" s="7" t="b">
        <v>1</v>
      </c>
      <c r="M47" s="10" t="s">
        <v>871</v>
      </c>
      <c r="N47" s="139" t="s">
        <v>1928</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66"/>
        <v>1</v>
      </c>
      <c r="AT47" s="117" t="str">
        <f t="shared" si="67"/>
        <v>title: "Sanctuary of Our Lady Queen of Podhale"</v>
      </c>
      <c r="AU47" s="117" t="str">
        <f t="shared" si="68"/>
        <v>location: {lat: 49.4651296551083, lng: 19.9828430570051}</v>
      </c>
      <c r="AV47" s="117" t="str">
        <f t="shared" si="69"/>
        <v>interest: global</v>
      </c>
      <c r="AW47" s="117" t="str">
        <f>"- "&amp;VLOOKUP(C47,'Country Tags'!C:E,3,)</f>
        <v>- poland</v>
      </c>
      <c r="AX47" s="117" t="str">
        <f t="shared" si="70"/>
        <v/>
      </c>
      <c r="AY47" s="117" t="str">
        <f t="shared" si="71"/>
        <v>- churches</v>
      </c>
      <c r="AZ47" s="117" t="str">
        <f t="shared" si="72"/>
        <v>- marian-sites</v>
      </c>
      <c r="BA47" s="117" t="str">
        <f t="shared" si="73"/>
        <v/>
      </c>
      <c r="BB47" s="117" t="str">
        <f t="shared" si="74"/>
        <v>- john-paul-ii</v>
      </c>
      <c r="BC47" s="117" t="str">
        <f t="shared" si="75"/>
        <v/>
      </c>
      <c r="BD47" s="117" t="str">
        <f t="shared" si="76"/>
        <v/>
      </c>
      <c r="BE47" s="117" t="str">
        <f t="shared" si="77"/>
        <v/>
      </c>
      <c r="BF47" s="117" t="str">
        <f t="shared" si="78"/>
        <v/>
      </c>
      <c r="BG47" s="117" t="str">
        <f t="shared" si="79"/>
        <v/>
      </c>
      <c r="BH47" s="117" t="str">
        <f t="shared" si="80"/>
        <v/>
      </c>
      <c r="BI47" s="117" t="str">
        <f t="shared" si="81"/>
        <v/>
      </c>
      <c r="BJ47" s="117" t="str">
        <f t="shared" si="82"/>
        <v/>
      </c>
      <c r="BK47" s="117" t="str">
        <f t="shared" si="83"/>
        <v/>
      </c>
      <c r="BL47" s="117" t="str">
        <f t="shared" si="84"/>
        <v xml:space="preserve">tags:
- poland_x000D_
- churches_x000D_
- marian-sites_x000D_
- john-paul-ii_x000D_
</v>
      </c>
      <c r="BM47" s="120" t="str">
        <f t="shared" si="62"/>
        <v>[Official site](ps://www.mbludzm.pl/)</v>
      </c>
      <c r="BN47" s="120" t="str">
        <f t="shared" si="63"/>
        <v/>
      </c>
      <c r="BO47" s="120" t="str">
        <f t="shared" si="64"/>
        <v/>
      </c>
      <c r="BP47" s="120" t="str">
        <f t="shared" si="65"/>
        <v/>
      </c>
      <c r="BQ47" s="120" t="str">
        <f t="shared" si="85"/>
        <v xml:space="preserve">* [Official site](ps://www.mbludzm.pl/)
</v>
      </c>
      <c r="BR47" s="120" t="str">
        <f t="shared" si="86"/>
        <v/>
      </c>
      <c r="BS47" s="120" t="str">
        <f t="shared" si="87"/>
        <v/>
      </c>
      <c r="BT47" s="120" t="str">
        <f t="shared" si="88"/>
        <v/>
      </c>
      <c r="BU47" s="120" t="str">
        <f>IF(LEN(concat(BR47:BT47))&gt;0,concat("| ",BR47," | ",BS47," | ",BT47," |"),"")</f>
        <v/>
      </c>
      <c r="BV47" s="117" t="str">
        <f t="shared" si="89"/>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90"/>
        <v>#VALUE!</v>
      </c>
      <c r="CK47" s="13" t="str">
        <f t="shared" si="91"/>
        <v xml:space="preserve">| [Ludzmierz](/places/places\pl-sanctuary-of-our-lady-queen-of-podhale) </v>
      </c>
      <c r="CL47" s="13" t="str">
        <f>"| "&amp;IF(AS47,GetTagPage(C47,VLOOKUP(C47,'Country Tags'!C:E,3,)),C47)&amp; " "</f>
        <v xml:space="preserve">| [Poland](/tags/poland) </v>
      </c>
      <c r="CM47" s="13" t="str">
        <f t="shared" si="92"/>
        <v xml:space="preserve">| c. 1400 </v>
      </c>
      <c r="CN47" s="13" t="str">
        <f t="shared" si="93"/>
        <v xml:space="preserve">| [Link](/places/places\pl-sanctuary-of-our-lady-queen-of-podhale) </v>
      </c>
      <c r="CO47" s="12" t="e">
        <f t="shared" si="94"/>
        <v>#VALUE!</v>
      </c>
    </row>
    <row r="48" spans="1:93" ht="89.25" x14ac:dyDescent="0.25">
      <c r="A48" s="129" t="s">
        <v>786</v>
      </c>
      <c r="B48" s="7" t="s">
        <v>1901</v>
      </c>
      <c r="C48" s="7" t="s">
        <v>365</v>
      </c>
      <c r="E48" s="1">
        <v>50.270467699999998</v>
      </c>
      <c r="F48" s="30">
        <v>22.408031600000001</v>
      </c>
      <c r="G48" s="55" t="s">
        <v>1243</v>
      </c>
      <c r="H48" s="33" t="s">
        <v>745</v>
      </c>
      <c r="I48" s="7" t="s">
        <v>1165</v>
      </c>
      <c r="J48" s="23" t="b">
        <v>1</v>
      </c>
      <c r="K48" s="7" t="b">
        <v>1</v>
      </c>
      <c r="M48" s="7" t="s">
        <v>746</v>
      </c>
      <c r="N48" s="139" t="s">
        <v>1929</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66"/>
        <v>1</v>
      </c>
      <c r="AT48" s="117" t="str">
        <f t="shared" si="67"/>
        <v>title: "Basilica of the Annunciation of the Blessed Virgin Mary (Our Lady of Lezajsk, Lady of Consolation)"</v>
      </c>
      <c r="AU48" s="117" t="str">
        <f t="shared" si="68"/>
        <v>location: {lat: 50.2704677, lng: 22.4080316}</v>
      </c>
      <c r="AV48" s="117" t="str">
        <f t="shared" si="69"/>
        <v>interest: global</v>
      </c>
      <c r="AW48" s="117" t="str">
        <f>"- "&amp;VLOOKUP(C48,'Country Tags'!C:E,3,)</f>
        <v>- poland</v>
      </c>
      <c r="AX48" s="117" t="str">
        <f t="shared" si="70"/>
        <v/>
      </c>
      <c r="AY48" s="117" t="str">
        <f t="shared" si="71"/>
        <v>- churches</v>
      </c>
      <c r="AZ48" s="117" t="str">
        <f t="shared" si="72"/>
        <v>- marian-sites</v>
      </c>
      <c r="BA48" s="117" t="str">
        <f t="shared" si="73"/>
        <v/>
      </c>
      <c r="BB48" s="117" t="str">
        <f t="shared" si="74"/>
        <v>- communities</v>
      </c>
      <c r="BC48" s="117" t="str">
        <f t="shared" si="75"/>
        <v/>
      </c>
      <c r="BD48" s="117" t="str">
        <f t="shared" si="76"/>
        <v/>
      </c>
      <c r="BE48" s="117" t="str">
        <f t="shared" si="77"/>
        <v/>
      </c>
      <c r="BF48" s="117" t="str">
        <f t="shared" si="78"/>
        <v/>
      </c>
      <c r="BG48" s="117" t="str">
        <f t="shared" si="79"/>
        <v/>
      </c>
      <c r="BH48" s="117" t="str">
        <f t="shared" si="80"/>
        <v/>
      </c>
      <c r="BI48" s="117" t="str">
        <f t="shared" si="81"/>
        <v/>
      </c>
      <c r="BJ48" s="117" t="str">
        <f t="shared" si="82"/>
        <v/>
      </c>
      <c r="BK48" s="117" t="str">
        <f t="shared" si="83"/>
        <v/>
      </c>
      <c r="BL48" s="117" t="str">
        <f t="shared" si="84"/>
        <v xml:space="preserve">tags:
- poland_x000D_
- churches_x000D_
- marian-sites_x000D_
- communities_x000D_
</v>
      </c>
      <c r="BM48" s="120" t="str">
        <f t="shared" si="62"/>
        <v>[Official site](https://lezajsk.bernardyni.pl/)</v>
      </c>
      <c r="BN48" s="120" t="str">
        <f t="shared" si="63"/>
        <v/>
      </c>
      <c r="BO48" s="120" t="str">
        <f t="shared" si="64"/>
        <v/>
      </c>
      <c r="BP48" s="120" t="str">
        <f t="shared" si="65"/>
        <v/>
      </c>
      <c r="BQ48" s="120" t="str">
        <f t="shared" si="85"/>
        <v xml:space="preserve">* [Official site](https://lezajsk.bernardyni.pl/)
</v>
      </c>
      <c r="BR48" s="120" t="str">
        <f t="shared" si="86"/>
        <v/>
      </c>
      <c r="BS48" s="120" t="str">
        <f t="shared" si="87"/>
        <v>[Link](https://www.miraclehunter.com/marian_apparitions/approved_apparitions/lejask/index.html)</v>
      </c>
      <c r="BT48" s="120" t="str">
        <f t="shared" si="88"/>
        <v/>
      </c>
      <c r="BU48" s="120" t="str">
        <f>IF(LEN(concat(BR48:BT48))&gt;0,concat("| ",BR48," | ",BS48," | ",BT48," |"),"")</f>
        <v>|  | [Link](https://www.miraclehunter.com/marian_apparitions/approved_apparitions/lejask/index.html) |  |</v>
      </c>
      <c r="BV48" s="117" t="str">
        <f t="shared" si="89"/>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poland_x000D_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90"/>
        <v>#VALUE!</v>
      </c>
      <c r="CK48" s="13" t="str">
        <f t="shared" si="91"/>
        <v xml:space="preserve">| [Leżajsk](/places/places\pl-basilica-of-the-annunciation-of-the-blessed-virgin-mary) </v>
      </c>
      <c r="CL48" s="13" t="str">
        <f>"| "&amp;IF(AS48,GetTagPage(C48,VLOOKUP(C48,'Country Tags'!C:E,3,)),C48)&amp; " "</f>
        <v xml:space="preserve">| [Poland](/tags/poland) </v>
      </c>
      <c r="CM48" s="13" t="str">
        <f t="shared" si="92"/>
        <v xml:space="preserve">| 1578 </v>
      </c>
      <c r="CN48" s="13" t="str">
        <f t="shared" si="93"/>
        <v xml:space="preserve">| [Link](/places/places\pl-basilica-of-the-annunciation-of-the-blessed-virgin-mary) </v>
      </c>
      <c r="CO48" s="12" t="e">
        <f t="shared" si="94"/>
        <v>#VALUE!</v>
      </c>
    </row>
    <row r="49" spans="1:94" ht="63.75" x14ac:dyDescent="0.25">
      <c r="A49" s="129" t="s">
        <v>786</v>
      </c>
      <c r="B49" s="7" t="s">
        <v>1901</v>
      </c>
      <c r="C49" s="7" t="s">
        <v>365</v>
      </c>
      <c r="E49" s="1">
        <v>52.323705849375003</v>
      </c>
      <c r="F49" s="30">
        <v>18.358432557028099</v>
      </c>
      <c r="G49" s="7" t="s">
        <v>728</v>
      </c>
      <c r="H49" s="33" t="s">
        <v>729</v>
      </c>
      <c r="I49" s="7" t="s">
        <v>1165</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66"/>
        <v>1</v>
      </c>
      <c r="AT49" s="117" t="str">
        <f t="shared" si="67"/>
        <v>title: "Basilica of Our Lady of Licheń (Holy Mother of Sorrows, Queen of Poland)"</v>
      </c>
      <c r="AU49" s="117" t="str">
        <f t="shared" si="68"/>
        <v>location: {lat: 52.323705849375, lng: 18.3584325570281}</v>
      </c>
      <c r="AV49" s="117" t="str">
        <f t="shared" si="69"/>
        <v>interest: global</v>
      </c>
      <c r="AW49" s="117" t="str">
        <f>"- "&amp;VLOOKUP(C49,'Country Tags'!C:E,3,)</f>
        <v>- poland</v>
      </c>
      <c r="AX49" s="117" t="str">
        <f t="shared" si="70"/>
        <v/>
      </c>
      <c r="AY49" s="117" t="str">
        <f t="shared" si="71"/>
        <v>- churches</v>
      </c>
      <c r="AZ49" s="117" t="str">
        <f t="shared" si="72"/>
        <v>- marian-sites</v>
      </c>
      <c r="BA49" s="117" t="str">
        <f t="shared" si="73"/>
        <v/>
      </c>
      <c r="BB49" s="117" t="str">
        <f t="shared" si="74"/>
        <v/>
      </c>
      <c r="BC49" s="117" t="str">
        <f t="shared" si="75"/>
        <v/>
      </c>
      <c r="BD49" s="117" t="str">
        <f t="shared" si="76"/>
        <v/>
      </c>
      <c r="BE49" s="117" t="str">
        <f t="shared" si="77"/>
        <v/>
      </c>
      <c r="BF49" s="117" t="str">
        <f t="shared" si="78"/>
        <v/>
      </c>
      <c r="BG49" s="117" t="str">
        <f t="shared" si="79"/>
        <v/>
      </c>
      <c r="BH49" s="117" t="str">
        <f t="shared" si="80"/>
        <v/>
      </c>
      <c r="BI49" s="117" t="str">
        <f t="shared" si="81"/>
        <v/>
      </c>
      <c r="BJ49" s="117" t="str">
        <f t="shared" si="82"/>
        <v/>
      </c>
      <c r="BK49" s="117" t="str">
        <f t="shared" si="83"/>
        <v/>
      </c>
      <c r="BL49" s="117" t="str">
        <f t="shared" si="84"/>
        <v xml:space="preserve">tags:
- poland_x000D_
- churches_x000D_
- marian-sites_x000D_
</v>
      </c>
      <c r="BM49" s="120" t="str">
        <f t="shared" si="62"/>
        <v>[Official site](https://www.lichen.pl/)</v>
      </c>
      <c r="BN49" s="120" t="str">
        <f t="shared" si="63"/>
        <v/>
      </c>
      <c r="BO49" s="120" t="str">
        <f t="shared" si="64"/>
        <v/>
      </c>
      <c r="BP49" s="120" t="str">
        <f t="shared" si="65"/>
        <v/>
      </c>
      <c r="BQ49" s="120" t="str">
        <f t="shared" si="85"/>
        <v xml:space="preserve">* [Official site](https://www.lichen.pl/)
</v>
      </c>
      <c r="BR49" s="120" t="str">
        <f t="shared" si="86"/>
        <v>[Link](http://www.therealpresence.org/eucharst/misc/BVM/110_LICHEN_96x96.pdf)</v>
      </c>
      <c r="BS49" s="120" t="str">
        <f t="shared" si="87"/>
        <v>[Link](http://www.miraclehunter.com/marian_apparitions/approved_apparitions/gietrzwald/index.html)</v>
      </c>
      <c r="BT49" s="120" t="str">
        <f t="shared" si="88"/>
        <v>[Link](https://www.marypages.com/lichen-(poland)-holy-mother-of-sorrow-en.html)</v>
      </c>
      <c r="BU49" s="120" t="str">
        <f>IF(LEN(concat(BR49:BT49))&gt;0,concat("| ",BR49," | ",BS49," | ",BT49," |"),"")</f>
        <v>| [Link](http://www.therealpresence.org/eucharst/misc/BVM/110_LICHEN_96x96.pdf) | [Link](http://www.miraclehunter.com/marian_apparitions/approved_apparitions/gietrzwald/index.html) | [Link](https://www.marypages.com/lichen-(poland)-holy-mother-of-sorrow-en.html) |</v>
      </c>
      <c r="BV49" s="117" t="str">
        <f t="shared" si="89"/>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90"/>
        <v xml:space="preserve">| </v>
      </c>
      <c r="CK49" s="13" t="str">
        <f t="shared" si="91"/>
        <v xml:space="preserve">| [Licheń](/places/places\pl-basilica-of-our-lady-of-lichen) </v>
      </c>
      <c r="CL49" s="13" t="str">
        <f>"| "&amp;IF(AS49,GetTagPage(C49,VLOOKUP(C49,'Country Tags'!C:E,3,)),C49)&amp; " "</f>
        <v xml:space="preserve">| [Poland](/tags/poland) </v>
      </c>
      <c r="CM49" s="13" t="str">
        <f t="shared" si="92"/>
        <v xml:space="preserve">| 1813-1850 </v>
      </c>
      <c r="CN49" s="13" t="str">
        <f t="shared" si="93"/>
        <v xml:space="preserve">| [Link](/places/places\pl-basilica-of-our-lady-of-lichen) </v>
      </c>
      <c r="CO49" s="12" t="str">
        <f t="shared" si="94"/>
        <v xml:space="preserve">
| [Licheń](/places/places\pl-basilica-of-our-lady-of-lichen) | [Poland](/tags/poland)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1901</v>
      </c>
      <c r="C50" s="7" t="s">
        <v>365</v>
      </c>
      <c r="E50" s="1">
        <v>53.7480853</v>
      </c>
      <c r="F50" s="30">
        <v>20.235602400000001</v>
      </c>
      <c r="G50" s="7" t="s">
        <v>189</v>
      </c>
      <c r="H50" s="33" t="s">
        <v>189</v>
      </c>
      <c r="I50" s="7" t="s">
        <v>1165</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66"/>
        <v>1</v>
      </c>
      <c r="AT50" s="117" t="str">
        <f t="shared" si="67"/>
        <v>title: "Sanctuary of Our Lady of Gietrzwałd"</v>
      </c>
      <c r="AU50" s="117" t="str">
        <f t="shared" si="68"/>
        <v>location: {lat: 53.7480853, lng: 20.2356024}</v>
      </c>
      <c r="AV50" s="117" t="str">
        <f t="shared" si="69"/>
        <v>interest: global</v>
      </c>
      <c r="AW50" s="117" t="str">
        <f>"- "&amp;VLOOKUP(C50,'Country Tags'!C:E,3,)</f>
        <v>- poland</v>
      </c>
      <c r="AX50" s="117" t="str">
        <f t="shared" si="70"/>
        <v/>
      </c>
      <c r="AY50" s="117" t="str">
        <f t="shared" si="71"/>
        <v>- churches</v>
      </c>
      <c r="AZ50" s="117" t="str">
        <f t="shared" si="72"/>
        <v>- marian-sites</v>
      </c>
      <c r="BA50" s="117" t="str">
        <f t="shared" si="73"/>
        <v/>
      </c>
      <c r="BB50" s="117" t="str">
        <f t="shared" si="74"/>
        <v/>
      </c>
      <c r="BC50" s="117" t="str">
        <f t="shared" si="75"/>
        <v/>
      </c>
      <c r="BD50" s="117" t="str">
        <f t="shared" si="76"/>
        <v/>
      </c>
      <c r="BE50" s="117" t="str">
        <f t="shared" si="77"/>
        <v/>
      </c>
      <c r="BF50" s="117" t="str">
        <f t="shared" si="78"/>
        <v/>
      </c>
      <c r="BG50" s="117" t="str">
        <f t="shared" si="79"/>
        <v/>
      </c>
      <c r="BH50" s="117" t="str">
        <f t="shared" si="80"/>
        <v/>
      </c>
      <c r="BI50" s="117" t="str">
        <f t="shared" si="81"/>
        <v/>
      </c>
      <c r="BJ50" s="117" t="str">
        <f t="shared" si="82"/>
        <v/>
      </c>
      <c r="BK50" s="117" t="str">
        <f t="shared" si="83"/>
        <v/>
      </c>
      <c r="BL50" s="117" t="str">
        <f t="shared" si="84"/>
        <v xml:space="preserve">tags:
- poland_x000D_
- churches_x000D_
- marian-sites_x000D_
</v>
      </c>
      <c r="BM50" s="120" t="str">
        <f t="shared" si="62"/>
        <v>[Official site](https://sanktuariummaryjne.pl/)</v>
      </c>
      <c r="BN50" s="120" t="str">
        <f t="shared" si="63"/>
        <v/>
      </c>
      <c r="BO50" s="120" t="str">
        <f t="shared" si="64"/>
        <v/>
      </c>
      <c r="BP50" s="120" t="str">
        <f t="shared" si="65"/>
        <v/>
      </c>
      <c r="BQ50" s="120" t="str">
        <f t="shared" si="85"/>
        <v xml:space="preserve">* [Official site](https://sanktuariummaryjne.pl/)
</v>
      </c>
      <c r="BR50" s="120" t="str">
        <f t="shared" si="86"/>
        <v>[Link](http://www.therealpresence.org/eucharst/misc/BVM/85_GIETRZALD_96x96.pdf)</v>
      </c>
      <c r="BS50" s="120" t="str">
        <f t="shared" si="87"/>
        <v>[Link](http://www.miraclehunter.com/marian_apparitions/approved_apparitions/gietrzwald/index.html)</v>
      </c>
      <c r="BT50" s="120" t="str">
        <f t="shared" si="88"/>
        <v>[Link](https://www.marypages.com/giertzwald-(poland)-en.html)</v>
      </c>
      <c r="BU50" s="120" t="str">
        <f>IF(LEN(concat(BR50:BT50))&gt;0,concat("| ",BR50," | ",BS50," | ",BT50," |"),"")</f>
        <v>| [Link](http://www.therealpresence.org/eucharst/misc/BVM/85_GIETRZALD_96x96.pdf) | [Link](http://www.miraclehunter.com/marian_apparitions/approved_apparitions/gietrzwald/index.html) | [Link](https://www.marypages.com/giertzwald-(poland)-en.html) |</v>
      </c>
      <c r="BV50" s="117" t="str">
        <f t="shared" si="89"/>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90"/>
        <v xml:space="preserve">| </v>
      </c>
      <c r="CK50" s="13" t="str">
        <f t="shared" si="91"/>
        <v xml:space="preserve">| [Gietrzwald](/places/places\pl-sanctuary-of-our-lady-of-gietrzwałd) </v>
      </c>
      <c r="CL50" s="13" t="str">
        <f>"| "&amp;IF(AS50,GetTagPage(C50,VLOOKUP(C50,'Country Tags'!C:E,3,)),C50)&amp; " "</f>
        <v xml:space="preserve">| [Poland](/tags/poland) </v>
      </c>
      <c r="CM50" s="13" t="str">
        <f t="shared" si="92"/>
        <v xml:space="preserve">| 1877 </v>
      </c>
      <c r="CN50" s="13" t="str">
        <f t="shared" si="93"/>
        <v xml:space="preserve">| [Link](/places/places\pl-sanctuary-of-our-lady-of-gietrzwałd) </v>
      </c>
      <c r="CO50" s="12" t="str">
        <f t="shared" si="94"/>
        <v xml:space="preserve">
| [Gietrzwald](/places/places\pl-sanctuary-of-our-lady-of-gietrzwałd) | [Poland](/tags/poland)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1901</v>
      </c>
      <c r="C51" s="7" t="s">
        <v>365</v>
      </c>
      <c r="E51" s="1">
        <v>50.812751619291099</v>
      </c>
      <c r="F51" s="30">
        <v>19.096651748272901</v>
      </c>
      <c r="G51" s="10" t="s">
        <v>749</v>
      </c>
      <c r="H51" s="33" t="s">
        <v>750</v>
      </c>
      <c r="I51" s="7" t="s">
        <v>1165</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66"/>
        <v>1</v>
      </c>
      <c r="AT51" s="117" t="str">
        <f t="shared" si="67"/>
        <v>title: "Jasna Gora Monastery (Our Lady of Czestochowa)"</v>
      </c>
      <c r="AU51" s="117" t="str">
        <f t="shared" si="68"/>
        <v>location: {lat: 50.8127516192911, lng: 19.0966517482729}</v>
      </c>
      <c r="AV51" s="117" t="str">
        <f t="shared" si="69"/>
        <v>interest: global</v>
      </c>
      <c r="AW51" s="117" t="str">
        <f>"- "&amp;VLOOKUP(C51,'Country Tags'!C:E,3,)</f>
        <v>- poland</v>
      </c>
      <c r="AX51" s="117" t="str">
        <f t="shared" si="70"/>
        <v/>
      </c>
      <c r="AY51" s="117" t="str">
        <f t="shared" si="71"/>
        <v>- churches</v>
      </c>
      <c r="AZ51" s="117" t="str">
        <f t="shared" si="72"/>
        <v>- marian-sites</v>
      </c>
      <c r="BA51" s="117" t="str">
        <f t="shared" si="73"/>
        <v/>
      </c>
      <c r="BB51" s="117" t="str">
        <f t="shared" si="74"/>
        <v>- communities</v>
      </c>
      <c r="BC51" s="117" t="str">
        <f t="shared" si="75"/>
        <v/>
      </c>
      <c r="BD51" s="117" t="str">
        <f t="shared" si="76"/>
        <v/>
      </c>
      <c r="BE51" s="117" t="str">
        <f t="shared" si="77"/>
        <v/>
      </c>
      <c r="BF51" s="117" t="str">
        <f t="shared" si="78"/>
        <v/>
      </c>
      <c r="BG51" s="117" t="str">
        <f t="shared" si="79"/>
        <v/>
      </c>
      <c r="BH51" s="117" t="str">
        <f t="shared" si="80"/>
        <v/>
      </c>
      <c r="BI51" s="117" t="str">
        <f t="shared" si="81"/>
        <v/>
      </c>
      <c r="BJ51" s="117" t="str">
        <f t="shared" si="82"/>
        <v/>
      </c>
      <c r="BK51" s="117" t="str">
        <f t="shared" si="83"/>
        <v/>
      </c>
      <c r="BL51" s="117" t="str">
        <f t="shared" si="84"/>
        <v xml:space="preserve">tags:
- poland_x000D_
- churches_x000D_
- marian-sites_x000D_
- communities_x000D_
</v>
      </c>
      <c r="BM51" s="120" t="str">
        <f t="shared" si="62"/>
        <v>[Official site](https://jasnagora.pl/)</v>
      </c>
      <c r="BN51" s="120" t="str">
        <f t="shared" si="63"/>
        <v/>
      </c>
      <c r="BO51" s="120" t="str">
        <f t="shared" si="64"/>
        <v/>
      </c>
      <c r="BP51" s="120" t="str">
        <f t="shared" si="65"/>
        <v/>
      </c>
      <c r="BQ51" s="120" t="str">
        <f t="shared" si="85"/>
        <v xml:space="preserve">* [Official site](https://jasnagora.pl/)
</v>
      </c>
      <c r="BR51" s="120" t="str">
        <f t="shared" si="86"/>
        <v/>
      </c>
      <c r="BS51" s="120" t="str">
        <f t="shared" si="87"/>
        <v>[Link](https://www.miraclehunter.com/marian_apparitions/approved_apparitions/czestochowa/)</v>
      </c>
      <c r="BT51" s="120" t="str">
        <f t="shared" si="88"/>
        <v>[Link](https://www.marypages.com/czestochowa-(poland)-en.html)</v>
      </c>
      <c r="BU51" s="120" t="str">
        <f>IF(LEN(concat(BR51:BT51))&gt;0,concat("| ",BR51," | ",BS51," | ",BT51," |"),"")</f>
        <v>|  | [Link](https://www.miraclehunter.com/marian_apparitions/approved_apparitions/czestochowa/) | [Link](https://www.marypages.com/czestochowa-(poland)-en.html) |</v>
      </c>
      <c r="BV51" s="117" t="str">
        <f t="shared" si="89"/>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poland_x000D_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90"/>
        <v>#VALUE!</v>
      </c>
      <c r="CK51" s="13" t="str">
        <f t="shared" si="91"/>
        <v xml:space="preserve">| [Czestochowa](/places/places\pl-jasna-gora-monastery) </v>
      </c>
      <c r="CL51" s="13" t="str">
        <f>"| "&amp;IF(AS51,GetTagPage(C51,VLOOKUP(C51,'Country Tags'!C:E,3,)),C51)&amp; " "</f>
        <v xml:space="preserve">| [Poland](/tags/poland) </v>
      </c>
      <c r="CM51" s="13" t="str">
        <f t="shared" si="92"/>
        <v xml:space="preserve">| Unknown </v>
      </c>
      <c r="CN51" s="13" t="str">
        <f t="shared" si="93"/>
        <v xml:space="preserve">| [Link](/places/places\pl-jasna-gora-monastery) </v>
      </c>
      <c r="CO51" s="12" t="e">
        <f t="shared" si="94"/>
        <v>#VALUE!</v>
      </c>
    </row>
    <row r="52" spans="1:94" ht="63.75" x14ac:dyDescent="0.25">
      <c r="A52" s="129" t="s">
        <v>786</v>
      </c>
      <c r="B52" s="7" t="s">
        <v>1901</v>
      </c>
      <c r="C52" s="7" t="s">
        <v>369</v>
      </c>
      <c r="E52" s="1">
        <v>39.631263799999999</v>
      </c>
      <c r="F52" s="30">
        <v>-8.6731570999999992</v>
      </c>
      <c r="G52" s="7" t="s">
        <v>737</v>
      </c>
      <c r="H52" s="33" t="s">
        <v>439</v>
      </c>
      <c r="I52" s="7" t="s">
        <v>1165</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66"/>
        <v>1</v>
      </c>
      <c r="AT52" s="117" t="str">
        <f t="shared" si="67"/>
        <v>title: "Sanctuary of Our Lady of the Rosary of Fatima"</v>
      </c>
      <c r="AU52" s="117" t="str">
        <f t="shared" si="68"/>
        <v>location: {lat: 39.6312638, lng: -8.6731571}</v>
      </c>
      <c r="AV52" s="117" t="str">
        <f t="shared" si="69"/>
        <v>interest: global</v>
      </c>
      <c r="AW52" s="117" t="str">
        <f>"- "&amp;VLOOKUP(C52,'Country Tags'!C:E,3,)</f>
        <v>- portugal</v>
      </c>
      <c r="AX52" s="117" t="str">
        <f t="shared" si="70"/>
        <v/>
      </c>
      <c r="AY52" s="117" t="str">
        <f t="shared" si="71"/>
        <v>- churches</v>
      </c>
      <c r="AZ52" s="117" t="str">
        <f t="shared" si="72"/>
        <v>- marian-sites</v>
      </c>
      <c r="BA52" s="117" t="str">
        <f t="shared" si="73"/>
        <v>- holy-persons</v>
      </c>
      <c r="BB52" s="117" t="str">
        <f t="shared" si="74"/>
        <v>- lucia-dos-santos</v>
      </c>
      <c r="BC52" s="117" t="str">
        <f t="shared" si="75"/>
        <v>- francisco-and-jacinta-marto</v>
      </c>
      <c r="BD52" s="117" t="str">
        <f t="shared" si="76"/>
        <v/>
      </c>
      <c r="BE52" s="117" t="str">
        <f t="shared" si="77"/>
        <v/>
      </c>
      <c r="BF52" s="117" t="str">
        <f t="shared" si="78"/>
        <v/>
      </c>
      <c r="BG52" s="117" t="str">
        <f t="shared" si="79"/>
        <v/>
      </c>
      <c r="BH52" s="117" t="str">
        <f t="shared" si="80"/>
        <v/>
      </c>
      <c r="BI52" s="117" t="str">
        <f t="shared" si="81"/>
        <v/>
      </c>
      <c r="BJ52" s="117" t="str">
        <f t="shared" si="82"/>
        <v/>
      </c>
      <c r="BK52" s="117" t="str">
        <f t="shared" si="83"/>
        <v/>
      </c>
      <c r="BL52" s="117" t="str">
        <f t="shared" si="84"/>
        <v xml:space="preserve">tags:
- portugal_x000D_
- churches_x000D_
- marian-sites_x000D_
- holy-persons_x000D_
- lucia-dos-santos_x000D_
- francisco-and-jacinta-marto_x000D_
</v>
      </c>
      <c r="BM52" s="120" t="str">
        <f t="shared" si="62"/>
        <v>[Official site](https://www.fatima.pt/)</v>
      </c>
      <c r="BN52" s="120" t="str">
        <f t="shared" si="63"/>
        <v/>
      </c>
      <c r="BO52" s="120" t="str">
        <f t="shared" si="64"/>
        <v/>
      </c>
      <c r="BP52" s="120" t="str">
        <f t="shared" si="65"/>
        <v/>
      </c>
      <c r="BQ52" s="120" t="str">
        <f t="shared" si="85"/>
        <v xml:space="preserve">* [Official site](https://www.fatima.pt/)
</v>
      </c>
      <c r="BR52" s="120" t="str">
        <f t="shared" si="86"/>
        <v>[Link](http://www.therealpresence.org/eucharst/misc/BVM/154_FATIMA_96x96_1.pdf) , [Link](http://www.therealpresence.org/eucharst/misc/BVM/154_FATIMA_140x96_2.pdf), [Link](http://www.therealpresence.org/eucharst/misc/BVM/154_FATIMA_96x96_3.pdf)</v>
      </c>
      <c r="BS52" s="120" t="str">
        <f t="shared" si="87"/>
        <v>[Link](https://www.miraclehunter.com/marian_apparitions/approved_apparitions/fatima/index.html)</v>
      </c>
      <c r="BT52" s="120" t="str">
        <f t="shared" si="88"/>
        <v>[Link](https://www.marypages.com/fatima-(portugal)-1917.html)</v>
      </c>
      <c r="BU52" s="120" t="str">
        <f>IF(LEN(concat(BR52:BT52))&gt;0,concat("|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89"/>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90"/>
        <v>#VALUE!</v>
      </c>
      <c r="CK52" s="13" t="str">
        <f t="shared" si="91"/>
        <v xml:space="preserve">| [Fatima](/places/places\pt-shrine-of-fatima) </v>
      </c>
      <c r="CL52" s="13" t="str">
        <f>"| "&amp;IF(AS52,GetTagPage(C52,VLOOKUP(C52,'Country Tags'!C:E,3,)),C52)&amp; " "</f>
        <v xml:space="preserve">| [Portugal](/tags/portugal) </v>
      </c>
      <c r="CM52" s="13" t="str">
        <f t="shared" si="92"/>
        <v xml:space="preserve">| 1916 </v>
      </c>
      <c r="CN52" s="13" t="str">
        <f t="shared" si="93"/>
        <v xml:space="preserve">| [Link](/places/places\pt-shrine-of-fatima) </v>
      </c>
      <c r="CO52" s="12" t="e">
        <f t="shared" si="94"/>
        <v>#VALUE!</v>
      </c>
    </row>
    <row r="53" spans="1:94" ht="76.5" x14ac:dyDescent="0.25">
      <c r="A53" s="129" t="s">
        <v>786</v>
      </c>
      <c r="B53" s="7" t="s">
        <v>1901</v>
      </c>
      <c r="C53" s="7" t="s">
        <v>197</v>
      </c>
      <c r="E53" s="1">
        <v>-2.6496097000000001</v>
      </c>
      <c r="F53" s="30">
        <v>29.553281200000001</v>
      </c>
      <c r="G53" s="7" t="s">
        <v>196</v>
      </c>
      <c r="H53" s="33" t="s">
        <v>115</v>
      </c>
      <c r="I53" s="7" t="s">
        <v>1165</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66"/>
        <v>1</v>
      </c>
      <c r="AT53" s="117" t="str">
        <f t="shared" si="67"/>
        <v>title: "Shrine of Our Lady of Kibeho (Mother of the Word)"</v>
      </c>
      <c r="AU53" s="117" t="str">
        <f t="shared" si="68"/>
        <v>location: {lat: -2.6496097, lng: 29.5532812}</v>
      </c>
      <c r="AV53" s="117" t="str">
        <f t="shared" si="69"/>
        <v>interest: global</v>
      </c>
      <c r="AW53" s="117" t="str">
        <f>"- "&amp;VLOOKUP(C53,'Country Tags'!C:E,3,)</f>
        <v>- rwanda</v>
      </c>
      <c r="AX53" s="117" t="str">
        <f t="shared" si="70"/>
        <v/>
      </c>
      <c r="AY53" s="117" t="str">
        <f t="shared" si="71"/>
        <v>- churches</v>
      </c>
      <c r="AZ53" s="117" t="str">
        <f t="shared" si="72"/>
        <v>- marian-sites</v>
      </c>
      <c r="BA53" s="117" t="str">
        <f t="shared" si="73"/>
        <v/>
      </c>
      <c r="BB53" s="117" t="str">
        <f t="shared" si="74"/>
        <v/>
      </c>
      <c r="BC53" s="117" t="str">
        <f t="shared" si="75"/>
        <v/>
      </c>
      <c r="BD53" s="117" t="str">
        <f t="shared" si="76"/>
        <v/>
      </c>
      <c r="BE53" s="117" t="str">
        <f t="shared" si="77"/>
        <v/>
      </c>
      <c r="BF53" s="117" t="str">
        <f t="shared" si="78"/>
        <v/>
      </c>
      <c r="BG53" s="117" t="str">
        <f t="shared" si="79"/>
        <v/>
      </c>
      <c r="BH53" s="117" t="str">
        <f t="shared" si="80"/>
        <v/>
      </c>
      <c r="BI53" s="117" t="str">
        <f t="shared" si="81"/>
        <v/>
      </c>
      <c r="BJ53" s="117" t="str">
        <f t="shared" si="82"/>
        <v/>
      </c>
      <c r="BK53" s="117" t="str">
        <f t="shared" si="83"/>
        <v/>
      </c>
      <c r="BL53" s="117" t="str">
        <f t="shared" si="84"/>
        <v xml:space="preserve">tags:
- rwanda_x000D_
- churches_x000D_
- marian-sites_x000D_
</v>
      </c>
      <c r="BM53" s="120" t="str">
        <f t="shared" si="62"/>
        <v>[Official site](https://kibeho-sanctuary.com/)</v>
      </c>
      <c r="BN53" s="120" t="str">
        <f t="shared" si="63"/>
        <v/>
      </c>
      <c r="BO53" s="120" t="str">
        <f t="shared" si="64"/>
        <v/>
      </c>
      <c r="BP53" s="120" t="str">
        <f t="shared" si="65"/>
        <v/>
      </c>
      <c r="BQ53" s="120" t="str">
        <f t="shared" si="85"/>
        <v xml:space="preserve">* [Official site](https://kibeho-sanctuary.com/)
</v>
      </c>
      <c r="BR53" s="120" t="str">
        <f t="shared" si="86"/>
        <v>[Link](http://www.therealpresence.org/eucharst/misc/BVM/20_KIBEHO_96x96.pdf)</v>
      </c>
      <c r="BS53" s="120" t="str">
        <f t="shared" si="87"/>
        <v>[Link](https://www.miraclehunter.com/marian_apparitions/approved_apparitions/kibeho_rwanda/index.html)</v>
      </c>
      <c r="BT53" s="120" t="str">
        <f t="shared" si="88"/>
        <v>[Link](https://www.marypages.com/kibeho-(rwanda)-en.html)</v>
      </c>
      <c r="BU53" s="120" t="str">
        <f>IF(LEN(concat(BR53:BT53))&gt;0,concat("| ",BR53," | ",BS53," | ",BT53," |"),"")</f>
        <v>| [Link](http://www.therealpresence.org/eucharst/misc/BVM/20_KIBEHO_96x96.pdf) | [Link](https://www.miraclehunter.com/marian_apparitions/approved_apparitions/kibeho_rwanda/index.html) | [Link](https://www.marypages.com/kibeho-(rwanda)-en.html) |</v>
      </c>
      <c r="BV53" s="117" t="str">
        <f t="shared" si="89"/>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90"/>
        <v xml:space="preserve">| </v>
      </c>
      <c r="CK53" s="13" t="str">
        <f t="shared" si="91"/>
        <v xml:space="preserve">| [Kibeho](/places/places\rw-shrine-of-our-lady-of-kibeho) </v>
      </c>
      <c r="CL53" s="13" t="str">
        <f>"| "&amp;IF(AS53,GetTagPage(C53,VLOOKUP(C53,'Country Tags'!C:E,3,)),C53)&amp; " "</f>
        <v xml:space="preserve">| [Rwanda](/tags/rwanda) </v>
      </c>
      <c r="CM53" s="13" t="str">
        <f t="shared" si="92"/>
        <v xml:space="preserve">| 1981 </v>
      </c>
      <c r="CN53" s="13" t="str">
        <f t="shared" si="93"/>
        <v xml:space="preserve">| [Link](/places/places\rw-shrine-of-our-lady-of-kibeho) </v>
      </c>
      <c r="CO53" s="12" t="str">
        <f t="shared" si="94"/>
        <v xml:space="preserve">
| [Kibeho](/places/places\rw-shrine-of-our-lady-of-kibeho) | [Rwanda](/tags/rwanda)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1901</v>
      </c>
      <c r="C54" s="7" t="s">
        <v>374</v>
      </c>
      <c r="E54" s="1">
        <v>45.592976471079801</v>
      </c>
      <c r="F54" s="30">
        <v>19.1905119128275</v>
      </c>
      <c r="G54" s="24" t="s">
        <v>851</v>
      </c>
      <c r="H54" s="36" t="s">
        <v>852</v>
      </c>
      <c r="I54" s="24" t="s">
        <v>1165</v>
      </c>
      <c r="J54" s="23" t="b">
        <v>1</v>
      </c>
      <c r="K54" s="7" t="b">
        <v>1</v>
      </c>
      <c r="M54" s="7" t="s">
        <v>853</v>
      </c>
      <c r="N54" s="139" t="s">
        <v>1930</v>
      </c>
      <c r="O54" s="1" t="s">
        <v>854</v>
      </c>
      <c r="P54" s="82" t="s">
        <v>53</v>
      </c>
      <c r="Q54" s="54" t="s">
        <v>1238</v>
      </c>
      <c r="R54" s="17" t="s">
        <v>1237</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66"/>
        <v>1</v>
      </c>
      <c r="AT54" s="117" t="str">
        <f t="shared" si="67"/>
        <v>title: "Diocesan Shrine of Mary, Help of Christians"</v>
      </c>
      <c r="AU54" s="117" t="str">
        <f t="shared" si="68"/>
        <v>location: {lat: 45.5929764710798, lng: 19.1905119128275}</v>
      </c>
      <c r="AV54" s="117" t="str">
        <f t="shared" si="69"/>
        <v>interest: global</v>
      </c>
      <c r="AW54" s="117" t="str">
        <f>"- "&amp;VLOOKUP(C54,'Country Tags'!C:E,3,)</f>
        <v>- serbia</v>
      </c>
      <c r="AX54" s="117" t="str">
        <f t="shared" si="70"/>
        <v/>
      </c>
      <c r="AY54" s="117" t="str">
        <f t="shared" si="71"/>
        <v>- churches</v>
      </c>
      <c r="AZ54" s="117" t="str">
        <f t="shared" si="72"/>
        <v>- marian-sites</v>
      </c>
      <c r="BA54" s="117" t="str">
        <f t="shared" si="73"/>
        <v/>
      </c>
      <c r="BB54" s="117" t="str">
        <f t="shared" si="74"/>
        <v/>
      </c>
      <c r="BC54" s="117" t="str">
        <f t="shared" si="75"/>
        <v/>
      </c>
      <c r="BD54" s="117" t="str">
        <f t="shared" si="76"/>
        <v/>
      </c>
      <c r="BE54" s="117" t="str">
        <f t="shared" si="77"/>
        <v/>
      </c>
      <c r="BF54" s="117" t="str">
        <f t="shared" si="78"/>
        <v/>
      </c>
      <c r="BG54" s="117" t="str">
        <f t="shared" si="79"/>
        <v/>
      </c>
      <c r="BH54" s="117" t="str">
        <f t="shared" si="80"/>
        <v/>
      </c>
      <c r="BI54" s="117" t="str">
        <f t="shared" si="81"/>
        <v/>
      </c>
      <c r="BJ54" s="117" t="str">
        <f t="shared" si="82"/>
        <v/>
      </c>
      <c r="BK54" s="117" t="str">
        <f t="shared" si="83"/>
        <v/>
      </c>
      <c r="BL54" s="117" t="str">
        <f t="shared" si="84"/>
        <v xml:space="preserve">tags:
- serbia_x000D_
- churches_x000D_
- marian-sites_x000D_
</v>
      </c>
      <c r="BM54" s="120" t="str">
        <f t="shared" si="62"/>
        <v>[Official site](https://szentkut.eu/)</v>
      </c>
      <c r="BN54" s="120" t="str">
        <f t="shared" si="63"/>
        <v>[Additional site](https://doroszlo.net/)</v>
      </c>
      <c r="BO54" s="120" t="str">
        <f t="shared" si="64"/>
        <v/>
      </c>
      <c r="BP54" s="120" t="str">
        <f t="shared" si="65"/>
        <v/>
      </c>
      <c r="BQ54" s="120" t="str">
        <f t="shared" si="85"/>
        <v xml:space="preserve">* [Official site](https://szentkut.eu/)
* [Additional site](https://doroszlo.net/)
</v>
      </c>
      <c r="BR54" s="120" t="str">
        <f t="shared" si="86"/>
        <v>[Link](http://www.therealpresence.org/eucharst/misc/BVM/104_DOROSZLO_60x96.pdf)</v>
      </c>
      <c r="BS54" s="120" t="str">
        <f t="shared" si="87"/>
        <v>[Link](https://www.miraclehunter.com/marian_apparitions/approved_apparitions/apparitions_1700-1799.html) (Search "Doroszlo")</v>
      </c>
      <c r="BT54" s="120" t="str">
        <f t="shared" si="88"/>
        <v/>
      </c>
      <c r="BU54" s="120" t="str">
        <f>IF(LEN(concat(BR54:BT54))&gt;0,concat("| ",BR54," | ",BS54," | ",BT54," |"),"")</f>
        <v>| [Link](http://www.therealpresence.org/eucharst/misc/BVM/104_DOROSZLO_60x96.pdf) | [Link](https://www.miraclehunter.com/marian_apparitions/approved_apparitions/apparitions_1700-1799.html) (Search "Doroszlo") |  |</v>
      </c>
      <c r="BV54" s="117" t="str">
        <f t="shared" si="89"/>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90"/>
        <v xml:space="preserve">| </v>
      </c>
      <c r="CK54" s="13" t="str">
        <f t="shared" si="91"/>
        <v xml:space="preserve">| [Doroszló](/places/places\rs-shrine-of-mary-help-of-christians) </v>
      </c>
      <c r="CL54" s="13" t="str">
        <f>"| "&amp;IF(AS54,GetTagPage(C54,VLOOKUP(C54,'Country Tags'!C:E,3,)),C54)&amp; " "</f>
        <v xml:space="preserve">| [Serbia](/tags/serbia) </v>
      </c>
      <c r="CM54" s="13" t="str">
        <f t="shared" si="92"/>
        <v xml:space="preserve">| 1603 </v>
      </c>
      <c r="CN54" s="13" t="str">
        <f t="shared" si="93"/>
        <v xml:space="preserve">| [Link](/places/places\rs-shrine-of-mary-help-of-christians) </v>
      </c>
      <c r="CO54" s="12" t="str">
        <f t="shared" si="94"/>
        <v xml:space="preserve">
| [Doroszló](/places/places\rs-shrine-of-mary-help-of-christians) | [Serbia](/tags/serbia)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1901</v>
      </c>
      <c r="C55" s="7" t="s">
        <v>382</v>
      </c>
      <c r="E55" s="1">
        <v>45.998943044455899</v>
      </c>
      <c r="F55" s="30">
        <v>13.6553373449013</v>
      </c>
      <c r="G55" s="24" t="s">
        <v>845</v>
      </c>
      <c r="H55" s="33" t="s">
        <v>845</v>
      </c>
      <c r="I55" s="7" t="s">
        <v>1165</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66"/>
        <v>1</v>
      </c>
      <c r="AT55" s="117" t="str">
        <f t="shared" si="67"/>
        <v>title: "Basilica of the Holy Mother of God"</v>
      </c>
      <c r="AU55" s="117" t="str">
        <f t="shared" si="68"/>
        <v>location: {lat: 45.9989430444559, lng: 13.6553373449013}</v>
      </c>
      <c r="AV55" s="117" t="str">
        <f t="shared" si="69"/>
        <v>interest: global</v>
      </c>
      <c r="AW55" s="117" t="str">
        <f>"- "&amp;VLOOKUP(C55,'Country Tags'!C:E,3,)</f>
        <v>- slovenia</v>
      </c>
      <c r="AX55" s="117" t="str">
        <f t="shared" si="70"/>
        <v/>
      </c>
      <c r="AY55" s="117" t="str">
        <f t="shared" si="71"/>
        <v>- churches</v>
      </c>
      <c r="AZ55" s="117" t="str">
        <f t="shared" si="72"/>
        <v>- marian-sites</v>
      </c>
      <c r="BA55" s="117" t="str">
        <f t="shared" si="73"/>
        <v/>
      </c>
      <c r="BB55" s="117" t="str">
        <f t="shared" si="74"/>
        <v/>
      </c>
      <c r="BC55" s="117" t="str">
        <f t="shared" si="75"/>
        <v/>
      </c>
      <c r="BD55" s="117" t="str">
        <f t="shared" si="76"/>
        <v/>
      </c>
      <c r="BE55" s="117" t="str">
        <f t="shared" si="77"/>
        <v/>
      </c>
      <c r="BF55" s="117" t="str">
        <f t="shared" si="78"/>
        <v/>
      </c>
      <c r="BG55" s="117" t="str">
        <f t="shared" si="79"/>
        <v/>
      </c>
      <c r="BH55" s="117" t="str">
        <f t="shared" si="80"/>
        <v/>
      </c>
      <c r="BI55" s="117" t="str">
        <f t="shared" si="81"/>
        <v/>
      </c>
      <c r="BJ55" s="117" t="str">
        <f t="shared" si="82"/>
        <v/>
      </c>
      <c r="BK55" s="117" t="str">
        <f t="shared" si="83"/>
        <v/>
      </c>
      <c r="BL55" s="117" t="str">
        <f t="shared" si="84"/>
        <v xml:space="preserve">tags:
- slovenia_x000D_
- churches_x000D_
- marian-sites_x000D_
</v>
      </c>
      <c r="BM55" s="120" t="str">
        <f t="shared" si="62"/>
        <v>[Official site](https://svetagora.si/)</v>
      </c>
      <c r="BN55" s="120" t="str">
        <f t="shared" si="63"/>
        <v/>
      </c>
      <c r="BO55" s="120" t="str">
        <f t="shared" si="64"/>
        <v/>
      </c>
      <c r="BP55" s="120" t="str">
        <f t="shared" si="65"/>
        <v/>
      </c>
      <c r="BQ55" s="120" t="str">
        <f t="shared" si="85"/>
        <v xml:space="preserve">* [Official site](https://svetagora.si/)
</v>
      </c>
      <c r="BR55" s="120" t="str">
        <f t="shared" si="86"/>
        <v>[Link](http://www.therealpresence.org/eucharst/misc/BVM/137_SVETA_GORA_60x96.pdf)</v>
      </c>
      <c r="BS55" s="120" t="str">
        <f t="shared" si="87"/>
        <v>[Link](https://www.miraclehunter.com/marian_apparitions/approved_apparitions/apparitions_1500-1599.html) (Search "Sveta Gora")</v>
      </c>
      <c r="BT55" s="120" t="str">
        <f t="shared" si="88"/>
        <v/>
      </c>
      <c r="BU55" s="120" t="str">
        <f>IF(LEN(concat(BR55:BT55))&gt;0,concat("| ",BR55," | ",BS55," | ",BT55," |"),"")</f>
        <v>| [Link](http://www.therealpresence.org/eucharst/misc/BVM/137_SVETA_GORA_60x96.pdf) | [Link](https://www.miraclehunter.com/marian_apparitions/approved_apparitions/apparitions_1500-1599.html) (Search "Sveta Gora") |  |</v>
      </c>
      <c r="BV55" s="117" t="str">
        <f t="shared" si="89"/>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90"/>
        <v xml:space="preserve">| </v>
      </c>
      <c r="CK55" s="13" t="str">
        <f t="shared" si="91"/>
        <v xml:space="preserve">| [Sveta Gora](/places/places\si-basilica-of-the-holy-mother-of-god) </v>
      </c>
      <c r="CL55" s="13" t="str">
        <f>"| "&amp;IF(AS55,GetTagPage(C55,VLOOKUP(C55,'Country Tags'!C:E,3,)),C55)&amp; " "</f>
        <v xml:space="preserve">| [Slovenia](/tags/slovenia) </v>
      </c>
      <c r="CM55" s="13" t="str">
        <f t="shared" si="92"/>
        <v xml:space="preserve">| 1539 </v>
      </c>
      <c r="CN55" s="13" t="str">
        <f t="shared" si="93"/>
        <v xml:space="preserve">| [Link](/places/places\si-basilica-of-the-holy-mother-of-god) </v>
      </c>
      <c r="CO55" s="12" t="str">
        <f t="shared" si="94"/>
        <v xml:space="preserve">
| [Sveta Gora](/places/places\si-basilica-of-the-holy-mother-of-god) | [Slovenia](/tags/slovenia)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1901</v>
      </c>
      <c r="C56" s="7" t="s">
        <v>266</v>
      </c>
      <c r="D56" s="90" t="s">
        <v>742</v>
      </c>
      <c r="E56" s="1">
        <v>41.656656769330702</v>
      </c>
      <c r="F56" s="30">
        <v>-0.87824062054636098</v>
      </c>
      <c r="G56" s="7" t="s">
        <v>738</v>
      </c>
      <c r="H56" s="33" t="s">
        <v>739</v>
      </c>
      <c r="I56" s="23" t="s">
        <v>1165</v>
      </c>
      <c r="J56" s="23" t="b">
        <v>1</v>
      </c>
      <c r="K56" s="7" t="b">
        <v>1</v>
      </c>
      <c r="L56" s="7" t="b">
        <v>1</v>
      </c>
      <c r="M56" s="28" t="s">
        <v>1234</v>
      </c>
      <c r="N56" s="139" t="s">
        <v>1931</v>
      </c>
      <c r="O56" s="2" t="s">
        <v>740</v>
      </c>
      <c r="P56" s="2" t="s">
        <v>53</v>
      </c>
      <c r="Q56" s="52"/>
      <c r="R56" s="51"/>
      <c r="S56" s="53"/>
      <c r="T56" s="39"/>
      <c r="U56" s="2"/>
      <c r="V56" s="43"/>
      <c r="W56" s="2"/>
      <c r="X56" s="2"/>
      <c r="Y56" s="31"/>
      <c r="Z56" s="135" t="s">
        <v>1949</v>
      </c>
      <c r="AA56" s="93" t="s">
        <v>1841</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66"/>
        <v>1</v>
      </c>
      <c r="AT56" s="117" t="str">
        <f t="shared" si="67"/>
        <v>title: "Cathedral-Basilica of Our Lady of the Pillar"</v>
      </c>
      <c r="AU56" s="117" t="str">
        <f t="shared" si="68"/>
        <v>location: {lat: 41.6566567693307, lng: -0.878240620546361}</v>
      </c>
      <c r="AV56" s="117" t="str">
        <f t="shared" si="69"/>
        <v>interest: global</v>
      </c>
      <c r="AW56" s="117" t="str">
        <f>"- "&amp;VLOOKUP(C56,'Country Tags'!C:E,3,)</f>
        <v>- spain</v>
      </c>
      <c r="AX56" s="117" t="str">
        <f t="shared" si="70"/>
        <v>- zaragoza</v>
      </c>
      <c r="AY56" s="117" t="str">
        <f t="shared" si="71"/>
        <v>- churches</v>
      </c>
      <c r="AZ56" s="117" t="str">
        <f t="shared" si="72"/>
        <v>- marian-sites</v>
      </c>
      <c r="BA56" s="117" t="str">
        <f t="shared" si="73"/>
        <v>- holy-persons</v>
      </c>
      <c r="BB56" s="117" t="str">
        <f t="shared" si="74"/>
        <v>- james-great</v>
      </c>
      <c r="BC56" s="117" t="str">
        <f t="shared" si="75"/>
        <v>- apostles</v>
      </c>
      <c r="BD56" s="117" t="str">
        <f t="shared" si="76"/>
        <v/>
      </c>
      <c r="BE56" s="117" t="str">
        <f t="shared" si="77"/>
        <v/>
      </c>
      <c r="BF56" s="117" t="str">
        <f t="shared" si="78"/>
        <v/>
      </c>
      <c r="BG56" s="117" t="str">
        <f t="shared" si="79"/>
        <v/>
      </c>
      <c r="BH56" s="117" t="str">
        <f t="shared" si="80"/>
        <v/>
      </c>
      <c r="BI56" s="117" t="str">
        <f t="shared" si="81"/>
        <v/>
      </c>
      <c r="BJ56" s="117" t="str">
        <f t="shared" si="82"/>
        <v/>
      </c>
      <c r="BK56" s="117" t="str">
        <f t="shared" si="83"/>
        <v/>
      </c>
      <c r="BL56" s="117" t="str">
        <f t="shared" si="84"/>
        <v xml:space="preserve">tags:
- spain_x000D_
- zaragoza_x000D_
- churches_x000D_
- marian-sites_x000D_
- holy-persons_x000D_
- james-great_x000D_
- apostles_x000D_
</v>
      </c>
      <c r="BM56" s="120" t="str">
        <f t="shared" si="62"/>
        <v>[Official site](https://catedraldezaragoza.es/basilica/)</v>
      </c>
      <c r="BN56" s="120" t="str">
        <f t="shared" si="63"/>
        <v/>
      </c>
      <c r="BO56" s="120" t="str">
        <f t="shared" si="64"/>
        <v/>
      </c>
      <c r="BP56" s="120" t="str">
        <f t="shared" si="65"/>
        <v/>
      </c>
      <c r="BQ56" s="120" t="str">
        <f t="shared" si="85"/>
        <v xml:space="preserve">* [Official site](https://catedraldezaragoza.es/basilica/)
</v>
      </c>
      <c r="BR56" s="120" t="str">
        <f t="shared" si="86"/>
        <v>[Link](http://www.therealpresence.org/eucharst/misc/BVM/09_ZARAGOZA_60x96.pdf)</v>
      </c>
      <c r="BS56" s="120" t="str">
        <f t="shared" si="87"/>
        <v>[Link](https://www.miraclehunter.com/marian_apparitions/approved_apparitions/zaragoza/index.html)</v>
      </c>
      <c r="BT56" s="120" t="str">
        <f t="shared" si="88"/>
        <v>[Link](https://www.marypages.com/our-lady-of-the-pillar.html)</v>
      </c>
      <c r="BU56" s="120" t="str">
        <f>IF(LEN(concat(BR56:BT56))&gt;0,concat("| ",BR56," | ",BS56," | ",BT56," |"),"")</f>
        <v>| [Link](http://www.therealpresence.org/eucharst/misc/BVM/09_ZARAGOZA_60x96.pdf) | [Link](https://www.miraclehunter.com/marian_apparitions/approved_apparitions/zaragoza/index.html) | [Link](https://www.marypages.com/our-lady-of-the-pillar.html) |</v>
      </c>
      <c r="BV56" s="117" t="str">
        <f t="shared" si="89"/>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spain_x000D_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90"/>
        <v>#VALUE!</v>
      </c>
      <c r="CK56" s="13" t="str">
        <f t="shared" si="91"/>
        <v xml:space="preserve">| [Zaragoza](/places/places\es-zaragoza-cathedral-basilica-of-our-lady-of-the-pillar) </v>
      </c>
      <c r="CL56" s="13" t="str">
        <f>"| "&amp;IF(AS56,GetTagPage(C56,VLOOKUP(C56,'Country Tags'!C:E,3,)),C56)&amp; " "</f>
        <v xml:space="preserve">| [Spain](/tags/spain) </v>
      </c>
      <c r="CM56" s="13" t="str">
        <f t="shared" si="92"/>
        <v xml:space="preserve">| 40 </v>
      </c>
      <c r="CN56" s="13" t="str">
        <f t="shared" si="93"/>
        <v xml:space="preserve">| [Link](/places/places\es-zaragoza-cathedral-basilica-of-our-lady-of-the-pillar) </v>
      </c>
      <c r="CO56" s="12" t="e">
        <f t="shared" si="94"/>
        <v>#VALUE!</v>
      </c>
      <c r="CP56" s="29"/>
    </row>
    <row r="57" spans="1:94" ht="38.25" x14ac:dyDescent="0.25">
      <c r="A57" s="129" t="s">
        <v>786</v>
      </c>
      <c r="B57" s="130" t="s">
        <v>1901</v>
      </c>
      <c r="C57" s="71" t="s">
        <v>266</v>
      </c>
      <c r="D57" s="71" t="s">
        <v>1535</v>
      </c>
      <c r="E57" s="1">
        <v>40.655493983492804</v>
      </c>
      <c r="F57" s="30">
        <v>-4.7027560083925497</v>
      </c>
      <c r="G57" s="71" t="s">
        <v>1570</v>
      </c>
      <c r="H57" s="73" t="s">
        <v>1569</v>
      </c>
      <c r="I57" s="71" t="s">
        <v>1248</v>
      </c>
      <c r="J57" s="7" t="b">
        <v>1</v>
      </c>
      <c r="L57" s="7" t="b">
        <v>1</v>
      </c>
      <c r="M57" s="71" t="s">
        <v>1536</v>
      </c>
      <c r="O57" s="1" t="s">
        <v>1537</v>
      </c>
      <c r="P57" s="74" t="s">
        <v>53</v>
      </c>
      <c r="Z57" s="72" t="s">
        <v>1543</v>
      </c>
      <c r="AA57" s="1" t="s">
        <v>1539</v>
      </c>
      <c r="AB57" s="72" t="s">
        <v>880</v>
      </c>
      <c r="AS57" s="116" t="b">
        <f t="shared" si="66"/>
        <v>1</v>
      </c>
      <c r="AT57" s="117" t="str">
        <f t="shared" si="67"/>
        <v>title: "Church and birthplace of St. Teresa of Jesus (Casa Natal Santa Teresa de Jesus)"</v>
      </c>
      <c r="AU57" s="117" t="str">
        <f t="shared" si="68"/>
        <v>location: {lat: 40.6554939834928, lng: -4.70275600839255}</v>
      </c>
      <c r="AV57" s="117" t="str">
        <f t="shared" si="69"/>
        <v>interest: local</v>
      </c>
      <c r="AW57" s="117" t="str">
        <f>"- "&amp;VLOOKUP(C57,'Country Tags'!C:E,3,)</f>
        <v>- spain</v>
      </c>
      <c r="AX57" s="117" t="str">
        <f t="shared" si="70"/>
        <v>- avila</v>
      </c>
      <c r="AY57" s="117" t="str">
        <f t="shared" si="71"/>
        <v>- churches</v>
      </c>
      <c r="AZ57" s="117" t="str">
        <f t="shared" si="72"/>
        <v/>
      </c>
      <c r="BA57" s="117" t="str">
        <f t="shared" si="73"/>
        <v>- holy-persons</v>
      </c>
      <c r="BB57" s="117" t="str">
        <f t="shared" si="74"/>
        <v>- teresa-avila</v>
      </c>
      <c r="BC57" s="117" t="str">
        <f t="shared" si="75"/>
        <v>- discalced-carmelites</v>
      </c>
      <c r="BD57" s="117" t="str">
        <f t="shared" si="76"/>
        <v>- communities</v>
      </c>
      <c r="BE57" s="117" t="str">
        <f t="shared" si="77"/>
        <v/>
      </c>
      <c r="BF57" s="117" t="str">
        <f t="shared" si="78"/>
        <v/>
      </c>
      <c r="BG57" s="117" t="str">
        <f t="shared" si="79"/>
        <v/>
      </c>
      <c r="BH57" s="117" t="str">
        <f t="shared" si="80"/>
        <v/>
      </c>
      <c r="BI57" s="117" t="str">
        <f t="shared" si="81"/>
        <v/>
      </c>
      <c r="BJ57" s="117" t="str">
        <f t="shared" si="82"/>
        <v/>
      </c>
      <c r="BK57" s="117" t="str">
        <f t="shared" si="83"/>
        <v/>
      </c>
      <c r="BL57" s="117" t="str">
        <f t="shared" si="84"/>
        <v xml:space="preserve">tags:
- spain_x000D_
- avila_x000D_
- churches_x000D_
- holy-persons_x000D_
- teresa-avila_x000D_
- discalced-carmelites_x000D_
- communities_x000D_
</v>
      </c>
      <c r="BM57" s="120" t="str">
        <f t="shared" si="62"/>
        <v>[Official site](https://www.teresadejesus.com/)</v>
      </c>
      <c r="BN57" s="120" t="str">
        <f t="shared" si="63"/>
        <v/>
      </c>
      <c r="BO57" s="120" t="str">
        <f t="shared" si="64"/>
        <v/>
      </c>
      <c r="BP57" s="120" t="str">
        <f t="shared" si="65"/>
        <v/>
      </c>
      <c r="BQ57" s="117" t="str">
        <f t="shared" si="85"/>
        <v xml:space="preserve">* [Official site](https://www.teresadejesus.com/)
</v>
      </c>
      <c r="BR57" s="117" t="str">
        <f t="shared" si="86"/>
        <v/>
      </c>
      <c r="BS57" s="117" t="str">
        <f t="shared" si="87"/>
        <v/>
      </c>
      <c r="BT57" s="117" t="str">
        <f t="shared" si="88"/>
        <v/>
      </c>
      <c r="BU57" s="117" t="str">
        <f>IF(LEN(concat(BR57:BT57))&gt;0,concat("| ",BR57," | ",BS57," | ",BT57," |"),"")</f>
        <v/>
      </c>
      <c r="BV57" s="117" t="str">
        <f t="shared" si="89"/>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spain_x000D_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90"/>
        <v>#VALUE!</v>
      </c>
      <c r="CK57" s="12" t="str">
        <f t="shared" si="91"/>
        <v xml:space="preserve">| [](/places/places\es-avila-casa-natal-santa-teresa-de-jesus) </v>
      </c>
      <c r="CL57" s="13" t="str">
        <f>"| "&amp;IF(AS57,GetTagPage(C57,VLOOKUP(C57,'Country Tags'!C:E,3,)),C57)&amp; " "</f>
        <v xml:space="preserve">| [Spain](/tags/spain) </v>
      </c>
      <c r="CM57" s="12" t="str">
        <f t="shared" si="92"/>
        <v xml:space="preserve">|  </v>
      </c>
      <c r="CN57" s="12" t="str">
        <f t="shared" si="93"/>
        <v xml:space="preserve">| [Link](/places/places\es-avila-casa-natal-santa-teresa-de-jesus) </v>
      </c>
      <c r="CO57" s="12" t="e">
        <f t="shared" si="94"/>
        <v>#VALUE!</v>
      </c>
    </row>
    <row r="58" spans="1:94" ht="102" x14ac:dyDescent="0.25">
      <c r="A58" s="129" t="s">
        <v>786</v>
      </c>
      <c r="B58" s="7" t="s">
        <v>1901</v>
      </c>
      <c r="C58" s="7" t="s">
        <v>266</v>
      </c>
      <c r="D58" s="7" t="s">
        <v>1535</v>
      </c>
      <c r="E58" s="1">
        <v>40.662828044541399</v>
      </c>
      <c r="F58" s="30">
        <v>-4.6997760138995996</v>
      </c>
      <c r="G58" s="71" t="s">
        <v>1550</v>
      </c>
      <c r="H58" s="73" t="s">
        <v>1549</v>
      </c>
      <c r="I58" s="7" t="s">
        <v>1248</v>
      </c>
      <c r="J58" s="7" t="b">
        <v>1</v>
      </c>
      <c r="L58" s="7" t="b">
        <v>1</v>
      </c>
      <c r="M58" s="71" t="s">
        <v>1672</v>
      </c>
      <c r="P58" s="1" t="s">
        <v>53</v>
      </c>
      <c r="Q58" s="75" t="s">
        <v>1546</v>
      </c>
      <c r="R58" s="1" t="s">
        <v>1547</v>
      </c>
      <c r="S58" s="76" t="s">
        <v>53</v>
      </c>
      <c r="Z58" s="1" t="s">
        <v>1543</v>
      </c>
      <c r="AA58" s="72" t="s">
        <v>1539</v>
      </c>
      <c r="AB58" s="72" t="s">
        <v>880</v>
      </c>
      <c r="AC58" s="72" t="s">
        <v>1542</v>
      </c>
      <c r="AS58" s="116" t="b">
        <f t="shared" si="66"/>
        <v>1</v>
      </c>
      <c r="AT58" s="117" t="str">
        <f t="shared" si="67"/>
        <v>title: "Monastery of the Incarnation (Monasterio de La Encarnacion)"</v>
      </c>
      <c r="AU58" s="117" t="str">
        <f t="shared" si="68"/>
        <v>location: {lat: 40.6628280445414, lng: -4.6997760138996}</v>
      </c>
      <c r="AV58" s="117" t="str">
        <f t="shared" si="69"/>
        <v>interest: local</v>
      </c>
      <c r="AW58" s="117" t="str">
        <f>"- "&amp;VLOOKUP(C58,'Country Tags'!C:E,3,)</f>
        <v>- spain</v>
      </c>
      <c r="AX58" s="117" t="str">
        <f t="shared" si="70"/>
        <v>- avila</v>
      </c>
      <c r="AY58" s="117" t="str">
        <f t="shared" si="71"/>
        <v>- churches</v>
      </c>
      <c r="AZ58" s="117" t="str">
        <f t="shared" si="72"/>
        <v/>
      </c>
      <c r="BA58" s="117" t="str">
        <f t="shared" si="73"/>
        <v>- holy-persons</v>
      </c>
      <c r="BB58" s="117" t="str">
        <f t="shared" si="74"/>
        <v>- teresa-avila</v>
      </c>
      <c r="BC58" s="117" t="str">
        <f t="shared" si="75"/>
        <v>- discalced-carmelites</v>
      </c>
      <c r="BD58" s="117" t="str">
        <f t="shared" si="76"/>
        <v>- communities</v>
      </c>
      <c r="BE58" s="117" t="str">
        <f t="shared" si="77"/>
        <v>- john-cross</v>
      </c>
      <c r="BF58" s="117" t="str">
        <f t="shared" si="78"/>
        <v/>
      </c>
      <c r="BG58" s="117" t="str">
        <f t="shared" si="79"/>
        <v/>
      </c>
      <c r="BH58" s="117" t="str">
        <f t="shared" si="80"/>
        <v/>
      </c>
      <c r="BI58" s="117" t="str">
        <f t="shared" si="81"/>
        <v/>
      </c>
      <c r="BJ58" s="117" t="str">
        <f t="shared" si="82"/>
        <v/>
      </c>
      <c r="BK58" s="117" t="str">
        <f t="shared" si="83"/>
        <v/>
      </c>
      <c r="BL58" s="117" t="str">
        <f t="shared" si="84"/>
        <v xml:space="preserve">tags:
- spain_x000D_
- avila_x000D_
- churches_x000D_
- holy-persons_x000D_
- teresa-avila_x000D_
- discalced-carmelites_x000D_
- communities_x000D_
- john-cross_x000D_
</v>
      </c>
      <c r="BM58" s="120" t="str">
        <f t="shared" si="62"/>
        <v/>
      </c>
      <c r="BN58" s="120" t="str">
        <f t="shared" si="63"/>
        <v>[Avila tourism site](https://www.avilaturismo.com/en/monatery-of-la-encarnacion)</v>
      </c>
      <c r="BO58" s="120" t="str">
        <f t="shared" si="64"/>
        <v/>
      </c>
      <c r="BP58" s="120" t="str">
        <f t="shared" si="65"/>
        <v/>
      </c>
      <c r="BQ58" s="117" t="str">
        <f t="shared" si="85"/>
        <v xml:space="preserve">* [Avila tourism site](https://www.avilaturismo.com/en/monatery-of-la-encarnacion)
</v>
      </c>
      <c r="BR58" s="117" t="str">
        <f t="shared" si="86"/>
        <v/>
      </c>
      <c r="BS58" s="117" t="str">
        <f t="shared" si="87"/>
        <v/>
      </c>
      <c r="BT58" s="117" t="str">
        <f t="shared" si="88"/>
        <v/>
      </c>
      <c r="BU58" s="117" t="str">
        <f>IF(LEN(concat(BR58:BT58))&gt;0,concat("| ",BR58," | ",BS58," | ",BT58," |"),"")</f>
        <v/>
      </c>
      <c r="BV58" s="117" t="str">
        <f t="shared" si="89"/>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spain_x000D_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90"/>
        <v>#VALUE!</v>
      </c>
      <c r="CK58" s="12" t="str">
        <f t="shared" si="91"/>
        <v xml:space="preserve">| [](/places/places\es-avila-monasterio-de-la-encarnacion) </v>
      </c>
      <c r="CL58" s="13" t="str">
        <f>"| "&amp;IF(AS58,GetTagPage(C58,VLOOKUP(C58,'Country Tags'!C:E,3,)),C58)&amp; " "</f>
        <v xml:space="preserve">| [Spain](/tags/spain) </v>
      </c>
      <c r="CM58" s="12" t="str">
        <f t="shared" si="92"/>
        <v xml:space="preserve">|  </v>
      </c>
      <c r="CN58" s="12" t="str">
        <f t="shared" si="93"/>
        <v xml:space="preserve">| [Link](/places/places\es-avila-monasterio-de-la-encarnacion) </v>
      </c>
      <c r="CO58" s="12" t="e">
        <f t="shared" si="94"/>
        <v>#VALUE!</v>
      </c>
    </row>
    <row r="59" spans="1:94" ht="38.25" x14ac:dyDescent="0.25">
      <c r="A59" s="129" t="s">
        <v>786</v>
      </c>
      <c r="B59" s="7" t="s">
        <v>1901</v>
      </c>
      <c r="C59" s="7" t="s">
        <v>266</v>
      </c>
      <c r="D59" s="7" t="s">
        <v>1535</v>
      </c>
      <c r="E59" s="1">
        <v>40.655097925791601</v>
      </c>
      <c r="F59" s="30">
        <v>-4.6919360712877101</v>
      </c>
      <c r="G59" s="71" t="s">
        <v>1562</v>
      </c>
      <c r="H59" s="33" t="s">
        <v>1548</v>
      </c>
      <c r="I59" s="7" t="s">
        <v>1248</v>
      </c>
      <c r="J59" s="7" t="b">
        <v>1</v>
      </c>
      <c r="L59" s="7" t="b">
        <v>1</v>
      </c>
      <c r="M59" s="71" t="s">
        <v>1581</v>
      </c>
      <c r="O59" s="1" t="s">
        <v>1552</v>
      </c>
      <c r="P59" s="144" t="s">
        <v>1988</v>
      </c>
      <c r="Q59" s="40" t="s">
        <v>1546</v>
      </c>
      <c r="R59" s="1" t="s">
        <v>1551</v>
      </c>
      <c r="S59" s="44" t="s">
        <v>53</v>
      </c>
      <c r="Z59" s="1" t="s">
        <v>1543</v>
      </c>
      <c r="AA59" s="1" t="s">
        <v>1539</v>
      </c>
      <c r="AB59" s="72" t="s">
        <v>880</v>
      </c>
      <c r="AS59" s="116" t="b">
        <f t="shared" si="66"/>
        <v>1</v>
      </c>
      <c r="AT59" s="117" t="str">
        <f t="shared" si="67"/>
        <v>title: "Convento de San Jose, Avila"</v>
      </c>
      <c r="AU59" s="117" t="str">
        <f t="shared" si="68"/>
        <v>location: {lat: 40.6550979257916, lng: -4.69193607128771}</v>
      </c>
      <c r="AV59" s="117" t="str">
        <f t="shared" si="69"/>
        <v>interest: local</v>
      </c>
      <c r="AW59" s="117" t="str">
        <f>"- "&amp;VLOOKUP(C59,'Country Tags'!C:E,3,)</f>
        <v>- spain</v>
      </c>
      <c r="AX59" s="117" t="str">
        <f t="shared" si="70"/>
        <v>- avila</v>
      </c>
      <c r="AY59" s="117" t="str">
        <f t="shared" si="71"/>
        <v>- churches</v>
      </c>
      <c r="AZ59" s="117" t="str">
        <f t="shared" si="72"/>
        <v/>
      </c>
      <c r="BA59" s="117" t="str">
        <f t="shared" si="73"/>
        <v>- holy-persons</v>
      </c>
      <c r="BB59" s="117" t="str">
        <f t="shared" si="74"/>
        <v>- teresa-avila</v>
      </c>
      <c r="BC59" s="117" t="str">
        <f t="shared" si="75"/>
        <v>- discalced-carmelites</v>
      </c>
      <c r="BD59" s="117" t="str">
        <f t="shared" si="76"/>
        <v>- communities</v>
      </c>
      <c r="BE59" s="117" t="str">
        <f t="shared" si="77"/>
        <v/>
      </c>
      <c r="BF59" s="117" t="str">
        <f t="shared" si="78"/>
        <v/>
      </c>
      <c r="BG59" s="117" t="str">
        <f t="shared" si="79"/>
        <v/>
      </c>
      <c r="BH59" s="117" t="str">
        <f t="shared" si="80"/>
        <v/>
      </c>
      <c r="BI59" s="117" t="str">
        <f t="shared" si="81"/>
        <v/>
      </c>
      <c r="BJ59" s="117" t="str">
        <f t="shared" si="82"/>
        <v/>
      </c>
      <c r="BK59" s="117" t="str">
        <f t="shared" si="83"/>
        <v/>
      </c>
      <c r="BL59" s="117" t="str">
        <f t="shared" si="84"/>
        <v xml:space="preserve">tags:
- spain_x000D_
- avila_x000D_
- churches_x000D_
- holy-persons_x000D_
- teresa-avila_x000D_
- discalced-carmelites_x000D_
- communities_x000D_
</v>
      </c>
      <c r="BM59" s="120" t="str">
        <f t="shared" si="62"/>
        <v>[Official site](http://www.sanjosedeavila.es/) - Note: website not active at time of writing</v>
      </c>
      <c r="BN59" s="120" t="str">
        <f t="shared" si="63"/>
        <v>[Avila tourism site](https://www.avilaturismo.com/en/convent-and-church-of-san-jose)</v>
      </c>
      <c r="BO59" s="120" t="str">
        <f t="shared" si="64"/>
        <v/>
      </c>
      <c r="BP59" s="120" t="str">
        <f t="shared" si="65"/>
        <v/>
      </c>
      <c r="BQ59" s="117" t="str">
        <f t="shared" si="85"/>
        <v xml:space="preserve">* [Official site](http://www.sanjosedeavila.es/) - Note: website not active at time of writing
* [Avila tourism site](https://www.avilaturismo.com/en/convent-and-church-of-san-jose)
</v>
      </c>
      <c r="BR59" s="117" t="str">
        <f t="shared" si="86"/>
        <v/>
      </c>
      <c r="BS59" s="117" t="str">
        <f t="shared" si="87"/>
        <v/>
      </c>
      <c r="BT59" s="117" t="str">
        <f t="shared" si="88"/>
        <v/>
      </c>
      <c r="BU59" s="117" t="str">
        <f>IF(LEN(concat(BR59:BT59))&gt;0,concat("| ",BR59," | ",BS59," | ",BT59," |"),"")</f>
        <v/>
      </c>
      <c r="BV59" s="117" t="str">
        <f t="shared" si="89"/>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spain_x000D_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90"/>
        <v>#VALUE!</v>
      </c>
      <c r="CK59" s="12" t="str">
        <f t="shared" si="91"/>
        <v xml:space="preserve">| [](/places/places\es-avila-convento-de-san-jose) </v>
      </c>
      <c r="CL59" s="13" t="str">
        <f>"| "&amp;IF(AS59,GetTagPage(C59,VLOOKUP(C59,'Country Tags'!C:E,3,)),C59)&amp; " "</f>
        <v xml:space="preserve">| [Spain](/tags/spain) </v>
      </c>
      <c r="CM59" s="12" t="str">
        <f t="shared" si="92"/>
        <v xml:space="preserve">|  </v>
      </c>
      <c r="CN59" s="12" t="str">
        <f t="shared" si="93"/>
        <v xml:space="preserve">| [Link](/places/places\es-avila-convento-de-san-jose) </v>
      </c>
      <c r="CO59" s="12" t="e">
        <f t="shared" si="94"/>
        <v>#VALUE!</v>
      </c>
    </row>
    <row r="60" spans="1:94" ht="51" x14ac:dyDescent="0.25">
      <c r="A60" s="129" t="s">
        <v>786</v>
      </c>
      <c r="B60" s="7" t="s">
        <v>1901</v>
      </c>
      <c r="C60" s="7" t="s">
        <v>266</v>
      </c>
      <c r="D60" s="71" t="s">
        <v>1563</v>
      </c>
      <c r="E60" s="1">
        <v>41.311399847334698</v>
      </c>
      <c r="F60" s="30">
        <v>-4.9193248846553699</v>
      </c>
      <c r="G60" s="71" t="s">
        <v>1564</v>
      </c>
      <c r="H60" s="33" t="s">
        <v>1548</v>
      </c>
      <c r="I60" s="7" t="s">
        <v>1248</v>
      </c>
      <c r="J60" s="7" t="b">
        <v>1</v>
      </c>
      <c r="L60" s="7" t="b">
        <v>1</v>
      </c>
      <c r="M60" s="71" t="s">
        <v>1653</v>
      </c>
      <c r="Q60" s="75" t="s">
        <v>1649</v>
      </c>
      <c r="R60" s="1" t="s">
        <v>1650</v>
      </c>
      <c r="S60" s="76" t="s">
        <v>53</v>
      </c>
      <c r="T60" s="75" t="s">
        <v>1651</v>
      </c>
      <c r="U60" s="1" t="s">
        <v>1652</v>
      </c>
      <c r="V60" s="133" t="s">
        <v>1988</v>
      </c>
      <c r="W60" s="74" t="s">
        <v>53</v>
      </c>
      <c r="Z60" s="1" t="s">
        <v>1543</v>
      </c>
      <c r="AA60" s="1" t="s">
        <v>1539</v>
      </c>
      <c r="AB60" s="1" t="s">
        <v>880</v>
      </c>
      <c r="AC60" s="1" t="s">
        <v>1542</v>
      </c>
      <c r="AS60" s="116" t="b">
        <f t="shared" si="66"/>
        <v>1</v>
      </c>
      <c r="AT60" s="117" t="str">
        <f t="shared" si="67"/>
        <v>title: "Convento de San Jose, Medina del Campo"</v>
      </c>
      <c r="AU60" s="117" t="str">
        <f t="shared" si="68"/>
        <v>location: {lat: 41.3113998473347, lng: -4.91932488465537}</v>
      </c>
      <c r="AV60" s="117" t="str">
        <f t="shared" si="69"/>
        <v>interest: local</v>
      </c>
      <c r="AW60" s="117" t="str">
        <f>"- "&amp;VLOOKUP(C60,'Country Tags'!C:E,3,)</f>
        <v>- spain</v>
      </c>
      <c r="AX60" s="117" t="str">
        <f t="shared" si="70"/>
        <v>- medina-del-campo</v>
      </c>
      <c r="AY60" s="117" t="str">
        <f t="shared" si="71"/>
        <v>- churches</v>
      </c>
      <c r="AZ60" s="117" t="str">
        <f t="shared" si="72"/>
        <v/>
      </c>
      <c r="BA60" s="117" t="str">
        <f t="shared" si="73"/>
        <v>- holy-persons</v>
      </c>
      <c r="BB60" s="117" t="str">
        <f t="shared" si="74"/>
        <v>- teresa-avila</v>
      </c>
      <c r="BC60" s="117" t="str">
        <f t="shared" si="75"/>
        <v>- discalced-carmelites</v>
      </c>
      <c r="BD60" s="117" t="str">
        <f t="shared" si="76"/>
        <v>- communities</v>
      </c>
      <c r="BE60" s="117" t="str">
        <f t="shared" si="77"/>
        <v>- john-cross</v>
      </c>
      <c r="BF60" s="117" t="str">
        <f t="shared" si="78"/>
        <v/>
      </c>
      <c r="BG60" s="117" t="str">
        <f t="shared" si="79"/>
        <v/>
      </c>
      <c r="BH60" s="117" t="str">
        <f t="shared" si="80"/>
        <v/>
      </c>
      <c r="BI60" s="117" t="str">
        <f t="shared" si="81"/>
        <v/>
      </c>
      <c r="BJ60" s="117" t="str">
        <f t="shared" si="82"/>
        <v/>
      </c>
      <c r="BK60" s="117" t="str">
        <f t="shared" si="83"/>
        <v/>
      </c>
      <c r="BL60" s="117" t="str">
        <f t="shared" si="84"/>
        <v xml:space="preserve">tags:
- spain_x000D_
- medina-del-campo_x000D_
- churches_x000D_
- holy-persons_x000D_
- teresa-avila_x000D_
- discalced-carmelites_x000D_
- communities_x000D_
- john-cross_x000D_
</v>
      </c>
      <c r="BM60" s="120" t="str">
        <f t="shared" si="62"/>
        <v/>
      </c>
      <c r="BN60" s="120" t="str">
        <f t="shared" si="63"/>
        <v>[Castila y Leon tourism site](https://www.turismocastillayleon.com/en/art-culture-heritage/museums/teresian-museum-san-jose-medina-del-campo-m-m-carmelitas)</v>
      </c>
      <c r="BO60" s="120" t="str">
        <f t="shared" si="64"/>
        <v>[Medina del Campo tourism site](http://medinadelcampo.es/lo-indispensable/donde-la-historia-cobra-vida/23-lo-indispensable/donde-la-historia-cobra-vida/367-convento-san-juan-de-la-cruz-ruta-teresiana) - Note: website not active at time of writing</v>
      </c>
      <c r="BP60" s="120" t="str">
        <f t="shared" si="65"/>
        <v/>
      </c>
      <c r="BQ60" s="117" t="str">
        <f t="shared" si="85"/>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86"/>
        <v/>
      </c>
      <c r="BS60" s="117" t="str">
        <f t="shared" si="87"/>
        <v/>
      </c>
      <c r="BT60" s="117" t="str">
        <f t="shared" si="88"/>
        <v/>
      </c>
      <c r="BU60" s="117" t="str">
        <f>IF(LEN(concat(BR60:BT60))&gt;0,concat("| ",BR60," | ",BS60," | ",BT60," |"),"")</f>
        <v/>
      </c>
      <c r="BV60" s="117" t="str">
        <f t="shared" si="89"/>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spain_x000D_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90"/>
        <v>#VALUE!</v>
      </c>
      <c r="CK60" s="12" t="str">
        <f t="shared" si="91"/>
        <v xml:space="preserve">| [](/places/places\es-medina-del-campo-convento-de-san-jose) </v>
      </c>
      <c r="CL60" s="13" t="str">
        <f>"| "&amp;IF(AS60,GetTagPage(C60,VLOOKUP(C60,'Country Tags'!C:E,3,)),C60)&amp; " "</f>
        <v xml:space="preserve">| [Spain](/tags/spain) </v>
      </c>
      <c r="CM60" s="12" t="str">
        <f t="shared" si="92"/>
        <v xml:space="preserve">|  </v>
      </c>
      <c r="CN60" s="12" t="str">
        <f t="shared" si="93"/>
        <v xml:space="preserve">| [Link](/places/places\es-medina-del-campo-convento-de-san-jose) </v>
      </c>
      <c r="CO60" s="12" t="e">
        <f t="shared" si="94"/>
        <v>#VALUE!</v>
      </c>
    </row>
    <row r="61" spans="1:94" x14ac:dyDescent="0.25">
      <c r="A61" s="129" t="s">
        <v>786</v>
      </c>
      <c r="B61" s="7" t="s">
        <v>1901</v>
      </c>
      <c r="C61" s="7" t="s">
        <v>266</v>
      </c>
      <c r="D61" s="71" t="s">
        <v>1565</v>
      </c>
      <c r="E61" s="1">
        <v>39.172836506337802</v>
      </c>
      <c r="F61" s="30">
        <v>-3.8518511711638399</v>
      </c>
      <c r="G61" s="71" t="s">
        <v>1566</v>
      </c>
      <c r="H61" s="33" t="s">
        <v>1548</v>
      </c>
      <c r="I61" s="7" t="s">
        <v>1248</v>
      </c>
      <c r="J61" s="7" t="b">
        <v>1</v>
      </c>
      <c r="L61" s="7" t="b">
        <v>1</v>
      </c>
      <c r="M61" s="71" t="s">
        <v>1580</v>
      </c>
      <c r="Z61" s="1" t="s">
        <v>1543</v>
      </c>
      <c r="AA61" s="1" t="s">
        <v>1539</v>
      </c>
      <c r="AB61" s="1" t="s">
        <v>880</v>
      </c>
      <c r="AS61" s="116" t="b">
        <f t="shared" si="66"/>
        <v>1</v>
      </c>
      <c r="AT61" s="117" t="str">
        <f t="shared" si="67"/>
        <v>title: "Convento de San Jose, Malagon"</v>
      </c>
      <c r="AU61" s="117" t="str">
        <f t="shared" si="68"/>
        <v>location: {lat: 39.1728365063378, lng: -3.85185117116384}</v>
      </c>
      <c r="AV61" s="117" t="str">
        <f t="shared" si="69"/>
        <v>interest: local</v>
      </c>
      <c r="AW61" s="117" t="str">
        <f>"- "&amp;VLOOKUP(C61,'Country Tags'!C:E,3,)</f>
        <v>- spain</v>
      </c>
      <c r="AX61" s="117" t="str">
        <f t="shared" si="70"/>
        <v>- malagon</v>
      </c>
      <c r="AY61" s="117" t="str">
        <f t="shared" si="71"/>
        <v>- churches</v>
      </c>
      <c r="AZ61" s="117" t="str">
        <f t="shared" si="72"/>
        <v/>
      </c>
      <c r="BA61" s="117" t="str">
        <f t="shared" si="73"/>
        <v>- holy-persons</v>
      </c>
      <c r="BB61" s="117" t="str">
        <f t="shared" si="74"/>
        <v>- teresa-avila</v>
      </c>
      <c r="BC61" s="117" t="str">
        <f t="shared" si="75"/>
        <v>- discalced-carmelites</v>
      </c>
      <c r="BD61" s="117" t="str">
        <f t="shared" si="76"/>
        <v>- communities</v>
      </c>
      <c r="BE61" s="117" t="str">
        <f t="shared" si="77"/>
        <v/>
      </c>
      <c r="BF61" s="117" t="str">
        <f t="shared" si="78"/>
        <v/>
      </c>
      <c r="BG61" s="117" t="str">
        <f t="shared" si="79"/>
        <v/>
      </c>
      <c r="BH61" s="117" t="str">
        <f t="shared" si="80"/>
        <v/>
      </c>
      <c r="BI61" s="117" t="str">
        <f t="shared" si="81"/>
        <v/>
      </c>
      <c r="BJ61" s="117" t="str">
        <f t="shared" si="82"/>
        <v/>
      </c>
      <c r="BK61" s="117" t="str">
        <f t="shared" si="83"/>
        <v/>
      </c>
      <c r="BL61" s="117" t="str">
        <f t="shared" si="84"/>
        <v xml:space="preserve">tags:
- spain_x000D_
- malagon_x000D_
- churches_x000D_
- holy-persons_x000D_
- teresa-avila_x000D_
- discalced-carmelites_x000D_
- communities_x000D_
</v>
      </c>
      <c r="BM61" s="120" t="str">
        <f t="shared" si="62"/>
        <v/>
      </c>
      <c r="BN61" s="120" t="str">
        <f t="shared" si="63"/>
        <v/>
      </c>
      <c r="BO61" s="120" t="str">
        <f t="shared" si="64"/>
        <v/>
      </c>
      <c r="BP61" s="120" t="str">
        <f t="shared" si="65"/>
        <v/>
      </c>
      <c r="BQ61" s="117" t="str">
        <f t="shared" si="85"/>
        <v/>
      </c>
      <c r="BR61" s="117" t="str">
        <f t="shared" si="86"/>
        <v/>
      </c>
      <c r="BS61" s="117" t="str">
        <f t="shared" si="87"/>
        <v/>
      </c>
      <c r="BT61" s="117" t="str">
        <f t="shared" si="88"/>
        <v/>
      </c>
      <c r="BU61" s="117" t="str">
        <f>IF(LEN(concat(BR61:BT61))&gt;0,concat("| ",BR61," | ",BS61," | ",BT61," |"),"")</f>
        <v/>
      </c>
      <c r="BV61" s="117" t="str">
        <f t="shared" si="89"/>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spain_x000D_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90"/>
        <v>#VALUE!</v>
      </c>
      <c r="CK61" s="12" t="str">
        <f t="shared" si="91"/>
        <v xml:space="preserve">| [](/places/places\es-malagon-convento-de-san-jose) </v>
      </c>
      <c r="CL61" s="13" t="str">
        <f>"| "&amp;IF(AS61,GetTagPage(C61,VLOOKUP(C61,'Country Tags'!C:E,3,)),C61)&amp; " "</f>
        <v xml:space="preserve">| [Spain](/tags/spain) </v>
      </c>
      <c r="CM61" s="12" t="str">
        <f t="shared" si="92"/>
        <v xml:space="preserve">|  </v>
      </c>
      <c r="CN61" s="12" t="str">
        <f t="shared" si="93"/>
        <v xml:space="preserve">| [Link](/places/places\es-malagon-convento-de-san-jose) </v>
      </c>
      <c r="CO61" s="12" t="e">
        <f t="shared" si="94"/>
        <v>#VALUE!</v>
      </c>
    </row>
    <row r="62" spans="1:94" x14ac:dyDescent="0.25">
      <c r="A62" s="129" t="s">
        <v>786</v>
      </c>
      <c r="B62" s="7" t="s">
        <v>1901</v>
      </c>
      <c r="C62" s="7" t="s">
        <v>266</v>
      </c>
      <c r="D62" s="80" t="s">
        <v>1568</v>
      </c>
      <c r="E62" s="1">
        <v>41.659886377779202</v>
      </c>
      <c r="F62" s="30">
        <v>-4.72687771534462</v>
      </c>
      <c r="G62" s="80" t="s">
        <v>1681</v>
      </c>
      <c r="H62" s="33" t="s">
        <v>1567</v>
      </c>
      <c r="I62" s="7" t="s">
        <v>1248</v>
      </c>
      <c r="J62" s="7" t="b">
        <v>1</v>
      </c>
      <c r="L62" s="7" t="b">
        <v>1</v>
      </c>
      <c r="M62" s="71" t="s">
        <v>1582</v>
      </c>
      <c r="Z62" s="1" t="s">
        <v>1543</v>
      </c>
      <c r="AA62" s="1" t="s">
        <v>1539</v>
      </c>
      <c r="AB62" s="1" t="s">
        <v>880</v>
      </c>
      <c r="AS62" s="116" t="b">
        <f t="shared" si="66"/>
        <v>1</v>
      </c>
      <c r="AT62" s="117" t="str">
        <f t="shared" si="67"/>
        <v>title: "Convento de Santa Teresa, Valladolid"</v>
      </c>
      <c r="AU62" s="117" t="str">
        <f t="shared" si="68"/>
        <v>location: {lat: 41.6598863777792, lng: -4.72687771534462}</v>
      </c>
      <c r="AV62" s="117" t="str">
        <f t="shared" si="69"/>
        <v>interest: local</v>
      </c>
      <c r="AW62" s="117" t="str">
        <f>"- "&amp;VLOOKUP(C62,'Country Tags'!C:E,3,)</f>
        <v>- spain</v>
      </c>
      <c r="AX62" s="117" t="str">
        <f t="shared" si="70"/>
        <v>- valladolid</v>
      </c>
      <c r="AY62" s="117" t="str">
        <f t="shared" si="71"/>
        <v>- churches</v>
      </c>
      <c r="AZ62" s="117" t="str">
        <f t="shared" si="72"/>
        <v/>
      </c>
      <c r="BA62" s="117" t="str">
        <f t="shared" si="73"/>
        <v>- holy-persons</v>
      </c>
      <c r="BB62" s="117" t="str">
        <f t="shared" si="74"/>
        <v>- teresa-avila</v>
      </c>
      <c r="BC62" s="117" t="str">
        <f t="shared" si="75"/>
        <v>- discalced-carmelites</v>
      </c>
      <c r="BD62" s="117" t="str">
        <f t="shared" si="76"/>
        <v>- communities</v>
      </c>
      <c r="BE62" s="117" t="str">
        <f t="shared" si="77"/>
        <v/>
      </c>
      <c r="BF62" s="117" t="str">
        <f t="shared" si="78"/>
        <v/>
      </c>
      <c r="BG62" s="117" t="str">
        <f t="shared" si="79"/>
        <v/>
      </c>
      <c r="BH62" s="117" t="str">
        <f t="shared" si="80"/>
        <v/>
      </c>
      <c r="BI62" s="117" t="str">
        <f t="shared" si="81"/>
        <v/>
      </c>
      <c r="BJ62" s="117" t="str">
        <f t="shared" si="82"/>
        <v/>
      </c>
      <c r="BK62" s="117" t="str">
        <f t="shared" si="83"/>
        <v/>
      </c>
      <c r="BL62" s="117" t="str">
        <f t="shared" si="84"/>
        <v xml:space="preserve">tags:
- spain_x000D_
- valladolid_x000D_
- churches_x000D_
- holy-persons_x000D_
- teresa-avila_x000D_
- discalced-carmelites_x000D_
- communities_x000D_
</v>
      </c>
      <c r="BM62" s="120" t="str">
        <f t="shared" si="62"/>
        <v/>
      </c>
      <c r="BN62" s="120" t="str">
        <f t="shared" si="63"/>
        <v/>
      </c>
      <c r="BO62" s="120" t="str">
        <f t="shared" si="64"/>
        <v/>
      </c>
      <c r="BP62" s="120" t="str">
        <f t="shared" si="65"/>
        <v/>
      </c>
      <c r="BQ62" s="117" t="str">
        <f t="shared" si="85"/>
        <v/>
      </c>
      <c r="BR62" s="117" t="str">
        <f t="shared" si="86"/>
        <v/>
      </c>
      <c r="BS62" s="117" t="str">
        <f t="shared" si="87"/>
        <v/>
      </c>
      <c r="BT62" s="117" t="str">
        <f t="shared" si="88"/>
        <v/>
      </c>
      <c r="BU62" s="117" t="str">
        <f>IF(LEN(concat(BR62:BT62))&gt;0,concat("| ",BR62," | ",BS62," | ",BT62," |"),"")</f>
        <v/>
      </c>
      <c r="BV62" s="117" t="str">
        <f t="shared" si="89"/>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spain_x000D_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90"/>
        <v>#VALUE!</v>
      </c>
      <c r="CK62" s="12" t="str">
        <f t="shared" si="91"/>
        <v xml:space="preserve">| [](/places/places\es-valladolid-convento-de-santa-teresa) </v>
      </c>
      <c r="CL62" s="13" t="str">
        <f>"| "&amp;IF(AS62,GetTagPage(C62,VLOOKUP(C62,'Country Tags'!C:E,3,)),C62)&amp; " "</f>
        <v xml:space="preserve">| [Spain](/tags/spain) </v>
      </c>
      <c r="CM62" s="12" t="str">
        <f t="shared" si="92"/>
        <v xml:space="preserve">|  </v>
      </c>
      <c r="CN62" s="12" t="str">
        <f t="shared" si="93"/>
        <v xml:space="preserve">| [Link](/places/places\es-valladolid-convento-de-santa-teresa) </v>
      </c>
      <c r="CO62" s="12" t="e">
        <f t="shared" si="94"/>
        <v>#VALUE!</v>
      </c>
    </row>
    <row r="63" spans="1:94" x14ac:dyDescent="0.25">
      <c r="A63" s="129" t="s">
        <v>786</v>
      </c>
      <c r="B63" s="7" t="s">
        <v>1901</v>
      </c>
      <c r="C63" s="7" t="s">
        <v>266</v>
      </c>
      <c r="D63" s="71" t="s">
        <v>1571</v>
      </c>
      <c r="E63" s="1">
        <v>39.860357499451801</v>
      </c>
      <c r="F63" s="30">
        <v>-4.0247343354961798</v>
      </c>
      <c r="G63" s="71" t="s">
        <v>1572</v>
      </c>
      <c r="H63" s="33" t="s">
        <v>1548</v>
      </c>
      <c r="I63" s="7" t="s">
        <v>1248</v>
      </c>
      <c r="J63" s="7" t="b">
        <v>1</v>
      </c>
      <c r="L63" s="7" t="b">
        <v>1</v>
      </c>
      <c r="M63" s="71" t="s">
        <v>1583</v>
      </c>
      <c r="Z63" s="1" t="s">
        <v>1543</v>
      </c>
      <c r="AA63" s="1" t="s">
        <v>1539</v>
      </c>
      <c r="AB63" s="1" t="s">
        <v>880</v>
      </c>
      <c r="AS63" s="116" t="b">
        <f t="shared" si="66"/>
        <v>1</v>
      </c>
      <c r="AT63" s="117" t="str">
        <f t="shared" si="67"/>
        <v>title: "Convento de San Jose, Toledo"</v>
      </c>
      <c r="AU63" s="117" t="str">
        <f t="shared" si="68"/>
        <v>location: {lat: 39.8603574994518, lng: -4.02473433549618}</v>
      </c>
      <c r="AV63" s="117" t="str">
        <f t="shared" si="69"/>
        <v>interest: local</v>
      </c>
      <c r="AW63" s="117" t="str">
        <f>"- "&amp;VLOOKUP(C63,'Country Tags'!C:E,3,)</f>
        <v>- spain</v>
      </c>
      <c r="AX63" s="117" t="str">
        <f t="shared" si="70"/>
        <v>- toledo</v>
      </c>
      <c r="AY63" s="117" t="str">
        <f t="shared" si="71"/>
        <v>- churches</v>
      </c>
      <c r="AZ63" s="117" t="str">
        <f t="shared" si="72"/>
        <v/>
      </c>
      <c r="BA63" s="117" t="str">
        <f t="shared" si="73"/>
        <v>- holy-persons</v>
      </c>
      <c r="BB63" s="117" t="str">
        <f t="shared" si="74"/>
        <v>- teresa-avila</v>
      </c>
      <c r="BC63" s="117" t="str">
        <f t="shared" si="75"/>
        <v>- discalced-carmelites</v>
      </c>
      <c r="BD63" s="117" t="str">
        <f t="shared" si="76"/>
        <v>- communities</v>
      </c>
      <c r="BE63" s="117" t="str">
        <f t="shared" si="77"/>
        <v/>
      </c>
      <c r="BF63" s="117" t="str">
        <f t="shared" si="78"/>
        <v/>
      </c>
      <c r="BG63" s="117" t="str">
        <f t="shared" si="79"/>
        <v/>
      </c>
      <c r="BH63" s="117" t="str">
        <f t="shared" si="80"/>
        <v/>
      </c>
      <c r="BI63" s="117" t="str">
        <f t="shared" si="81"/>
        <v/>
      </c>
      <c r="BJ63" s="117" t="str">
        <f t="shared" si="82"/>
        <v/>
      </c>
      <c r="BK63" s="117" t="str">
        <f t="shared" si="83"/>
        <v/>
      </c>
      <c r="BL63" s="117" t="str">
        <f t="shared" si="84"/>
        <v xml:space="preserve">tags:
- spain_x000D_
- toledo_x000D_
- churches_x000D_
- holy-persons_x000D_
- teresa-avila_x000D_
- discalced-carmelites_x000D_
- communities_x000D_
</v>
      </c>
      <c r="BM63" s="120" t="str">
        <f t="shared" si="62"/>
        <v/>
      </c>
      <c r="BN63" s="120" t="str">
        <f t="shared" si="63"/>
        <v/>
      </c>
      <c r="BO63" s="120" t="str">
        <f t="shared" si="64"/>
        <v/>
      </c>
      <c r="BP63" s="120" t="str">
        <f t="shared" si="65"/>
        <v/>
      </c>
      <c r="BQ63" s="117" t="str">
        <f t="shared" si="85"/>
        <v/>
      </c>
      <c r="BR63" s="117" t="str">
        <f t="shared" si="86"/>
        <v/>
      </c>
      <c r="BS63" s="117" t="str">
        <f t="shared" si="87"/>
        <v/>
      </c>
      <c r="BT63" s="117" t="str">
        <f t="shared" si="88"/>
        <v/>
      </c>
      <c r="BU63" s="117" t="str">
        <f>IF(LEN(concat(BR63:BT63))&gt;0,concat("| ",BR63," | ",BS63," | ",BT63," |"),"")</f>
        <v/>
      </c>
      <c r="BV63" s="117" t="str">
        <f t="shared" si="89"/>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spain_x000D_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90"/>
        <v>#VALUE!</v>
      </c>
      <c r="CK63" s="12" t="str">
        <f t="shared" si="91"/>
        <v xml:space="preserve">| [](/places/places\es-toledo-convento-de-san-jose) </v>
      </c>
      <c r="CL63" s="13" t="str">
        <f>"| "&amp;IF(AS63,GetTagPage(C63,VLOOKUP(C63,'Country Tags'!C:E,3,)),C63)&amp; " "</f>
        <v xml:space="preserve">| [Spain](/tags/spain) </v>
      </c>
      <c r="CM63" s="12" t="str">
        <f t="shared" si="92"/>
        <v xml:space="preserve">|  </v>
      </c>
      <c r="CN63" s="12" t="str">
        <f t="shared" si="93"/>
        <v xml:space="preserve">| [Link](/places/places\es-toledo-convento-de-san-jose) </v>
      </c>
      <c r="CO63" s="12" t="e">
        <f t="shared" si="94"/>
        <v>#VALUE!</v>
      </c>
    </row>
    <row r="64" spans="1:94" ht="89.25" x14ac:dyDescent="0.25">
      <c r="A64" s="129" t="s">
        <v>786</v>
      </c>
      <c r="B64" s="7" t="s">
        <v>1901</v>
      </c>
      <c r="C64" s="7" t="s">
        <v>266</v>
      </c>
      <c r="D64" s="71" t="s">
        <v>1575</v>
      </c>
      <c r="E64" s="1">
        <v>40.405087686540597</v>
      </c>
      <c r="F64" s="30">
        <v>-2.9172532935268598</v>
      </c>
      <c r="G64" s="71" t="s">
        <v>1574</v>
      </c>
      <c r="H64" s="73" t="s">
        <v>1573</v>
      </c>
      <c r="I64" s="7" t="s">
        <v>1248</v>
      </c>
      <c r="J64" s="7" t="b">
        <v>1</v>
      </c>
      <c r="L64" s="7" t="b">
        <v>1</v>
      </c>
      <c r="M64" s="71" t="s">
        <v>1673</v>
      </c>
      <c r="Q64" s="75" t="s">
        <v>1578</v>
      </c>
      <c r="R64" s="1" t="s">
        <v>1579</v>
      </c>
      <c r="S64" s="76" t="s">
        <v>53</v>
      </c>
      <c r="Z64" s="1" t="s">
        <v>1543</v>
      </c>
      <c r="AA64" s="72" t="s">
        <v>1539</v>
      </c>
      <c r="AB64" s="1" t="s">
        <v>880</v>
      </c>
      <c r="AC64" s="1" t="s">
        <v>1576</v>
      </c>
      <c r="AD64" s="72" t="s">
        <v>1542</v>
      </c>
      <c r="AS64" s="116" t="b">
        <f t="shared" si="66"/>
        <v>1</v>
      </c>
      <c r="AT64" s="117" t="str">
        <f t="shared" si="67"/>
        <v>title: "Convento del Carmen, Pastrana"</v>
      </c>
      <c r="AU64" s="117" t="str">
        <f t="shared" si="68"/>
        <v>location: {lat: 40.4050876865406, lng: -2.91725329352686}</v>
      </c>
      <c r="AV64" s="117" t="str">
        <f t="shared" si="69"/>
        <v>interest: local</v>
      </c>
      <c r="AW64" s="117" t="str">
        <f>"- "&amp;VLOOKUP(C64,'Country Tags'!C:E,3,)</f>
        <v>- spain</v>
      </c>
      <c r="AX64" s="117" t="str">
        <f t="shared" si="70"/>
        <v>- pastrana</v>
      </c>
      <c r="AY64" s="117" t="str">
        <f t="shared" si="71"/>
        <v>- churches</v>
      </c>
      <c r="AZ64" s="117" t="str">
        <f t="shared" si="72"/>
        <v/>
      </c>
      <c r="BA64" s="117" t="str">
        <f t="shared" si="73"/>
        <v>- holy-persons</v>
      </c>
      <c r="BB64" s="117" t="str">
        <f t="shared" si="74"/>
        <v>- teresa-avila</v>
      </c>
      <c r="BC64" s="117" t="str">
        <f t="shared" si="75"/>
        <v>- discalced-carmelites</v>
      </c>
      <c r="BD64" s="117" t="str">
        <f t="shared" si="76"/>
        <v>- communities</v>
      </c>
      <c r="BE64" s="117" t="str">
        <f t="shared" si="77"/>
        <v>- conceptionists</v>
      </c>
      <c r="BF64" s="117" t="str">
        <f t="shared" si="78"/>
        <v>- john-cross</v>
      </c>
      <c r="BG64" s="117" t="str">
        <f t="shared" si="79"/>
        <v/>
      </c>
      <c r="BH64" s="117" t="str">
        <f t="shared" si="80"/>
        <v/>
      </c>
      <c r="BI64" s="117" t="str">
        <f t="shared" si="81"/>
        <v/>
      </c>
      <c r="BJ64" s="117" t="str">
        <f t="shared" si="82"/>
        <v/>
      </c>
      <c r="BK64" s="117" t="str">
        <f t="shared" si="83"/>
        <v/>
      </c>
      <c r="BL64" s="117" t="str">
        <f t="shared" si="84"/>
        <v xml:space="preserve">tags:
- spain_x000D_
- pastrana_x000D_
- churches_x000D_
- holy-persons_x000D_
- teresa-avila_x000D_
- discalced-carmelites_x000D_
- communities_x000D_
- conceptionists_x000D_
- john-cross_x000D_
</v>
      </c>
      <c r="BM64" s="120" t="str">
        <f t="shared" si="62"/>
        <v/>
      </c>
      <c r="BN64" s="120" t="str">
        <f t="shared" si="63"/>
        <v>[Pastrana tourism site](https://turismo.pastrana.org/destino-pastrana/monumentos-pastrana-visitas-culturales/convento-del-carmen/)</v>
      </c>
      <c r="BO64" s="120" t="str">
        <f t="shared" si="64"/>
        <v/>
      </c>
      <c r="BP64" s="120" t="str">
        <f t="shared" si="65"/>
        <v/>
      </c>
      <c r="BQ64" s="117" t="str">
        <f t="shared" si="85"/>
        <v xml:space="preserve">* [Pastrana tourism site](https://turismo.pastrana.org/destino-pastrana/monumentos-pastrana-visitas-culturales/convento-del-carmen/)
</v>
      </c>
      <c r="BR64" s="117" t="str">
        <f t="shared" si="86"/>
        <v/>
      </c>
      <c r="BS64" s="117" t="str">
        <f t="shared" si="87"/>
        <v/>
      </c>
      <c r="BT64" s="117" t="str">
        <f t="shared" si="88"/>
        <v/>
      </c>
      <c r="BU64" s="117" t="str">
        <f>IF(LEN(concat(BR64:BT64))&gt;0,concat("| ",BR64," | ",BS64," | ",BT64," |"),"")</f>
        <v/>
      </c>
      <c r="BV64" s="117" t="str">
        <f t="shared" si="89"/>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spain_x000D_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90"/>
        <v>#VALUE!</v>
      </c>
      <c r="CK64" s="12" t="str">
        <f t="shared" si="91"/>
        <v xml:space="preserve">| [](/places/places\es-pastrana-convento-del-carmen) </v>
      </c>
      <c r="CL64" s="13" t="str">
        <f>"| "&amp;IF(AS64,GetTagPage(C64,VLOOKUP(C64,'Country Tags'!C:E,3,)),C64)&amp; " "</f>
        <v xml:space="preserve">| [Spain](/tags/spain) </v>
      </c>
      <c r="CM64" s="12" t="str">
        <f t="shared" si="92"/>
        <v xml:space="preserve">|  </v>
      </c>
      <c r="CN64" s="12" t="str">
        <f t="shared" si="93"/>
        <v xml:space="preserve">| [Link](/places/places\es-pastrana-convento-del-carmen) </v>
      </c>
      <c r="CO64" s="12" t="e">
        <f t="shared" si="94"/>
        <v>#VALUE!</v>
      </c>
    </row>
    <row r="65" spans="1:93" ht="89.25" x14ac:dyDescent="0.25">
      <c r="A65" s="129" t="s">
        <v>786</v>
      </c>
      <c r="B65" s="7" t="s">
        <v>1901</v>
      </c>
      <c r="C65" s="7" t="s">
        <v>266</v>
      </c>
      <c r="D65" s="71"/>
      <c r="E65" s="1">
        <v>40.461168474019402</v>
      </c>
      <c r="F65" s="30">
        <v>-6.1468564846553697</v>
      </c>
      <c r="G65" s="71" t="s">
        <v>1553</v>
      </c>
      <c r="H65" s="33" t="s">
        <v>1553</v>
      </c>
      <c r="I65" s="7" t="s">
        <v>1248</v>
      </c>
      <c r="J65" s="7" t="b">
        <v>1</v>
      </c>
      <c r="L65" s="7" t="b">
        <v>1</v>
      </c>
      <c r="M65" s="71" t="s">
        <v>1585</v>
      </c>
      <c r="O65" s="1" t="s">
        <v>1554</v>
      </c>
      <c r="P65" s="74" t="s">
        <v>53</v>
      </c>
      <c r="S65" s="44" t="s">
        <v>53</v>
      </c>
      <c r="Z65" s="1" t="s">
        <v>1543</v>
      </c>
      <c r="AA65" s="1" t="s">
        <v>1539</v>
      </c>
      <c r="AB65" s="1" t="s">
        <v>880</v>
      </c>
      <c r="AS65" s="116" t="b">
        <f t="shared" si="66"/>
        <v>1</v>
      </c>
      <c r="AT65" s="117" t="str">
        <f t="shared" si="67"/>
        <v>title: "Monasterio de las Batuecas"</v>
      </c>
      <c r="AU65" s="117" t="str">
        <f t="shared" si="68"/>
        <v>location: {lat: 40.4611684740194, lng: -6.14685648465537}</v>
      </c>
      <c r="AV65" s="117" t="str">
        <f t="shared" si="69"/>
        <v>interest: local</v>
      </c>
      <c r="AW65" s="117" t="str">
        <f>"- "&amp;VLOOKUP(C65,'Country Tags'!C:E,3,)</f>
        <v>- spain</v>
      </c>
      <c r="AX65" s="117" t="str">
        <f t="shared" si="70"/>
        <v/>
      </c>
      <c r="AY65" s="117" t="str">
        <f t="shared" si="71"/>
        <v>- churches</v>
      </c>
      <c r="AZ65" s="117" t="str">
        <f t="shared" si="72"/>
        <v/>
      </c>
      <c r="BA65" s="117" t="str">
        <f t="shared" si="73"/>
        <v>- holy-persons</v>
      </c>
      <c r="BB65" s="117" t="str">
        <f t="shared" si="74"/>
        <v>- teresa-avila</v>
      </c>
      <c r="BC65" s="117" t="str">
        <f t="shared" si="75"/>
        <v>- discalced-carmelites</v>
      </c>
      <c r="BD65" s="117" t="str">
        <f t="shared" si="76"/>
        <v>- communities</v>
      </c>
      <c r="BE65" s="117" t="str">
        <f t="shared" si="77"/>
        <v/>
      </c>
      <c r="BF65" s="117" t="str">
        <f t="shared" si="78"/>
        <v/>
      </c>
      <c r="BG65" s="117" t="str">
        <f t="shared" si="79"/>
        <v/>
      </c>
      <c r="BH65" s="117" t="str">
        <f t="shared" si="80"/>
        <v/>
      </c>
      <c r="BI65" s="117" t="str">
        <f t="shared" si="81"/>
        <v/>
      </c>
      <c r="BJ65" s="117" t="str">
        <f t="shared" si="82"/>
        <v/>
      </c>
      <c r="BK65" s="117" t="str">
        <f t="shared" si="83"/>
        <v/>
      </c>
      <c r="BL65" s="117" t="str">
        <f t="shared" si="84"/>
        <v xml:space="preserve">tags:
- spain_x000D_
- churches_x000D_
- holy-persons_x000D_
- teresa-avila_x000D_
- discalced-carmelites_x000D_
- communities_x000D_
</v>
      </c>
      <c r="BM65" s="120" t="str">
        <f t="shared" si="62"/>
        <v>[Official site](https://monasteriodelasbatuecas.wordpress.com/)</v>
      </c>
      <c r="BN65" s="120" t="str">
        <f t="shared" si="63"/>
        <v/>
      </c>
      <c r="BO65" s="120" t="str">
        <f t="shared" si="64"/>
        <v/>
      </c>
      <c r="BP65" s="120" t="str">
        <f t="shared" si="65"/>
        <v/>
      </c>
      <c r="BQ65" s="117" t="str">
        <f t="shared" si="85"/>
        <v xml:space="preserve">* [Official site](https://monasteriodelasbatuecas.wordpress.com/)
</v>
      </c>
      <c r="BR65" s="117" t="str">
        <f t="shared" si="86"/>
        <v/>
      </c>
      <c r="BS65" s="117" t="str">
        <f t="shared" si="87"/>
        <v/>
      </c>
      <c r="BT65" s="117" t="str">
        <f t="shared" si="88"/>
        <v/>
      </c>
      <c r="BU65" s="117" t="str">
        <f>IF(LEN(concat(BR65:BT65))&gt;0,concat("| ",BR65," | ",BS65," | ",BT65," |"),"")</f>
        <v/>
      </c>
      <c r="BV65" s="117" t="str">
        <f t="shared" si="89"/>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spain_x000D_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90"/>
        <v>#VALUE!</v>
      </c>
      <c r="CK65" s="12" t="str">
        <f t="shared" si="91"/>
        <v xml:space="preserve">| [](/places/places\es-monasterio-de-las-batuecas) </v>
      </c>
      <c r="CL65" s="13" t="str">
        <f>"| "&amp;IF(AS65,GetTagPage(C65,VLOOKUP(C65,'Country Tags'!C:E,3,)),C65)&amp; " "</f>
        <v xml:space="preserve">| [Spain](/tags/spain) </v>
      </c>
      <c r="CM65" s="12" t="str">
        <f t="shared" si="92"/>
        <v xml:space="preserve">|  </v>
      </c>
      <c r="CN65" s="12" t="str">
        <f t="shared" si="93"/>
        <v xml:space="preserve">| [Link](/places/places\es-monasterio-de-las-batuecas) </v>
      </c>
      <c r="CO65" s="12" t="e">
        <f t="shared" si="94"/>
        <v>#VALUE!</v>
      </c>
    </row>
    <row r="66" spans="1:93" ht="38.25" x14ac:dyDescent="0.25">
      <c r="A66" s="129" t="s">
        <v>786</v>
      </c>
      <c r="B66" s="7" t="s">
        <v>1901</v>
      </c>
      <c r="C66" s="7" t="s">
        <v>266</v>
      </c>
      <c r="D66" s="71" t="s">
        <v>1586</v>
      </c>
      <c r="E66" s="1">
        <v>40.826532835917298</v>
      </c>
      <c r="F66" s="30">
        <v>-5.5144056355381297</v>
      </c>
      <c r="G66" s="80" t="s">
        <v>1682</v>
      </c>
      <c r="H66" s="73" t="s">
        <v>1558</v>
      </c>
      <c r="I66" s="71" t="s">
        <v>1187</v>
      </c>
      <c r="J66" s="7" t="b">
        <v>1</v>
      </c>
      <c r="L66" s="7" t="b">
        <v>1</v>
      </c>
      <c r="M66" s="71" t="s">
        <v>1584</v>
      </c>
      <c r="O66" s="1" t="s">
        <v>1561</v>
      </c>
      <c r="P66" s="1" t="s">
        <v>53</v>
      </c>
      <c r="Q66" s="75" t="s">
        <v>1559</v>
      </c>
      <c r="R66" s="1" t="s">
        <v>1560</v>
      </c>
      <c r="S66" s="44" t="s">
        <v>53</v>
      </c>
      <c r="Z66" s="1" t="s">
        <v>1543</v>
      </c>
      <c r="AA66" s="1" t="s">
        <v>1539</v>
      </c>
      <c r="AB66" s="1" t="s">
        <v>880</v>
      </c>
      <c r="AS66" s="116" t="b">
        <f t="shared" si="66"/>
        <v>1</v>
      </c>
      <c r="AT66" s="117" t="str">
        <f t="shared" si="67"/>
        <v>title: "Convent of the Anunciation (Convento de La Anunciacion), Alba de Tormes"</v>
      </c>
      <c r="AU66" s="117" t="str">
        <f t="shared" si="68"/>
        <v>location: {lat: 40.8265328359173, lng: -5.51440563553813}</v>
      </c>
      <c r="AV66" s="117" t="str">
        <f t="shared" si="69"/>
        <v>interest: regional</v>
      </c>
      <c r="AW66" s="117" t="str">
        <f>"- "&amp;VLOOKUP(C66,'Country Tags'!C:E,3,)</f>
        <v>- spain</v>
      </c>
      <c r="AX66" s="117" t="str">
        <f t="shared" si="70"/>
        <v>- alba-de-tormes</v>
      </c>
      <c r="AY66" s="117" t="str">
        <f t="shared" si="71"/>
        <v>- churches</v>
      </c>
      <c r="AZ66" s="117" t="str">
        <f t="shared" si="72"/>
        <v/>
      </c>
      <c r="BA66" s="117" t="str">
        <f t="shared" si="73"/>
        <v>- holy-persons</v>
      </c>
      <c r="BB66" s="117" t="str">
        <f t="shared" si="74"/>
        <v>- teresa-avila</v>
      </c>
      <c r="BC66" s="117" t="str">
        <f t="shared" si="75"/>
        <v>- discalced-carmelites</v>
      </c>
      <c r="BD66" s="117" t="str">
        <f t="shared" si="76"/>
        <v>- communities</v>
      </c>
      <c r="BE66" s="117" t="str">
        <f t="shared" si="77"/>
        <v/>
      </c>
      <c r="BF66" s="117" t="str">
        <f t="shared" si="78"/>
        <v/>
      </c>
      <c r="BG66" s="117" t="str">
        <f t="shared" si="79"/>
        <v/>
      </c>
      <c r="BH66" s="117" t="str">
        <f t="shared" si="80"/>
        <v/>
      </c>
      <c r="BI66" s="117" t="str">
        <f t="shared" si="81"/>
        <v/>
      </c>
      <c r="BJ66" s="117" t="str">
        <f t="shared" si="82"/>
        <v/>
      </c>
      <c r="BK66" s="117" t="str">
        <f t="shared" si="83"/>
        <v/>
      </c>
      <c r="BL66" s="117" t="str">
        <f t="shared" si="84"/>
        <v xml:space="preserve">tags:
- spain_x000D_
- alba-de-tormes_x000D_
- churches_x000D_
- holy-persons_x000D_
- teresa-avila_x000D_
- discalced-carmelites_x000D_
- communities_x000D_
</v>
      </c>
      <c r="BM66" s="120" t="str">
        <f t="shared" si="62"/>
        <v>[Official site](https://carmelitasalba.org/)</v>
      </c>
      <c r="BN66" s="120" t="str">
        <f t="shared" si="63"/>
        <v>[Information in English](https://www.carmelitasalba.org/wp-content/themes/Florida_child_theme/images/carmus-ingles-web.pdf)</v>
      </c>
      <c r="BO66" s="120" t="str">
        <f t="shared" si="64"/>
        <v/>
      </c>
      <c r="BP66" s="120" t="str">
        <f t="shared" si="65"/>
        <v/>
      </c>
      <c r="BQ66" s="117" t="str">
        <f t="shared" si="85"/>
        <v xml:space="preserve">* [Official site](https://carmelitasalba.org/)
* [Information in English](https://www.carmelitasalba.org/wp-content/themes/Florida_child_theme/images/carmus-ingles-web.pdf)
</v>
      </c>
      <c r="BR66" s="117" t="str">
        <f t="shared" si="86"/>
        <v/>
      </c>
      <c r="BS66" s="117" t="str">
        <f t="shared" si="87"/>
        <v/>
      </c>
      <c r="BT66" s="117" t="str">
        <f t="shared" si="88"/>
        <v/>
      </c>
      <c r="BU66" s="117" t="str">
        <f>IF(LEN(concat(BR66:BT66))&gt;0,concat("| ",BR66," | ",BS66," | ",BT66," |"),"")</f>
        <v/>
      </c>
      <c r="BV66" s="117" t="str">
        <f t="shared" si="89"/>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spain_x000D_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90"/>
        <v>#VALUE!</v>
      </c>
      <c r="CK66" s="12" t="str">
        <f t="shared" si="91"/>
        <v xml:space="preserve">| [](/places/places\es-alba-de-tormes-convento-de-la-anunciacion) </v>
      </c>
      <c r="CL66" s="13" t="str">
        <f>"| "&amp;IF(AS66,GetTagPage(C66,VLOOKUP(C66,'Country Tags'!C:E,3,)),C66)&amp; " "</f>
        <v xml:space="preserve">| [Spain](/tags/spain) </v>
      </c>
      <c r="CM66" s="12" t="str">
        <f t="shared" si="92"/>
        <v xml:space="preserve">|  </v>
      </c>
      <c r="CN66" s="12" t="str">
        <f t="shared" si="93"/>
        <v xml:space="preserve">| [Link](/places/places\es-alba-de-tormes-convento-de-la-anunciacion) </v>
      </c>
      <c r="CO66" s="12" t="e">
        <f t="shared" si="94"/>
        <v>#VALUE!</v>
      </c>
    </row>
    <row r="67" spans="1:93" x14ac:dyDescent="0.25">
      <c r="A67" s="129" t="s">
        <v>786</v>
      </c>
      <c r="B67" s="7" t="s">
        <v>1901</v>
      </c>
      <c r="C67" s="7" t="s">
        <v>266</v>
      </c>
      <c r="D67" s="71" t="s">
        <v>1587</v>
      </c>
      <c r="E67" s="1">
        <v>40.951196907421703</v>
      </c>
      <c r="F67" s="30">
        <v>-4.1268227200102796</v>
      </c>
      <c r="G67" s="71" t="s">
        <v>1588</v>
      </c>
      <c r="H67" s="33" t="s">
        <v>1548</v>
      </c>
      <c r="I67" s="7" t="s">
        <v>1248</v>
      </c>
      <c r="J67" s="7" t="b">
        <v>1</v>
      </c>
      <c r="L67" s="7" t="b">
        <v>1</v>
      </c>
      <c r="M67" s="71" t="s">
        <v>1589</v>
      </c>
      <c r="Z67" s="1" t="s">
        <v>1543</v>
      </c>
      <c r="AA67" s="1" t="s">
        <v>1539</v>
      </c>
      <c r="AB67" s="1" t="s">
        <v>880</v>
      </c>
      <c r="AS67" s="116" t="b">
        <f t="shared" si="66"/>
        <v>1</v>
      </c>
      <c r="AT67" s="117" t="str">
        <f t="shared" si="67"/>
        <v>title: "Convento de San Jose, Segovia"</v>
      </c>
      <c r="AU67" s="117" t="str">
        <f t="shared" si="68"/>
        <v>location: {lat: 40.9511969074217, lng: -4.12682272001028}</v>
      </c>
      <c r="AV67" s="117" t="str">
        <f t="shared" si="69"/>
        <v>interest: local</v>
      </c>
      <c r="AW67" s="117" t="str">
        <f>"- "&amp;VLOOKUP(C67,'Country Tags'!C:E,3,)</f>
        <v>- spain</v>
      </c>
      <c r="AX67" s="117" t="str">
        <f t="shared" si="70"/>
        <v>- segovia</v>
      </c>
      <c r="AY67" s="117" t="str">
        <f t="shared" si="71"/>
        <v>- churches</v>
      </c>
      <c r="AZ67" s="117" t="str">
        <f t="shared" si="72"/>
        <v/>
      </c>
      <c r="BA67" s="117" t="str">
        <f t="shared" si="73"/>
        <v>- holy-persons</v>
      </c>
      <c r="BB67" s="117" t="str">
        <f t="shared" si="74"/>
        <v>- teresa-avila</v>
      </c>
      <c r="BC67" s="117" t="str">
        <f t="shared" si="75"/>
        <v>- discalced-carmelites</v>
      </c>
      <c r="BD67" s="117" t="str">
        <f t="shared" si="76"/>
        <v>- communities</v>
      </c>
      <c r="BE67" s="117" t="str">
        <f t="shared" si="77"/>
        <v/>
      </c>
      <c r="BF67" s="117" t="str">
        <f t="shared" si="78"/>
        <v/>
      </c>
      <c r="BG67" s="117" t="str">
        <f t="shared" si="79"/>
        <v/>
      </c>
      <c r="BH67" s="117" t="str">
        <f t="shared" si="80"/>
        <v/>
      </c>
      <c r="BI67" s="117" t="str">
        <f t="shared" si="81"/>
        <v/>
      </c>
      <c r="BJ67" s="117" t="str">
        <f t="shared" si="82"/>
        <v/>
      </c>
      <c r="BK67" s="117" t="str">
        <f t="shared" si="83"/>
        <v/>
      </c>
      <c r="BL67" s="117" t="str">
        <f t="shared" si="84"/>
        <v xml:space="preserve">tags:
- spain_x000D_
- segovia_x000D_
- churches_x000D_
- holy-persons_x000D_
- teresa-avila_x000D_
- discalced-carmelites_x000D_
- communities_x000D_
</v>
      </c>
      <c r="BM67" s="120" t="str">
        <f t="shared" si="62"/>
        <v/>
      </c>
      <c r="BN67" s="120" t="str">
        <f t="shared" si="63"/>
        <v/>
      </c>
      <c r="BO67" s="120" t="str">
        <f t="shared" si="64"/>
        <v/>
      </c>
      <c r="BP67" s="120" t="str">
        <f t="shared" si="65"/>
        <v/>
      </c>
      <c r="BQ67" s="117" t="str">
        <f t="shared" si="85"/>
        <v/>
      </c>
      <c r="BR67" s="117" t="str">
        <f t="shared" si="86"/>
        <v/>
      </c>
      <c r="BS67" s="117" t="str">
        <f t="shared" si="87"/>
        <v/>
      </c>
      <c r="BT67" s="117" t="str">
        <f t="shared" si="88"/>
        <v/>
      </c>
      <c r="BU67" s="117" t="str">
        <f>IF(LEN(concat(BR67:BT67))&gt;0,concat("| ",BR67," | ",BS67," | ",BT67," |"),"")</f>
        <v/>
      </c>
      <c r="BV67" s="117" t="str">
        <f t="shared" si="89"/>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spain_x000D_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90"/>
        <v>#VALUE!</v>
      </c>
      <c r="CK67" s="12" t="str">
        <f t="shared" si="91"/>
        <v xml:space="preserve">| [](/places/places\es-segovia-convento-de-san-jose) </v>
      </c>
      <c r="CL67" s="13" t="str">
        <f>"| "&amp;IF(AS67,GetTagPage(C67,VLOOKUP(C67,'Country Tags'!C:E,3,)),C67)&amp; " "</f>
        <v xml:space="preserve">| [Spain](/tags/spain) </v>
      </c>
      <c r="CM67" s="12" t="str">
        <f t="shared" si="92"/>
        <v xml:space="preserve">|  </v>
      </c>
      <c r="CN67" s="12" t="str">
        <f t="shared" si="93"/>
        <v xml:space="preserve">| [Link](/places/places\es-segovia-convento-de-san-jose) </v>
      </c>
      <c r="CO67" s="12" t="e">
        <f t="shared" si="94"/>
        <v>#VALUE!</v>
      </c>
    </row>
    <row r="68" spans="1:93" x14ac:dyDescent="0.25">
      <c r="A68" s="129" t="s">
        <v>786</v>
      </c>
      <c r="B68" s="7" t="s">
        <v>1901</v>
      </c>
      <c r="C68" s="7" t="s">
        <v>266</v>
      </c>
      <c r="D68" s="71" t="s">
        <v>1590</v>
      </c>
      <c r="E68" s="1">
        <v>38.251042949170802</v>
      </c>
      <c r="F68" s="30">
        <v>-2.88706618465537</v>
      </c>
      <c r="G68" s="80" t="s">
        <v>1683</v>
      </c>
      <c r="H68" s="33" t="s">
        <v>1591</v>
      </c>
      <c r="I68" s="7" t="s">
        <v>1248</v>
      </c>
      <c r="J68" s="7" t="b">
        <v>1</v>
      </c>
      <c r="L68" s="7" t="b">
        <v>1</v>
      </c>
      <c r="M68" s="71" t="s">
        <v>1597</v>
      </c>
      <c r="Q68" s="75" t="s">
        <v>1592</v>
      </c>
      <c r="R68" s="1" t="s">
        <v>1593</v>
      </c>
      <c r="S68" s="76" t="s">
        <v>53</v>
      </c>
      <c r="T68" s="75" t="s">
        <v>1594</v>
      </c>
      <c r="U68" s="1" t="s">
        <v>1595</v>
      </c>
      <c r="V68" s="77" t="s">
        <v>1596</v>
      </c>
      <c r="W68" s="74" t="s">
        <v>53</v>
      </c>
      <c r="Z68" s="1" t="s">
        <v>1543</v>
      </c>
      <c r="AA68" s="1" t="s">
        <v>1539</v>
      </c>
      <c r="AB68" s="1" t="s">
        <v>880</v>
      </c>
      <c r="AS68" s="116" t="b">
        <f t="shared" si="66"/>
        <v>1</v>
      </c>
      <c r="AT68" s="117" t="str">
        <f t="shared" si="67"/>
        <v>title: "Monasterio de San Jose del Salvador, Beas"</v>
      </c>
      <c r="AU68" s="117" t="str">
        <f t="shared" si="68"/>
        <v>location: {lat: 38.2510429491708, lng: -2.88706618465537}</v>
      </c>
      <c r="AV68" s="117" t="str">
        <f t="shared" si="69"/>
        <v>interest: local</v>
      </c>
      <c r="AW68" s="117" t="str">
        <f>"- "&amp;VLOOKUP(C68,'Country Tags'!C:E,3,)</f>
        <v>- spain</v>
      </c>
      <c r="AX68" s="117" t="str">
        <f t="shared" si="70"/>
        <v>- beas-de-segura</v>
      </c>
      <c r="AY68" s="117" t="str">
        <f t="shared" si="71"/>
        <v>- churches</v>
      </c>
      <c r="AZ68" s="117" t="str">
        <f t="shared" si="72"/>
        <v/>
      </c>
      <c r="BA68" s="117" t="str">
        <f t="shared" si="73"/>
        <v>- holy-persons</v>
      </c>
      <c r="BB68" s="117" t="str">
        <f t="shared" si="74"/>
        <v>- teresa-avila</v>
      </c>
      <c r="BC68" s="117" t="str">
        <f t="shared" si="75"/>
        <v>- discalced-carmelites</v>
      </c>
      <c r="BD68" s="117" t="str">
        <f t="shared" si="76"/>
        <v>- communities</v>
      </c>
      <c r="BE68" s="117" t="str">
        <f t="shared" si="77"/>
        <v/>
      </c>
      <c r="BF68" s="117" t="str">
        <f t="shared" si="78"/>
        <v/>
      </c>
      <c r="BG68" s="117" t="str">
        <f t="shared" si="79"/>
        <v/>
      </c>
      <c r="BH68" s="117" t="str">
        <f t="shared" si="80"/>
        <v/>
      </c>
      <c r="BI68" s="117" t="str">
        <f t="shared" si="81"/>
        <v/>
      </c>
      <c r="BJ68" s="117" t="str">
        <f t="shared" si="82"/>
        <v/>
      </c>
      <c r="BK68" s="117" t="str">
        <f t="shared" si="83"/>
        <v/>
      </c>
      <c r="BL68" s="117" t="str">
        <f t="shared" si="84"/>
        <v xml:space="preserve">tags:
- spain_x000D_
- beas-de-segura_x000D_
- churches_x000D_
- holy-persons_x000D_
- teresa-avila_x000D_
- discalced-carmelites_x000D_
- communities_x000D_
</v>
      </c>
      <c r="BM68" s="120" t="str">
        <f t="shared" si="62"/>
        <v/>
      </c>
      <c r="BN68" s="120" t="str">
        <f t="shared" si="63"/>
        <v>[Sierra de Segura tourism site](https://lasierradesegura.org/parajes-naturales/convento-de-las-carmelitas-descalzas-de-san-jose-del-salvador/)</v>
      </c>
      <c r="BO68" s="120" t="str">
        <f t="shared" si="64"/>
        <v>[Wikipedia](https://es.wikipedia.org/wiki/Convento_de_Carmelitas_Descalzas_(Beas_de_Segura)) - Significant amounts of information of the associated Wikipedia page</v>
      </c>
      <c r="BP68" s="120" t="str">
        <f t="shared" si="65"/>
        <v/>
      </c>
      <c r="BQ68" s="117" t="str">
        <f t="shared" si="85"/>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86"/>
        <v/>
      </c>
      <c r="BS68" s="117" t="str">
        <f t="shared" si="87"/>
        <v/>
      </c>
      <c r="BT68" s="117" t="str">
        <f t="shared" si="88"/>
        <v/>
      </c>
      <c r="BU68" s="117" t="str">
        <f>IF(LEN(concat(BR68:BT68))&gt;0,concat("| ",BR68," | ",BS68," | ",BT68," |"),"")</f>
        <v/>
      </c>
      <c r="BV68" s="117" t="str">
        <f t="shared" si="89"/>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spain_x000D_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90"/>
        <v>#VALUE!</v>
      </c>
      <c r="CK68" s="12" t="str">
        <f t="shared" si="91"/>
        <v xml:space="preserve">| [](/places/places\es-beas-de-segura-monasterio-de-san-jose-del-salvador) </v>
      </c>
      <c r="CL68" s="13" t="str">
        <f>"| "&amp;IF(AS68,GetTagPage(C68,VLOOKUP(C68,'Country Tags'!C:E,3,)),C68)&amp; " "</f>
        <v xml:space="preserve">| [Spain](/tags/spain) </v>
      </c>
      <c r="CM68" s="12" t="str">
        <f t="shared" si="92"/>
        <v xml:space="preserve">|  </v>
      </c>
      <c r="CN68" s="12" t="str">
        <f t="shared" si="93"/>
        <v xml:space="preserve">| [Link](/places/places\es-beas-de-segura-monasterio-de-san-jose-del-salvador) </v>
      </c>
      <c r="CO68" s="12" t="e">
        <f t="shared" si="94"/>
        <v>#VALUE!</v>
      </c>
    </row>
    <row r="69" spans="1:93" ht="25.5" x14ac:dyDescent="0.25">
      <c r="A69" s="129" t="s">
        <v>786</v>
      </c>
      <c r="B69" s="7" t="s">
        <v>1901</v>
      </c>
      <c r="C69" s="7" t="s">
        <v>266</v>
      </c>
      <c r="D69" s="71" t="s">
        <v>1598</v>
      </c>
      <c r="E69" s="1">
        <v>37.385800751465098</v>
      </c>
      <c r="F69" s="30">
        <v>-5.9889938846553701</v>
      </c>
      <c r="G69" s="80" t="s">
        <v>1684</v>
      </c>
      <c r="H69" s="33" t="s">
        <v>1599</v>
      </c>
      <c r="I69" s="7" t="s">
        <v>1248</v>
      </c>
      <c r="J69" s="7" t="b">
        <v>1</v>
      </c>
      <c r="L69" s="7" t="b">
        <v>1</v>
      </c>
      <c r="M69" s="71" t="s">
        <v>1600</v>
      </c>
      <c r="Q69" s="75" t="s">
        <v>1601</v>
      </c>
      <c r="R69" s="1" t="s">
        <v>1602</v>
      </c>
      <c r="S69" s="76" t="s">
        <v>53</v>
      </c>
      <c r="Z69" s="1" t="s">
        <v>1543</v>
      </c>
      <c r="AA69" s="1" t="s">
        <v>1539</v>
      </c>
      <c r="AB69" s="1" t="s">
        <v>880</v>
      </c>
      <c r="AS69" s="116" t="b">
        <f t="shared" si="66"/>
        <v>1</v>
      </c>
      <c r="AT69" s="117" t="str">
        <f t="shared" si="67"/>
        <v>title: "Convento de San Jose del Carmen (Las Teresas), Seville"</v>
      </c>
      <c r="AU69" s="117" t="str">
        <f t="shared" si="68"/>
        <v>location: {lat: 37.3858007514651, lng: -5.98899388465537}</v>
      </c>
      <c r="AV69" s="117" t="str">
        <f t="shared" si="69"/>
        <v>interest: local</v>
      </c>
      <c r="AW69" s="117" t="str">
        <f>"- "&amp;VLOOKUP(C69,'Country Tags'!C:E,3,)</f>
        <v>- spain</v>
      </c>
      <c r="AX69" s="117" t="str">
        <f t="shared" si="70"/>
        <v>- seville</v>
      </c>
      <c r="AY69" s="117" t="str">
        <f t="shared" si="71"/>
        <v>- churches</v>
      </c>
      <c r="AZ69" s="117" t="str">
        <f t="shared" si="72"/>
        <v/>
      </c>
      <c r="BA69" s="117" t="str">
        <f t="shared" si="73"/>
        <v>- holy-persons</v>
      </c>
      <c r="BB69" s="117" t="str">
        <f t="shared" si="74"/>
        <v>- teresa-avila</v>
      </c>
      <c r="BC69" s="117" t="str">
        <f t="shared" si="75"/>
        <v>- discalced-carmelites</v>
      </c>
      <c r="BD69" s="117" t="str">
        <f t="shared" si="76"/>
        <v>- communities</v>
      </c>
      <c r="BE69" s="117" t="str">
        <f t="shared" si="77"/>
        <v/>
      </c>
      <c r="BF69" s="117" t="str">
        <f t="shared" si="78"/>
        <v/>
      </c>
      <c r="BG69" s="117" t="str">
        <f t="shared" si="79"/>
        <v/>
      </c>
      <c r="BH69" s="117" t="str">
        <f t="shared" si="80"/>
        <v/>
      </c>
      <c r="BI69" s="117" t="str">
        <f t="shared" si="81"/>
        <v/>
      </c>
      <c r="BJ69" s="117" t="str">
        <f t="shared" si="82"/>
        <v/>
      </c>
      <c r="BK69" s="117" t="str">
        <f t="shared" si="83"/>
        <v/>
      </c>
      <c r="BL69" s="117" t="str">
        <f t="shared" si="84"/>
        <v xml:space="preserve">tags:
- spain_x000D_
- seville_x000D_
- churches_x000D_
- holy-persons_x000D_
- teresa-avila_x000D_
- discalced-carmelites_x000D_
- communities_x000D_
</v>
      </c>
      <c r="BM69" s="120" t="str">
        <f t="shared" si="62"/>
        <v/>
      </c>
      <c r="BN69" s="120" t="str">
        <f t="shared" si="63"/>
        <v>[Seville tourism site](https://www.turismosevilla.org/en/what-see-and-do/heritage/monuments/san-jose-conventual-church-las-teresas)</v>
      </c>
      <c r="BO69" s="120" t="str">
        <f t="shared" si="64"/>
        <v/>
      </c>
      <c r="BP69" s="120" t="str">
        <f t="shared" si="65"/>
        <v/>
      </c>
      <c r="BQ69" s="117" t="str">
        <f t="shared" si="85"/>
        <v xml:space="preserve">* [Seville tourism site](https://www.turismosevilla.org/en/what-see-and-do/heritage/monuments/san-jose-conventual-church-las-teresas)
</v>
      </c>
      <c r="BR69" s="117" t="str">
        <f t="shared" si="86"/>
        <v/>
      </c>
      <c r="BS69" s="117" t="str">
        <f t="shared" si="87"/>
        <v/>
      </c>
      <c r="BT69" s="117" t="str">
        <f t="shared" si="88"/>
        <v/>
      </c>
      <c r="BU69" s="117" t="str">
        <f>IF(LEN(concat(BR69:BT69))&gt;0,concat("| ",BR69," | ",BS69," | ",BT69," |"),"")</f>
        <v/>
      </c>
      <c r="BV69" s="117" t="str">
        <f t="shared" si="89"/>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spain_x000D_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90"/>
        <v>#VALUE!</v>
      </c>
      <c r="CK69" s="12" t="str">
        <f t="shared" si="91"/>
        <v xml:space="preserve">| [](/places/places\es-seville-convento-de-san-jose-del-carmen) </v>
      </c>
      <c r="CL69" s="13" t="str">
        <f>"| "&amp;IF(AS69,GetTagPage(C69,VLOOKUP(C69,'Country Tags'!C:E,3,)),C69)&amp; " "</f>
        <v xml:space="preserve">| [Spain](/tags/spain) </v>
      </c>
      <c r="CM69" s="12" t="str">
        <f t="shared" si="92"/>
        <v xml:space="preserve">|  </v>
      </c>
      <c r="CN69" s="12" t="str">
        <f t="shared" si="93"/>
        <v xml:space="preserve">| [Link](/places/places\es-seville-convento-de-san-jose-del-carmen) </v>
      </c>
      <c r="CO69" s="12" t="e">
        <f t="shared" si="94"/>
        <v>#VALUE!</v>
      </c>
    </row>
    <row r="70" spans="1:93" ht="25.5" x14ac:dyDescent="0.25">
      <c r="A70" s="129" t="s">
        <v>786</v>
      </c>
      <c r="B70" s="7" t="s">
        <v>1901</v>
      </c>
      <c r="C70" s="7" t="s">
        <v>266</v>
      </c>
      <c r="D70" s="71" t="s">
        <v>1603</v>
      </c>
      <c r="E70" s="1">
        <v>38.106719284242402</v>
      </c>
      <c r="F70" s="30">
        <v>-1.8610296</v>
      </c>
      <c r="G70" s="71" t="s">
        <v>1604</v>
      </c>
      <c r="H70" s="33" t="s">
        <v>1548</v>
      </c>
      <c r="I70" s="7" t="s">
        <v>1248</v>
      </c>
      <c r="J70" s="7" t="b">
        <v>1</v>
      </c>
      <c r="L70" s="7" t="b">
        <v>1</v>
      </c>
      <c r="M70" s="71" t="s">
        <v>1609</v>
      </c>
      <c r="Q70" s="75" t="s">
        <v>1607</v>
      </c>
      <c r="R70" s="1" t="s">
        <v>1608</v>
      </c>
      <c r="S70" s="76" t="s">
        <v>53</v>
      </c>
      <c r="T70" s="75" t="s">
        <v>1605</v>
      </c>
      <c r="U70" s="1" t="s">
        <v>1606</v>
      </c>
      <c r="V70" s="76" t="s">
        <v>53</v>
      </c>
      <c r="Z70" s="1" t="s">
        <v>1543</v>
      </c>
      <c r="AA70" s="1" t="s">
        <v>1539</v>
      </c>
      <c r="AB70" s="1" t="s">
        <v>880</v>
      </c>
      <c r="AS70" s="116" t="b">
        <f t="shared" ref="AS70:AS101" si="95">IF(OR(A70="Done",A70="In Progress"),TRUE)</f>
        <v>1</v>
      </c>
      <c r="AT70" s="117" t="str">
        <f t="shared" ref="AT70:AT101" si="96">"title: """&amp;G70&amp;""""</f>
        <v>title: "Convento de San Jose, Caravaca de la Cruz"</v>
      </c>
      <c r="AU70" s="117" t="str">
        <f t="shared" ref="AU70:AU101" si="97">"location: {lat: "&amp;E70&amp;", lng: "&amp;F70&amp;"}"</f>
        <v>location: {lat: 38.1067192842424, lng: -1.8610296}</v>
      </c>
      <c r="AV70" s="117" t="str">
        <f t="shared" ref="AV70:AV101" si="98">"interest: "&amp;I70</f>
        <v>interest: local</v>
      </c>
      <c r="AW70" s="117" t="str">
        <f>"- "&amp;VLOOKUP(C70,'Country Tags'!C:E,3,)</f>
        <v>- spain</v>
      </c>
      <c r="AX70" s="117" t="str">
        <f t="shared" ref="AX70:AX101" si="99">IF(LEN(D70)&gt;1,"- "&amp;LOWER(SUBSTITUTE(D70," ","-")),"")</f>
        <v>- caravaca</v>
      </c>
      <c r="AY70" s="117" t="str">
        <f t="shared" ref="AY70:AY101" si="100">IF(J70,"- churches","")</f>
        <v>- churches</v>
      </c>
      <c r="AZ70" s="117" t="str">
        <f t="shared" ref="AZ70:AZ101" si="101">IF(K70,"- marian-sites","")</f>
        <v/>
      </c>
      <c r="BA70" s="117" t="str">
        <f t="shared" ref="BA70:BA101" si="102">IF(L70,"- holy-persons","")</f>
        <v>- holy-persons</v>
      </c>
      <c r="BB70" s="117" t="str">
        <f t="shared" ref="BB70:BB101" si="103">IF(LEN(Z70)&gt;0,"- "&amp;Z70,"")</f>
        <v>- teresa-avila</v>
      </c>
      <c r="BC70" s="117" t="str">
        <f t="shared" ref="BC70:BC101" si="104">IF(LEN(AA70)&gt;0,"- "&amp;AA70,"")</f>
        <v>- discalced-carmelites</v>
      </c>
      <c r="BD70" s="117" t="str">
        <f t="shared" ref="BD70:BD101" si="105">IF(LEN(AB70)&gt;0,"- "&amp;AB70,"")</f>
        <v>- communities</v>
      </c>
      <c r="BE70" s="117" t="str">
        <f t="shared" ref="BE70:BE101" si="106">IF(LEN(AC70)&gt;0,"- "&amp;AC70,"")</f>
        <v/>
      </c>
      <c r="BF70" s="117" t="str">
        <f t="shared" ref="BF70:BF101" si="107">IF(LEN(AD70)&gt;0,"- "&amp;AD70,"")</f>
        <v/>
      </c>
      <c r="BG70" s="117" t="str">
        <f t="shared" ref="BG70:BG101" si="108">IF(LEN(AE70)&gt;0,"- "&amp;AE70,"")</f>
        <v/>
      </c>
      <c r="BH70" s="117" t="str">
        <f t="shared" ref="BH70:BH101" si="109">IF(LEN(AF70)&gt;0,"- "&amp;AF70,"")</f>
        <v/>
      </c>
      <c r="BI70" s="117" t="str">
        <f t="shared" ref="BI70:BI101" si="110">IF(LEN(AG70)&gt;0,"- "&amp;AG70,"")</f>
        <v/>
      </c>
      <c r="BJ70" s="117" t="str">
        <f t="shared" ref="BJ70:BJ101" si="111">IF(LEN(AH70)&gt;0,"- "&amp;AH70,"")</f>
        <v/>
      </c>
      <c r="BK70" s="117" t="str">
        <f t="shared" ref="BK70:BK101" si="112">IF(LEN(AI70)&gt;0,"- "&amp;AI70,"")</f>
        <v/>
      </c>
      <c r="BL70" s="117" t="str">
        <f t="shared" ref="BL70:BL101" si="113">"tags:"&amp;CHAR(10)&amp;concatl(AW70:BK70)</f>
        <v xml:space="preserve">tags:
- spain_x000D_
- caravaca_x000D_
- churches_x000D_
- holy-persons_x000D_
- teresa-avila_x000D_
- discalced-carmelites_x000D_
- communities_x000D_
</v>
      </c>
      <c r="BM70" s="120" t="str">
        <f t="shared" si="62"/>
        <v/>
      </c>
      <c r="BN70" s="120" t="str">
        <f t="shared" si="63"/>
        <v>[Caravaca tourism site](https://www.turismocaravaca.com/blog/church-and-convent-san-jose-of-madres-carmelitas/)</v>
      </c>
      <c r="BO70" s="120" t="str">
        <f t="shared" si="64"/>
        <v>[Article from Murcia Today](https://murciatoday.com/the-convent_church-of-san-jose-in-caravaca-de-la-cruz_34175-a.html)</v>
      </c>
      <c r="BP70" s="120" t="str">
        <f t="shared" si="65"/>
        <v/>
      </c>
      <c r="BQ70" s="117" t="str">
        <f t="shared" ref="BQ70:BQ101" si="114">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115">IF(LEN(AL70)&gt;0,TRIM(CONCATENATE("[Link](",AL70,") ",AM70)),"")</f>
        <v/>
      </c>
      <c r="BS70" s="117" t="str">
        <f t="shared" ref="BS70:BS101" si="116">IF(LEN(AN70)&gt;0,TRIM(CONCATENATE("[Link](",AN70,") ",AO70)),"")</f>
        <v/>
      </c>
      <c r="BT70" s="117" t="str">
        <f t="shared" ref="BT70:BT101" si="117">IF(LEN(AP70)&gt;0,TRIM(CONCATENATE("[Link](",AP70,") ",AQ70)),"")</f>
        <v/>
      </c>
      <c r="BU70" s="117" t="str">
        <f>IF(LEN(concat(BR70:BT70))&gt;0,concat("| ",BR70," | ",BS70," | ",BT70," |"),"")</f>
        <v/>
      </c>
      <c r="BV70" s="117" t="str">
        <f t="shared" ref="BV70:BV101" si="118">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spain_x000D_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119">"|"&amp;IF(LEN(CG70)&gt;1," "&amp;CG70,"")&amp;IF(LEN(CH70)&gt;1,", "&amp;CH70,"")&amp;IF(LEN(CI70)&gt;1,", "&amp;CI70,"")&amp;" "</f>
        <v>#VALUE!</v>
      </c>
      <c r="CK70" s="12" t="str">
        <f t="shared" ref="CK70:CK101" si="120">"| "&amp;IF(AS70,"["&amp;AJ70&amp;"](/places/"&amp;SUBSTITUTE(CB70,".md","")&amp;")",AJ70)&amp;" "</f>
        <v xml:space="preserve">| [](/places/places\es-caravaca-convento-de-san-jose) </v>
      </c>
      <c r="CL70" s="13" t="str">
        <f>"| "&amp;IF(AS70,GetTagPage(C70,VLOOKUP(C70,'Country Tags'!C:E,3,)),C70)&amp; " "</f>
        <v xml:space="preserve">| [Spain](/tags/spain) </v>
      </c>
      <c r="CM70" s="12" t="str">
        <f t="shared" ref="CM70:CM101" si="121">"| "&amp;AK70&amp;" "</f>
        <v xml:space="preserve">|  </v>
      </c>
      <c r="CN70" s="12" t="str">
        <f t="shared" ref="CN70:CN101" si="122">"|"&amp;IF(AS70," [Link](/places/"&amp;SUBSTITUTE(CB70,".md","")&amp;")","")&amp;" "</f>
        <v xml:space="preserve">| [Link](/places/places\es-caravaca-convento-de-san-jose) </v>
      </c>
      <c r="CO70" s="12" t="e">
        <f t="shared" ref="CO70:CO101" si="123">"
"&amp;CK70&amp;CL70&amp;CM70&amp;CN70&amp;BM70&amp;BR70&amp;BS70&amp;BT70&amp;CJ70&amp;"|"</f>
        <v>#VALUE!</v>
      </c>
    </row>
    <row r="71" spans="1:93" ht="25.5" x14ac:dyDescent="0.25">
      <c r="A71" s="129" t="s">
        <v>786</v>
      </c>
      <c r="B71" s="7" t="s">
        <v>1901</v>
      </c>
      <c r="C71" s="7" t="s">
        <v>266</v>
      </c>
      <c r="D71" s="80" t="s">
        <v>1611</v>
      </c>
      <c r="E71" s="1">
        <v>39.439610215366898</v>
      </c>
      <c r="F71" s="30">
        <v>-1.95650919993269</v>
      </c>
      <c r="G71" s="80" t="s">
        <v>1685</v>
      </c>
      <c r="H71" s="33" t="s">
        <v>1610</v>
      </c>
      <c r="I71" s="7" t="s">
        <v>1248</v>
      </c>
      <c r="J71" s="7" t="b">
        <v>1</v>
      </c>
      <c r="L71" s="7" t="b">
        <v>1</v>
      </c>
      <c r="M71" s="71" t="s">
        <v>1612</v>
      </c>
      <c r="Q71" s="75" t="s">
        <v>1613</v>
      </c>
      <c r="R71" s="1" t="s">
        <v>1614</v>
      </c>
      <c r="S71" s="76" t="s">
        <v>53</v>
      </c>
      <c r="Z71" s="1" t="s">
        <v>1543</v>
      </c>
      <c r="AA71" s="1" t="s">
        <v>1539</v>
      </c>
      <c r="AB71" s="1" t="s">
        <v>880</v>
      </c>
      <c r="AS71" s="116" t="b">
        <f t="shared" si="95"/>
        <v>1</v>
      </c>
      <c r="AT71" s="117" t="str">
        <f t="shared" si="96"/>
        <v>title: "Convento de Santa Ana, Villanueva de la Jara"</v>
      </c>
      <c r="AU71" s="117" t="str">
        <f t="shared" si="97"/>
        <v>location: {lat: 39.4396102153669, lng: -1.95650919993269}</v>
      </c>
      <c r="AV71" s="117" t="str">
        <f t="shared" si="98"/>
        <v>interest: local</v>
      </c>
      <c r="AW71" s="117" t="str">
        <f>"- "&amp;VLOOKUP(C71,'Country Tags'!C:E,3,)</f>
        <v>- spain</v>
      </c>
      <c r="AX71" s="117" t="str">
        <f t="shared" si="99"/>
        <v>- villanueva-de-la-jara</v>
      </c>
      <c r="AY71" s="117" t="str">
        <f t="shared" si="100"/>
        <v>- churches</v>
      </c>
      <c r="AZ71" s="117" t="str">
        <f t="shared" si="101"/>
        <v/>
      </c>
      <c r="BA71" s="117" t="str">
        <f t="shared" si="102"/>
        <v>- holy-persons</v>
      </c>
      <c r="BB71" s="117" t="str">
        <f t="shared" si="103"/>
        <v>- teresa-avila</v>
      </c>
      <c r="BC71" s="117" t="str">
        <f t="shared" si="104"/>
        <v>- discalced-carmelites</v>
      </c>
      <c r="BD71" s="117" t="str">
        <f t="shared" si="105"/>
        <v>- communities</v>
      </c>
      <c r="BE71" s="117" t="str">
        <f t="shared" si="106"/>
        <v/>
      </c>
      <c r="BF71" s="117" t="str">
        <f t="shared" si="107"/>
        <v/>
      </c>
      <c r="BG71" s="117" t="str">
        <f t="shared" si="108"/>
        <v/>
      </c>
      <c r="BH71" s="117" t="str">
        <f t="shared" si="109"/>
        <v/>
      </c>
      <c r="BI71" s="117" t="str">
        <f t="shared" si="110"/>
        <v/>
      </c>
      <c r="BJ71" s="117" t="str">
        <f t="shared" si="111"/>
        <v/>
      </c>
      <c r="BK71" s="117" t="str">
        <f t="shared" si="112"/>
        <v/>
      </c>
      <c r="BL71" s="117" t="str">
        <f t="shared" si="113"/>
        <v xml:space="preserve">tags:
- spain_x000D_
- villanueva-de-la-jara_x000D_
- churches_x000D_
- holy-persons_x000D_
- teresa-avila_x000D_
- discalced-carmelites_x000D_
- communities_x000D_
</v>
      </c>
      <c r="BM71" s="120" t="str">
        <f t="shared" ref="BM71:BM134" si="124">IF(LEN(O71)&gt;0,TRIM(CONCATENATE("[Official site](",O71,") ",IF(LEN(P71)&gt;0,"- "&amp;P71,P71))),"")</f>
        <v/>
      </c>
      <c r="BN71" s="120" t="str">
        <f t="shared" ref="BN71:BN134" si="125">IF(LEN(R71)&gt;0,TRIM(CONCATENATE("["&amp;Q71&amp;"](",R71,") ",IF(LEN(S71)&gt;0,"- "&amp;S71,S71))),"")</f>
        <v>[Villanueva de la Jara offical site](https://www.villanuevadelajara.eu/english/the-footprints-of-st-teresa-of-jesus-in-villanueva-de-la-jara/)</v>
      </c>
      <c r="BO71" s="120" t="str">
        <f t="shared" ref="BO71:BO134" si="126">IF(LEN(U71)&gt;0,TRIM(CONCATENATE("["&amp;T71&amp;"](",U71,") ",IF(LEN(V71)&gt;0,"- "&amp;V71,V71))),"")</f>
        <v/>
      </c>
      <c r="BP71" s="120" t="str">
        <f t="shared" ref="BP71:BP134" si="127">IF(LEN(X71)&gt;0,TRIM(CONCATENATE("["&amp;W71&amp;"](",X71,") ",IF(LEN(Y71)&gt;0,"- "&amp;Y71,Y71))),"")</f>
        <v/>
      </c>
      <c r="BQ71" s="117" t="str">
        <f t="shared" si="114"/>
        <v xml:space="preserve">* [Villanueva de la Jara offical site](https://www.villanuevadelajara.eu/english/the-footprints-of-st-teresa-of-jesus-in-villanueva-de-la-jara/)
</v>
      </c>
      <c r="BR71" s="117" t="str">
        <f t="shared" si="115"/>
        <v/>
      </c>
      <c r="BS71" s="117" t="str">
        <f t="shared" si="116"/>
        <v/>
      </c>
      <c r="BT71" s="117" t="str">
        <f t="shared" si="117"/>
        <v/>
      </c>
      <c r="BU71" s="117" t="str">
        <f>IF(LEN(concat(BR71:BT71))&gt;0,concat("| ",BR71," | ",BS71," | ",BT71," |"),"")</f>
        <v/>
      </c>
      <c r="BV71" s="117" t="str">
        <f t="shared" si="118"/>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spain_x000D_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119"/>
        <v>#VALUE!</v>
      </c>
      <c r="CK71" s="12" t="str">
        <f t="shared" si="120"/>
        <v xml:space="preserve">| [](/places/places\es-villanueva-de-la-jara-convento-de-santa-ana) </v>
      </c>
      <c r="CL71" s="13" t="str">
        <f>"| "&amp;IF(AS71,GetTagPage(C71,VLOOKUP(C71,'Country Tags'!C:E,3,)),C71)&amp; " "</f>
        <v xml:space="preserve">| [Spain](/tags/spain) </v>
      </c>
      <c r="CM71" s="12" t="str">
        <f t="shared" si="121"/>
        <v xml:space="preserve">|  </v>
      </c>
      <c r="CN71" s="12" t="str">
        <f t="shared" si="122"/>
        <v xml:space="preserve">| [Link](/places/places\es-villanueva-de-la-jara-convento-de-santa-ana) </v>
      </c>
      <c r="CO71" s="12" t="e">
        <f t="shared" si="123"/>
        <v>#VALUE!</v>
      </c>
    </row>
    <row r="72" spans="1:93" ht="25.5" x14ac:dyDescent="0.25">
      <c r="A72" s="129" t="s">
        <v>786</v>
      </c>
      <c r="B72" s="7" t="s">
        <v>1901</v>
      </c>
      <c r="C72" s="7" t="s">
        <v>266</v>
      </c>
      <c r="D72" s="71" t="s">
        <v>1615</v>
      </c>
      <c r="E72" s="1">
        <v>42.007672479991903</v>
      </c>
      <c r="F72" s="30">
        <v>-4.5314706466260501</v>
      </c>
      <c r="G72" s="80" t="s">
        <v>1686</v>
      </c>
      <c r="H72" s="73" t="s">
        <v>1620</v>
      </c>
      <c r="I72" s="7" t="s">
        <v>1248</v>
      </c>
      <c r="J72" s="7" t="b">
        <v>1</v>
      </c>
      <c r="L72" s="7" t="b">
        <v>1</v>
      </c>
      <c r="M72" s="71" t="s">
        <v>1616</v>
      </c>
      <c r="Q72" s="75" t="s">
        <v>1617</v>
      </c>
      <c r="R72" s="1" t="s">
        <v>1618</v>
      </c>
      <c r="S72" s="44" t="s">
        <v>53</v>
      </c>
      <c r="Z72" s="1" t="s">
        <v>1543</v>
      </c>
      <c r="AA72" s="1" t="s">
        <v>1539</v>
      </c>
      <c r="AS72" s="116" t="b">
        <f t="shared" si="95"/>
        <v>1</v>
      </c>
      <c r="AT72" s="117" t="str">
        <f t="shared" si="96"/>
        <v>title: "St. Bernard Church (Iglesia de San Bernardo), Palencia"</v>
      </c>
      <c r="AU72" s="117" t="str">
        <f t="shared" si="97"/>
        <v>location: {lat: 42.0076724799919, lng: -4.53147064662605}</v>
      </c>
      <c r="AV72" s="117" t="str">
        <f t="shared" si="98"/>
        <v>interest: local</v>
      </c>
      <c r="AW72" s="117" t="str">
        <f>"- "&amp;VLOOKUP(C72,'Country Tags'!C:E,3,)</f>
        <v>- spain</v>
      </c>
      <c r="AX72" s="117" t="str">
        <f t="shared" si="99"/>
        <v>- palencia</v>
      </c>
      <c r="AY72" s="117" t="str">
        <f t="shared" si="100"/>
        <v>- churches</v>
      </c>
      <c r="AZ72" s="117" t="str">
        <f t="shared" si="101"/>
        <v/>
      </c>
      <c r="BA72" s="117" t="str">
        <f t="shared" si="102"/>
        <v>- holy-persons</v>
      </c>
      <c r="BB72" s="117" t="str">
        <f t="shared" si="103"/>
        <v>- teresa-avila</v>
      </c>
      <c r="BC72" s="117" t="str">
        <f t="shared" si="104"/>
        <v>- discalced-carmelites</v>
      </c>
      <c r="BD72" s="117" t="str">
        <f t="shared" si="105"/>
        <v/>
      </c>
      <c r="BE72" s="117" t="str">
        <f t="shared" si="106"/>
        <v/>
      </c>
      <c r="BF72" s="117" t="str">
        <f t="shared" si="107"/>
        <v/>
      </c>
      <c r="BG72" s="117" t="str">
        <f t="shared" si="108"/>
        <v/>
      </c>
      <c r="BH72" s="117" t="str">
        <f t="shared" si="109"/>
        <v/>
      </c>
      <c r="BI72" s="117" t="str">
        <f t="shared" si="110"/>
        <v/>
      </c>
      <c r="BJ72" s="117" t="str">
        <f t="shared" si="111"/>
        <v/>
      </c>
      <c r="BK72" s="117" t="str">
        <f t="shared" si="112"/>
        <v/>
      </c>
      <c r="BL72" s="117" t="str">
        <f t="shared" si="113"/>
        <v xml:space="preserve">tags:
- spain_x000D_
- palencia_x000D_
- churches_x000D_
- holy-persons_x000D_
- teresa-avila_x000D_
- discalced-carmelites_x000D_
</v>
      </c>
      <c r="BM72" s="120" t="str">
        <f t="shared" si="124"/>
        <v/>
      </c>
      <c r="BN72" s="120" t="str">
        <f t="shared" si="125"/>
        <v>[Palencia tourism site](https://turismo.aytopalencia.es/en/poi/church-san-bernardo)</v>
      </c>
      <c r="BO72" s="120" t="str">
        <f t="shared" si="126"/>
        <v/>
      </c>
      <c r="BP72" s="120" t="str">
        <f t="shared" si="127"/>
        <v/>
      </c>
      <c r="BQ72" s="117" t="str">
        <f t="shared" si="114"/>
        <v xml:space="preserve">* [Palencia tourism site](https://turismo.aytopalencia.es/en/poi/church-san-bernardo)
</v>
      </c>
      <c r="BR72" s="117" t="str">
        <f t="shared" si="115"/>
        <v/>
      </c>
      <c r="BS72" s="117" t="str">
        <f t="shared" si="116"/>
        <v/>
      </c>
      <c r="BT72" s="117" t="str">
        <f t="shared" si="117"/>
        <v/>
      </c>
      <c r="BU72" s="117" t="str">
        <f>IF(LEN(concat(BR72:BT72))&gt;0,concat("| ",BR72," | ",BS72," | ",BT72," |"),"")</f>
        <v/>
      </c>
      <c r="BV72" s="117" t="str">
        <f t="shared" si="118"/>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spain_x000D_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119"/>
        <v>#VALUE!</v>
      </c>
      <c r="CK72" s="12" t="str">
        <f t="shared" si="120"/>
        <v xml:space="preserve">| [](/places/places\es-palencia-iglesia-de-san-bernardo) </v>
      </c>
      <c r="CL72" s="13" t="str">
        <f>"| "&amp;IF(AS72,GetTagPage(C72,VLOOKUP(C72,'Country Tags'!C:E,3,)),C72)&amp; " "</f>
        <v xml:space="preserve">| [Spain](/tags/spain) </v>
      </c>
      <c r="CM72" s="12" t="str">
        <f t="shared" si="121"/>
        <v xml:space="preserve">|  </v>
      </c>
      <c r="CN72" s="12" t="str">
        <f t="shared" si="122"/>
        <v xml:space="preserve">| [Link](/places/places\es-palencia-iglesia-de-san-bernardo) </v>
      </c>
      <c r="CO72" s="12" t="e">
        <f t="shared" si="123"/>
        <v>#VALUE!</v>
      </c>
    </row>
    <row r="73" spans="1:93" ht="63.75" x14ac:dyDescent="0.25">
      <c r="A73" s="129" t="s">
        <v>786</v>
      </c>
      <c r="B73" s="7" t="s">
        <v>1901</v>
      </c>
      <c r="C73" s="7" t="s">
        <v>266</v>
      </c>
      <c r="D73" s="71" t="s">
        <v>1619</v>
      </c>
      <c r="E73" s="1">
        <v>41.764625448349499</v>
      </c>
      <c r="F73" s="30">
        <v>-2.46296793728833</v>
      </c>
      <c r="G73" s="80" t="s">
        <v>1687</v>
      </c>
      <c r="H73" s="33" t="s">
        <v>1621</v>
      </c>
      <c r="I73" s="7" t="s">
        <v>1248</v>
      </c>
      <c r="J73" s="7" t="b">
        <v>1</v>
      </c>
      <c r="L73" s="7" t="b">
        <v>1</v>
      </c>
      <c r="M73" s="71" t="s">
        <v>1624</v>
      </c>
      <c r="N73" s="139" t="s">
        <v>1932</v>
      </c>
      <c r="Q73" s="75" t="s">
        <v>1622</v>
      </c>
      <c r="R73" s="1" t="s">
        <v>1623</v>
      </c>
      <c r="S73" s="44" t="s">
        <v>53</v>
      </c>
      <c r="Z73" s="1" t="s">
        <v>1543</v>
      </c>
      <c r="AA73" s="1" t="s">
        <v>1539</v>
      </c>
      <c r="AB73" s="1" t="s">
        <v>880</v>
      </c>
      <c r="AS73" s="116" t="b">
        <f t="shared" si="95"/>
        <v>1</v>
      </c>
      <c r="AT73" s="117" t="str">
        <f t="shared" si="96"/>
        <v>title: "Convent of our Lady of Carmen (Convento de Nuestra Senora del Carmen), Soria"</v>
      </c>
      <c r="AU73" s="117" t="str">
        <f t="shared" si="97"/>
        <v>location: {lat: 41.7646254483495, lng: -2.46296793728833}</v>
      </c>
      <c r="AV73" s="117" t="str">
        <f t="shared" si="98"/>
        <v>interest: local</v>
      </c>
      <c r="AW73" s="117" t="str">
        <f>"- "&amp;VLOOKUP(C73,'Country Tags'!C:E,3,)</f>
        <v>- spain</v>
      </c>
      <c r="AX73" s="117" t="str">
        <f t="shared" si="99"/>
        <v>- soria</v>
      </c>
      <c r="AY73" s="117" t="str">
        <f t="shared" si="100"/>
        <v>- churches</v>
      </c>
      <c r="AZ73" s="117" t="str">
        <f t="shared" si="101"/>
        <v/>
      </c>
      <c r="BA73" s="117" t="str">
        <f t="shared" si="102"/>
        <v>- holy-persons</v>
      </c>
      <c r="BB73" s="117" t="str">
        <f t="shared" si="103"/>
        <v>- teresa-avila</v>
      </c>
      <c r="BC73" s="117" t="str">
        <f t="shared" si="104"/>
        <v>- discalced-carmelites</v>
      </c>
      <c r="BD73" s="117" t="str">
        <f t="shared" si="105"/>
        <v>- communities</v>
      </c>
      <c r="BE73" s="117" t="str">
        <f t="shared" si="106"/>
        <v/>
      </c>
      <c r="BF73" s="117" t="str">
        <f t="shared" si="107"/>
        <v/>
      </c>
      <c r="BG73" s="117" t="str">
        <f t="shared" si="108"/>
        <v/>
      </c>
      <c r="BH73" s="117" t="str">
        <f t="shared" si="109"/>
        <v/>
      </c>
      <c r="BI73" s="117" t="str">
        <f t="shared" si="110"/>
        <v/>
      </c>
      <c r="BJ73" s="117" t="str">
        <f t="shared" si="111"/>
        <v/>
      </c>
      <c r="BK73" s="117" t="str">
        <f t="shared" si="112"/>
        <v/>
      </c>
      <c r="BL73" s="117" t="str">
        <f t="shared" si="113"/>
        <v xml:space="preserve">tags:
- spain_x000D_
- soria_x000D_
- churches_x000D_
- holy-persons_x000D_
- teresa-avila_x000D_
- discalced-carmelites_x000D_
- communities_x000D_
</v>
      </c>
      <c r="BM73" s="120" t="str">
        <f t="shared" si="124"/>
        <v/>
      </c>
      <c r="BN73" s="120" t="str">
        <f t="shared" si="125"/>
        <v>[Soria tourism site](https://www.turismosoria.es/en/what-to-see/monuments/convent-of-el-carmen/)</v>
      </c>
      <c r="BO73" s="120" t="str">
        <f t="shared" si="126"/>
        <v/>
      </c>
      <c r="BP73" s="120" t="str">
        <f t="shared" si="127"/>
        <v/>
      </c>
      <c r="BQ73" s="117" t="str">
        <f t="shared" si="114"/>
        <v xml:space="preserve">* [Soria tourism site](https://www.turismosoria.es/en/what-to-see/monuments/convent-of-el-carmen/)
</v>
      </c>
      <c r="BR73" s="117" t="str">
        <f t="shared" si="115"/>
        <v/>
      </c>
      <c r="BS73" s="117" t="str">
        <f t="shared" si="116"/>
        <v/>
      </c>
      <c r="BT73" s="117" t="str">
        <f t="shared" si="117"/>
        <v/>
      </c>
      <c r="BU73" s="117" t="str">
        <f>IF(LEN(concat(BR73:BT73))&gt;0,concat("| ",BR73," | ",BS73," | ",BT73," |"),"")</f>
        <v/>
      </c>
      <c r="BV73" s="117" t="str">
        <f t="shared" si="118"/>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spain_x000D_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119"/>
        <v>#VALUE!</v>
      </c>
      <c r="CK73" s="12" t="str">
        <f t="shared" si="120"/>
        <v xml:space="preserve">| [](/places/places\es-soria-convento-de-nuestra-senora-del-carmen) </v>
      </c>
      <c r="CL73" s="13" t="str">
        <f>"| "&amp;IF(AS73,GetTagPage(C73,VLOOKUP(C73,'Country Tags'!C:E,3,)),C73)&amp; " "</f>
        <v xml:space="preserve">| [Spain](/tags/spain) </v>
      </c>
      <c r="CM73" s="12" t="str">
        <f t="shared" si="121"/>
        <v xml:space="preserve">|  </v>
      </c>
      <c r="CN73" s="12" t="str">
        <f t="shared" si="122"/>
        <v xml:space="preserve">| [Link](/places/places\es-soria-convento-de-nuestra-senora-del-carmen) </v>
      </c>
      <c r="CO73" s="12" t="e">
        <f t="shared" si="123"/>
        <v>#VALUE!</v>
      </c>
    </row>
    <row r="74" spans="1:93" ht="25.5" x14ac:dyDescent="0.25">
      <c r="A74" s="129" t="s">
        <v>786</v>
      </c>
      <c r="B74" s="7" t="s">
        <v>1901</v>
      </c>
      <c r="C74" s="7" t="s">
        <v>266</v>
      </c>
      <c r="D74" s="71" t="s">
        <v>1625</v>
      </c>
      <c r="E74" s="1">
        <v>37.175062581351298</v>
      </c>
      <c r="F74" s="30">
        <v>-3.5968724999999999</v>
      </c>
      <c r="G74" s="71" t="s">
        <v>1626</v>
      </c>
      <c r="H74" s="33" t="s">
        <v>1548</v>
      </c>
      <c r="I74" s="7" t="s">
        <v>1248</v>
      </c>
      <c r="J74" s="7" t="b">
        <v>1</v>
      </c>
      <c r="L74" s="7" t="b">
        <v>1</v>
      </c>
      <c r="M74" s="71" t="s">
        <v>1630</v>
      </c>
      <c r="O74" s="1" t="s">
        <v>1627</v>
      </c>
      <c r="P74" s="144" t="s">
        <v>1988</v>
      </c>
      <c r="Q74" s="75" t="s">
        <v>1629</v>
      </c>
      <c r="R74" s="1" t="s">
        <v>1628</v>
      </c>
      <c r="S74" s="44" t="s">
        <v>53</v>
      </c>
      <c r="Z74" s="1" t="s">
        <v>1543</v>
      </c>
      <c r="AA74" s="72" t="s">
        <v>1539</v>
      </c>
      <c r="AB74" s="1" t="s">
        <v>880</v>
      </c>
      <c r="AC74" s="1" t="s">
        <v>1542</v>
      </c>
      <c r="AS74" s="116" t="b">
        <f t="shared" si="95"/>
        <v>1</v>
      </c>
      <c r="AT74" s="117" t="str">
        <f t="shared" si="96"/>
        <v>title: "Convento de San Jose, Granada"</v>
      </c>
      <c r="AU74" s="117" t="str">
        <f t="shared" si="97"/>
        <v>location: {lat: 37.1750625813513, lng: -3.5968725}</v>
      </c>
      <c r="AV74" s="117" t="str">
        <f t="shared" si="98"/>
        <v>interest: local</v>
      </c>
      <c r="AW74" s="117" t="str">
        <f>"- "&amp;VLOOKUP(C74,'Country Tags'!C:E,3,)</f>
        <v>- spain</v>
      </c>
      <c r="AX74" s="117" t="str">
        <f t="shared" si="99"/>
        <v>- granada</v>
      </c>
      <c r="AY74" s="117" t="str">
        <f t="shared" si="100"/>
        <v>- churches</v>
      </c>
      <c r="AZ74" s="117" t="str">
        <f t="shared" si="101"/>
        <v/>
      </c>
      <c r="BA74" s="117" t="str">
        <f t="shared" si="102"/>
        <v>- holy-persons</v>
      </c>
      <c r="BB74" s="117" t="str">
        <f t="shared" si="103"/>
        <v>- teresa-avila</v>
      </c>
      <c r="BC74" s="117" t="str">
        <f t="shared" si="104"/>
        <v>- discalced-carmelites</v>
      </c>
      <c r="BD74" s="117" t="str">
        <f t="shared" si="105"/>
        <v>- communities</v>
      </c>
      <c r="BE74" s="117" t="str">
        <f t="shared" si="106"/>
        <v>- john-cross</v>
      </c>
      <c r="BF74" s="117" t="str">
        <f t="shared" si="107"/>
        <v/>
      </c>
      <c r="BG74" s="117" t="str">
        <f t="shared" si="108"/>
        <v/>
      </c>
      <c r="BH74" s="117" t="str">
        <f t="shared" si="109"/>
        <v/>
      </c>
      <c r="BI74" s="117" t="str">
        <f t="shared" si="110"/>
        <v/>
      </c>
      <c r="BJ74" s="117" t="str">
        <f t="shared" si="111"/>
        <v/>
      </c>
      <c r="BK74" s="117" t="str">
        <f t="shared" si="112"/>
        <v/>
      </c>
      <c r="BL74" s="117" t="str">
        <f t="shared" si="113"/>
        <v xml:space="preserve">tags:
- spain_x000D_
- granada_x000D_
- churches_x000D_
- holy-persons_x000D_
- teresa-avila_x000D_
- discalced-carmelites_x000D_
- communities_x000D_
- john-cross_x000D_
</v>
      </c>
      <c r="BM74" s="120" t="str">
        <f t="shared" si="124"/>
        <v>[Official site](http://www.carmelitasdescalzasgranada.es/) - Note: website not active at time of writing</v>
      </c>
      <c r="BN74" s="120" t="str">
        <f t="shared" si="125"/>
        <v>[Information from the Federacion Virgen del Carmen](https://federacionvirgendelcarmen.wordpress.com/conventos/convento-de-san-jose-granada/)</v>
      </c>
      <c r="BO74" s="120" t="str">
        <f t="shared" si="126"/>
        <v/>
      </c>
      <c r="BP74" s="120" t="str">
        <f t="shared" si="127"/>
        <v/>
      </c>
      <c r="BQ74" s="117" t="str">
        <f t="shared" si="114"/>
        <v xml:space="preserve">* [Official site](http://www.carmelitasdescalzasgranada.es/) - Note: website not active at time of writing
* [Information from the Federacion Virgen del Carmen](https://federacionvirgendelcarmen.wordpress.com/conventos/convento-de-san-jose-granada/)
</v>
      </c>
      <c r="BR74" s="117" t="str">
        <f t="shared" si="115"/>
        <v/>
      </c>
      <c r="BS74" s="117" t="str">
        <f t="shared" si="116"/>
        <v/>
      </c>
      <c r="BT74" s="117" t="str">
        <f t="shared" si="117"/>
        <v/>
      </c>
      <c r="BU74" s="117" t="str">
        <f>IF(LEN(concat(BR74:BT74))&gt;0,concat("| ",BR74," | ",BS74," | ",BT74," |"),"")</f>
        <v/>
      </c>
      <c r="BV74" s="117" t="str">
        <f t="shared" si="118"/>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spain_x000D_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119"/>
        <v>#VALUE!</v>
      </c>
      <c r="CK74" s="12" t="str">
        <f t="shared" si="120"/>
        <v xml:space="preserve">| [](/places/places\es-granada-convento-de-san-jose) </v>
      </c>
      <c r="CL74" s="13" t="str">
        <f>"| "&amp;IF(AS74,GetTagPage(C74,VLOOKUP(C74,'Country Tags'!C:E,3,)),C74)&amp; " "</f>
        <v xml:space="preserve">| [Spain](/tags/spain) </v>
      </c>
      <c r="CM74" s="12" t="str">
        <f t="shared" si="121"/>
        <v xml:space="preserve">|  </v>
      </c>
      <c r="CN74" s="12" t="str">
        <f t="shared" si="122"/>
        <v xml:space="preserve">| [Link](/places/places\es-granada-convento-de-san-jose) </v>
      </c>
      <c r="CO74" s="12" t="e">
        <f t="shared" si="123"/>
        <v>#VALUE!</v>
      </c>
    </row>
    <row r="75" spans="1:93" ht="25.5" x14ac:dyDescent="0.25">
      <c r="A75" s="129" t="s">
        <v>786</v>
      </c>
      <c r="B75" s="7" t="s">
        <v>1901</v>
      </c>
      <c r="C75" s="7" t="s">
        <v>266</v>
      </c>
      <c r="D75" s="71" t="s">
        <v>1631</v>
      </c>
      <c r="E75" s="1">
        <v>42.340120675583002</v>
      </c>
      <c r="F75" s="30">
        <v>-3.6942737000000001</v>
      </c>
      <c r="G75" s="80" t="s">
        <v>1688</v>
      </c>
      <c r="H75" s="33" t="s">
        <v>1632</v>
      </c>
      <c r="I75" s="7" t="s">
        <v>1248</v>
      </c>
      <c r="J75" s="7" t="b">
        <v>1</v>
      </c>
      <c r="L75" s="7" t="b">
        <v>1</v>
      </c>
      <c r="M75" s="71" t="s">
        <v>1633</v>
      </c>
      <c r="N75" s="139" t="s">
        <v>1933</v>
      </c>
      <c r="Q75" s="75" t="s">
        <v>1635</v>
      </c>
      <c r="R75" s="1" t="s">
        <v>1634</v>
      </c>
      <c r="S75" s="133" t="s">
        <v>1988</v>
      </c>
      <c r="T75" s="78" t="s">
        <v>53</v>
      </c>
      <c r="Z75" s="1" t="s">
        <v>1543</v>
      </c>
      <c r="AA75" s="1" t="s">
        <v>1539</v>
      </c>
      <c r="AB75" s="1" t="s">
        <v>880</v>
      </c>
      <c r="AS75" s="116" t="b">
        <f t="shared" si="95"/>
        <v>1</v>
      </c>
      <c r="AT75" s="117" t="str">
        <f t="shared" si="96"/>
        <v>title: "Convento de San Jose y Santa Ana, Burgos"</v>
      </c>
      <c r="AU75" s="117" t="str">
        <f t="shared" si="97"/>
        <v>location: {lat: 42.340120675583, lng: -3.6942737}</v>
      </c>
      <c r="AV75" s="117" t="str">
        <f t="shared" si="98"/>
        <v>interest: local</v>
      </c>
      <c r="AW75" s="117" t="str">
        <f>"- "&amp;VLOOKUP(C75,'Country Tags'!C:E,3,)</f>
        <v>- spain</v>
      </c>
      <c r="AX75" s="117" t="str">
        <f t="shared" si="99"/>
        <v>- burgos</v>
      </c>
      <c r="AY75" s="117" t="str">
        <f t="shared" si="100"/>
        <v>- churches</v>
      </c>
      <c r="AZ75" s="117" t="str">
        <f t="shared" si="101"/>
        <v/>
      </c>
      <c r="BA75" s="117" t="str">
        <f t="shared" si="102"/>
        <v>- holy-persons</v>
      </c>
      <c r="BB75" s="117" t="str">
        <f t="shared" si="103"/>
        <v>- teresa-avila</v>
      </c>
      <c r="BC75" s="117" t="str">
        <f t="shared" si="104"/>
        <v>- discalced-carmelites</v>
      </c>
      <c r="BD75" s="117" t="str">
        <f t="shared" si="105"/>
        <v>- communities</v>
      </c>
      <c r="BE75" s="117" t="str">
        <f t="shared" si="106"/>
        <v/>
      </c>
      <c r="BF75" s="117" t="str">
        <f t="shared" si="107"/>
        <v/>
      </c>
      <c r="BG75" s="117" t="str">
        <f t="shared" si="108"/>
        <v/>
      </c>
      <c r="BH75" s="117" t="str">
        <f t="shared" si="109"/>
        <v/>
      </c>
      <c r="BI75" s="117" t="str">
        <f t="shared" si="110"/>
        <v/>
      </c>
      <c r="BJ75" s="117" t="str">
        <f t="shared" si="111"/>
        <v/>
      </c>
      <c r="BK75" s="117" t="str">
        <f t="shared" si="112"/>
        <v/>
      </c>
      <c r="BL75" s="117" t="str">
        <f t="shared" si="113"/>
        <v xml:space="preserve">tags:
- spain_x000D_
- burgos_x000D_
- churches_x000D_
- holy-persons_x000D_
- teresa-avila_x000D_
- discalced-carmelites_x000D_
- communities_x000D_
</v>
      </c>
      <c r="BM75" s="120" t="str">
        <f t="shared" si="124"/>
        <v/>
      </c>
      <c r="BN75" s="120" t="str">
        <f t="shared" si="125"/>
        <v>[Burgos tourism site](https://turismo.aytoburgos.es/cultura-y-patrimonio1/-/asset_publisher/PMC541iCzJ73/content/convento-de-san-jos%25C3%25A9-y-santa-ana) - Note: website not active at time of writing</v>
      </c>
      <c r="BO75" s="120" t="str">
        <f t="shared" si="126"/>
        <v/>
      </c>
      <c r="BP75" s="120" t="str">
        <f t="shared" si="127"/>
        <v/>
      </c>
      <c r="BQ75" s="117" t="str">
        <f t="shared" si="114"/>
        <v xml:space="preserve">* [Burgos tourism site](https://turismo.aytoburgos.es/cultura-y-patrimonio1/-/asset_publisher/PMC541iCzJ73/content/convento-de-san-jos%25C3%25A9-y-santa-ana) - Note: website not active at time of writing
</v>
      </c>
      <c r="BR75" s="117" t="str">
        <f t="shared" si="115"/>
        <v/>
      </c>
      <c r="BS75" s="117" t="str">
        <f t="shared" si="116"/>
        <v/>
      </c>
      <c r="BT75" s="117" t="str">
        <f t="shared" si="117"/>
        <v/>
      </c>
      <c r="BU75" s="117" t="str">
        <f>IF(LEN(concat(BR75:BT75))&gt;0,concat("| ",BR75," | ",BS75," | ",BT75," |"),"")</f>
        <v/>
      </c>
      <c r="BV75" s="117" t="str">
        <f t="shared" si="118"/>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spain_x000D_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119"/>
        <v>#VALUE!</v>
      </c>
      <c r="CK75" s="12" t="str">
        <f t="shared" si="120"/>
        <v xml:space="preserve">| [](/places/places\es-burgos-convento-de-san-jose-y-santa-ana) </v>
      </c>
      <c r="CL75" s="13" t="str">
        <f>"| "&amp;IF(AS75,GetTagPage(C75,VLOOKUP(C75,'Country Tags'!C:E,3,)),C75)&amp; " "</f>
        <v xml:space="preserve">| [Spain](/tags/spain) </v>
      </c>
      <c r="CM75" s="12" t="str">
        <f t="shared" si="121"/>
        <v xml:space="preserve">|  </v>
      </c>
      <c r="CN75" s="12" t="str">
        <f t="shared" si="122"/>
        <v xml:space="preserve">| [Link](/places/places\es-burgos-convento-de-san-jose-y-santa-ana) </v>
      </c>
      <c r="CO75" s="12" t="e">
        <f t="shared" si="123"/>
        <v>#VALUE!</v>
      </c>
    </row>
    <row r="76" spans="1:93" ht="38.25" x14ac:dyDescent="0.25">
      <c r="A76" s="129" t="s">
        <v>786</v>
      </c>
      <c r="B76" s="7" t="s">
        <v>1901</v>
      </c>
      <c r="C76" s="7" t="s">
        <v>266</v>
      </c>
      <c r="D76" s="71" t="s">
        <v>1535</v>
      </c>
      <c r="E76" s="1">
        <v>40.655737633857697</v>
      </c>
      <c r="F76" s="30">
        <v>-4.69703687109845</v>
      </c>
      <c r="G76" s="71" t="s">
        <v>1638</v>
      </c>
      <c r="H76" s="73" t="s">
        <v>1250</v>
      </c>
      <c r="I76" s="7" t="s">
        <v>1187</v>
      </c>
      <c r="J76" s="7" t="b">
        <v>1</v>
      </c>
      <c r="M76" s="71" t="s">
        <v>1637</v>
      </c>
      <c r="O76" s="1" t="s">
        <v>1636</v>
      </c>
      <c r="P76" s="74" t="s">
        <v>53</v>
      </c>
      <c r="S76" s="44" t="s">
        <v>53</v>
      </c>
      <c r="AS76" s="116" t="b">
        <f t="shared" si="95"/>
        <v>1</v>
      </c>
      <c r="AT76" s="117" t="str">
        <f t="shared" si="96"/>
        <v>title: "Avila Cathedral (Catedral del Salvador)"</v>
      </c>
      <c r="AU76" s="117" t="str">
        <f t="shared" si="97"/>
        <v>location: {lat: 40.6557376338577, lng: -4.69703687109845}</v>
      </c>
      <c r="AV76" s="117" t="str">
        <f t="shared" si="98"/>
        <v>interest: regional</v>
      </c>
      <c r="AW76" s="117" t="str">
        <f>"- "&amp;VLOOKUP(C76,'Country Tags'!C:E,3,)</f>
        <v>- spain</v>
      </c>
      <c r="AX76" s="117" t="str">
        <f t="shared" si="99"/>
        <v>- avila</v>
      </c>
      <c r="AY76" s="117" t="str">
        <f t="shared" si="100"/>
        <v>- churches</v>
      </c>
      <c r="AZ76" s="117" t="str">
        <f t="shared" si="101"/>
        <v/>
      </c>
      <c r="BA76" s="117" t="str">
        <f t="shared" si="102"/>
        <v/>
      </c>
      <c r="BB76" s="117" t="str">
        <f t="shared" si="103"/>
        <v/>
      </c>
      <c r="BC76" s="117" t="str">
        <f t="shared" si="104"/>
        <v/>
      </c>
      <c r="BD76" s="117" t="str">
        <f t="shared" si="105"/>
        <v/>
      </c>
      <c r="BE76" s="117" t="str">
        <f t="shared" si="106"/>
        <v/>
      </c>
      <c r="BF76" s="117" t="str">
        <f t="shared" si="107"/>
        <v/>
      </c>
      <c r="BG76" s="117" t="str">
        <f t="shared" si="108"/>
        <v/>
      </c>
      <c r="BH76" s="117" t="str">
        <f t="shared" si="109"/>
        <v/>
      </c>
      <c r="BI76" s="117" t="str">
        <f t="shared" si="110"/>
        <v/>
      </c>
      <c r="BJ76" s="117" t="str">
        <f t="shared" si="111"/>
        <v/>
      </c>
      <c r="BK76" s="117" t="str">
        <f t="shared" si="112"/>
        <v/>
      </c>
      <c r="BL76" s="117" t="str">
        <f t="shared" si="113"/>
        <v xml:space="preserve">tags:
- spain_x000D_
- avila_x000D_
- churches_x000D_
</v>
      </c>
      <c r="BM76" s="120" t="str">
        <f t="shared" si="124"/>
        <v>[Official site](https://catedralavila.es/)</v>
      </c>
      <c r="BN76" s="120" t="str">
        <f t="shared" si="125"/>
        <v/>
      </c>
      <c r="BO76" s="120" t="str">
        <f t="shared" si="126"/>
        <v/>
      </c>
      <c r="BP76" s="120" t="str">
        <f t="shared" si="127"/>
        <v/>
      </c>
      <c r="BQ76" s="117" t="str">
        <f t="shared" si="114"/>
        <v xml:space="preserve">* [Official site](https://catedralavila.es/)
</v>
      </c>
      <c r="BR76" s="117" t="str">
        <f t="shared" si="115"/>
        <v/>
      </c>
      <c r="BS76" s="117" t="str">
        <f t="shared" si="116"/>
        <v/>
      </c>
      <c r="BT76" s="117" t="str">
        <f t="shared" si="117"/>
        <v/>
      </c>
      <c r="BU76" s="117" t="str">
        <f>IF(LEN(concat(BR76:BT76))&gt;0,concat("| ",BR76," | ",BS76," | ",BT76," |"),"")</f>
        <v/>
      </c>
      <c r="BV76" s="117" t="str">
        <f t="shared" si="118"/>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spain_x000D_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119"/>
        <v xml:space="preserve">| </v>
      </c>
      <c r="CK76" s="12" t="str">
        <f t="shared" si="120"/>
        <v xml:space="preserve">| [](/places/places\es-avila-cathedral) </v>
      </c>
      <c r="CL76" s="13" t="str">
        <f>"| "&amp;IF(AS76,GetTagPage(C76,VLOOKUP(C76,'Country Tags'!C:E,3,)),C76)&amp; " "</f>
        <v xml:space="preserve">| [Spain](/tags/spain) </v>
      </c>
      <c r="CM76" s="12" t="str">
        <f t="shared" si="121"/>
        <v xml:space="preserve">|  </v>
      </c>
      <c r="CN76" s="12" t="str">
        <f t="shared" si="122"/>
        <v xml:space="preserve">| [Link](/places/places\es-avila-cathedral) </v>
      </c>
      <c r="CO76" s="12" t="str">
        <f t="shared" si="123"/>
        <v xml:space="preserve">
| [](/places/places\es-avila-cathedral) | [Spain](/tags/spain) |  | [Link](/places/places\es-avila-cathedral) [Official site](https://catedralavila.es/)| |</v>
      </c>
    </row>
    <row r="77" spans="1:93" ht="38.25" x14ac:dyDescent="0.25">
      <c r="A77" s="129" t="s">
        <v>786</v>
      </c>
      <c r="B77" s="7" t="s">
        <v>1901</v>
      </c>
      <c r="C77" s="7" t="s">
        <v>266</v>
      </c>
      <c r="D77" s="7" t="s">
        <v>1535</v>
      </c>
      <c r="E77" s="1">
        <v>40.657935208986103</v>
      </c>
      <c r="F77" s="30">
        <v>-4.6960390893359802</v>
      </c>
      <c r="G77" s="71" t="s">
        <v>1639</v>
      </c>
      <c r="H77" s="73" t="s">
        <v>1640</v>
      </c>
      <c r="I77" s="71" t="s">
        <v>1187</v>
      </c>
      <c r="J77" s="7" t="b">
        <v>1</v>
      </c>
      <c r="L77" s="7" t="b">
        <v>1</v>
      </c>
      <c r="M77" s="71" t="s">
        <v>1641</v>
      </c>
      <c r="O77" s="1" t="s">
        <v>1642</v>
      </c>
      <c r="P77" s="1" t="s">
        <v>53</v>
      </c>
      <c r="S77" s="44" t="s">
        <v>53</v>
      </c>
      <c r="Z77" s="72" t="s">
        <v>1643</v>
      </c>
      <c r="AA77" s="72" t="s">
        <v>1645</v>
      </c>
      <c r="AB77" s="72" t="s">
        <v>1647</v>
      </c>
      <c r="AS77" s="116" t="b">
        <f t="shared" si="95"/>
        <v>1</v>
      </c>
      <c r="AT77" s="117" t="str">
        <f t="shared" si="96"/>
        <v>title: "Basilica of Sts. Vincent, Sabina and Cristeta (San Vicente de Avila)"</v>
      </c>
      <c r="AU77" s="117" t="str">
        <f t="shared" si="97"/>
        <v>location: {lat: 40.6579352089861, lng: -4.69603908933598}</v>
      </c>
      <c r="AV77" s="117" t="str">
        <f t="shared" si="98"/>
        <v>interest: regional</v>
      </c>
      <c r="AW77" s="117" t="str">
        <f>"- "&amp;VLOOKUP(C77,'Country Tags'!C:E,3,)</f>
        <v>- spain</v>
      </c>
      <c r="AX77" s="117" t="str">
        <f t="shared" si="99"/>
        <v>- avila</v>
      </c>
      <c r="AY77" s="117" t="str">
        <f t="shared" si="100"/>
        <v>- churches</v>
      </c>
      <c r="AZ77" s="117" t="str">
        <f t="shared" si="101"/>
        <v/>
      </c>
      <c r="BA77" s="117" t="str">
        <f t="shared" si="102"/>
        <v>- holy-persons</v>
      </c>
      <c r="BB77" s="117" t="str">
        <f t="shared" si="103"/>
        <v>- vincent</v>
      </c>
      <c r="BC77" s="117" t="str">
        <f t="shared" si="104"/>
        <v>- sabina</v>
      </c>
      <c r="BD77" s="117" t="str">
        <f t="shared" si="105"/>
        <v>- cristeta</v>
      </c>
      <c r="BE77" s="117" t="str">
        <f t="shared" si="106"/>
        <v/>
      </c>
      <c r="BF77" s="117" t="str">
        <f t="shared" si="107"/>
        <v/>
      </c>
      <c r="BG77" s="117" t="str">
        <f t="shared" si="108"/>
        <v/>
      </c>
      <c r="BH77" s="117" t="str">
        <f t="shared" si="109"/>
        <v/>
      </c>
      <c r="BI77" s="117" t="str">
        <f t="shared" si="110"/>
        <v/>
      </c>
      <c r="BJ77" s="117" t="str">
        <f t="shared" si="111"/>
        <v/>
      </c>
      <c r="BK77" s="117" t="str">
        <f t="shared" si="112"/>
        <v/>
      </c>
      <c r="BL77" s="117" t="str">
        <f t="shared" si="113"/>
        <v xml:space="preserve">tags:
- spain_x000D_
- avila_x000D_
- churches_x000D_
- holy-persons_x000D_
- vincent_x000D_
- sabina_x000D_
- cristeta_x000D_
</v>
      </c>
      <c r="BM77" s="120" t="str">
        <f t="shared" si="124"/>
        <v>[Official site](https://basilicasanvicente.es/)</v>
      </c>
      <c r="BN77" s="120" t="str">
        <f t="shared" si="125"/>
        <v/>
      </c>
      <c r="BO77" s="120" t="str">
        <f t="shared" si="126"/>
        <v/>
      </c>
      <c r="BP77" s="120" t="str">
        <f t="shared" si="127"/>
        <v/>
      </c>
      <c r="BQ77" s="117" t="str">
        <f t="shared" si="114"/>
        <v xml:space="preserve">* [Official site](https://basilicasanvicente.es/)
</v>
      </c>
      <c r="BR77" s="117" t="str">
        <f t="shared" si="115"/>
        <v/>
      </c>
      <c r="BS77" s="117" t="str">
        <f t="shared" si="116"/>
        <v/>
      </c>
      <c r="BT77" s="117" t="str">
        <f t="shared" si="117"/>
        <v/>
      </c>
      <c r="BU77" s="117" t="str">
        <f>IF(LEN(concat(BR77:BT77))&gt;0,concat("| ",BR77," | ",BS77," | ",BT77," |"),"")</f>
        <v/>
      </c>
      <c r="BV77" s="117" t="str">
        <f t="shared" si="118"/>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spain_x000D_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119"/>
        <v>#VALUE!</v>
      </c>
      <c r="CK77" s="12" t="str">
        <f t="shared" si="120"/>
        <v xml:space="preserve">| [](/places/places\es-avila-san-vincente) </v>
      </c>
      <c r="CL77" s="13" t="str">
        <f>"| "&amp;IF(AS77,GetTagPage(C77,VLOOKUP(C77,'Country Tags'!C:E,3,)),C77)&amp; " "</f>
        <v xml:space="preserve">| [Spain](/tags/spain) </v>
      </c>
      <c r="CM77" s="12" t="str">
        <f t="shared" si="121"/>
        <v xml:space="preserve">|  </v>
      </c>
      <c r="CN77" s="12" t="str">
        <f t="shared" si="122"/>
        <v xml:space="preserve">| [Link](/places/places\es-avila-san-vincente) </v>
      </c>
      <c r="CO77" s="12" t="e">
        <f t="shared" si="123"/>
        <v>#VALUE!</v>
      </c>
    </row>
    <row r="78" spans="1:93" ht="102" x14ac:dyDescent="0.25">
      <c r="A78" s="129" t="s">
        <v>786</v>
      </c>
      <c r="B78" s="7" t="s">
        <v>1901</v>
      </c>
      <c r="C78" s="7" t="s">
        <v>266</v>
      </c>
      <c r="D78" s="7" t="s">
        <v>1654</v>
      </c>
      <c r="E78" s="1">
        <v>40.834106372070302</v>
      </c>
      <c r="F78" s="30">
        <v>-5.1301381279179701</v>
      </c>
      <c r="G78" s="7" t="s">
        <v>1655</v>
      </c>
      <c r="H78" s="33" t="s">
        <v>1656</v>
      </c>
      <c r="I78" s="7" t="s">
        <v>1248</v>
      </c>
      <c r="J78" s="7" t="b">
        <v>1</v>
      </c>
      <c r="L78" s="7" t="b">
        <v>1</v>
      </c>
      <c r="M78" s="71" t="s">
        <v>1657</v>
      </c>
      <c r="N78" s="139" t="s">
        <v>1934</v>
      </c>
      <c r="P78" s="1" t="s">
        <v>53</v>
      </c>
      <c r="S78" s="44" t="s">
        <v>53</v>
      </c>
      <c r="Z78" s="1" t="s">
        <v>1543</v>
      </c>
      <c r="AA78" s="1" t="s">
        <v>1539</v>
      </c>
      <c r="AB78" s="1" t="s">
        <v>1542</v>
      </c>
      <c r="AS78" s="116" t="b">
        <f t="shared" si="95"/>
        <v>1</v>
      </c>
      <c r="AT78" s="117" t="str">
        <f t="shared" si="96"/>
        <v>title: "Monastery of Duruelo"</v>
      </c>
      <c r="AU78" s="117" t="str">
        <f t="shared" si="97"/>
        <v>location: {lat: 40.8341063720703, lng: -5.13013812791797}</v>
      </c>
      <c r="AV78" s="117" t="str">
        <f t="shared" si="98"/>
        <v>interest: local</v>
      </c>
      <c r="AW78" s="117" t="str">
        <f>"- "&amp;VLOOKUP(C78,'Country Tags'!C:E,3,)</f>
        <v>- spain</v>
      </c>
      <c r="AX78" s="117" t="str">
        <f t="shared" si="99"/>
        <v>- duruelo</v>
      </c>
      <c r="AY78" s="117" t="str">
        <f t="shared" si="100"/>
        <v>- churches</v>
      </c>
      <c r="AZ78" s="117" t="str">
        <f t="shared" si="101"/>
        <v/>
      </c>
      <c r="BA78" s="117" t="str">
        <f t="shared" si="102"/>
        <v>- holy-persons</v>
      </c>
      <c r="BB78" s="117" t="str">
        <f t="shared" si="103"/>
        <v>- teresa-avila</v>
      </c>
      <c r="BC78" s="117" t="str">
        <f t="shared" si="104"/>
        <v>- discalced-carmelites</v>
      </c>
      <c r="BD78" s="117" t="str">
        <f t="shared" si="105"/>
        <v>- john-cross</v>
      </c>
      <c r="BE78" s="117" t="str">
        <f t="shared" si="106"/>
        <v/>
      </c>
      <c r="BF78" s="117" t="str">
        <f t="shared" si="107"/>
        <v/>
      </c>
      <c r="BG78" s="117" t="str">
        <f t="shared" si="108"/>
        <v/>
      </c>
      <c r="BH78" s="117" t="str">
        <f t="shared" si="109"/>
        <v/>
      </c>
      <c r="BI78" s="117" t="str">
        <f t="shared" si="110"/>
        <v/>
      </c>
      <c r="BJ78" s="117" t="str">
        <f t="shared" si="111"/>
        <v/>
      </c>
      <c r="BK78" s="117" t="str">
        <f t="shared" si="112"/>
        <v/>
      </c>
      <c r="BL78" s="117" t="str">
        <f t="shared" si="113"/>
        <v xml:space="preserve">tags:
- spain_x000D_
- duruelo_x000D_
- churches_x000D_
- holy-persons_x000D_
- teresa-avila_x000D_
- discalced-carmelites_x000D_
- john-cross_x000D_
</v>
      </c>
      <c r="BM78" s="120" t="str">
        <f t="shared" si="124"/>
        <v/>
      </c>
      <c r="BN78" s="120" t="str">
        <f t="shared" si="125"/>
        <v/>
      </c>
      <c r="BO78" s="120" t="str">
        <f t="shared" si="126"/>
        <v/>
      </c>
      <c r="BP78" s="120" t="str">
        <f t="shared" si="127"/>
        <v/>
      </c>
      <c r="BQ78" s="117" t="str">
        <f t="shared" si="114"/>
        <v/>
      </c>
      <c r="BR78" s="117" t="str">
        <f t="shared" si="115"/>
        <v/>
      </c>
      <c r="BS78" s="117" t="str">
        <f t="shared" si="116"/>
        <v/>
      </c>
      <c r="BT78" s="117" t="str">
        <f t="shared" si="117"/>
        <v/>
      </c>
      <c r="BU78" s="117" t="str">
        <f>IF(LEN(concat(BR78:BT78))&gt;0,concat("| ",BR78," | ",BS78," | ",BT78," |"),"")</f>
        <v/>
      </c>
      <c r="BV78" s="117" t="str">
        <f t="shared" si="118"/>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spain_x000D_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119"/>
        <v>#VALUE!</v>
      </c>
      <c r="CK78" s="12" t="str">
        <f t="shared" si="120"/>
        <v xml:space="preserve">| [](/places/places\es-duruelo-monastery) </v>
      </c>
      <c r="CL78" s="13" t="str">
        <f>"| "&amp;IF(AS78,GetTagPage(C78,VLOOKUP(C78,'Country Tags'!C:E,3,)),C78)&amp; " "</f>
        <v xml:space="preserve">| [Spain](/tags/spain) </v>
      </c>
      <c r="CM78" s="12" t="str">
        <f t="shared" si="121"/>
        <v xml:space="preserve">|  </v>
      </c>
      <c r="CN78" s="12" t="str">
        <f t="shared" si="122"/>
        <v xml:space="preserve">| [Link](/places/places\es-duruelo-monastery) </v>
      </c>
      <c r="CO78" s="12" t="e">
        <f t="shared" si="123"/>
        <v>#VALUE!</v>
      </c>
    </row>
    <row r="79" spans="1:93" ht="63.75" x14ac:dyDescent="0.25">
      <c r="A79" s="129" t="s">
        <v>786</v>
      </c>
      <c r="B79" s="7" t="s">
        <v>1901</v>
      </c>
      <c r="C79" s="7" t="s">
        <v>266</v>
      </c>
      <c r="D79" s="71" t="s">
        <v>1587</v>
      </c>
      <c r="E79" s="1">
        <v>40.955391357159002</v>
      </c>
      <c r="F79" s="30">
        <v>-4.1334718632315699</v>
      </c>
      <c r="G79" s="71" t="s">
        <v>1658</v>
      </c>
      <c r="H79" s="73" t="s">
        <v>1659</v>
      </c>
      <c r="I79" s="71" t="s">
        <v>1187</v>
      </c>
      <c r="J79" s="7" t="b">
        <v>1</v>
      </c>
      <c r="L79" s="7" t="b">
        <v>1</v>
      </c>
      <c r="M79" s="71" t="s">
        <v>1660</v>
      </c>
      <c r="O79" s="1" t="s">
        <v>1661</v>
      </c>
      <c r="P79" s="1" t="s">
        <v>53</v>
      </c>
      <c r="S79" s="44" t="s">
        <v>53</v>
      </c>
      <c r="Z79" s="1" t="s">
        <v>1543</v>
      </c>
      <c r="AA79" s="1" t="s">
        <v>1539</v>
      </c>
      <c r="AB79" s="1" t="s">
        <v>1542</v>
      </c>
      <c r="AS79" s="116" t="b">
        <f t="shared" si="95"/>
        <v>1</v>
      </c>
      <c r="AT79" s="117" t="str">
        <f t="shared" si="96"/>
        <v>title: "Convent of St. John of the Cross (Convento de San Juan de la Cruz)"</v>
      </c>
      <c r="AU79" s="117" t="str">
        <f t="shared" si="97"/>
        <v>location: {lat: 40.955391357159, lng: -4.13347186323157}</v>
      </c>
      <c r="AV79" s="117" t="str">
        <f t="shared" si="98"/>
        <v>interest: regional</v>
      </c>
      <c r="AW79" s="117" t="str">
        <f>"- "&amp;VLOOKUP(C79,'Country Tags'!C:E,3,)</f>
        <v>- spain</v>
      </c>
      <c r="AX79" s="117" t="str">
        <f t="shared" si="99"/>
        <v>- segovia</v>
      </c>
      <c r="AY79" s="117" t="str">
        <f t="shared" si="100"/>
        <v>- churches</v>
      </c>
      <c r="AZ79" s="117" t="str">
        <f t="shared" si="101"/>
        <v/>
      </c>
      <c r="BA79" s="117" t="str">
        <f t="shared" si="102"/>
        <v>- holy-persons</v>
      </c>
      <c r="BB79" s="117" t="str">
        <f t="shared" si="103"/>
        <v>- teresa-avila</v>
      </c>
      <c r="BC79" s="117" t="str">
        <f t="shared" si="104"/>
        <v>- discalced-carmelites</v>
      </c>
      <c r="BD79" s="117" t="str">
        <f t="shared" si="105"/>
        <v>- john-cross</v>
      </c>
      <c r="BE79" s="117" t="str">
        <f t="shared" si="106"/>
        <v/>
      </c>
      <c r="BF79" s="117" t="str">
        <f t="shared" si="107"/>
        <v/>
      </c>
      <c r="BG79" s="117" t="str">
        <f t="shared" si="108"/>
        <v/>
      </c>
      <c r="BH79" s="117" t="str">
        <f t="shared" si="109"/>
        <v/>
      </c>
      <c r="BI79" s="117" t="str">
        <f t="shared" si="110"/>
        <v/>
      </c>
      <c r="BJ79" s="117" t="str">
        <f t="shared" si="111"/>
        <v/>
      </c>
      <c r="BK79" s="117" t="str">
        <f t="shared" si="112"/>
        <v/>
      </c>
      <c r="BL79" s="117" t="str">
        <f t="shared" si="113"/>
        <v xml:space="preserve">tags:
- spain_x000D_
- segovia_x000D_
- churches_x000D_
- holy-persons_x000D_
- teresa-avila_x000D_
- discalced-carmelites_x000D_
- john-cross_x000D_
</v>
      </c>
      <c r="BM79" s="120" t="str">
        <f t="shared" si="124"/>
        <v>[Official site](https://sanjuandelacruzsegovia.com/)</v>
      </c>
      <c r="BN79" s="120" t="str">
        <f t="shared" si="125"/>
        <v/>
      </c>
      <c r="BO79" s="120" t="str">
        <f t="shared" si="126"/>
        <v/>
      </c>
      <c r="BP79" s="120" t="str">
        <f t="shared" si="127"/>
        <v/>
      </c>
      <c r="BQ79" s="117" t="str">
        <f t="shared" si="114"/>
        <v xml:space="preserve">* [Official site](https://sanjuandelacruzsegovia.com/)
</v>
      </c>
      <c r="BR79" s="117" t="str">
        <f t="shared" si="115"/>
        <v/>
      </c>
      <c r="BS79" s="117" t="str">
        <f t="shared" si="116"/>
        <v/>
      </c>
      <c r="BT79" s="117" t="str">
        <f t="shared" si="117"/>
        <v/>
      </c>
      <c r="BU79" s="117" t="str">
        <f>IF(LEN(concat(BR79:BT79))&gt;0,concat("| ",BR79," | ",BS79," | ",BT79," |"),"")</f>
        <v/>
      </c>
      <c r="BV79" s="117" t="str">
        <f t="shared" si="118"/>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spain_x000D_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119"/>
        <v>#VALUE!</v>
      </c>
      <c r="CK79" s="12" t="str">
        <f t="shared" si="120"/>
        <v xml:space="preserve">| [](/places/places\es-segovia-convento-de-san-juan-de-la-cruz) </v>
      </c>
      <c r="CL79" s="13" t="str">
        <f>"| "&amp;IF(AS79,GetTagPage(C79,VLOOKUP(C79,'Country Tags'!C:E,3,)),C79)&amp; " "</f>
        <v xml:space="preserve">| [Spain](/tags/spain) </v>
      </c>
      <c r="CM79" s="12" t="str">
        <f t="shared" si="121"/>
        <v xml:space="preserve">|  </v>
      </c>
      <c r="CN79" s="12" t="str">
        <f t="shared" si="122"/>
        <v xml:space="preserve">| [Link](/places/places\es-segovia-convento-de-san-juan-de-la-cruz) </v>
      </c>
      <c r="CO79" s="12" t="e">
        <f t="shared" si="123"/>
        <v>#VALUE!</v>
      </c>
    </row>
    <row r="80" spans="1:93" ht="38.25" x14ac:dyDescent="0.25">
      <c r="A80" s="129" t="s">
        <v>786</v>
      </c>
      <c r="B80" s="7" t="s">
        <v>1901</v>
      </c>
      <c r="C80" s="7" t="s">
        <v>266</v>
      </c>
      <c r="D80" s="71" t="s">
        <v>1662</v>
      </c>
      <c r="E80" s="1">
        <v>38.009716453448398</v>
      </c>
      <c r="F80" s="30">
        <v>-3.36573704226182</v>
      </c>
      <c r="G80" s="71" t="s">
        <v>1663</v>
      </c>
      <c r="H80" s="73" t="s">
        <v>1664</v>
      </c>
      <c r="I80" s="7" t="s">
        <v>1187</v>
      </c>
      <c r="J80" s="7" t="b">
        <v>1</v>
      </c>
      <c r="L80" s="7" t="b">
        <v>1</v>
      </c>
      <c r="M80" s="71" t="s">
        <v>1665</v>
      </c>
      <c r="O80" s="1" t="s">
        <v>1666</v>
      </c>
      <c r="P80" s="1" t="s">
        <v>53</v>
      </c>
      <c r="S80" s="44" t="s">
        <v>53</v>
      </c>
      <c r="Z80" s="1" t="s">
        <v>1542</v>
      </c>
      <c r="AA80" s="1" t="s">
        <v>1539</v>
      </c>
      <c r="AS80" s="116" t="b">
        <f t="shared" si="95"/>
        <v>1</v>
      </c>
      <c r="AT80" s="117" t="str">
        <f t="shared" si="96"/>
        <v>title: "Oratory of St. John of the Cross (Oratorio de San Juan de la Cruz)"</v>
      </c>
      <c r="AU80" s="117" t="str">
        <f t="shared" si="97"/>
        <v>location: {lat: 38.0097164534484, lng: -3.36573704226182}</v>
      </c>
      <c r="AV80" s="117" t="str">
        <f t="shared" si="98"/>
        <v>interest: regional</v>
      </c>
      <c r="AW80" s="117" t="str">
        <f>"- "&amp;VLOOKUP(C80,'Country Tags'!C:E,3,)</f>
        <v>- spain</v>
      </c>
      <c r="AX80" s="117" t="str">
        <f t="shared" si="99"/>
        <v>- ubeda</v>
      </c>
      <c r="AY80" s="117" t="str">
        <f t="shared" si="100"/>
        <v>- churches</v>
      </c>
      <c r="AZ80" s="117" t="str">
        <f t="shared" si="101"/>
        <v/>
      </c>
      <c r="BA80" s="117" t="str">
        <f t="shared" si="102"/>
        <v>- holy-persons</v>
      </c>
      <c r="BB80" s="117" t="str">
        <f t="shared" si="103"/>
        <v>- john-cross</v>
      </c>
      <c r="BC80" s="117" t="str">
        <f t="shared" si="104"/>
        <v>- discalced-carmelites</v>
      </c>
      <c r="BD80" s="117" t="str">
        <f t="shared" si="105"/>
        <v/>
      </c>
      <c r="BE80" s="117" t="str">
        <f t="shared" si="106"/>
        <v/>
      </c>
      <c r="BF80" s="117" t="str">
        <f t="shared" si="107"/>
        <v/>
      </c>
      <c r="BG80" s="117" t="str">
        <f t="shared" si="108"/>
        <v/>
      </c>
      <c r="BH80" s="117" t="str">
        <f t="shared" si="109"/>
        <v/>
      </c>
      <c r="BI80" s="117" t="str">
        <f t="shared" si="110"/>
        <v/>
      </c>
      <c r="BJ80" s="117" t="str">
        <f t="shared" si="111"/>
        <v/>
      </c>
      <c r="BK80" s="117" t="str">
        <f t="shared" si="112"/>
        <v/>
      </c>
      <c r="BL80" s="117" t="str">
        <f t="shared" si="113"/>
        <v xml:space="preserve">tags:
- spain_x000D_
- ubeda_x000D_
- churches_x000D_
- holy-persons_x000D_
- john-cross_x000D_
- discalced-carmelites_x000D_
</v>
      </c>
      <c r="BM80" s="120" t="str">
        <f t="shared" si="124"/>
        <v>[Official site](https://www.sanjuandelacruzubeda.com/)</v>
      </c>
      <c r="BN80" s="120" t="str">
        <f t="shared" si="125"/>
        <v/>
      </c>
      <c r="BO80" s="120" t="str">
        <f t="shared" si="126"/>
        <v/>
      </c>
      <c r="BP80" s="120" t="str">
        <f t="shared" si="127"/>
        <v/>
      </c>
      <c r="BQ80" s="117" t="str">
        <f t="shared" si="114"/>
        <v xml:space="preserve">* [Official site](https://www.sanjuandelacruzubeda.com/)
</v>
      </c>
      <c r="BR80" s="117" t="str">
        <f t="shared" si="115"/>
        <v/>
      </c>
      <c r="BS80" s="117" t="str">
        <f t="shared" si="116"/>
        <v/>
      </c>
      <c r="BT80" s="117" t="str">
        <f t="shared" si="117"/>
        <v/>
      </c>
      <c r="BU80" s="117" t="str">
        <f>IF(LEN(concat(BR80:BT80))&gt;0,concat("| ",BR80," | ",BS80," | ",BT80," |"),"")</f>
        <v/>
      </c>
      <c r="BV80" s="117" t="str">
        <f t="shared" si="118"/>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spain_x000D_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119"/>
        <v>#VALUE!</v>
      </c>
      <c r="CK80" s="12" t="str">
        <f t="shared" si="120"/>
        <v xml:space="preserve">| [](/places/places\es-ubeda-oratorio-de-san-juan-de-la-cruz) </v>
      </c>
      <c r="CL80" s="13" t="str">
        <f>"| "&amp;IF(AS80,GetTagPage(C80,VLOOKUP(C80,'Country Tags'!C:E,3,)),C80)&amp; " "</f>
        <v xml:space="preserve">| [Spain](/tags/spain) </v>
      </c>
      <c r="CM80" s="12" t="str">
        <f t="shared" si="121"/>
        <v xml:space="preserve">|  </v>
      </c>
      <c r="CN80" s="12" t="str">
        <f t="shared" si="122"/>
        <v xml:space="preserve">| [Link](/places/places\es-ubeda-oratorio-de-san-juan-de-la-cruz) </v>
      </c>
      <c r="CO80" s="12" t="e">
        <f t="shared" si="123"/>
        <v>#VALUE!</v>
      </c>
    </row>
    <row r="81" spans="1:93" ht="38.25" x14ac:dyDescent="0.25">
      <c r="A81" s="129" t="s">
        <v>786</v>
      </c>
      <c r="B81" s="7" t="s">
        <v>1901</v>
      </c>
      <c r="C81" s="7" t="s">
        <v>266</v>
      </c>
      <c r="D81" s="71" t="s">
        <v>1667</v>
      </c>
      <c r="E81" s="1">
        <v>40.931787066841601</v>
      </c>
      <c r="F81" s="30">
        <v>-4.9646371</v>
      </c>
      <c r="G81" s="71" t="s">
        <v>1668</v>
      </c>
      <c r="H81" s="73" t="s">
        <v>1669</v>
      </c>
      <c r="I81" s="71" t="s">
        <v>1248</v>
      </c>
      <c r="J81" s="7" t="b">
        <v>1</v>
      </c>
      <c r="L81" s="7" t="b">
        <v>1</v>
      </c>
      <c r="M81" s="71" t="s">
        <v>1670</v>
      </c>
      <c r="P81" s="1" t="s">
        <v>53</v>
      </c>
      <c r="Q81" s="75" t="s">
        <v>1649</v>
      </c>
      <c r="R81" s="1" t="s">
        <v>1671</v>
      </c>
      <c r="S81" s="44" t="s">
        <v>53</v>
      </c>
      <c r="Z81" s="1" t="s">
        <v>1542</v>
      </c>
      <c r="AA81" s="1" t="s">
        <v>1539</v>
      </c>
      <c r="AS81" s="116" t="b">
        <f t="shared" si="95"/>
        <v>1</v>
      </c>
      <c r="AT81" s="117" t="str">
        <f t="shared" si="96"/>
        <v>title: "Church of the Birthplace of St. John of the Cross (Iglesia Casa Natal de San Juan de la Cruz)"</v>
      </c>
      <c r="AU81" s="117" t="str">
        <f t="shared" si="97"/>
        <v>location: {lat: 40.9317870668416, lng: -4.9646371}</v>
      </c>
      <c r="AV81" s="117" t="str">
        <f t="shared" si="98"/>
        <v>interest: local</v>
      </c>
      <c r="AW81" s="117" t="str">
        <f>"- "&amp;VLOOKUP(C81,'Country Tags'!C:E,3,)</f>
        <v>- spain</v>
      </c>
      <c r="AX81" s="117" t="str">
        <f t="shared" si="99"/>
        <v>- fontiveros</v>
      </c>
      <c r="AY81" s="117" t="str">
        <f t="shared" si="100"/>
        <v>- churches</v>
      </c>
      <c r="AZ81" s="117" t="str">
        <f t="shared" si="101"/>
        <v/>
      </c>
      <c r="BA81" s="117" t="str">
        <f t="shared" si="102"/>
        <v>- holy-persons</v>
      </c>
      <c r="BB81" s="117" t="str">
        <f t="shared" si="103"/>
        <v>- john-cross</v>
      </c>
      <c r="BC81" s="117" t="str">
        <f t="shared" si="104"/>
        <v>- discalced-carmelites</v>
      </c>
      <c r="BD81" s="117" t="str">
        <f t="shared" si="105"/>
        <v/>
      </c>
      <c r="BE81" s="117" t="str">
        <f t="shared" si="106"/>
        <v/>
      </c>
      <c r="BF81" s="117" t="str">
        <f t="shared" si="107"/>
        <v/>
      </c>
      <c r="BG81" s="117" t="str">
        <f t="shared" si="108"/>
        <v/>
      </c>
      <c r="BH81" s="117" t="str">
        <f t="shared" si="109"/>
        <v/>
      </c>
      <c r="BI81" s="117" t="str">
        <f t="shared" si="110"/>
        <v/>
      </c>
      <c r="BJ81" s="117" t="str">
        <f t="shared" si="111"/>
        <v/>
      </c>
      <c r="BK81" s="117" t="str">
        <f t="shared" si="112"/>
        <v/>
      </c>
      <c r="BL81" s="117" t="str">
        <f t="shared" si="113"/>
        <v xml:space="preserve">tags:
- spain_x000D_
- fontiveros_x000D_
- churches_x000D_
- holy-persons_x000D_
- john-cross_x000D_
- discalced-carmelites_x000D_
</v>
      </c>
      <c r="BM81" s="120" t="str">
        <f t="shared" si="124"/>
        <v/>
      </c>
      <c r="BN81" s="120" t="str">
        <f t="shared" si="125"/>
        <v>[Castila y Leon tourism site](https://www.turismocastillayleon.com/en/art-culture-heritage/monuments/churches-chapels/church-san-juan-de-la-cruz-house-natal)</v>
      </c>
      <c r="BO81" s="120" t="str">
        <f t="shared" si="126"/>
        <v/>
      </c>
      <c r="BP81" s="120" t="str">
        <f t="shared" si="127"/>
        <v/>
      </c>
      <c r="BQ81" s="117" t="str">
        <f t="shared" si="114"/>
        <v xml:space="preserve">* [Castila y Leon tourism site](https://www.turismocastillayleon.com/en/art-culture-heritage/monuments/churches-chapels/church-san-juan-de-la-cruz-house-natal)
</v>
      </c>
      <c r="BR81" s="117" t="str">
        <f t="shared" si="115"/>
        <v/>
      </c>
      <c r="BS81" s="117" t="str">
        <f t="shared" si="116"/>
        <v/>
      </c>
      <c r="BT81" s="117" t="str">
        <f t="shared" si="117"/>
        <v/>
      </c>
      <c r="BU81" s="117" t="str">
        <f>IF(LEN(concat(BR81:BT81))&gt;0,concat("| ",BR81," | ",BS81," | ",BT81," |"),"")</f>
        <v/>
      </c>
      <c r="BV81" s="117" t="str">
        <f t="shared" si="118"/>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spain_x000D_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119"/>
        <v>#VALUE!</v>
      </c>
      <c r="CK81" s="12" t="str">
        <f t="shared" si="120"/>
        <v xml:space="preserve">| [](/places/places\es-fontiveros-iglesia-casa-natal-de-san-juan-de-la-cruz) </v>
      </c>
      <c r="CL81" s="13" t="str">
        <f>"| "&amp;IF(AS81,GetTagPage(C81,VLOOKUP(C81,'Country Tags'!C:E,3,)),C81)&amp; " "</f>
        <v xml:space="preserve">| [Spain](/tags/spain) </v>
      </c>
      <c r="CM81" s="12" t="str">
        <f t="shared" si="121"/>
        <v xml:space="preserve">|  </v>
      </c>
      <c r="CN81" s="12" t="str">
        <f t="shared" si="122"/>
        <v xml:space="preserve">| [Link](/places/places\es-fontiveros-iglesia-casa-natal-de-san-juan-de-la-cruz) </v>
      </c>
      <c r="CO81" s="12" t="e">
        <f t="shared" si="123"/>
        <v>#VALUE!</v>
      </c>
    </row>
    <row r="82" spans="1:93" ht="102" x14ac:dyDescent="0.25">
      <c r="A82" s="129" t="s">
        <v>786</v>
      </c>
      <c r="B82" s="7" t="s">
        <v>1901</v>
      </c>
      <c r="C82" s="7" t="s">
        <v>266</v>
      </c>
      <c r="D82" s="80" t="s">
        <v>1675</v>
      </c>
      <c r="E82" s="1">
        <v>42.8806093820127</v>
      </c>
      <c r="F82" s="30">
        <v>-8.5443954000000009</v>
      </c>
      <c r="G82" s="80" t="s">
        <v>1677</v>
      </c>
      <c r="H82" s="81" t="s">
        <v>1678</v>
      </c>
      <c r="I82" s="80" t="s">
        <v>1165</v>
      </c>
      <c r="J82" s="7" t="b">
        <v>1</v>
      </c>
      <c r="L82" s="7" t="b">
        <v>1</v>
      </c>
      <c r="M82" s="115" t="s">
        <v>1881</v>
      </c>
      <c r="O82" s="1" t="s">
        <v>1676</v>
      </c>
      <c r="P82" s="1" t="s">
        <v>53</v>
      </c>
      <c r="S82" s="44" t="s">
        <v>53</v>
      </c>
      <c r="Z82" s="132" t="s">
        <v>1949</v>
      </c>
      <c r="AA82" s="79" t="s">
        <v>1528</v>
      </c>
      <c r="AB82" s="79" t="s">
        <v>1679</v>
      </c>
      <c r="AC82" s="91" t="s">
        <v>1841</v>
      </c>
      <c r="AS82" s="116" t="b">
        <f t="shared" si="95"/>
        <v>1</v>
      </c>
      <c r="AT82" s="117" t="str">
        <f t="shared" si="96"/>
        <v>title: "Metropolitan Archcathedral Basilica of Santiago de Compostela (Catedral de Santiago)"</v>
      </c>
      <c r="AU82" s="117" t="str">
        <f t="shared" si="97"/>
        <v>location: {lat: 42.8806093820127, lng: -8.5443954}</v>
      </c>
      <c r="AV82" s="117" t="str">
        <f t="shared" si="98"/>
        <v>interest: global</v>
      </c>
      <c r="AW82" s="117" t="str">
        <f>"- "&amp;VLOOKUP(C82,'Country Tags'!C:E,3,)</f>
        <v>- spain</v>
      </c>
      <c r="AX82" s="117" t="str">
        <f t="shared" si="99"/>
        <v>- santiago-de-compostela</v>
      </c>
      <c r="AY82" s="117" t="str">
        <f t="shared" si="100"/>
        <v>- churches</v>
      </c>
      <c r="AZ82" s="117" t="str">
        <f t="shared" si="101"/>
        <v/>
      </c>
      <c r="BA82" s="117" t="str">
        <f t="shared" si="102"/>
        <v>- holy-persons</v>
      </c>
      <c r="BB82" s="117" t="str">
        <f t="shared" si="103"/>
        <v>- james-great</v>
      </c>
      <c r="BC82" s="117" t="str">
        <f t="shared" si="104"/>
        <v>- camino</v>
      </c>
      <c r="BD82" s="117" t="str">
        <f t="shared" si="105"/>
        <v>- pelagius</v>
      </c>
      <c r="BE82" s="117" t="str">
        <f t="shared" si="106"/>
        <v>- apostles</v>
      </c>
      <c r="BF82" s="117" t="str">
        <f t="shared" si="107"/>
        <v/>
      </c>
      <c r="BG82" s="117" t="str">
        <f t="shared" si="108"/>
        <v/>
      </c>
      <c r="BH82" s="117" t="str">
        <f t="shared" si="109"/>
        <v/>
      </c>
      <c r="BI82" s="117" t="str">
        <f t="shared" si="110"/>
        <v/>
      </c>
      <c r="BJ82" s="117" t="str">
        <f t="shared" si="111"/>
        <v/>
      </c>
      <c r="BK82" s="117" t="str">
        <f t="shared" si="112"/>
        <v/>
      </c>
      <c r="BL82" s="117" t="str">
        <f t="shared" si="113"/>
        <v xml:space="preserve">tags:
- spain_x000D_
- santiago-de-compostela_x000D_
- churches_x000D_
- holy-persons_x000D_
- james-great_x000D_
- camino_x000D_
- pelagius_x000D_
- apostles_x000D_
</v>
      </c>
      <c r="BM82" s="120" t="str">
        <f t="shared" si="124"/>
        <v>[Official site](http://catedraldesantiago.es/)</v>
      </c>
      <c r="BN82" s="120" t="str">
        <f t="shared" si="125"/>
        <v/>
      </c>
      <c r="BO82" s="120" t="str">
        <f t="shared" si="126"/>
        <v/>
      </c>
      <c r="BP82" s="120" t="str">
        <f t="shared" si="127"/>
        <v/>
      </c>
      <c r="BQ82" s="117" t="str">
        <f t="shared" si="114"/>
        <v xml:space="preserve">* [Official site](http://catedraldesantiago.es/)
</v>
      </c>
      <c r="BR82" s="117" t="str">
        <f t="shared" si="115"/>
        <v/>
      </c>
      <c r="BS82" s="117" t="str">
        <f t="shared" si="116"/>
        <v/>
      </c>
      <c r="BT82" s="117" t="str">
        <f t="shared" si="117"/>
        <v/>
      </c>
      <c r="BU82" s="117" t="str">
        <f>IF(LEN(concat(BR82:BT82))&gt;0,concat("| ",BR82," | ",BS82," | ",BT82," |"),"")</f>
        <v/>
      </c>
      <c r="BV82" s="117" t="str">
        <f t="shared" si="118"/>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spain_x000D_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119"/>
        <v>#VALUE!</v>
      </c>
      <c r="CK82" s="12" t="str">
        <f t="shared" si="120"/>
        <v xml:space="preserve">| [](/places/places\es-santiago-de-compostela-catedral-de-santiago) </v>
      </c>
      <c r="CL82" s="13" t="str">
        <f>"| "&amp;IF(AS82,GetTagPage(C82,VLOOKUP(C82,'Country Tags'!C:E,3,)),C82)&amp; " "</f>
        <v xml:space="preserve">| [Spain](/tags/spain) </v>
      </c>
      <c r="CM82" s="12" t="str">
        <f t="shared" si="121"/>
        <v xml:space="preserve">|  </v>
      </c>
      <c r="CN82" s="12" t="str">
        <f t="shared" si="122"/>
        <v xml:space="preserve">| [Link](/places/places\es-santiago-de-compostela-catedral-de-santiago) </v>
      </c>
      <c r="CO82" s="12" t="e">
        <f t="shared" si="123"/>
        <v>#VALUE!</v>
      </c>
    </row>
    <row r="83" spans="1:93" ht="102" x14ac:dyDescent="0.25">
      <c r="A83" s="129" t="s">
        <v>786</v>
      </c>
      <c r="B83" s="7" t="s">
        <v>1901</v>
      </c>
      <c r="C83" s="7" t="s">
        <v>1837</v>
      </c>
      <c r="D83" s="7" t="s">
        <v>1839</v>
      </c>
      <c r="E83" s="1">
        <v>37.911596002771098</v>
      </c>
      <c r="F83" s="30">
        <v>27.334141839748199</v>
      </c>
      <c r="G83" s="90" t="s">
        <v>1845</v>
      </c>
      <c r="H83" s="33" t="s">
        <v>1845</v>
      </c>
      <c r="I83" s="7" t="s">
        <v>1165</v>
      </c>
      <c r="K83" s="7" t="b">
        <v>1</v>
      </c>
      <c r="M83" s="90" t="s">
        <v>1848</v>
      </c>
      <c r="N83" s="139" t="s">
        <v>1935</v>
      </c>
      <c r="Z83" s="1" t="s">
        <v>1846</v>
      </c>
      <c r="AS83" s="116" t="b">
        <f t="shared" si="95"/>
        <v>1</v>
      </c>
      <c r="AT83" s="117" t="str">
        <f t="shared" si="96"/>
        <v>title: "House of the Virgin Mary"</v>
      </c>
      <c r="AU83" s="117" t="str">
        <f t="shared" si="97"/>
        <v>location: {lat: 37.9115960027711, lng: 27.3341418397482}</v>
      </c>
      <c r="AV83" s="117" t="str">
        <f t="shared" si="98"/>
        <v>interest: global</v>
      </c>
      <c r="AW83" s="117" t="str">
        <f>"- "&amp;VLOOKUP(C83,'Country Tags'!C:E,3,)</f>
        <v>- turkey</v>
      </c>
      <c r="AX83" s="117" t="str">
        <f t="shared" si="99"/>
        <v>- ephesus</v>
      </c>
      <c r="AY83" s="117" t="str">
        <f t="shared" si="100"/>
        <v/>
      </c>
      <c r="AZ83" s="117" t="str">
        <f t="shared" si="101"/>
        <v>- marian-sites</v>
      </c>
      <c r="BA83" s="117" t="str">
        <f t="shared" si="102"/>
        <v/>
      </c>
      <c r="BB83" s="117" t="str">
        <f t="shared" si="103"/>
        <v>- anne-catherine-emmerich</v>
      </c>
      <c r="BC83" s="117" t="str">
        <f t="shared" si="104"/>
        <v/>
      </c>
      <c r="BD83" s="117" t="str">
        <f t="shared" si="105"/>
        <v/>
      </c>
      <c r="BE83" s="117" t="str">
        <f t="shared" si="106"/>
        <v/>
      </c>
      <c r="BF83" s="117" t="str">
        <f t="shared" si="107"/>
        <v/>
      </c>
      <c r="BG83" s="117" t="str">
        <f t="shared" si="108"/>
        <v/>
      </c>
      <c r="BH83" s="117" t="str">
        <f t="shared" si="109"/>
        <v/>
      </c>
      <c r="BI83" s="117" t="str">
        <f t="shared" si="110"/>
        <v/>
      </c>
      <c r="BJ83" s="117" t="str">
        <f t="shared" si="111"/>
        <v/>
      </c>
      <c r="BK83" s="117" t="str">
        <f t="shared" si="112"/>
        <v/>
      </c>
      <c r="BL83" s="117" t="str">
        <f t="shared" si="113"/>
        <v xml:space="preserve">tags:
- turkey_x000D_
- ephesus_x000D_
- marian-sites_x000D_
- anne-catherine-emmerich_x000D_
</v>
      </c>
      <c r="BM83" s="120" t="str">
        <f t="shared" si="124"/>
        <v/>
      </c>
      <c r="BN83" s="120" t="str">
        <f t="shared" si="125"/>
        <v/>
      </c>
      <c r="BO83" s="120" t="str">
        <f t="shared" si="126"/>
        <v/>
      </c>
      <c r="BP83" s="120" t="str">
        <f t="shared" si="127"/>
        <v/>
      </c>
      <c r="BQ83" s="117" t="str">
        <f t="shared" si="114"/>
        <v/>
      </c>
      <c r="BR83" s="117" t="str">
        <f t="shared" si="115"/>
        <v/>
      </c>
      <c r="BS83" s="117" t="str">
        <f t="shared" si="116"/>
        <v/>
      </c>
      <c r="BT83" s="117" t="str">
        <f t="shared" si="117"/>
        <v/>
      </c>
      <c r="BU83" s="117" t="str">
        <f>IF(LEN(concat(BR83:BT83))&gt;0,concat("| ",BR83," | ",BS83," | ",BT83," |"),"")</f>
        <v/>
      </c>
      <c r="BV83" s="117" t="str">
        <f t="shared" si="118"/>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turkey_x000D_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119"/>
        <v>#VALUE!</v>
      </c>
      <c r="CK83" s="12" t="str">
        <f t="shared" si="120"/>
        <v xml:space="preserve">| [](/places/places\tr-ephesus-house-of-the-virgin-mary) </v>
      </c>
      <c r="CL83" s="13" t="str">
        <f>"| "&amp;IF(AS83,GetTagPage(C83,VLOOKUP(C83,'Country Tags'!C:E,3,)),C83)&amp; " "</f>
        <v xml:space="preserve">| [Turkey](/tags/turkey) </v>
      </c>
      <c r="CM83" s="12" t="str">
        <f t="shared" si="121"/>
        <v xml:space="preserve">|  </v>
      </c>
      <c r="CN83" s="12" t="str">
        <f t="shared" si="122"/>
        <v xml:space="preserve">| [Link](/places/places\tr-ephesus-house-of-the-virgin-mary) </v>
      </c>
      <c r="CO83" s="12" t="e">
        <f t="shared" si="123"/>
        <v>#VALUE!</v>
      </c>
    </row>
    <row r="84" spans="1:93" ht="38.25" x14ac:dyDescent="0.25">
      <c r="A84" s="129" t="s">
        <v>786</v>
      </c>
      <c r="B84" s="7" t="s">
        <v>1901</v>
      </c>
      <c r="C84" s="7" t="s">
        <v>1837</v>
      </c>
      <c r="D84" s="7" t="s">
        <v>1839</v>
      </c>
      <c r="E84" s="1">
        <v>37.944605964085902</v>
      </c>
      <c r="F84" s="30">
        <v>27.339194715340302</v>
      </c>
      <c r="G84" s="90" t="s">
        <v>1849</v>
      </c>
      <c r="H84" s="33" t="s">
        <v>1849</v>
      </c>
      <c r="I84" s="90" t="s">
        <v>1248</v>
      </c>
      <c r="M84" s="90" t="s">
        <v>1850</v>
      </c>
      <c r="Z84" s="99" t="s">
        <v>1525</v>
      </c>
      <c r="AB84" s="99"/>
      <c r="AS84" s="116" t="b">
        <f t="shared" si="95"/>
        <v>1</v>
      </c>
      <c r="AT84" s="117" t="str">
        <f t="shared" si="96"/>
        <v>title: "Church of Mary"</v>
      </c>
      <c r="AU84" s="117" t="str">
        <f t="shared" si="97"/>
        <v>location: {lat: 37.9446059640859, lng: 27.3391947153403}</v>
      </c>
      <c r="AV84" s="117" t="str">
        <f t="shared" si="98"/>
        <v>interest: local</v>
      </c>
      <c r="AW84" s="117" t="str">
        <f>"- "&amp;VLOOKUP(C84,'Country Tags'!C:E,3,)</f>
        <v>- turkey</v>
      </c>
      <c r="AX84" s="117" t="str">
        <f t="shared" si="99"/>
        <v>- ephesus</v>
      </c>
      <c r="AY84" s="117" t="str">
        <f t="shared" si="100"/>
        <v/>
      </c>
      <c r="AZ84" s="117" t="str">
        <f t="shared" si="101"/>
        <v/>
      </c>
      <c r="BA84" s="117" t="str">
        <f t="shared" si="102"/>
        <v/>
      </c>
      <c r="BB84" s="117" t="str">
        <f t="shared" si="103"/>
        <v>- closed</v>
      </c>
      <c r="BC84" s="117" t="str">
        <f t="shared" si="104"/>
        <v/>
      </c>
      <c r="BD84" s="117" t="str">
        <f t="shared" si="105"/>
        <v/>
      </c>
      <c r="BE84" s="117" t="str">
        <f t="shared" si="106"/>
        <v/>
      </c>
      <c r="BF84" s="117" t="str">
        <f t="shared" si="107"/>
        <v/>
      </c>
      <c r="BG84" s="117" t="str">
        <f t="shared" si="108"/>
        <v/>
      </c>
      <c r="BH84" s="117" t="str">
        <f t="shared" si="109"/>
        <v/>
      </c>
      <c r="BI84" s="117" t="str">
        <f t="shared" si="110"/>
        <v/>
      </c>
      <c r="BJ84" s="117" t="str">
        <f t="shared" si="111"/>
        <v/>
      </c>
      <c r="BK84" s="117" t="str">
        <f t="shared" si="112"/>
        <v/>
      </c>
      <c r="BL84" s="117" t="str">
        <f t="shared" si="113"/>
        <v xml:space="preserve">tags:
- turkey_x000D_
- ephesus_x000D_
- closed_x000D_
</v>
      </c>
      <c r="BM84" s="120" t="str">
        <f t="shared" si="124"/>
        <v/>
      </c>
      <c r="BN84" s="120" t="str">
        <f t="shared" si="125"/>
        <v/>
      </c>
      <c r="BO84" s="120" t="str">
        <f t="shared" si="126"/>
        <v/>
      </c>
      <c r="BP84" s="120" t="str">
        <f t="shared" si="127"/>
        <v/>
      </c>
      <c r="BQ84" s="117" t="str">
        <f t="shared" si="114"/>
        <v/>
      </c>
      <c r="BR84" s="117" t="str">
        <f t="shared" si="115"/>
        <v/>
      </c>
      <c r="BS84" s="117" t="str">
        <f t="shared" si="116"/>
        <v/>
      </c>
      <c r="BT84" s="117" t="str">
        <f t="shared" si="117"/>
        <v/>
      </c>
      <c r="BU84" s="117" t="str">
        <f>IF(LEN(concat(BR84:BT84))&gt;0,concat("| ",BR84," | ",BS84," | ",BT84," |"),"")</f>
        <v/>
      </c>
      <c r="BV84" s="117" t="str">
        <f t="shared" si="118"/>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turkey_x000D_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119"/>
        <v>#VALUE!</v>
      </c>
      <c r="CK84" s="12" t="str">
        <f t="shared" si="120"/>
        <v xml:space="preserve">| [](/places/places\tr-ephesus-church-of-mary) </v>
      </c>
      <c r="CL84" s="13" t="str">
        <f>"| "&amp;IF(AS84,GetTagPage(C84,VLOOKUP(C84,'Country Tags'!C:E,3,)),C84)&amp; " "</f>
        <v xml:space="preserve">| [Turkey](/tags/turkey) </v>
      </c>
      <c r="CM84" s="12" t="str">
        <f t="shared" si="121"/>
        <v xml:space="preserve">|  </v>
      </c>
      <c r="CN84" s="12" t="str">
        <f t="shared" si="122"/>
        <v xml:space="preserve">| [Link](/places/places\tr-ephesus-church-of-mary) </v>
      </c>
      <c r="CO84" s="12" t="e">
        <f t="shared" si="123"/>
        <v>#VALUE!</v>
      </c>
    </row>
    <row r="85" spans="1:93" ht="89.25" x14ac:dyDescent="0.25">
      <c r="A85" s="129" t="s">
        <v>786</v>
      </c>
      <c r="B85" s="90" t="s">
        <v>1901</v>
      </c>
      <c r="C85" s="90" t="s">
        <v>1837</v>
      </c>
      <c r="D85" s="90" t="s">
        <v>1839</v>
      </c>
      <c r="E85" s="1">
        <v>37.9524398007025</v>
      </c>
      <c r="F85" s="30">
        <v>27.367911346038099</v>
      </c>
      <c r="G85" s="90" t="s">
        <v>1840</v>
      </c>
      <c r="H85" s="92" t="s">
        <v>1840</v>
      </c>
      <c r="I85" s="90" t="s">
        <v>1165</v>
      </c>
      <c r="L85" s="7" t="b">
        <v>1</v>
      </c>
      <c r="M85" s="115" t="s">
        <v>1882</v>
      </c>
      <c r="Z85" s="91" t="s">
        <v>1843</v>
      </c>
      <c r="AA85" s="91" t="s">
        <v>1841</v>
      </c>
      <c r="AB85" s="99" t="s">
        <v>1525</v>
      </c>
      <c r="AS85" s="116" t="b">
        <f t="shared" si="95"/>
        <v>1</v>
      </c>
      <c r="AT85" s="117" t="str">
        <f t="shared" si="96"/>
        <v>title: "Basilica of St. John"</v>
      </c>
      <c r="AU85" s="117" t="str">
        <f t="shared" si="97"/>
        <v>location: {lat: 37.9524398007025, lng: 27.3679113460381}</v>
      </c>
      <c r="AV85" s="117" t="str">
        <f t="shared" si="98"/>
        <v>interest: global</v>
      </c>
      <c r="AW85" s="117" t="str">
        <f>"- "&amp;VLOOKUP(C85,'Country Tags'!C:E,3,)</f>
        <v>- turkey</v>
      </c>
      <c r="AX85" s="117" t="str">
        <f t="shared" si="99"/>
        <v>- ephesus</v>
      </c>
      <c r="AY85" s="117" t="str">
        <f t="shared" si="100"/>
        <v/>
      </c>
      <c r="AZ85" s="117" t="str">
        <f t="shared" si="101"/>
        <v/>
      </c>
      <c r="BA85" s="117" t="str">
        <f t="shared" si="102"/>
        <v>- holy-persons</v>
      </c>
      <c r="BB85" s="117" t="str">
        <f t="shared" si="103"/>
        <v>- john-apostle</v>
      </c>
      <c r="BC85" s="117" t="str">
        <f t="shared" si="104"/>
        <v>- apostles</v>
      </c>
      <c r="BD85" s="117" t="str">
        <f t="shared" si="105"/>
        <v>- closed</v>
      </c>
      <c r="BE85" s="117" t="str">
        <f t="shared" si="106"/>
        <v/>
      </c>
      <c r="BF85" s="117" t="str">
        <f t="shared" si="107"/>
        <v/>
      </c>
      <c r="BG85" s="117" t="str">
        <f t="shared" si="108"/>
        <v/>
      </c>
      <c r="BH85" s="117" t="str">
        <f t="shared" si="109"/>
        <v/>
      </c>
      <c r="BI85" s="117" t="str">
        <f t="shared" si="110"/>
        <v/>
      </c>
      <c r="BJ85" s="117" t="str">
        <f t="shared" si="111"/>
        <v/>
      </c>
      <c r="BK85" s="117" t="str">
        <f t="shared" si="112"/>
        <v/>
      </c>
      <c r="BL85" s="117" t="str">
        <f t="shared" si="113"/>
        <v xml:space="preserve">tags:
- turkey_x000D_
- ephesus_x000D_
- holy-persons_x000D_
- john-apostle_x000D_
- apostles_x000D_
- closed_x000D_
</v>
      </c>
      <c r="BM85" s="120" t="str">
        <f t="shared" si="124"/>
        <v/>
      </c>
      <c r="BN85" s="120" t="str">
        <f t="shared" si="125"/>
        <v/>
      </c>
      <c r="BO85" s="120" t="str">
        <f t="shared" si="126"/>
        <v/>
      </c>
      <c r="BP85" s="120" t="str">
        <f t="shared" si="127"/>
        <v/>
      </c>
      <c r="BQ85" s="117" t="str">
        <f t="shared" si="114"/>
        <v/>
      </c>
      <c r="BR85" s="117" t="str">
        <f t="shared" si="115"/>
        <v/>
      </c>
      <c r="BS85" s="117" t="str">
        <f t="shared" si="116"/>
        <v/>
      </c>
      <c r="BT85" s="117" t="str">
        <f t="shared" si="117"/>
        <v/>
      </c>
      <c r="BU85" s="117" t="str">
        <f>IF(LEN(concat(BR85:BT85))&gt;0,concat("| ",BR85," | ",BS85," | ",BT85," |"),"")</f>
        <v/>
      </c>
      <c r="BV85" s="117" t="str">
        <f t="shared" si="118"/>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turkey_x000D_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119"/>
        <v>#VALUE!</v>
      </c>
      <c r="CK85" s="12" t="str">
        <f t="shared" si="120"/>
        <v xml:space="preserve">| [](/places/places\tr-ephesus-basilica-of-st-john) </v>
      </c>
      <c r="CL85" s="13" t="str">
        <f>"| "&amp;IF(AS85,GetTagPage(C85,VLOOKUP(C85,'Country Tags'!C:E,3,)),C85)&amp; " "</f>
        <v xml:space="preserve">| [Turkey](/tags/turkey) </v>
      </c>
      <c r="CM85" s="12" t="str">
        <f t="shared" si="121"/>
        <v xml:space="preserve">|  </v>
      </c>
      <c r="CN85" s="12" t="str">
        <f t="shared" si="122"/>
        <v xml:space="preserve">| [Link](/places/places\tr-ephesus-basilica-of-st-john) </v>
      </c>
      <c r="CO85" s="12" t="e">
        <f t="shared" si="123"/>
        <v>#VALUE!</v>
      </c>
    </row>
    <row r="86" spans="1:93" ht="178.5" x14ac:dyDescent="0.25">
      <c r="A86" s="129" t="s">
        <v>786</v>
      </c>
      <c r="B86" s="130" t="s">
        <v>1902</v>
      </c>
      <c r="C86" s="84" t="s">
        <v>445</v>
      </c>
      <c r="D86" s="168" t="s">
        <v>2135</v>
      </c>
      <c r="E86" s="1">
        <v>51.5133260560522</v>
      </c>
      <c r="F86" s="30">
        <v>-0.16038145235162099</v>
      </c>
      <c r="G86" s="84" t="s">
        <v>1689</v>
      </c>
      <c r="H86" s="33" t="s">
        <v>1689</v>
      </c>
      <c r="I86" s="84" t="s">
        <v>1187</v>
      </c>
      <c r="L86" s="7" t="b">
        <v>1</v>
      </c>
      <c r="M86" s="84" t="s">
        <v>1692</v>
      </c>
      <c r="P86" s="1" t="s">
        <v>53</v>
      </c>
      <c r="S86" s="44" t="s">
        <v>53</v>
      </c>
      <c r="Z86" s="85" t="s">
        <v>1690</v>
      </c>
      <c r="AS86" s="116" t="b">
        <f t="shared" si="95"/>
        <v>1</v>
      </c>
      <c r="AT86" s="117" t="str">
        <f t="shared" si="96"/>
        <v>title: "Site of Tyburn Tree"</v>
      </c>
      <c r="AU86" s="117" t="str">
        <f t="shared" si="97"/>
        <v>location: {lat: 51.5133260560522, lng: -0.160381452351621}</v>
      </c>
      <c r="AV86" s="117" t="str">
        <f t="shared" si="98"/>
        <v>interest: regional</v>
      </c>
      <c r="AW86" s="117" t="str">
        <f>"- "&amp;VLOOKUP(C86,'Country Tags'!C:E,3,)</f>
        <v>- uk</v>
      </c>
      <c r="AX86" s="117" t="str">
        <f t="shared" si="99"/>
        <v>- london</v>
      </c>
      <c r="AY86" s="117" t="str">
        <f t="shared" si="100"/>
        <v/>
      </c>
      <c r="AZ86" s="117" t="str">
        <f t="shared" si="101"/>
        <v/>
      </c>
      <c r="BA86" s="117" t="str">
        <f t="shared" si="102"/>
        <v>- holy-persons</v>
      </c>
      <c r="BB86" s="117" t="str">
        <f t="shared" si="103"/>
        <v>- english-martyrs</v>
      </c>
      <c r="BC86" s="117" t="str">
        <f t="shared" si="104"/>
        <v/>
      </c>
      <c r="BD86" s="117" t="str">
        <f t="shared" si="105"/>
        <v/>
      </c>
      <c r="BE86" s="117" t="str">
        <f t="shared" si="106"/>
        <v/>
      </c>
      <c r="BF86" s="117" t="str">
        <f t="shared" si="107"/>
        <v/>
      </c>
      <c r="BG86" s="117" t="str">
        <f t="shared" si="108"/>
        <v/>
      </c>
      <c r="BH86" s="117" t="str">
        <f t="shared" si="109"/>
        <v/>
      </c>
      <c r="BI86" s="117" t="str">
        <f t="shared" si="110"/>
        <v/>
      </c>
      <c r="BJ86" s="117" t="str">
        <f t="shared" si="111"/>
        <v/>
      </c>
      <c r="BK86" s="117" t="str">
        <f t="shared" si="112"/>
        <v/>
      </c>
      <c r="BL86" s="117" t="str">
        <f t="shared" si="113"/>
        <v xml:space="preserve">tags:
- uk_x000D_
- london_x000D_
- holy-persons_x000D_
- english-martyrs_x000D_
</v>
      </c>
      <c r="BM86" s="120" t="str">
        <f t="shared" si="124"/>
        <v/>
      </c>
      <c r="BN86" s="120" t="str">
        <f t="shared" si="125"/>
        <v/>
      </c>
      <c r="BO86" s="120" t="str">
        <f t="shared" si="126"/>
        <v/>
      </c>
      <c r="BP86" s="120" t="str">
        <f t="shared" si="127"/>
        <v/>
      </c>
      <c r="BQ86" s="117" t="str">
        <f t="shared" si="114"/>
        <v/>
      </c>
      <c r="BR86" s="117" t="str">
        <f t="shared" si="115"/>
        <v/>
      </c>
      <c r="BS86" s="117" t="str">
        <f t="shared" si="116"/>
        <v/>
      </c>
      <c r="BT86" s="117" t="str">
        <f t="shared" si="117"/>
        <v/>
      </c>
      <c r="BU86" s="117" t="str">
        <f>IF(LEN(concat(BR86:BT86))&gt;0,concat("| ",BR86," | ",BS86," | ",BT86," |"),"")</f>
        <v/>
      </c>
      <c r="BV86" s="117" t="str">
        <f t="shared" si="118"/>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uk_x000D_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119"/>
        <v>#VALUE!</v>
      </c>
      <c r="CK86" s="12" t="str">
        <f t="shared" si="120"/>
        <v xml:space="preserve">| [](/places/places\gb-london-site-of-tyburn-tree) </v>
      </c>
      <c r="CL86" s="13" t="str">
        <f>"| "&amp;IF(AS86,GetTagPage(C86,VLOOKUP(C86,'Country Tags'!C:E,3,)),C86)&amp; " "</f>
        <v xml:space="preserve">| [United Kingdom](/tags/uk) </v>
      </c>
      <c r="CM86" s="12" t="str">
        <f t="shared" si="121"/>
        <v xml:space="preserve">|  </v>
      </c>
      <c r="CN86" s="12" t="str">
        <f t="shared" si="122"/>
        <v xml:space="preserve">| [Link](/places/places\gb-london-site-of-tyburn-tree) </v>
      </c>
      <c r="CO86" s="12" t="e">
        <f t="shared" si="123"/>
        <v>#VALUE!</v>
      </c>
    </row>
    <row r="87" spans="1:93" ht="51" x14ac:dyDescent="0.25">
      <c r="A87" s="129" t="s">
        <v>786</v>
      </c>
      <c r="B87" s="55" t="s">
        <v>1902</v>
      </c>
      <c r="C87" s="55" t="s">
        <v>1316</v>
      </c>
      <c r="D87" s="55" t="s">
        <v>1418</v>
      </c>
      <c r="E87" s="1">
        <v>34.324656099999999</v>
      </c>
      <c r="F87" s="30">
        <v>-91.942694700000004</v>
      </c>
      <c r="G87" s="7" t="s">
        <v>1315</v>
      </c>
      <c r="H87" s="61" t="s">
        <v>1874</v>
      </c>
      <c r="I87" s="55" t="s">
        <v>1187</v>
      </c>
      <c r="J87" s="7" t="b">
        <v>1</v>
      </c>
      <c r="L87" s="7" t="b">
        <v>1</v>
      </c>
      <c r="M87" s="55" t="s">
        <v>1419</v>
      </c>
      <c r="O87" s="1" t="s">
        <v>1420</v>
      </c>
      <c r="P87" s="144" t="s">
        <v>1993</v>
      </c>
      <c r="Q87" s="75" t="s">
        <v>1557</v>
      </c>
      <c r="R87" s="1" t="s">
        <v>1421</v>
      </c>
      <c r="S87" s="63" t="s">
        <v>53</v>
      </c>
      <c r="Z87" s="62" t="s">
        <v>1422</v>
      </c>
      <c r="AS87" s="116" t="b">
        <f t="shared" si="95"/>
        <v>1</v>
      </c>
      <c r="AT87" s="117" t="str">
        <f t="shared" si="96"/>
        <v>title: "St. Mary Catholic Church, Pine Bluff, AR"</v>
      </c>
      <c r="AU87" s="117" t="str">
        <f t="shared" si="97"/>
        <v>location: {lat: 34.3246561, lng: -91.9426947}</v>
      </c>
      <c r="AV87" s="117" t="str">
        <f t="shared" si="98"/>
        <v>interest: regional</v>
      </c>
      <c r="AW87" s="117" t="str">
        <f>"- "&amp;VLOOKUP(C87,'Country Tags'!C:E,3,)</f>
        <v>- usa
- arkansas</v>
      </c>
      <c r="AX87" s="117" t="str">
        <f t="shared" si="99"/>
        <v>- pine-bluff</v>
      </c>
      <c r="AY87" s="117" t="str">
        <f t="shared" si="100"/>
        <v>- churches</v>
      </c>
      <c r="AZ87" s="117" t="str">
        <f t="shared" si="101"/>
        <v/>
      </c>
      <c r="BA87" s="117" t="str">
        <f t="shared" si="102"/>
        <v>- holy-persons</v>
      </c>
      <c r="BB87" s="117" t="str">
        <f t="shared" si="103"/>
        <v>- agnes-hart</v>
      </c>
      <c r="BC87" s="117" t="str">
        <f t="shared" si="104"/>
        <v/>
      </c>
      <c r="BD87" s="117" t="str">
        <f t="shared" si="105"/>
        <v/>
      </c>
      <c r="BE87" s="117" t="str">
        <f t="shared" si="106"/>
        <v/>
      </c>
      <c r="BF87" s="117" t="str">
        <f t="shared" si="107"/>
        <v/>
      </c>
      <c r="BG87" s="117" t="str">
        <f t="shared" si="108"/>
        <v/>
      </c>
      <c r="BH87" s="117" t="str">
        <f t="shared" si="109"/>
        <v/>
      </c>
      <c r="BI87" s="117" t="str">
        <f t="shared" si="110"/>
        <v/>
      </c>
      <c r="BJ87" s="117" t="str">
        <f t="shared" si="111"/>
        <v/>
      </c>
      <c r="BK87" s="117" t="str">
        <f t="shared" si="112"/>
        <v/>
      </c>
      <c r="BL87" s="117" t="str">
        <f t="shared" si="113"/>
        <v xml:space="preserve">tags:
- usa
- arkansas_x000D_
- pine-bluff_x000D_
- churches_x000D_
- holy-persons_x000D_
- agnes-hart_x000D_
</v>
      </c>
      <c r="BM87" s="120" t="str">
        <f t="shared" si="124"/>
        <v>[Official site](https://www.stjosephpinebluff.org/st-mary-catholic-church.html) - Now under the care of nearby St. Joseph Parish</v>
      </c>
      <c r="BN87" s="120" t="str">
        <f t="shared" si="125"/>
        <v>[*American Catholic History* podcast episode on St. Mary](https://americancatholichistory.org/old-st-mary-pine-bluff-arkansas/)</v>
      </c>
      <c r="BO87" s="120" t="str">
        <f t="shared" si="126"/>
        <v/>
      </c>
      <c r="BP87" s="120" t="str">
        <f t="shared" si="127"/>
        <v/>
      </c>
      <c r="BQ87" s="117" t="str">
        <f t="shared" si="114"/>
        <v xml:space="preserve">* [Official site](https://www.stjosephpinebluff.org/st-mary-catholic-church.html) - Now under the care of nearby St. Joseph Parish
* [*American Catholic History* podcast episode on St. Mary](https://americancatholichistory.org/old-st-mary-pine-bluff-arkansas/)
</v>
      </c>
      <c r="BR87" s="117" t="str">
        <f t="shared" si="115"/>
        <v/>
      </c>
      <c r="BS87" s="117" t="str">
        <f t="shared" si="116"/>
        <v/>
      </c>
      <c r="BT87" s="117" t="str">
        <f t="shared" si="117"/>
        <v/>
      </c>
      <c r="BU87" s="117" t="str">
        <f>IF(LEN(concat(BR87:BT87))&gt;0,concat("| ",BR87," | ",BS87," | ",BT87," |"),"")</f>
        <v/>
      </c>
      <c r="BV87" s="117" t="str">
        <f t="shared" si="118"/>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119"/>
        <v>#VALUE!</v>
      </c>
      <c r="CK87" s="12" t="str">
        <f t="shared" si="120"/>
        <v xml:space="preserve">| [](/places/places\us_ar-pine-bluff-st-mary) </v>
      </c>
      <c r="CL87" s="13" t="str">
        <f>"| "&amp;IF(AS87,GetTagPage(C87,VLOOKUP(C87,'Country Tags'!C:E,3,)),C87)&amp; " "</f>
        <v xml:space="preserve">| [US Arkansas](/tags/usa
- arkansas) </v>
      </c>
      <c r="CM87" s="12" t="str">
        <f t="shared" si="121"/>
        <v xml:space="preserve">|  </v>
      </c>
      <c r="CN87" s="12" t="str">
        <f t="shared" si="122"/>
        <v xml:space="preserve">| [Link](/places/places\us_ar-pine-bluff-st-mary) </v>
      </c>
      <c r="CO87" s="12" t="e">
        <f t="shared" si="123"/>
        <v>#VALUE!</v>
      </c>
    </row>
    <row r="88" spans="1:93" ht="25.5" x14ac:dyDescent="0.25">
      <c r="A88" s="129" t="s">
        <v>786</v>
      </c>
      <c r="B88" s="130" t="s">
        <v>1901</v>
      </c>
      <c r="C88" s="84" t="s">
        <v>1320</v>
      </c>
      <c r="D88" s="7" t="s">
        <v>1713</v>
      </c>
      <c r="E88" s="1">
        <v>32.784454414036396</v>
      </c>
      <c r="F88" s="30">
        <v>-117.106379960395</v>
      </c>
      <c r="G88" s="7" t="s">
        <v>1693</v>
      </c>
      <c r="H88" s="86" t="s">
        <v>1716</v>
      </c>
      <c r="I88" s="84" t="s">
        <v>1248</v>
      </c>
      <c r="J88" s="7" t="b">
        <v>1</v>
      </c>
      <c r="L88" s="7" t="b">
        <v>1</v>
      </c>
      <c r="M88" s="7" t="s">
        <v>1730</v>
      </c>
      <c r="O88" s="1" t="s">
        <v>1746</v>
      </c>
      <c r="P88" s="1" t="s">
        <v>53</v>
      </c>
      <c r="Q88" s="87" t="s">
        <v>1766</v>
      </c>
      <c r="R88" s="1" t="s">
        <v>1767</v>
      </c>
      <c r="S88" s="44" t="s">
        <v>53</v>
      </c>
      <c r="T88" s="87" t="s">
        <v>1788</v>
      </c>
      <c r="U88" s="1" t="s">
        <v>1789</v>
      </c>
      <c r="V88" s="88" t="s">
        <v>53</v>
      </c>
      <c r="Z88" s="85" t="s">
        <v>1819</v>
      </c>
      <c r="AA88" s="85" t="s">
        <v>1813</v>
      </c>
      <c r="AB88" s="1" t="s">
        <v>1812</v>
      </c>
      <c r="AS88" s="116" t="b">
        <f t="shared" si="95"/>
        <v>1</v>
      </c>
      <c r="AT88" s="117" t="str">
        <f t="shared" si="96"/>
        <v>title: "Mission San Diego de Alcala"</v>
      </c>
      <c r="AU88" s="117" t="str">
        <f t="shared" si="97"/>
        <v>location: {lat: 32.7844544140364, lng: -117.106379960395}</v>
      </c>
      <c r="AV88" s="117" t="str">
        <f t="shared" si="98"/>
        <v>interest: local</v>
      </c>
      <c r="AW88" s="117" t="str">
        <f>"- "&amp;VLOOKUP(C88,'Country Tags'!C:E,3,)</f>
        <v>- usa
- california</v>
      </c>
      <c r="AX88" s="117" t="str">
        <f t="shared" si="99"/>
        <v>- san-diego</v>
      </c>
      <c r="AY88" s="117" t="str">
        <f t="shared" si="100"/>
        <v>- churches</v>
      </c>
      <c r="AZ88" s="117" t="str">
        <f t="shared" si="101"/>
        <v/>
      </c>
      <c r="BA88" s="117" t="str">
        <f t="shared" si="102"/>
        <v>- holy-persons</v>
      </c>
      <c r="BB88" s="117" t="str">
        <f t="shared" si="103"/>
        <v>- california-missions</v>
      </c>
      <c r="BC88" s="117" t="str">
        <f t="shared" si="104"/>
        <v>- franciscans</v>
      </c>
      <c r="BD88" s="117" t="str">
        <f t="shared" si="105"/>
        <v>- junipero-serra</v>
      </c>
      <c r="BE88" s="117" t="str">
        <f t="shared" si="106"/>
        <v/>
      </c>
      <c r="BF88" s="117" t="str">
        <f t="shared" si="107"/>
        <v/>
      </c>
      <c r="BG88" s="117" t="str">
        <f t="shared" si="108"/>
        <v/>
      </c>
      <c r="BH88" s="117" t="str">
        <f t="shared" si="109"/>
        <v/>
      </c>
      <c r="BI88" s="117" t="str">
        <f t="shared" si="110"/>
        <v/>
      </c>
      <c r="BJ88" s="117" t="str">
        <f t="shared" si="111"/>
        <v/>
      </c>
      <c r="BK88" s="117" t="str">
        <f t="shared" si="112"/>
        <v/>
      </c>
      <c r="BL88" s="117" t="str">
        <f t="shared" si="113"/>
        <v xml:space="preserve">tags:
- usa
- california_x000D_
- san-diego_x000D_
- churches_x000D_
- holy-persons_x000D_
- california-missions_x000D_
- franciscans_x000D_
- junipero-serra_x000D_
</v>
      </c>
      <c r="BM88" s="120" t="str">
        <f t="shared" si="124"/>
        <v>[Official site](https://www.missionsandiego.org/)</v>
      </c>
      <c r="BN88" s="120" t="str">
        <f t="shared" si="125"/>
        <v>[California Missions Foundation page](https://californiamissionsfoundation.org/mission-san-diego-de-alcala/)</v>
      </c>
      <c r="BO88" s="120" t="str">
        <f t="shared" si="126"/>
        <v>[Missions California page](https://www.missionscalifornia.com/missions/san-diego-de-alcala/)</v>
      </c>
      <c r="BP88" s="120" t="str">
        <f t="shared" si="127"/>
        <v/>
      </c>
      <c r="BQ88" s="117" t="str">
        <f t="shared" si="114"/>
        <v xml:space="preserve">* [Official site](https://www.missionsandiego.org/)
* [California Missions Foundation page](https://californiamissionsfoundation.org/mission-san-diego-de-alcala/)
* [Missions California page](https://www.missionscalifornia.com/missions/san-diego-de-alcala/)
</v>
      </c>
      <c r="BR88" s="117" t="str">
        <f t="shared" si="115"/>
        <v/>
      </c>
      <c r="BS88" s="117" t="str">
        <f t="shared" si="116"/>
        <v/>
      </c>
      <c r="BT88" s="117" t="str">
        <f t="shared" si="117"/>
        <v/>
      </c>
      <c r="BU88" s="117" t="str">
        <f>IF(LEN(concat(BR88:BT88))&gt;0,concat("| ",BR88," | ",BS88," | ",BT88," |"),"")</f>
        <v/>
      </c>
      <c r="BV88" s="117" t="str">
        <f t="shared" si="118"/>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usa
- california_x000D_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119"/>
        <v>#VALUE!</v>
      </c>
      <c r="CK88" s="12" t="str">
        <f t="shared" si="120"/>
        <v xml:space="preserve">| [](/places/places\us_ca-san-diego-mission-san-diego) </v>
      </c>
      <c r="CL88" s="13" t="str">
        <f>"| "&amp;IF(AS88,GetTagPage(C88,VLOOKUP(C88,'Country Tags'!C:E,3,)),C88)&amp; " "</f>
        <v xml:space="preserve">| [US California](/tags/usa
- california) </v>
      </c>
      <c r="CM88" s="12" t="str">
        <f t="shared" si="121"/>
        <v xml:space="preserve">|  </v>
      </c>
      <c r="CN88" s="12" t="str">
        <f t="shared" si="122"/>
        <v xml:space="preserve">| [Link](/places/places\us_ca-san-diego-mission-san-diego) </v>
      </c>
      <c r="CO88" s="12" t="e">
        <f t="shared" si="123"/>
        <v>#VALUE!</v>
      </c>
    </row>
    <row r="89" spans="1:93" ht="25.5" x14ac:dyDescent="0.25">
      <c r="A89" s="129" t="s">
        <v>786</v>
      </c>
      <c r="B89" s="7" t="s">
        <v>1901</v>
      </c>
      <c r="C89" s="7" t="s">
        <v>1320</v>
      </c>
      <c r="D89" s="148" t="s">
        <v>2045</v>
      </c>
      <c r="E89" s="1">
        <v>36.542542305904099</v>
      </c>
      <c r="F89" s="30">
        <v>-121.91985692948499</v>
      </c>
      <c r="G89" s="7" t="s">
        <v>1694</v>
      </c>
      <c r="H89" s="86" t="s">
        <v>1718</v>
      </c>
      <c r="I89" s="84" t="s">
        <v>1187</v>
      </c>
      <c r="J89" s="7" t="b">
        <v>1</v>
      </c>
      <c r="L89" s="7" t="b">
        <v>1</v>
      </c>
      <c r="M89" s="84" t="s">
        <v>1815</v>
      </c>
      <c r="O89" s="1" t="s">
        <v>1747</v>
      </c>
      <c r="P89" s="1" t="s">
        <v>53</v>
      </c>
      <c r="Q89" s="40" t="s">
        <v>1766</v>
      </c>
      <c r="R89" s="1" t="s">
        <v>1768</v>
      </c>
      <c r="S89" s="44" t="s">
        <v>53</v>
      </c>
      <c r="T89" s="40" t="s">
        <v>1788</v>
      </c>
      <c r="U89" s="1" t="s">
        <v>1790</v>
      </c>
      <c r="V89" s="44" t="s">
        <v>53</v>
      </c>
      <c r="Z89" s="1" t="s">
        <v>1819</v>
      </c>
      <c r="AA89" s="1" t="s">
        <v>1813</v>
      </c>
      <c r="AB89" s="1" t="s">
        <v>1812</v>
      </c>
      <c r="AS89" s="116" t="b">
        <f t="shared" si="95"/>
        <v>1</v>
      </c>
      <c r="AT89" s="117" t="str">
        <f t="shared" si="96"/>
        <v>title: "Mission San Carlos Borromeo de Carmelo"</v>
      </c>
      <c r="AU89" s="117" t="str">
        <f t="shared" si="97"/>
        <v>location: {lat: 36.5425423059041, lng: -121.919856929485}</v>
      </c>
      <c r="AV89" s="117" t="str">
        <f t="shared" si="98"/>
        <v>interest: regional</v>
      </c>
      <c r="AW89" s="117" t="str">
        <f>"- "&amp;VLOOKUP(C89,'Country Tags'!C:E,3,)</f>
        <v>- usa
- california</v>
      </c>
      <c r="AX89" s="117" t="str">
        <f t="shared" si="99"/>
        <v>- monterey</v>
      </c>
      <c r="AY89" s="117" t="str">
        <f t="shared" si="100"/>
        <v>- churches</v>
      </c>
      <c r="AZ89" s="117" t="str">
        <f t="shared" si="101"/>
        <v/>
      </c>
      <c r="BA89" s="117" t="str">
        <f t="shared" si="102"/>
        <v>- holy-persons</v>
      </c>
      <c r="BB89" s="117" t="str">
        <f t="shared" si="103"/>
        <v>- california-missions</v>
      </c>
      <c r="BC89" s="117" t="str">
        <f t="shared" si="104"/>
        <v>- franciscans</v>
      </c>
      <c r="BD89" s="117" t="str">
        <f t="shared" si="105"/>
        <v>- junipero-serra</v>
      </c>
      <c r="BE89" s="117" t="str">
        <f t="shared" si="106"/>
        <v/>
      </c>
      <c r="BF89" s="117" t="str">
        <f t="shared" si="107"/>
        <v/>
      </c>
      <c r="BG89" s="117" t="str">
        <f t="shared" si="108"/>
        <v/>
      </c>
      <c r="BH89" s="117" t="str">
        <f t="shared" si="109"/>
        <v/>
      </c>
      <c r="BI89" s="117" t="str">
        <f t="shared" si="110"/>
        <v/>
      </c>
      <c r="BJ89" s="117" t="str">
        <f t="shared" si="111"/>
        <v/>
      </c>
      <c r="BK89" s="117" t="str">
        <f t="shared" si="112"/>
        <v/>
      </c>
      <c r="BL89" s="117" t="str">
        <f t="shared" si="113"/>
        <v xml:space="preserve">tags:
- usa
- california_x000D_
- monterey_x000D_
- churches_x000D_
- holy-persons_x000D_
- california-missions_x000D_
- franciscans_x000D_
- junipero-serra_x000D_
</v>
      </c>
      <c r="BM89" s="120" t="str">
        <f t="shared" si="124"/>
        <v>[Official site](http://www.carmelmission.org/)</v>
      </c>
      <c r="BN89" s="120" t="str">
        <f t="shared" si="125"/>
        <v>[California Missions Foundation page](https://californiamissionsfoundation.org/mission-san-carlos-borromeo/)</v>
      </c>
      <c r="BO89" s="120" t="str">
        <f t="shared" si="126"/>
        <v>[Missions California page](https://www.missionscalifornia.com/missions/san-carlos-borromeo-de-carmelo/)</v>
      </c>
      <c r="BP89" s="120" t="str">
        <f t="shared" si="127"/>
        <v/>
      </c>
      <c r="BQ89" s="117" t="str">
        <f t="shared" si="114"/>
        <v xml:space="preserve">* [Official site](http://www.carmelmission.org/)
* [California Missions Foundation page](https://californiamissionsfoundation.org/mission-san-carlos-borromeo/)
* [Missions California page](https://www.missionscalifornia.com/missions/san-carlos-borromeo-de-carmelo/)
</v>
      </c>
      <c r="BR89" s="117" t="str">
        <f t="shared" si="115"/>
        <v/>
      </c>
      <c r="BS89" s="117" t="str">
        <f t="shared" si="116"/>
        <v/>
      </c>
      <c r="BT89" s="117" t="str">
        <f t="shared" si="117"/>
        <v/>
      </c>
      <c r="BU89" s="117" t="str">
        <f>IF(LEN(concat(BR89:BT89))&gt;0,concat("| ",BR89," | ",BS89," | ",BT89," |"),"")</f>
        <v/>
      </c>
      <c r="BV89" s="117" t="str">
        <f t="shared" si="118"/>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usa
- california_x000D_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119"/>
        <v>#VALUE!</v>
      </c>
      <c r="CK89" s="12" t="str">
        <f t="shared" si="120"/>
        <v xml:space="preserve">| [](/places/places\us_ca-monterey-mission-san-carlos) </v>
      </c>
      <c r="CL89" s="13" t="str">
        <f>"| "&amp;IF(AS89,GetTagPage(C89,VLOOKUP(C89,'Country Tags'!C:E,3,)),C89)&amp; " "</f>
        <v xml:space="preserve">| [US California](/tags/usa
- california) </v>
      </c>
      <c r="CM89" s="12" t="str">
        <f t="shared" si="121"/>
        <v xml:space="preserve">|  </v>
      </c>
      <c r="CN89" s="12" t="str">
        <f t="shared" si="122"/>
        <v xml:space="preserve">| [Link](/places/places\us_ca-monterey-mission-san-carlos) </v>
      </c>
      <c r="CO89" s="12" t="e">
        <f t="shared" si="123"/>
        <v>#VALUE!</v>
      </c>
    </row>
    <row r="90" spans="1:93" ht="25.5" x14ac:dyDescent="0.25">
      <c r="A90" s="129" t="s">
        <v>786</v>
      </c>
      <c r="B90" s="7" t="s">
        <v>1901</v>
      </c>
      <c r="C90" s="7" t="s">
        <v>1320</v>
      </c>
      <c r="D90" s="148" t="s">
        <v>2045</v>
      </c>
      <c r="E90" s="1">
        <v>36.015380016252898</v>
      </c>
      <c r="F90" s="30">
        <v>-121.250314673798</v>
      </c>
      <c r="G90" s="7" t="s">
        <v>1695</v>
      </c>
      <c r="H90" s="86" t="s">
        <v>1719</v>
      </c>
      <c r="I90" s="7" t="s">
        <v>1248</v>
      </c>
      <c r="J90" s="7" t="b">
        <v>1</v>
      </c>
      <c r="L90" s="7" t="b">
        <v>1</v>
      </c>
      <c r="M90" s="7" t="s">
        <v>1731</v>
      </c>
      <c r="O90" s="1" t="s">
        <v>1748</v>
      </c>
      <c r="P90" s="1" t="s">
        <v>53</v>
      </c>
      <c r="Q90" s="40" t="s">
        <v>1766</v>
      </c>
      <c r="R90" s="1" t="s">
        <v>1769</v>
      </c>
      <c r="S90" s="44" t="s">
        <v>53</v>
      </c>
      <c r="T90" s="40" t="s">
        <v>1788</v>
      </c>
      <c r="U90" s="1" t="s">
        <v>1791</v>
      </c>
      <c r="V90" s="44" t="s">
        <v>53</v>
      </c>
      <c r="Z90" s="1" t="s">
        <v>1819</v>
      </c>
      <c r="AA90" s="1" t="s">
        <v>1813</v>
      </c>
      <c r="AB90" s="1" t="s">
        <v>1812</v>
      </c>
      <c r="AS90" s="116" t="b">
        <f t="shared" si="95"/>
        <v>1</v>
      </c>
      <c r="AT90" s="117" t="str">
        <f t="shared" si="96"/>
        <v>title: "Mission San Antonio de Padua"</v>
      </c>
      <c r="AU90" s="117" t="str">
        <f t="shared" si="97"/>
        <v>location: {lat: 36.0153800162529, lng: -121.250314673798}</v>
      </c>
      <c r="AV90" s="117" t="str">
        <f t="shared" si="98"/>
        <v>interest: local</v>
      </c>
      <c r="AW90" s="117" t="str">
        <f>"- "&amp;VLOOKUP(C90,'Country Tags'!C:E,3,)</f>
        <v>- usa
- california</v>
      </c>
      <c r="AX90" s="117" t="str">
        <f t="shared" si="99"/>
        <v>- monterey</v>
      </c>
      <c r="AY90" s="117" t="str">
        <f t="shared" si="100"/>
        <v>- churches</v>
      </c>
      <c r="AZ90" s="117" t="str">
        <f t="shared" si="101"/>
        <v/>
      </c>
      <c r="BA90" s="117" t="str">
        <f t="shared" si="102"/>
        <v>- holy-persons</v>
      </c>
      <c r="BB90" s="117" t="str">
        <f t="shared" si="103"/>
        <v>- california-missions</v>
      </c>
      <c r="BC90" s="117" t="str">
        <f t="shared" si="104"/>
        <v>- franciscans</v>
      </c>
      <c r="BD90" s="117" t="str">
        <f t="shared" si="105"/>
        <v>- junipero-serra</v>
      </c>
      <c r="BE90" s="117" t="str">
        <f t="shared" si="106"/>
        <v/>
      </c>
      <c r="BF90" s="117" t="str">
        <f t="shared" si="107"/>
        <v/>
      </c>
      <c r="BG90" s="117" t="str">
        <f t="shared" si="108"/>
        <v/>
      </c>
      <c r="BH90" s="117" t="str">
        <f t="shared" si="109"/>
        <v/>
      </c>
      <c r="BI90" s="117" t="str">
        <f t="shared" si="110"/>
        <v/>
      </c>
      <c r="BJ90" s="117" t="str">
        <f t="shared" si="111"/>
        <v/>
      </c>
      <c r="BK90" s="117" t="str">
        <f t="shared" si="112"/>
        <v/>
      </c>
      <c r="BL90" s="117" t="str">
        <f t="shared" si="113"/>
        <v xml:space="preserve">tags:
- usa
- california_x000D_
- monterey_x000D_
- churches_x000D_
- holy-persons_x000D_
- california-missions_x000D_
- franciscans_x000D_
- junipero-serra_x000D_
</v>
      </c>
      <c r="BM90" s="120" t="str">
        <f t="shared" si="124"/>
        <v>[Official site](http://www.missionsanantonio.net/)</v>
      </c>
      <c r="BN90" s="120" t="str">
        <f t="shared" si="125"/>
        <v>[California Missions Foundation page](https://californiamissionsfoundation.org/mission-san-antonio/)</v>
      </c>
      <c r="BO90" s="120" t="str">
        <f t="shared" si="126"/>
        <v>[Missions California page](https://www.missionscalifornia.com/missions/san-antonio-de-padua/)</v>
      </c>
      <c r="BP90" s="120" t="str">
        <f t="shared" si="127"/>
        <v/>
      </c>
      <c r="BQ90" s="117" t="str">
        <f t="shared" si="114"/>
        <v xml:space="preserve">* [Official site](http://www.missionsanantonio.net/)
* [California Missions Foundation page](https://californiamissionsfoundation.org/mission-san-antonio/)
* [Missions California page](https://www.missionscalifornia.com/missions/san-antonio-de-padua/)
</v>
      </c>
      <c r="BR90" s="117" t="str">
        <f t="shared" si="115"/>
        <v/>
      </c>
      <c r="BS90" s="117" t="str">
        <f t="shared" si="116"/>
        <v/>
      </c>
      <c r="BT90" s="117" t="str">
        <f t="shared" si="117"/>
        <v/>
      </c>
      <c r="BU90" s="117" t="str">
        <f>IF(LEN(concat(BR90:BT90))&gt;0,concat("| ",BR90," | ",BS90," | ",BT90," |"),"")</f>
        <v/>
      </c>
      <c r="BV90" s="117" t="str">
        <f t="shared" si="118"/>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usa
- california_x000D_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119"/>
        <v>#VALUE!</v>
      </c>
      <c r="CK90" s="12" t="str">
        <f t="shared" si="120"/>
        <v xml:space="preserve">| [](/places/places\us_ca-monterey-mission-san-antonio) </v>
      </c>
      <c r="CL90" s="13" t="str">
        <f>"| "&amp;IF(AS90,GetTagPage(C90,VLOOKUP(C90,'Country Tags'!C:E,3,)),C90)&amp; " "</f>
        <v xml:space="preserve">| [US California](/tags/usa
- california) </v>
      </c>
      <c r="CM90" s="12" t="str">
        <f t="shared" si="121"/>
        <v xml:space="preserve">|  </v>
      </c>
      <c r="CN90" s="12" t="str">
        <f t="shared" si="122"/>
        <v xml:space="preserve">| [Link](/places/places\us_ca-monterey-mission-san-antonio) </v>
      </c>
      <c r="CO90" s="12" t="e">
        <f t="shared" si="123"/>
        <v>#VALUE!</v>
      </c>
    </row>
    <row r="91" spans="1:93" ht="25.5" x14ac:dyDescent="0.25">
      <c r="A91" s="129" t="s">
        <v>786</v>
      </c>
      <c r="B91" s="7" t="s">
        <v>1901</v>
      </c>
      <c r="C91" s="7" t="s">
        <v>1320</v>
      </c>
      <c r="D91" s="148" t="s">
        <v>2046</v>
      </c>
      <c r="E91" s="1">
        <v>34.096659673144899</v>
      </c>
      <c r="F91" s="30">
        <v>-118.10684110268799</v>
      </c>
      <c r="G91" s="7" t="s">
        <v>1696</v>
      </c>
      <c r="H91" s="86" t="s">
        <v>1720</v>
      </c>
      <c r="I91" s="7" t="s">
        <v>1248</v>
      </c>
      <c r="J91" s="7" t="b">
        <v>1</v>
      </c>
      <c r="L91" s="7" t="b">
        <v>1</v>
      </c>
      <c r="M91" s="7" t="s">
        <v>1732</v>
      </c>
      <c r="O91" s="1" t="s">
        <v>1749</v>
      </c>
      <c r="P91" s="1" t="s">
        <v>53</v>
      </c>
      <c r="Q91" s="40" t="s">
        <v>1766</v>
      </c>
      <c r="R91" s="1" t="s">
        <v>1770</v>
      </c>
      <c r="S91" s="44" t="s">
        <v>53</v>
      </c>
      <c r="T91" s="40" t="s">
        <v>1788</v>
      </c>
      <c r="U91" s="1" t="s">
        <v>1792</v>
      </c>
      <c r="V91" s="44" t="s">
        <v>53</v>
      </c>
      <c r="Z91" s="1" t="s">
        <v>1819</v>
      </c>
      <c r="AA91" s="1" t="s">
        <v>1813</v>
      </c>
      <c r="AB91" s="1" t="s">
        <v>1812</v>
      </c>
      <c r="AS91" s="116" t="b">
        <f t="shared" si="95"/>
        <v>1</v>
      </c>
      <c r="AT91" s="117" t="str">
        <f t="shared" si="96"/>
        <v>title: "Mission San Gabriel Arcangel"</v>
      </c>
      <c r="AU91" s="117" t="str">
        <f t="shared" si="97"/>
        <v>location: {lat: 34.0966596731449, lng: -118.106841102688}</v>
      </c>
      <c r="AV91" s="117" t="str">
        <f t="shared" si="98"/>
        <v>interest: local</v>
      </c>
      <c r="AW91" s="117" t="str">
        <f>"- "&amp;VLOOKUP(C91,'Country Tags'!C:E,3,)</f>
        <v>- usa
- california</v>
      </c>
      <c r="AX91" s="117" t="str">
        <f t="shared" si="99"/>
        <v>- los-angeles</v>
      </c>
      <c r="AY91" s="117" t="str">
        <f t="shared" si="100"/>
        <v>- churches</v>
      </c>
      <c r="AZ91" s="117" t="str">
        <f t="shared" si="101"/>
        <v/>
      </c>
      <c r="BA91" s="117" t="str">
        <f t="shared" si="102"/>
        <v>- holy-persons</v>
      </c>
      <c r="BB91" s="117" t="str">
        <f t="shared" si="103"/>
        <v>- california-missions</v>
      </c>
      <c r="BC91" s="117" t="str">
        <f t="shared" si="104"/>
        <v>- franciscans</v>
      </c>
      <c r="BD91" s="117" t="str">
        <f t="shared" si="105"/>
        <v>- junipero-serra</v>
      </c>
      <c r="BE91" s="117" t="str">
        <f t="shared" si="106"/>
        <v/>
      </c>
      <c r="BF91" s="117" t="str">
        <f t="shared" si="107"/>
        <v/>
      </c>
      <c r="BG91" s="117" t="str">
        <f t="shared" si="108"/>
        <v/>
      </c>
      <c r="BH91" s="117" t="str">
        <f t="shared" si="109"/>
        <v/>
      </c>
      <c r="BI91" s="117" t="str">
        <f t="shared" si="110"/>
        <v/>
      </c>
      <c r="BJ91" s="117" t="str">
        <f t="shared" si="111"/>
        <v/>
      </c>
      <c r="BK91" s="117" t="str">
        <f t="shared" si="112"/>
        <v/>
      </c>
      <c r="BL91" s="117" t="str">
        <f t="shared" si="113"/>
        <v xml:space="preserve">tags:
- usa
- california_x000D_
- los-angeles_x000D_
- churches_x000D_
- holy-persons_x000D_
- california-missions_x000D_
- franciscans_x000D_
- junipero-serra_x000D_
</v>
      </c>
      <c r="BM91" s="120" t="str">
        <f t="shared" si="124"/>
        <v>[Official site](http://www.missionsangabriel.org/)</v>
      </c>
      <c r="BN91" s="120" t="str">
        <f t="shared" si="125"/>
        <v>[California Missions Foundation page](https://californiamissionsfoundation.org/mission-san-gabriel/)</v>
      </c>
      <c r="BO91" s="120" t="str">
        <f t="shared" si="126"/>
        <v>[Missions California page](https://www.missionscalifornia.com/missions/san-gabriel-arcangel/)</v>
      </c>
      <c r="BP91" s="120" t="str">
        <f t="shared" si="127"/>
        <v/>
      </c>
      <c r="BQ91" s="117" t="str">
        <f t="shared" si="114"/>
        <v xml:space="preserve">* [Official site](http://www.missionsangabriel.org/)
* [California Missions Foundation page](https://californiamissionsfoundation.org/mission-san-gabriel/)
* [Missions California page](https://www.missionscalifornia.com/missions/san-gabriel-arcangel/)
</v>
      </c>
      <c r="BR91" s="117" t="str">
        <f t="shared" si="115"/>
        <v/>
      </c>
      <c r="BS91" s="117" t="str">
        <f t="shared" si="116"/>
        <v/>
      </c>
      <c r="BT91" s="117" t="str">
        <f t="shared" si="117"/>
        <v/>
      </c>
      <c r="BU91" s="117" t="str">
        <f>IF(LEN(concat(BR91:BT91))&gt;0,concat("| ",BR91," | ",BS91," | ",BT91," |"),"")</f>
        <v/>
      </c>
      <c r="BV91" s="117" t="str">
        <f t="shared" si="118"/>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usa
- california_x000D_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119"/>
        <v>#VALUE!</v>
      </c>
      <c r="CK91" s="12" t="str">
        <f t="shared" si="120"/>
        <v xml:space="preserve">| [](/places/places\us_ca-los-angeles-mission-san-gabriel) </v>
      </c>
      <c r="CL91" s="13" t="str">
        <f>"| "&amp;IF(AS91,GetTagPage(C91,VLOOKUP(C91,'Country Tags'!C:E,3,)),C91)&amp; " "</f>
        <v xml:space="preserve">| [US California](/tags/usa
- california) </v>
      </c>
      <c r="CM91" s="12" t="str">
        <f t="shared" si="121"/>
        <v xml:space="preserve">|  </v>
      </c>
      <c r="CN91" s="12" t="str">
        <f t="shared" si="122"/>
        <v xml:space="preserve">| [Link](/places/places\us_ca-los-angeles-mission-san-gabriel) </v>
      </c>
      <c r="CO91" s="12" t="e">
        <f t="shared" si="123"/>
        <v>#VALUE!</v>
      </c>
    </row>
    <row r="92" spans="1:93" ht="25.5" x14ac:dyDescent="0.25">
      <c r="A92" s="129" t="s">
        <v>786</v>
      </c>
      <c r="B92" s="7" t="s">
        <v>1901</v>
      </c>
      <c r="C92" s="7" t="s">
        <v>1320</v>
      </c>
      <c r="D92" s="148" t="s">
        <v>2045</v>
      </c>
      <c r="E92" s="1">
        <v>35.2809991057781</v>
      </c>
      <c r="F92" s="30">
        <v>-120.664704058475</v>
      </c>
      <c r="G92" s="7" t="s">
        <v>1697</v>
      </c>
      <c r="H92" s="86" t="s">
        <v>1717</v>
      </c>
      <c r="I92" s="7" t="s">
        <v>1248</v>
      </c>
      <c r="J92" s="7" t="b">
        <v>1</v>
      </c>
      <c r="L92" s="7" t="b">
        <v>1</v>
      </c>
      <c r="M92" s="7" t="s">
        <v>1733</v>
      </c>
      <c r="O92" s="1" t="s">
        <v>1750</v>
      </c>
      <c r="P92" s="1" t="s">
        <v>53</v>
      </c>
      <c r="Q92" s="40" t="s">
        <v>1766</v>
      </c>
      <c r="R92" s="1" t="s">
        <v>1771</v>
      </c>
      <c r="S92" s="44" t="s">
        <v>53</v>
      </c>
      <c r="T92" s="40" t="s">
        <v>1788</v>
      </c>
      <c r="U92" s="1" t="s">
        <v>1793</v>
      </c>
      <c r="V92" s="44" t="s">
        <v>53</v>
      </c>
      <c r="Z92" s="1" t="s">
        <v>1819</v>
      </c>
      <c r="AA92" s="1" t="s">
        <v>1813</v>
      </c>
      <c r="AB92" s="1" t="s">
        <v>1812</v>
      </c>
      <c r="AS92" s="116" t="b">
        <f t="shared" si="95"/>
        <v>1</v>
      </c>
      <c r="AT92" s="117" t="str">
        <f t="shared" si="96"/>
        <v>title: "Mission San Luis Obispo de Tolosa"</v>
      </c>
      <c r="AU92" s="117" t="str">
        <f t="shared" si="97"/>
        <v>location: {lat: 35.2809991057781, lng: -120.664704058475}</v>
      </c>
      <c r="AV92" s="117" t="str">
        <f t="shared" si="98"/>
        <v>interest: local</v>
      </c>
      <c r="AW92" s="117" t="str">
        <f>"- "&amp;VLOOKUP(C92,'Country Tags'!C:E,3,)</f>
        <v>- usa
- california</v>
      </c>
      <c r="AX92" s="117" t="str">
        <f t="shared" si="99"/>
        <v>- monterey</v>
      </c>
      <c r="AY92" s="117" t="str">
        <f t="shared" si="100"/>
        <v>- churches</v>
      </c>
      <c r="AZ92" s="117" t="str">
        <f t="shared" si="101"/>
        <v/>
      </c>
      <c r="BA92" s="117" t="str">
        <f t="shared" si="102"/>
        <v>- holy-persons</v>
      </c>
      <c r="BB92" s="117" t="str">
        <f t="shared" si="103"/>
        <v>- california-missions</v>
      </c>
      <c r="BC92" s="117" t="str">
        <f t="shared" si="104"/>
        <v>- franciscans</v>
      </c>
      <c r="BD92" s="117" t="str">
        <f t="shared" si="105"/>
        <v>- junipero-serra</v>
      </c>
      <c r="BE92" s="117" t="str">
        <f t="shared" si="106"/>
        <v/>
      </c>
      <c r="BF92" s="117" t="str">
        <f t="shared" si="107"/>
        <v/>
      </c>
      <c r="BG92" s="117" t="str">
        <f t="shared" si="108"/>
        <v/>
      </c>
      <c r="BH92" s="117" t="str">
        <f t="shared" si="109"/>
        <v/>
      </c>
      <c r="BI92" s="117" t="str">
        <f t="shared" si="110"/>
        <v/>
      </c>
      <c r="BJ92" s="117" t="str">
        <f t="shared" si="111"/>
        <v/>
      </c>
      <c r="BK92" s="117" t="str">
        <f t="shared" si="112"/>
        <v/>
      </c>
      <c r="BL92" s="117" t="str">
        <f t="shared" si="113"/>
        <v xml:space="preserve">tags:
- usa
- california_x000D_
- monterey_x000D_
- churches_x000D_
- holy-persons_x000D_
- california-missions_x000D_
- franciscans_x000D_
- junipero-serra_x000D_
</v>
      </c>
      <c r="BM92" s="120" t="str">
        <f t="shared" si="124"/>
        <v>[Official site](https://www.missionsanluisobispo.org/)</v>
      </c>
      <c r="BN92" s="120" t="str">
        <f t="shared" si="125"/>
        <v>[California Missions Foundation page](https://californiamissionsfoundation.org/mission-san-luis-obispo/)</v>
      </c>
      <c r="BO92" s="120" t="str">
        <f t="shared" si="126"/>
        <v>[Missions California page](https://www.missionscalifornia.com/missions/san-luis-obispo-de-tolosa/)</v>
      </c>
      <c r="BP92" s="120" t="str">
        <f t="shared" si="127"/>
        <v/>
      </c>
      <c r="BQ92" s="117" t="str">
        <f t="shared" si="114"/>
        <v xml:space="preserve">* [Official site](https://www.missionsanluisobispo.org/)
* [California Missions Foundation page](https://californiamissionsfoundation.org/mission-san-luis-obispo/)
* [Missions California page](https://www.missionscalifornia.com/missions/san-luis-obispo-de-tolosa/)
</v>
      </c>
      <c r="BR92" s="117" t="str">
        <f t="shared" si="115"/>
        <v/>
      </c>
      <c r="BS92" s="117" t="str">
        <f t="shared" si="116"/>
        <v/>
      </c>
      <c r="BT92" s="117" t="str">
        <f t="shared" si="117"/>
        <v/>
      </c>
      <c r="BU92" s="117" t="str">
        <f>IF(LEN(concat(BR92:BT92))&gt;0,concat("| ",BR92," | ",BS92," | ",BT92," |"),"")</f>
        <v/>
      </c>
      <c r="BV92" s="117" t="str">
        <f t="shared" si="118"/>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usa
- california_x000D_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119"/>
        <v>#VALUE!</v>
      </c>
      <c r="CK92" s="12" t="str">
        <f t="shared" si="120"/>
        <v xml:space="preserve">| [](/places/places\us_ca-monterey-mission-san-luis-obispo) </v>
      </c>
      <c r="CL92" s="13" t="str">
        <f>"| "&amp;IF(AS92,GetTagPage(C92,VLOOKUP(C92,'Country Tags'!C:E,3,)),C92)&amp; " "</f>
        <v xml:space="preserve">| [US California](/tags/usa
- california) </v>
      </c>
      <c r="CM92" s="12" t="str">
        <f t="shared" si="121"/>
        <v xml:space="preserve">|  </v>
      </c>
      <c r="CN92" s="12" t="str">
        <f t="shared" si="122"/>
        <v xml:space="preserve">| [Link](/places/places\us_ca-monterey-mission-san-luis-obispo) </v>
      </c>
      <c r="CO92" s="12" t="e">
        <f t="shared" si="123"/>
        <v>#VALUE!</v>
      </c>
    </row>
    <row r="93" spans="1:93" ht="25.5" x14ac:dyDescent="0.25">
      <c r="A93" s="129" t="s">
        <v>786</v>
      </c>
      <c r="B93" s="7" t="s">
        <v>1901</v>
      </c>
      <c r="C93" s="7" t="s">
        <v>1320</v>
      </c>
      <c r="D93" s="7" t="s">
        <v>1714</v>
      </c>
      <c r="E93" s="1">
        <v>37.7643787904628</v>
      </c>
      <c r="F93" s="30">
        <v>-122.426918360256</v>
      </c>
      <c r="G93" s="7" t="s">
        <v>1698</v>
      </c>
      <c r="H93" s="86" t="s">
        <v>1727</v>
      </c>
      <c r="I93" s="7" t="s">
        <v>1248</v>
      </c>
      <c r="J93" s="7" t="b">
        <v>1</v>
      </c>
      <c r="L93" s="7" t="b">
        <v>1</v>
      </c>
      <c r="M93" s="7" t="s">
        <v>1734</v>
      </c>
      <c r="O93" s="1" t="s">
        <v>1751</v>
      </c>
      <c r="P93" s="1" t="s">
        <v>53</v>
      </c>
      <c r="Q93" s="40" t="s">
        <v>1766</v>
      </c>
      <c r="R93" s="1" t="s">
        <v>1772</v>
      </c>
      <c r="S93" s="44" t="s">
        <v>53</v>
      </c>
      <c r="T93" s="40" t="s">
        <v>1788</v>
      </c>
      <c r="U93" s="1" t="s">
        <v>1794</v>
      </c>
      <c r="V93" s="44" t="s">
        <v>53</v>
      </c>
      <c r="Z93" s="1" t="s">
        <v>1819</v>
      </c>
      <c r="AA93" s="1" t="s">
        <v>1813</v>
      </c>
      <c r="AB93" s="1" t="s">
        <v>1812</v>
      </c>
      <c r="AS93" s="116" t="b">
        <f t="shared" si="95"/>
        <v>1</v>
      </c>
      <c r="AT93" s="117" t="str">
        <f t="shared" si="96"/>
        <v>title: "Mission San Francisco de Asis (Mission Dolores)"</v>
      </c>
      <c r="AU93" s="117" t="str">
        <f t="shared" si="97"/>
        <v>location: {lat: 37.7643787904628, lng: -122.426918360256}</v>
      </c>
      <c r="AV93" s="117" t="str">
        <f t="shared" si="98"/>
        <v>interest: local</v>
      </c>
      <c r="AW93" s="117" t="str">
        <f>"- "&amp;VLOOKUP(C93,'Country Tags'!C:E,3,)</f>
        <v>- usa
- california</v>
      </c>
      <c r="AX93" s="117" t="str">
        <f t="shared" si="99"/>
        <v>- san-francisco</v>
      </c>
      <c r="AY93" s="117" t="str">
        <f t="shared" si="100"/>
        <v>- churches</v>
      </c>
      <c r="AZ93" s="117" t="str">
        <f t="shared" si="101"/>
        <v/>
      </c>
      <c r="BA93" s="117" t="str">
        <f t="shared" si="102"/>
        <v>- holy-persons</v>
      </c>
      <c r="BB93" s="117" t="str">
        <f t="shared" si="103"/>
        <v>- california-missions</v>
      </c>
      <c r="BC93" s="117" t="str">
        <f t="shared" si="104"/>
        <v>- franciscans</v>
      </c>
      <c r="BD93" s="117" t="str">
        <f t="shared" si="105"/>
        <v>- junipero-serra</v>
      </c>
      <c r="BE93" s="117" t="str">
        <f t="shared" si="106"/>
        <v/>
      </c>
      <c r="BF93" s="117" t="str">
        <f t="shared" si="107"/>
        <v/>
      </c>
      <c r="BG93" s="117" t="str">
        <f t="shared" si="108"/>
        <v/>
      </c>
      <c r="BH93" s="117" t="str">
        <f t="shared" si="109"/>
        <v/>
      </c>
      <c r="BI93" s="117" t="str">
        <f t="shared" si="110"/>
        <v/>
      </c>
      <c r="BJ93" s="117" t="str">
        <f t="shared" si="111"/>
        <v/>
      </c>
      <c r="BK93" s="117" t="str">
        <f t="shared" si="112"/>
        <v/>
      </c>
      <c r="BL93" s="117" t="str">
        <f t="shared" si="113"/>
        <v xml:space="preserve">tags:
- usa
- california_x000D_
- san-francisco_x000D_
- churches_x000D_
- holy-persons_x000D_
- california-missions_x000D_
- franciscans_x000D_
- junipero-serra_x000D_
</v>
      </c>
      <c r="BM93" s="120" t="str">
        <f t="shared" si="124"/>
        <v>[Official site](https://www.missiondolores.org/old-mission)</v>
      </c>
      <c r="BN93" s="120" t="str">
        <f t="shared" si="125"/>
        <v>[California Missions Foundation page](https://californiamissionsfoundation.org/mission-san-francisco-de-asis/)</v>
      </c>
      <c r="BO93" s="120" t="str">
        <f t="shared" si="126"/>
        <v>[Missions California page](https://www.missionscalifornia.com/missions/san-francisco-de-asis/)</v>
      </c>
      <c r="BP93" s="120" t="str">
        <f t="shared" si="127"/>
        <v/>
      </c>
      <c r="BQ93" s="117" t="str">
        <f t="shared" si="114"/>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115"/>
        <v/>
      </c>
      <c r="BS93" s="117" t="str">
        <f t="shared" si="116"/>
        <v/>
      </c>
      <c r="BT93" s="117" t="str">
        <f t="shared" si="117"/>
        <v/>
      </c>
      <c r="BU93" s="117" t="str">
        <f>IF(LEN(concat(BR93:BT93))&gt;0,concat("| ",BR93," | ",BS93," | ",BT93," |"),"")</f>
        <v/>
      </c>
      <c r="BV93" s="117" t="str">
        <f t="shared" si="118"/>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usa
- california_x000D_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119"/>
        <v>#VALUE!</v>
      </c>
      <c r="CK93" s="12" t="str">
        <f t="shared" si="120"/>
        <v xml:space="preserve">| [](/places/places\us_ca-san-francisco-mission-dolores) </v>
      </c>
      <c r="CL93" s="13" t="str">
        <f>"| "&amp;IF(AS93,GetTagPage(C93,VLOOKUP(C93,'Country Tags'!C:E,3,)),C93)&amp; " "</f>
        <v xml:space="preserve">| [US California](/tags/usa
- california) </v>
      </c>
      <c r="CM93" s="12" t="str">
        <f t="shared" si="121"/>
        <v xml:space="preserve">|  </v>
      </c>
      <c r="CN93" s="12" t="str">
        <f t="shared" si="122"/>
        <v xml:space="preserve">| [Link](/places/places\us_ca-san-francisco-mission-dolores) </v>
      </c>
      <c r="CO93" s="12" t="e">
        <f t="shared" si="123"/>
        <v>#VALUE!</v>
      </c>
    </row>
    <row r="94" spans="1:93" ht="25.5" x14ac:dyDescent="0.25">
      <c r="A94" s="129" t="s">
        <v>786</v>
      </c>
      <c r="B94" s="7" t="s">
        <v>1901</v>
      </c>
      <c r="C94" s="7" t="s">
        <v>1320</v>
      </c>
      <c r="D94" s="148" t="s">
        <v>2047</v>
      </c>
      <c r="E94" s="1">
        <v>33.502028266204697</v>
      </c>
      <c r="F94" s="30">
        <v>-117.662690902704</v>
      </c>
      <c r="G94" s="7" t="s">
        <v>1699</v>
      </c>
      <c r="H94" s="33" t="s">
        <v>1699</v>
      </c>
      <c r="I94" s="7" t="s">
        <v>1248</v>
      </c>
      <c r="J94" s="7" t="b">
        <v>1</v>
      </c>
      <c r="L94" s="7" t="b">
        <v>1</v>
      </c>
      <c r="M94" s="7" t="s">
        <v>1735</v>
      </c>
      <c r="O94" s="1" t="s">
        <v>1752</v>
      </c>
      <c r="P94" s="1" t="s">
        <v>53</v>
      </c>
      <c r="Q94" s="40" t="s">
        <v>1766</v>
      </c>
      <c r="R94" s="1" t="s">
        <v>1773</v>
      </c>
      <c r="S94" s="44" t="s">
        <v>53</v>
      </c>
      <c r="T94" s="40" t="s">
        <v>1788</v>
      </c>
      <c r="U94" s="1" t="s">
        <v>1795</v>
      </c>
      <c r="V94" s="44" t="s">
        <v>53</v>
      </c>
      <c r="Z94" s="1" t="s">
        <v>1819</v>
      </c>
      <c r="AA94" s="1" t="s">
        <v>1813</v>
      </c>
      <c r="AB94" s="1" t="s">
        <v>1812</v>
      </c>
      <c r="AS94" s="116" t="b">
        <f t="shared" si="95"/>
        <v>1</v>
      </c>
      <c r="AT94" s="117" t="str">
        <f t="shared" si="96"/>
        <v>title: "Mission San Juan Capistrano"</v>
      </c>
      <c r="AU94" s="117" t="str">
        <f t="shared" si="97"/>
        <v>location: {lat: 33.5020282662047, lng: -117.662690902704}</v>
      </c>
      <c r="AV94" s="117" t="str">
        <f t="shared" si="98"/>
        <v>interest: local</v>
      </c>
      <c r="AW94" s="117" t="str">
        <f>"- "&amp;VLOOKUP(C94,'Country Tags'!C:E,3,)</f>
        <v>- usa
- california</v>
      </c>
      <c r="AX94" s="117" t="str">
        <f t="shared" si="99"/>
        <v>- orange</v>
      </c>
      <c r="AY94" s="117" t="str">
        <f t="shared" si="100"/>
        <v>- churches</v>
      </c>
      <c r="AZ94" s="117" t="str">
        <f t="shared" si="101"/>
        <v/>
      </c>
      <c r="BA94" s="117" t="str">
        <f t="shared" si="102"/>
        <v>- holy-persons</v>
      </c>
      <c r="BB94" s="117" t="str">
        <f t="shared" si="103"/>
        <v>- california-missions</v>
      </c>
      <c r="BC94" s="117" t="str">
        <f t="shared" si="104"/>
        <v>- franciscans</v>
      </c>
      <c r="BD94" s="117" t="str">
        <f t="shared" si="105"/>
        <v>- junipero-serra</v>
      </c>
      <c r="BE94" s="117" t="str">
        <f t="shared" si="106"/>
        <v/>
      </c>
      <c r="BF94" s="117" t="str">
        <f t="shared" si="107"/>
        <v/>
      </c>
      <c r="BG94" s="117" t="str">
        <f t="shared" si="108"/>
        <v/>
      </c>
      <c r="BH94" s="117" t="str">
        <f t="shared" si="109"/>
        <v/>
      </c>
      <c r="BI94" s="117" t="str">
        <f t="shared" si="110"/>
        <v/>
      </c>
      <c r="BJ94" s="117" t="str">
        <f t="shared" si="111"/>
        <v/>
      </c>
      <c r="BK94" s="117" t="str">
        <f t="shared" si="112"/>
        <v/>
      </c>
      <c r="BL94" s="117" t="str">
        <f t="shared" si="113"/>
        <v xml:space="preserve">tags:
- usa
- california_x000D_
- orange_x000D_
- churches_x000D_
- holy-persons_x000D_
- california-missions_x000D_
- franciscans_x000D_
- junipero-serra_x000D_
</v>
      </c>
      <c r="BM94" s="120" t="str">
        <f t="shared" si="124"/>
        <v>[Official site](http://www.missionsjc.com/)</v>
      </c>
      <c r="BN94" s="120" t="str">
        <f t="shared" si="125"/>
        <v>[California Missions Foundation page](https://californiamissionsfoundation.org/mission-san-juan-capistrano/)</v>
      </c>
      <c r="BO94" s="120" t="str">
        <f t="shared" si="126"/>
        <v>[Missions California page](https://www.missionscalifornia.com/missions/san-juan-capistrano/)</v>
      </c>
      <c r="BP94" s="120" t="str">
        <f t="shared" si="127"/>
        <v/>
      </c>
      <c r="BQ94" s="117" t="str">
        <f t="shared" si="114"/>
        <v xml:space="preserve">* [Official site](http://www.missionsjc.com/)
* [California Missions Foundation page](https://californiamissionsfoundation.org/mission-san-juan-capistrano/)
* [Missions California page](https://www.missionscalifornia.com/missions/san-juan-capistrano/)
</v>
      </c>
      <c r="BR94" s="117" t="str">
        <f t="shared" si="115"/>
        <v/>
      </c>
      <c r="BS94" s="117" t="str">
        <f t="shared" si="116"/>
        <v/>
      </c>
      <c r="BT94" s="117" t="str">
        <f t="shared" si="117"/>
        <v/>
      </c>
      <c r="BU94" s="117" t="str">
        <f>IF(LEN(concat(BR94:BT94))&gt;0,concat("| ",BR94," | ",BS94," | ",BT94," |"),"")</f>
        <v/>
      </c>
      <c r="BV94" s="117" t="str">
        <f t="shared" si="118"/>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usa
- california_x000D_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119"/>
        <v>#VALUE!</v>
      </c>
      <c r="CK94" s="12" t="str">
        <f t="shared" si="120"/>
        <v xml:space="preserve">| [](/places/places\us_ca-orange-mission-san-juan-capistrano) </v>
      </c>
      <c r="CL94" s="13" t="str">
        <f>"| "&amp;IF(AS94,GetTagPage(C94,VLOOKUP(C94,'Country Tags'!C:E,3,)),C94)&amp; " "</f>
        <v xml:space="preserve">| [US California](/tags/usa
- california) </v>
      </c>
      <c r="CM94" s="12" t="str">
        <f t="shared" si="121"/>
        <v xml:space="preserve">|  </v>
      </c>
      <c r="CN94" s="12" t="str">
        <f t="shared" si="122"/>
        <v xml:space="preserve">| [Link](/places/places\us_ca-orange-mission-san-juan-capistrano) </v>
      </c>
      <c r="CO94" s="12" t="e">
        <f t="shared" si="123"/>
        <v>#VALUE!</v>
      </c>
    </row>
    <row r="95" spans="1:93" ht="25.5" x14ac:dyDescent="0.25">
      <c r="A95" s="129" t="s">
        <v>786</v>
      </c>
      <c r="B95" s="7" t="s">
        <v>1901</v>
      </c>
      <c r="C95" s="7" t="s">
        <v>1320</v>
      </c>
      <c r="D95" s="148" t="s">
        <v>2048</v>
      </c>
      <c r="E95" s="1">
        <v>37.349189285345602</v>
      </c>
      <c r="F95" s="30">
        <v>-121.941511544924</v>
      </c>
      <c r="G95" s="7" t="s">
        <v>1700</v>
      </c>
      <c r="H95" s="86" t="s">
        <v>1722</v>
      </c>
      <c r="I95" s="7" t="s">
        <v>1248</v>
      </c>
      <c r="J95" s="7" t="b">
        <v>1</v>
      </c>
      <c r="L95" s="7" t="b">
        <v>1</v>
      </c>
      <c r="M95" s="7" t="s">
        <v>1736</v>
      </c>
      <c r="O95" s="1" t="s">
        <v>1753</v>
      </c>
      <c r="P95" s="1" t="s">
        <v>53</v>
      </c>
      <c r="Q95" s="40" t="s">
        <v>1766</v>
      </c>
      <c r="R95" s="1" t="s">
        <v>1774</v>
      </c>
      <c r="S95" s="44" t="s">
        <v>53</v>
      </c>
      <c r="T95" s="40" t="s">
        <v>1788</v>
      </c>
      <c r="U95" s="1" t="s">
        <v>1796</v>
      </c>
      <c r="V95" s="44" t="s">
        <v>53</v>
      </c>
      <c r="Z95" s="1" t="s">
        <v>1819</v>
      </c>
      <c r="AA95" s="1" t="s">
        <v>1813</v>
      </c>
      <c r="AB95" s="85" t="s">
        <v>1812</v>
      </c>
      <c r="AC95" s="1" t="s">
        <v>1810</v>
      </c>
      <c r="AS95" s="116" t="b">
        <f t="shared" si="95"/>
        <v>1</v>
      </c>
      <c r="AT95" s="117" t="str">
        <f t="shared" si="96"/>
        <v>title: "Mission Santa Clara de Asis"</v>
      </c>
      <c r="AU95" s="117" t="str">
        <f t="shared" si="97"/>
        <v>location: {lat: 37.3491892853456, lng: -121.941511544924}</v>
      </c>
      <c r="AV95" s="117" t="str">
        <f t="shared" si="98"/>
        <v>interest: local</v>
      </c>
      <c r="AW95" s="117" t="str">
        <f>"- "&amp;VLOOKUP(C95,'Country Tags'!C:E,3,)</f>
        <v>- usa
- california</v>
      </c>
      <c r="AX95" s="117" t="str">
        <f t="shared" si="99"/>
        <v>- san-jose</v>
      </c>
      <c r="AY95" s="117" t="str">
        <f t="shared" si="100"/>
        <v>- churches</v>
      </c>
      <c r="AZ95" s="117" t="str">
        <f t="shared" si="101"/>
        <v/>
      </c>
      <c r="BA95" s="117" t="str">
        <f t="shared" si="102"/>
        <v>- holy-persons</v>
      </c>
      <c r="BB95" s="117" t="str">
        <f t="shared" si="103"/>
        <v>- california-missions</v>
      </c>
      <c r="BC95" s="117" t="str">
        <f t="shared" si="104"/>
        <v>- franciscans</v>
      </c>
      <c r="BD95" s="117" t="str">
        <f t="shared" si="105"/>
        <v>- junipero-serra</v>
      </c>
      <c r="BE95" s="117" t="str">
        <f t="shared" si="106"/>
        <v>- schools</v>
      </c>
      <c r="BF95" s="117" t="str">
        <f t="shared" si="107"/>
        <v/>
      </c>
      <c r="BG95" s="117" t="str">
        <f t="shared" si="108"/>
        <v/>
      </c>
      <c r="BH95" s="117" t="str">
        <f t="shared" si="109"/>
        <v/>
      </c>
      <c r="BI95" s="117" t="str">
        <f t="shared" si="110"/>
        <v/>
      </c>
      <c r="BJ95" s="117" t="str">
        <f t="shared" si="111"/>
        <v/>
      </c>
      <c r="BK95" s="117" t="str">
        <f t="shared" si="112"/>
        <v/>
      </c>
      <c r="BL95" s="117" t="str">
        <f t="shared" si="113"/>
        <v xml:space="preserve">tags:
- usa
- california_x000D_
- san-jose_x000D_
- churches_x000D_
- holy-persons_x000D_
- california-missions_x000D_
- franciscans_x000D_
- junipero-serra_x000D_
- schools_x000D_
</v>
      </c>
      <c r="BM95" s="120" t="str">
        <f t="shared" si="124"/>
        <v>[Official site](https://www.scu.edu/missionchurch/)</v>
      </c>
      <c r="BN95" s="120" t="str">
        <f t="shared" si="125"/>
        <v>[California Missions Foundation page](https://californiamissionsfoundation.org/mission-santa-clara/)</v>
      </c>
      <c r="BO95" s="120" t="str">
        <f t="shared" si="126"/>
        <v>[Missions California page](https://www.missionscalifornia.com/missions/santa-clara-de-asis/)</v>
      </c>
      <c r="BP95" s="120" t="str">
        <f t="shared" si="127"/>
        <v/>
      </c>
      <c r="BQ95" s="117" t="str">
        <f t="shared" si="114"/>
        <v xml:space="preserve">* [Official site](https://www.scu.edu/missionchurch/)
* [California Missions Foundation page](https://californiamissionsfoundation.org/mission-santa-clara/)
* [Missions California page](https://www.missionscalifornia.com/missions/santa-clara-de-asis/)
</v>
      </c>
      <c r="BR95" s="117" t="str">
        <f t="shared" si="115"/>
        <v/>
      </c>
      <c r="BS95" s="117" t="str">
        <f t="shared" si="116"/>
        <v/>
      </c>
      <c r="BT95" s="117" t="str">
        <f t="shared" si="117"/>
        <v/>
      </c>
      <c r="BU95" s="117" t="str">
        <f>IF(LEN(concat(BR95:BT95))&gt;0,concat("| ",BR95," | ",BS95," | ",BT95," |"),"")</f>
        <v/>
      </c>
      <c r="BV95" s="117" t="str">
        <f t="shared" si="118"/>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usa
- california_x000D_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119"/>
        <v>#VALUE!</v>
      </c>
      <c r="CK95" s="12" t="str">
        <f t="shared" si="120"/>
        <v xml:space="preserve">| [](/places/places\us_ca-san-jose-mission-santa-clara) </v>
      </c>
      <c r="CL95" s="13" t="str">
        <f>"| "&amp;IF(AS95,GetTagPage(C95,VLOOKUP(C95,'Country Tags'!C:E,3,)),C95)&amp; " "</f>
        <v xml:space="preserve">| [US California](/tags/usa
- california) </v>
      </c>
      <c r="CM95" s="12" t="str">
        <f t="shared" si="121"/>
        <v xml:space="preserve">|  </v>
      </c>
      <c r="CN95" s="12" t="str">
        <f t="shared" si="122"/>
        <v xml:space="preserve">| [Link](/places/places\us_ca-san-jose-mission-santa-clara) </v>
      </c>
      <c r="CO95" s="12" t="e">
        <f t="shared" si="123"/>
        <v>#VALUE!</v>
      </c>
    </row>
    <row r="96" spans="1:93" ht="25.5" x14ac:dyDescent="0.25">
      <c r="A96" s="129" t="s">
        <v>786</v>
      </c>
      <c r="B96" s="7" t="s">
        <v>1901</v>
      </c>
      <c r="C96" s="7" t="s">
        <v>1320</v>
      </c>
      <c r="D96" s="7" t="s">
        <v>1715</v>
      </c>
      <c r="E96" s="1">
        <v>34.281052108004999</v>
      </c>
      <c r="F96" s="30">
        <v>-119.298020331519</v>
      </c>
      <c r="G96" s="7" t="s">
        <v>1701</v>
      </c>
      <c r="H96" s="33" t="s">
        <v>1701</v>
      </c>
      <c r="I96" s="7" t="s">
        <v>1248</v>
      </c>
      <c r="J96" s="7" t="b">
        <v>1</v>
      </c>
      <c r="L96" s="7" t="b">
        <v>1</v>
      </c>
      <c r="M96" s="7" t="s">
        <v>1737</v>
      </c>
      <c r="O96" s="1" t="s">
        <v>1754</v>
      </c>
      <c r="P96" s="1" t="s">
        <v>53</v>
      </c>
      <c r="Q96" s="40" t="s">
        <v>1766</v>
      </c>
      <c r="R96" s="1" t="s">
        <v>1775</v>
      </c>
      <c r="S96" s="44" t="s">
        <v>53</v>
      </c>
      <c r="T96" s="40" t="s">
        <v>1788</v>
      </c>
      <c r="U96" s="1" t="s">
        <v>1797</v>
      </c>
      <c r="V96" s="44" t="s">
        <v>53</v>
      </c>
      <c r="Z96" s="1" t="s">
        <v>1819</v>
      </c>
      <c r="AA96" s="1" t="s">
        <v>1813</v>
      </c>
      <c r="AB96" s="1" t="s">
        <v>1812</v>
      </c>
      <c r="AS96" s="116" t="b">
        <f t="shared" si="95"/>
        <v>1</v>
      </c>
      <c r="AT96" s="117" t="str">
        <f t="shared" si="96"/>
        <v>title: "Mission San Buenaventura"</v>
      </c>
      <c r="AU96" s="117" t="str">
        <f t="shared" si="97"/>
        <v>location: {lat: 34.281052108005, lng: -119.298020331519}</v>
      </c>
      <c r="AV96" s="117" t="str">
        <f t="shared" si="98"/>
        <v>interest: local</v>
      </c>
      <c r="AW96" s="117" t="str">
        <f>"- "&amp;VLOOKUP(C96,'Country Tags'!C:E,3,)</f>
        <v>- usa
- california</v>
      </c>
      <c r="AX96" s="117" t="str">
        <f t="shared" si="99"/>
        <v>- ventura</v>
      </c>
      <c r="AY96" s="117" t="str">
        <f t="shared" si="100"/>
        <v>- churches</v>
      </c>
      <c r="AZ96" s="117" t="str">
        <f t="shared" si="101"/>
        <v/>
      </c>
      <c r="BA96" s="117" t="str">
        <f t="shared" si="102"/>
        <v>- holy-persons</v>
      </c>
      <c r="BB96" s="117" t="str">
        <f t="shared" si="103"/>
        <v>- california-missions</v>
      </c>
      <c r="BC96" s="117" t="str">
        <f t="shared" si="104"/>
        <v>- franciscans</v>
      </c>
      <c r="BD96" s="117" t="str">
        <f t="shared" si="105"/>
        <v>- junipero-serra</v>
      </c>
      <c r="BE96" s="117" t="str">
        <f t="shared" si="106"/>
        <v/>
      </c>
      <c r="BF96" s="117" t="str">
        <f t="shared" si="107"/>
        <v/>
      </c>
      <c r="BG96" s="117" t="str">
        <f t="shared" si="108"/>
        <v/>
      </c>
      <c r="BH96" s="117" t="str">
        <f t="shared" si="109"/>
        <v/>
      </c>
      <c r="BI96" s="117" t="str">
        <f t="shared" si="110"/>
        <v/>
      </c>
      <c r="BJ96" s="117" t="str">
        <f t="shared" si="111"/>
        <v/>
      </c>
      <c r="BK96" s="117" t="str">
        <f t="shared" si="112"/>
        <v/>
      </c>
      <c r="BL96" s="117" t="str">
        <f t="shared" si="113"/>
        <v xml:space="preserve">tags:
- usa
- california_x000D_
- ventura_x000D_
- churches_x000D_
- holy-persons_x000D_
- california-missions_x000D_
- franciscans_x000D_
- junipero-serra_x000D_
</v>
      </c>
      <c r="BM96" s="120" t="str">
        <f t="shared" si="124"/>
        <v>[Official site](http://www.sanbuenaventuramission.org/)</v>
      </c>
      <c r="BN96" s="120" t="str">
        <f t="shared" si="125"/>
        <v>[California Missions Foundation page](https://californiamissionsfoundation.org/mission-san-buenaventura/)</v>
      </c>
      <c r="BO96" s="120" t="str">
        <f t="shared" si="126"/>
        <v>[Missions California page](https://www.missionscalifornia.com/missions/san-buenaventura/)</v>
      </c>
      <c r="BP96" s="120" t="str">
        <f t="shared" si="127"/>
        <v/>
      </c>
      <c r="BQ96" s="117" t="str">
        <f t="shared" si="114"/>
        <v xml:space="preserve">* [Official site](http://www.sanbuenaventuramission.org/)
* [California Missions Foundation page](https://californiamissionsfoundation.org/mission-san-buenaventura/)
* [Missions California page](https://www.missionscalifornia.com/missions/san-buenaventura/)
</v>
      </c>
      <c r="BR96" s="117" t="str">
        <f t="shared" si="115"/>
        <v/>
      </c>
      <c r="BS96" s="117" t="str">
        <f t="shared" si="116"/>
        <v/>
      </c>
      <c r="BT96" s="117" t="str">
        <f t="shared" si="117"/>
        <v/>
      </c>
      <c r="BU96" s="117" t="str">
        <f>IF(LEN(concat(BR96:BT96))&gt;0,concat("| ",BR96," | ",BS96," | ",BT96," |"),"")</f>
        <v/>
      </c>
      <c r="BV96" s="117" t="str">
        <f t="shared" si="118"/>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usa
- california_x000D_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119"/>
        <v>#VALUE!</v>
      </c>
      <c r="CK96" s="12" t="str">
        <f t="shared" si="120"/>
        <v xml:space="preserve">| [](/places/places\us_ca-ventura-mission-san-buenaventura) </v>
      </c>
      <c r="CL96" s="13" t="str">
        <f>"| "&amp;IF(AS96,GetTagPage(C96,VLOOKUP(C96,'Country Tags'!C:E,3,)),C96)&amp; " "</f>
        <v xml:space="preserve">| [US California](/tags/usa
- california) </v>
      </c>
      <c r="CM96" s="12" t="str">
        <f t="shared" si="121"/>
        <v xml:space="preserve">|  </v>
      </c>
      <c r="CN96" s="12" t="str">
        <f t="shared" si="122"/>
        <v xml:space="preserve">| [Link](/places/places\us_ca-ventura-mission-san-buenaventura) </v>
      </c>
      <c r="CO96" s="12" t="e">
        <f t="shared" si="123"/>
        <v>#VALUE!</v>
      </c>
    </row>
    <row r="97" spans="1:93" ht="25.5" x14ac:dyDescent="0.25">
      <c r="A97" s="129" t="s">
        <v>786</v>
      </c>
      <c r="B97" s="7" t="s">
        <v>1901</v>
      </c>
      <c r="C97" s="7" t="s">
        <v>1320</v>
      </c>
      <c r="D97" s="148" t="s">
        <v>2046</v>
      </c>
      <c r="E97" s="1">
        <v>34.438290779208302</v>
      </c>
      <c r="F97" s="30">
        <v>-119.714078531515</v>
      </c>
      <c r="G97" s="7" t="s">
        <v>1702</v>
      </c>
      <c r="H97" s="33" t="s">
        <v>1702</v>
      </c>
      <c r="I97" s="7" t="s">
        <v>1248</v>
      </c>
      <c r="J97" s="7" t="b">
        <v>1</v>
      </c>
      <c r="L97" s="7" t="b">
        <v>1</v>
      </c>
      <c r="M97" s="7" t="s">
        <v>1738</v>
      </c>
      <c r="O97" s="1" t="s">
        <v>1755</v>
      </c>
      <c r="P97" s="1" t="s">
        <v>53</v>
      </c>
      <c r="Q97" s="40" t="s">
        <v>1766</v>
      </c>
      <c r="R97" s="1" t="s">
        <v>1776</v>
      </c>
      <c r="S97" s="44" t="s">
        <v>53</v>
      </c>
      <c r="T97" s="40" t="s">
        <v>1788</v>
      </c>
      <c r="U97" s="1" t="s">
        <v>1798</v>
      </c>
      <c r="V97" s="44" t="s">
        <v>53</v>
      </c>
      <c r="Z97" s="1" t="s">
        <v>1819</v>
      </c>
      <c r="AA97" s="1" t="s">
        <v>1813</v>
      </c>
      <c r="AB97" s="1" t="s">
        <v>880</v>
      </c>
      <c r="AS97" s="116" t="b">
        <f t="shared" si="95"/>
        <v>1</v>
      </c>
      <c r="AT97" s="117" t="str">
        <f t="shared" si="96"/>
        <v>title: "Mission Santa Barbara"</v>
      </c>
      <c r="AU97" s="117" t="str">
        <f t="shared" si="97"/>
        <v>location: {lat: 34.4382907792083, lng: -119.714078531515}</v>
      </c>
      <c r="AV97" s="117" t="str">
        <f t="shared" si="98"/>
        <v>interest: local</v>
      </c>
      <c r="AW97" s="117" t="str">
        <f>"- "&amp;VLOOKUP(C97,'Country Tags'!C:E,3,)</f>
        <v>- usa
- california</v>
      </c>
      <c r="AX97" s="117" t="str">
        <f t="shared" si="99"/>
        <v>- los-angeles</v>
      </c>
      <c r="AY97" s="117" t="str">
        <f t="shared" si="100"/>
        <v>- churches</v>
      </c>
      <c r="AZ97" s="117" t="str">
        <f t="shared" si="101"/>
        <v/>
      </c>
      <c r="BA97" s="117" t="str">
        <f t="shared" si="102"/>
        <v>- holy-persons</v>
      </c>
      <c r="BB97" s="117" t="str">
        <f t="shared" si="103"/>
        <v>- california-missions</v>
      </c>
      <c r="BC97" s="117" t="str">
        <f t="shared" si="104"/>
        <v>- franciscans</v>
      </c>
      <c r="BD97" s="117" t="str">
        <f t="shared" si="105"/>
        <v>- communities</v>
      </c>
      <c r="BE97" s="117" t="str">
        <f t="shared" si="106"/>
        <v/>
      </c>
      <c r="BF97" s="117" t="str">
        <f t="shared" si="107"/>
        <v/>
      </c>
      <c r="BG97" s="117" t="str">
        <f t="shared" si="108"/>
        <v/>
      </c>
      <c r="BH97" s="117" t="str">
        <f t="shared" si="109"/>
        <v/>
      </c>
      <c r="BI97" s="117" t="str">
        <f t="shared" si="110"/>
        <v/>
      </c>
      <c r="BJ97" s="117" t="str">
        <f t="shared" si="111"/>
        <v/>
      </c>
      <c r="BK97" s="117" t="str">
        <f t="shared" si="112"/>
        <v/>
      </c>
      <c r="BL97" s="117" t="str">
        <f t="shared" si="113"/>
        <v xml:space="preserve">tags:
- usa
- california_x000D_
- los-angeles_x000D_
- churches_x000D_
- holy-persons_x000D_
- california-missions_x000D_
- franciscans_x000D_
- communities_x000D_
</v>
      </c>
      <c r="BM97" s="120" t="str">
        <f t="shared" si="124"/>
        <v>[Official site](http://www.santabarbaramission.org/)</v>
      </c>
      <c r="BN97" s="120" t="str">
        <f t="shared" si="125"/>
        <v>[California Missions Foundation page](https://californiamissionsfoundation.org/mission-santa-barbara/)</v>
      </c>
      <c r="BO97" s="120" t="str">
        <f t="shared" si="126"/>
        <v>[Missions California page](https://www.missionscalifornia.com/missions/santa-barbara/)</v>
      </c>
      <c r="BP97" s="120" t="str">
        <f t="shared" si="127"/>
        <v/>
      </c>
      <c r="BQ97" s="117" t="str">
        <f t="shared" si="114"/>
        <v xml:space="preserve">* [Official site](http://www.santabarbaramission.org/)
* [California Missions Foundation page](https://californiamissionsfoundation.org/mission-santa-barbara/)
* [Missions California page](https://www.missionscalifornia.com/missions/santa-barbara/)
</v>
      </c>
      <c r="BR97" s="117" t="str">
        <f t="shared" si="115"/>
        <v/>
      </c>
      <c r="BS97" s="117" t="str">
        <f t="shared" si="116"/>
        <v/>
      </c>
      <c r="BT97" s="117" t="str">
        <f t="shared" si="117"/>
        <v/>
      </c>
      <c r="BU97" s="117" t="str">
        <f>IF(LEN(concat(BR97:BT97))&gt;0,concat("| ",BR97," | ",BS97," | ",BT97," |"),"")</f>
        <v/>
      </c>
      <c r="BV97" s="117" t="str">
        <f t="shared" si="118"/>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usa
- california_x000D_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119"/>
        <v>#VALUE!</v>
      </c>
      <c r="CK97" s="12" t="str">
        <f t="shared" si="120"/>
        <v xml:space="preserve">| [](/places/places\us_ca-los-angeles-mission-santa-barbara) </v>
      </c>
      <c r="CL97" s="13" t="str">
        <f>"| "&amp;IF(AS97,GetTagPage(C97,VLOOKUP(C97,'Country Tags'!C:E,3,)),C97)&amp; " "</f>
        <v xml:space="preserve">| [US California](/tags/usa
- california) </v>
      </c>
      <c r="CM97" s="12" t="str">
        <f t="shared" si="121"/>
        <v xml:space="preserve">|  </v>
      </c>
      <c r="CN97" s="12" t="str">
        <f t="shared" si="122"/>
        <v xml:space="preserve">| [Link](/places/places\us_ca-los-angeles-mission-santa-barbara) </v>
      </c>
      <c r="CO97" s="12" t="e">
        <f t="shared" si="123"/>
        <v>#VALUE!</v>
      </c>
    </row>
    <row r="98" spans="1:93" ht="38.25" x14ac:dyDescent="0.25">
      <c r="A98" s="129" t="s">
        <v>786</v>
      </c>
      <c r="B98" s="7" t="s">
        <v>1901</v>
      </c>
      <c r="C98" s="7" t="s">
        <v>1320</v>
      </c>
      <c r="D98" s="148" t="s">
        <v>2045</v>
      </c>
      <c r="E98" s="1">
        <v>34.669743501321904</v>
      </c>
      <c r="F98" s="30">
        <v>-120.420619002672</v>
      </c>
      <c r="G98" s="7" t="s">
        <v>1703</v>
      </c>
      <c r="H98" s="86" t="s">
        <v>1723</v>
      </c>
      <c r="I98" s="7" t="s">
        <v>1248</v>
      </c>
      <c r="L98" s="7" t="b">
        <v>1</v>
      </c>
      <c r="M98" s="84" t="s">
        <v>1818</v>
      </c>
      <c r="O98" s="1" t="s">
        <v>1756</v>
      </c>
      <c r="P98" s="1" t="s">
        <v>53</v>
      </c>
      <c r="Q98" s="40" t="s">
        <v>1766</v>
      </c>
      <c r="R98" s="1" t="s">
        <v>1777</v>
      </c>
      <c r="S98" s="44" t="s">
        <v>53</v>
      </c>
      <c r="T98" s="40" t="s">
        <v>1788</v>
      </c>
      <c r="U98" s="1" t="s">
        <v>1799</v>
      </c>
      <c r="V98" s="44" t="s">
        <v>53</v>
      </c>
      <c r="Z98" s="1" t="s">
        <v>1819</v>
      </c>
      <c r="AA98" s="1" t="s">
        <v>1813</v>
      </c>
      <c r="AB98" s="85" t="s">
        <v>1525</v>
      </c>
      <c r="AS98" s="116" t="b">
        <f t="shared" si="95"/>
        <v>1</v>
      </c>
      <c r="AT98" s="117" t="str">
        <f t="shared" si="96"/>
        <v>title: "Mission La Purisima Concepcion"</v>
      </c>
      <c r="AU98" s="117" t="str">
        <f t="shared" si="97"/>
        <v>location: {lat: 34.6697435013219, lng: -120.420619002672}</v>
      </c>
      <c r="AV98" s="117" t="str">
        <f t="shared" si="98"/>
        <v>interest: local</v>
      </c>
      <c r="AW98" s="117" t="str">
        <f>"- "&amp;VLOOKUP(C98,'Country Tags'!C:E,3,)</f>
        <v>- usa
- california</v>
      </c>
      <c r="AX98" s="117" t="str">
        <f t="shared" si="99"/>
        <v>- monterey</v>
      </c>
      <c r="AY98" s="117" t="str">
        <f t="shared" si="100"/>
        <v/>
      </c>
      <c r="AZ98" s="117" t="str">
        <f t="shared" si="101"/>
        <v/>
      </c>
      <c r="BA98" s="117" t="str">
        <f t="shared" si="102"/>
        <v>- holy-persons</v>
      </c>
      <c r="BB98" s="117" t="str">
        <f t="shared" si="103"/>
        <v>- california-missions</v>
      </c>
      <c r="BC98" s="117" t="str">
        <f t="shared" si="104"/>
        <v>- franciscans</v>
      </c>
      <c r="BD98" s="117" t="str">
        <f t="shared" si="105"/>
        <v>- closed</v>
      </c>
      <c r="BE98" s="117" t="str">
        <f t="shared" si="106"/>
        <v/>
      </c>
      <c r="BF98" s="117" t="str">
        <f t="shared" si="107"/>
        <v/>
      </c>
      <c r="BG98" s="117" t="str">
        <f t="shared" si="108"/>
        <v/>
      </c>
      <c r="BH98" s="117" t="str">
        <f t="shared" si="109"/>
        <v/>
      </c>
      <c r="BI98" s="117" t="str">
        <f t="shared" si="110"/>
        <v/>
      </c>
      <c r="BJ98" s="117" t="str">
        <f t="shared" si="111"/>
        <v/>
      </c>
      <c r="BK98" s="117" t="str">
        <f t="shared" si="112"/>
        <v/>
      </c>
      <c r="BL98" s="117" t="str">
        <f t="shared" si="113"/>
        <v xml:space="preserve">tags:
- usa
- california_x000D_
- monterey_x000D_
- holy-persons_x000D_
- california-missions_x000D_
- franciscans_x000D_
- closed_x000D_
</v>
      </c>
      <c r="BM98" s="120" t="str">
        <f t="shared" si="124"/>
        <v>[Official site](http://www.lapurisimamission.org/)</v>
      </c>
      <c r="BN98" s="120" t="str">
        <f t="shared" si="125"/>
        <v>[California Missions Foundation page](https://californiamissionsfoundation.org/mission-la-purisima/)</v>
      </c>
      <c r="BO98" s="120" t="str">
        <f t="shared" si="126"/>
        <v>[Missions California page](https://www.missionscalifornia.com/missions/la-purisima-concepcion/)</v>
      </c>
      <c r="BP98" s="120" t="str">
        <f t="shared" si="127"/>
        <v/>
      </c>
      <c r="BQ98" s="117" t="str">
        <f t="shared" si="114"/>
        <v xml:space="preserve">* [Official site](http://www.lapurisimamission.org/)
* [California Missions Foundation page](https://californiamissionsfoundation.org/mission-la-purisima/)
* [Missions California page](https://www.missionscalifornia.com/missions/la-purisima-concepcion/)
</v>
      </c>
      <c r="BR98" s="117" t="str">
        <f t="shared" si="115"/>
        <v/>
      </c>
      <c r="BS98" s="117" t="str">
        <f t="shared" si="116"/>
        <v/>
      </c>
      <c r="BT98" s="117" t="str">
        <f t="shared" si="117"/>
        <v/>
      </c>
      <c r="BU98" s="117" t="str">
        <f>IF(LEN(concat(BR98:BT98))&gt;0,concat("| ",BR98," | ",BS98," | ",BT98," |"),"")</f>
        <v/>
      </c>
      <c r="BV98" s="117" t="str">
        <f t="shared" si="118"/>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usa
- california_x000D_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119"/>
        <v>#VALUE!</v>
      </c>
      <c r="CK98" s="12" t="str">
        <f t="shared" si="120"/>
        <v xml:space="preserve">| [](/places/places\us_ca-monterey-mission-la-purisima) </v>
      </c>
      <c r="CL98" s="13" t="str">
        <f>"| "&amp;IF(AS98,GetTagPage(C98,VLOOKUP(C98,'Country Tags'!C:E,3,)),C98)&amp; " "</f>
        <v xml:space="preserve">| [US California](/tags/usa
- california) </v>
      </c>
      <c r="CM98" s="12" t="str">
        <f t="shared" si="121"/>
        <v xml:space="preserve">|  </v>
      </c>
      <c r="CN98" s="12" t="str">
        <f t="shared" si="122"/>
        <v xml:space="preserve">| [Link](/places/places\us_ca-monterey-mission-la-purisima) </v>
      </c>
      <c r="CO98" s="12" t="e">
        <f t="shared" si="123"/>
        <v>#VALUE!</v>
      </c>
    </row>
    <row r="99" spans="1:93" ht="25.5" x14ac:dyDescent="0.25">
      <c r="A99" s="129" t="s">
        <v>786</v>
      </c>
      <c r="B99" s="7" t="s">
        <v>1901</v>
      </c>
      <c r="C99" s="7" t="s">
        <v>1320</v>
      </c>
      <c r="D99" s="148" t="s">
        <v>2045</v>
      </c>
      <c r="E99" s="1">
        <v>36.9781412595296</v>
      </c>
      <c r="F99" s="30">
        <v>-122.029494075624</v>
      </c>
      <c r="G99" s="7" t="s">
        <v>1704</v>
      </c>
      <c r="H99" s="33" t="s">
        <v>1704</v>
      </c>
      <c r="I99" s="7" t="s">
        <v>1248</v>
      </c>
      <c r="J99" s="7" t="b">
        <v>1</v>
      </c>
      <c r="L99" s="7" t="b">
        <v>1</v>
      </c>
      <c r="M99" s="7" t="s">
        <v>1739</v>
      </c>
      <c r="O99" s="1" t="s">
        <v>1757</v>
      </c>
      <c r="P99" s="1" t="s">
        <v>53</v>
      </c>
      <c r="Q99" s="40" t="s">
        <v>1766</v>
      </c>
      <c r="R99" s="1" t="s">
        <v>1778</v>
      </c>
      <c r="S99" s="44" t="s">
        <v>53</v>
      </c>
      <c r="T99" s="40" t="s">
        <v>1788</v>
      </c>
      <c r="U99" s="1" t="s">
        <v>1800</v>
      </c>
      <c r="V99" s="44" t="s">
        <v>53</v>
      </c>
      <c r="Z99" s="1" t="s">
        <v>1819</v>
      </c>
      <c r="AA99" s="1" t="s">
        <v>1813</v>
      </c>
      <c r="AS99" s="116" t="b">
        <f t="shared" si="95"/>
        <v>1</v>
      </c>
      <c r="AT99" s="117" t="str">
        <f t="shared" si="96"/>
        <v>title: "Mission Santa Cruz"</v>
      </c>
      <c r="AU99" s="117" t="str">
        <f t="shared" si="97"/>
        <v>location: {lat: 36.9781412595296, lng: -122.029494075624}</v>
      </c>
      <c r="AV99" s="117" t="str">
        <f t="shared" si="98"/>
        <v>interest: local</v>
      </c>
      <c r="AW99" s="117" t="str">
        <f>"- "&amp;VLOOKUP(C99,'Country Tags'!C:E,3,)</f>
        <v>- usa
- california</v>
      </c>
      <c r="AX99" s="117" t="str">
        <f t="shared" si="99"/>
        <v>- monterey</v>
      </c>
      <c r="AY99" s="117" t="str">
        <f t="shared" si="100"/>
        <v>- churches</v>
      </c>
      <c r="AZ99" s="117" t="str">
        <f t="shared" si="101"/>
        <v/>
      </c>
      <c r="BA99" s="117" t="str">
        <f t="shared" si="102"/>
        <v>- holy-persons</v>
      </c>
      <c r="BB99" s="117" t="str">
        <f t="shared" si="103"/>
        <v>- california-missions</v>
      </c>
      <c r="BC99" s="117" t="str">
        <f t="shared" si="104"/>
        <v>- franciscans</v>
      </c>
      <c r="BD99" s="117" t="str">
        <f t="shared" si="105"/>
        <v/>
      </c>
      <c r="BE99" s="117" t="str">
        <f t="shared" si="106"/>
        <v/>
      </c>
      <c r="BF99" s="117" t="str">
        <f t="shared" si="107"/>
        <v/>
      </c>
      <c r="BG99" s="117" t="str">
        <f t="shared" si="108"/>
        <v/>
      </c>
      <c r="BH99" s="117" t="str">
        <f t="shared" si="109"/>
        <v/>
      </c>
      <c r="BI99" s="117" t="str">
        <f t="shared" si="110"/>
        <v/>
      </c>
      <c r="BJ99" s="117" t="str">
        <f t="shared" si="111"/>
        <v/>
      </c>
      <c r="BK99" s="117" t="str">
        <f t="shared" si="112"/>
        <v/>
      </c>
      <c r="BL99" s="117" t="str">
        <f t="shared" si="113"/>
        <v xml:space="preserve">tags:
- usa
- california_x000D_
- monterey_x000D_
- churches_x000D_
- holy-persons_x000D_
- california-missions_x000D_
- franciscans_x000D_
</v>
      </c>
      <c r="BM99" s="120" t="str">
        <f t="shared" si="124"/>
        <v>[Official site](http://www.holycrosssantacruz.com/mission-santa-cruz/)</v>
      </c>
      <c r="BN99" s="120" t="str">
        <f t="shared" si="125"/>
        <v>[California Missions Foundation page](https://californiamissionsfoundation.org/mission-santa-cruz/)</v>
      </c>
      <c r="BO99" s="120" t="str">
        <f t="shared" si="126"/>
        <v>[Missions California page](https://www.missionscalifornia.com/missions/santa-cruz/)</v>
      </c>
      <c r="BP99" s="120" t="str">
        <f t="shared" si="127"/>
        <v/>
      </c>
      <c r="BQ99" s="117" t="str">
        <f t="shared" si="114"/>
        <v xml:space="preserve">* [Official site](http://www.holycrosssantacruz.com/mission-santa-cruz/)
* [California Missions Foundation page](https://californiamissionsfoundation.org/mission-santa-cruz/)
* [Missions California page](https://www.missionscalifornia.com/missions/santa-cruz/)
</v>
      </c>
      <c r="BR99" s="117" t="str">
        <f t="shared" si="115"/>
        <v/>
      </c>
      <c r="BS99" s="117" t="str">
        <f t="shared" si="116"/>
        <v/>
      </c>
      <c r="BT99" s="117" t="str">
        <f t="shared" si="117"/>
        <v/>
      </c>
      <c r="BU99" s="117" t="str">
        <f>IF(LEN(concat(BR99:BT99))&gt;0,concat("| ",BR99," | ",BS99," | ",BT99," |"),"")</f>
        <v/>
      </c>
      <c r="BV99" s="117" t="str">
        <f t="shared" si="118"/>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usa
- california_x000D_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119"/>
        <v>#VALUE!</v>
      </c>
      <c r="CK99" s="12" t="str">
        <f t="shared" si="120"/>
        <v xml:space="preserve">| [](/places/places\us_ca-monterey-mission-santa-cruz) </v>
      </c>
      <c r="CL99" s="13" t="str">
        <f>"| "&amp;IF(AS99,GetTagPage(C99,VLOOKUP(C99,'Country Tags'!C:E,3,)),C99)&amp; " "</f>
        <v xml:space="preserve">| [US California](/tags/usa
- california) </v>
      </c>
      <c r="CM99" s="12" t="str">
        <f t="shared" si="121"/>
        <v xml:space="preserve">|  </v>
      </c>
      <c r="CN99" s="12" t="str">
        <f t="shared" si="122"/>
        <v xml:space="preserve">| [Link](/places/places\us_ca-monterey-mission-santa-cruz) </v>
      </c>
      <c r="CO99" s="12" t="e">
        <f t="shared" si="123"/>
        <v>#VALUE!</v>
      </c>
    </row>
    <row r="100" spans="1:93" ht="25.5" x14ac:dyDescent="0.25">
      <c r="A100" s="129" t="s">
        <v>786</v>
      </c>
      <c r="B100" s="7" t="s">
        <v>1901</v>
      </c>
      <c r="C100" s="7" t="s">
        <v>1320</v>
      </c>
      <c r="D100" s="148" t="s">
        <v>2045</v>
      </c>
      <c r="E100" s="1">
        <v>36.404839082598102</v>
      </c>
      <c r="F100" s="30">
        <v>-121.35576157378701</v>
      </c>
      <c r="G100" s="7" t="s">
        <v>1705</v>
      </c>
      <c r="H100" s="86" t="s">
        <v>1728</v>
      </c>
      <c r="I100" s="7" t="s">
        <v>1248</v>
      </c>
      <c r="J100" s="7" t="b">
        <v>1</v>
      </c>
      <c r="L100" s="7" t="b">
        <v>1</v>
      </c>
      <c r="M100" s="7" t="s">
        <v>1740</v>
      </c>
      <c r="O100" s="1" t="s">
        <v>1758</v>
      </c>
      <c r="P100" s="1" t="s">
        <v>53</v>
      </c>
      <c r="Q100" s="40" t="s">
        <v>1766</v>
      </c>
      <c r="R100" s="1" t="s">
        <v>1779</v>
      </c>
      <c r="S100" s="44" t="s">
        <v>53</v>
      </c>
      <c r="T100" s="40" t="s">
        <v>1788</v>
      </c>
      <c r="U100" s="1" t="s">
        <v>1801</v>
      </c>
      <c r="V100" s="44" t="s">
        <v>53</v>
      </c>
      <c r="Z100" s="1" t="s">
        <v>1819</v>
      </c>
      <c r="AA100" s="1" t="s">
        <v>1813</v>
      </c>
      <c r="AS100" s="116" t="b">
        <f t="shared" si="95"/>
        <v>1</v>
      </c>
      <c r="AT100" s="117" t="str">
        <f t="shared" si="96"/>
        <v>title: "Mission Nuestra Senora de la Soledad (Mission Soledad)"</v>
      </c>
      <c r="AU100" s="117" t="str">
        <f t="shared" si="97"/>
        <v>location: {lat: 36.4048390825981, lng: -121.355761573787}</v>
      </c>
      <c r="AV100" s="117" t="str">
        <f t="shared" si="98"/>
        <v>interest: local</v>
      </c>
      <c r="AW100" s="117" t="str">
        <f>"- "&amp;VLOOKUP(C100,'Country Tags'!C:E,3,)</f>
        <v>- usa
- california</v>
      </c>
      <c r="AX100" s="117" t="str">
        <f t="shared" si="99"/>
        <v>- monterey</v>
      </c>
      <c r="AY100" s="117" t="str">
        <f t="shared" si="100"/>
        <v>- churches</v>
      </c>
      <c r="AZ100" s="117" t="str">
        <f t="shared" si="101"/>
        <v/>
      </c>
      <c r="BA100" s="117" t="str">
        <f t="shared" si="102"/>
        <v>- holy-persons</v>
      </c>
      <c r="BB100" s="117" t="str">
        <f t="shared" si="103"/>
        <v>- california-missions</v>
      </c>
      <c r="BC100" s="117" t="str">
        <f t="shared" si="104"/>
        <v>- franciscans</v>
      </c>
      <c r="BD100" s="117" t="str">
        <f t="shared" si="105"/>
        <v/>
      </c>
      <c r="BE100" s="117" t="str">
        <f t="shared" si="106"/>
        <v/>
      </c>
      <c r="BF100" s="117" t="str">
        <f t="shared" si="107"/>
        <v/>
      </c>
      <c r="BG100" s="117" t="str">
        <f t="shared" si="108"/>
        <v/>
      </c>
      <c r="BH100" s="117" t="str">
        <f t="shared" si="109"/>
        <v/>
      </c>
      <c r="BI100" s="117" t="str">
        <f t="shared" si="110"/>
        <v/>
      </c>
      <c r="BJ100" s="117" t="str">
        <f t="shared" si="111"/>
        <v/>
      </c>
      <c r="BK100" s="117" t="str">
        <f t="shared" si="112"/>
        <v/>
      </c>
      <c r="BL100" s="117" t="str">
        <f t="shared" si="113"/>
        <v xml:space="preserve">tags:
- usa
- california_x000D_
- monterey_x000D_
- churches_x000D_
- holy-persons_x000D_
- california-missions_x000D_
- franciscans_x000D_
</v>
      </c>
      <c r="BM100" s="120" t="str">
        <f t="shared" si="124"/>
        <v>[Official site](http://missionsoledad.com/)</v>
      </c>
      <c r="BN100" s="120" t="str">
        <f t="shared" si="125"/>
        <v>[California Missions Foundation page](https://californiamissionsfoundation.org/mission-la-soledad/)</v>
      </c>
      <c r="BO100" s="120" t="str">
        <f t="shared" si="126"/>
        <v>[Missions California page](https://www.missionscalifornia.com/missions/nuestra-senora-de-la-soledad/)</v>
      </c>
      <c r="BP100" s="120" t="str">
        <f t="shared" si="127"/>
        <v/>
      </c>
      <c r="BQ100" s="117" t="str">
        <f t="shared" si="114"/>
        <v xml:space="preserve">* [Official site](http://missionsoledad.com/)
* [California Missions Foundation page](https://californiamissionsfoundation.org/mission-la-soledad/)
* [Missions California page](https://www.missionscalifornia.com/missions/nuestra-senora-de-la-soledad/)
</v>
      </c>
      <c r="BR100" s="117" t="str">
        <f t="shared" si="115"/>
        <v/>
      </c>
      <c r="BS100" s="117" t="str">
        <f t="shared" si="116"/>
        <v/>
      </c>
      <c r="BT100" s="117" t="str">
        <f t="shared" si="117"/>
        <v/>
      </c>
      <c r="BU100" s="117" t="str">
        <f>IF(LEN(concat(BR100:BT100))&gt;0,concat("| ",BR100," | ",BS100," | ",BT100," |"),"")</f>
        <v/>
      </c>
      <c r="BV100" s="117" t="str">
        <f t="shared" si="118"/>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usa
- california_x000D_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119"/>
        <v>#VALUE!</v>
      </c>
      <c r="CK100" s="12" t="str">
        <f t="shared" si="120"/>
        <v xml:space="preserve">| [](/places/places\us_ca-monterey-mission-soledad) </v>
      </c>
      <c r="CL100" s="13" t="str">
        <f>"| "&amp;IF(AS100,GetTagPage(C100,VLOOKUP(C100,'Country Tags'!C:E,3,)),C100)&amp; " "</f>
        <v xml:space="preserve">| [US California](/tags/usa
- california) </v>
      </c>
      <c r="CM100" s="12" t="str">
        <f t="shared" si="121"/>
        <v xml:space="preserve">|  </v>
      </c>
      <c r="CN100" s="12" t="str">
        <f t="shared" si="122"/>
        <v xml:space="preserve">| [Link](/places/places\us_ca-monterey-mission-soledad) </v>
      </c>
      <c r="CO100" s="12" t="e">
        <f t="shared" si="123"/>
        <v>#VALUE!</v>
      </c>
    </row>
    <row r="101" spans="1:93" ht="25.5" x14ac:dyDescent="0.25">
      <c r="A101" s="129" t="s">
        <v>786</v>
      </c>
      <c r="B101" s="7" t="s">
        <v>1901</v>
      </c>
      <c r="C101" s="7" t="s">
        <v>1320</v>
      </c>
      <c r="D101" s="148" t="s">
        <v>2049</v>
      </c>
      <c r="E101" s="1">
        <v>37.533403637449297</v>
      </c>
      <c r="F101" s="30">
        <v>-121.919695300919</v>
      </c>
      <c r="G101" s="7" t="s">
        <v>1706</v>
      </c>
      <c r="H101" s="33" t="s">
        <v>1706</v>
      </c>
      <c r="I101" s="7" t="s">
        <v>1248</v>
      </c>
      <c r="J101" s="7" t="b">
        <v>1</v>
      </c>
      <c r="L101" s="7" t="b">
        <v>1</v>
      </c>
      <c r="M101" s="7" t="s">
        <v>1741</v>
      </c>
      <c r="O101" s="1" t="s">
        <v>1759</v>
      </c>
      <c r="P101" s="1" t="s">
        <v>53</v>
      </c>
      <c r="Q101" s="40" t="s">
        <v>1766</v>
      </c>
      <c r="R101" s="1" t="s">
        <v>1780</v>
      </c>
      <c r="S101" s="44" t="s">
        <v>53</v>
      </c>
      <c r="T101" s="40" t="s">
        <v>1788</v>
      </c>
      <c r="U101" s="1" t="s">
        <v>1802</v>
      </c>
      <c r="V101" s="44" t="s">
        <v>53</v>
      </c>
      <c r="Z101" s="1" t="s">
        <v>1819</v>
      </c>
      <c r="AA101" s="1" t="s">
        <v>1813</v>
      </c>
      <c r="AS101" s="116" t="b">
        <f t="shared" si="95"/>
        <v>1</v>
      </c>
      <c r="AT101" s="117" t="str">
        <f t="shared" si="96"/>
        <v>title: "Mission San Jose"</v>
      </c>
      <c r="AU101" s="117" t="str">
        <f t="shared" si="97"/>
        <v>location: {lat: 37.5334036374493, lng: -121.919695300919}</v>
      </c>
      <c r="AV101" s="117" t="str">
        <f t="shared" si="98"/>
        <v>interest: local</v>
      </c>
      <c r="AW101" s="117" t="str">
        <f>"- "&amp;VLOOKUP(C101,'Country Tags'!C:E,3,)</f>
        <v>- usa
- california</v>
      </c>
      <c r="AX101" s="117" t="str">
        <f t="shared" si="99"/>
        <v>- oakland</v>
      </c>
      <c r="AY101" s="117" t="str">
        <f t="shared" si="100"/>
        <v>- churches</v>
      </c>
      <c r="AZ101" s="117" t="str">
        <f t="shared" si="101"/>
        <v/>
      </c>
      <c r="BA101" s="117" t="str">
        <f t="shared" si="102"/>
        <v>- holy-persons</v>
      </c>
      <c r="BB101" s="117" t="str">
        <f t="shared" si="103"/>
        <v>- california-missions</v>
      </c>
      <c r="BC101" s="117" t="str">
        <f t="shared" si="104"/>
        <v>- franciscans</v>
      </c>
      <c r="BD101" s="117" t="str">
        <f t="shared" si="105"/>
        <v/>
      </c>
      <c r="BE101" s="117" t="str">
        <f t="shared" si="106"/>
        <v/>
      </c>
      <c r="BF101" s="117" t="str">
        <f t="shared" si="107"/>
        <v/>
      </c>
      <c r="BG101" s="117" t="str">
        <f t="shared" si="108"/>
        <v/>
      </c>
      <c r="BH101" s="117" t="str">
        <f t="shared" si="109"/>
        <v/>
      </c>
      <c r="BI101" s="117" t="str">
        <f t="shared" si="110"/>
        <v/>
      </c>
      <c r="BJ101" s="117" t="str">
        <f t="shared" si="111"/>
        <v/>
      </c>
      <c r="BK101" s="117" t="str">
        <f t="shared" si="112"/>
        <v/>
      </c>
      <c r="BL101" s="117" t="str">
        <f t="shared" si="113"/>
        <v xml:space="preserve">tags:
- usa
- california_x000D_
- oakland_x000D_
- churches_x000D_
- holy-persons_x000D_
- california-missions_x000D_
- franciscans_x000D_
</v>
      </c>
      <c r="BM101" s="120" t="str">
        <f t="shared" si="124"/>
        <v>[Official site](http://www.missionsanjose.org/)</v>
      </c>
      <c r="BN101" s="120" t="str">
        <f t="shared" si="125"/>
        <v>[California Missions Foundation page](https://californiamissionsfoundation.org/mission-san-jose/)</v>
      </c>
      <c r="BO101" s="120" t="str">
        <f t="shared" si="126"/>
        <v>[Missions California page](https://www.missionscalifornia.com/missions/san-jose/)</v>
      </c>
      <c r="BP101" s="120" t="str">
        <f t="shared" si="127"/>
        <v/>
      </c>
      <c r="BQ101" s="117" t="str">
        <f t="shared" si="114"/>
        <v xml:space="preserve">* [Official site](http://www.missionsanjose.org/)
* [California Missions Foundation page](https://californiamissionsfoundation.org/mission-san-jose/)
* [Missions California page](https://www.missionscalifornia.com/missions/san-jose/)
</v>
      </c>
      <c r="BR101" s="117" t="str">
        <f t="shared" si="115"/>
        <v/>
      </c>
      <c r="BS101" s="117" t="str">
        <f t="shared" si="116"/>
        <v/>
      </c>
      <c r="BT101" s="117" t="str">
        <f t="shared" si="117"/>
        <v/>
      </c>
      <c r="BU101" s="117" t="str">
        <f>IF(LEN(concat(BR101:BT101))&gt;0,concat("| ",BR101," | ",BS101," | ",BT101," |"),"")</f>
        <v/>
      </c>
      <c r="BV101" s="117" t="str">
        <f t="shared" si="118"/>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usa
- california_x000D_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119"/>
        <v>#VALUE!</v>
      </c>
      <c r="CK101" s="12" t="str">
        <f t="shared" si="120"/>
        <v xml:space="preserve">| [](/places/places\us_ca-oakland-mission-san-jose) </v>
      </c>
      <c r="CL101" s="13" t="str">
        <f>"| "&amp;IF(AS101,GetTagPage(C101,VLOOKUP(C101,'Country Tags'!C:E,3,)),C101)&amp; " "</f>
        <v xml:space="preserve">| [US California](/tags/usa
- california) </v>
      </c>
      <c r="CM101" s="12" t="str">
        <f t="shared" si="121"/>
        <v xml:space="preserve">|  </v>
      </c>
      <c r="CN101" s="12" t="str">
        <f t="shared" si="122"/>
        <v xml:space="preserve">| [Link](/places/places\us_ca-oakland-mission-san-jose) </v>
      </c>
      <c r="CO101" s="12" t="e">
        <f t="shared" si="123"/>
        <v>#VALUE!</v>
      </c>
    </row>
    <row r="102" spans="1:93" ht="25.5" x14ac:dyDescent="0.25">
      <c r="A102" s="129" t="s">
        <v>786</v>
      </c>
      <c r="B102" s="7" t="s">
        <v>1901</v>
      </c>
      <c r="C102" s="7" t="s">
        <v>1320</v>
      </c>
      <c r="D102" s="148" t="s">
        <v>2045</v>
      </c>
      <c r="E102" s="1">
        <v>36.845891014947597</v>
      </c>
      <c r="F102" s="30">
        <v>-121.53575268911899</v>
      </c>
      <c r="G102" s="7" t="s">
        <v>1707</v>
      </c>
      <c r="H102" s="33" t="s">
        <v>1707</v>
      </c>
      <c r="I102" s="7" t="s">
        <v>1248</v>
      </c>
      <c r="J102" s="7" t="b">
        <v>1</v>
      </c>
      <c r="L102" s="7" t="b">
        <v>1</v>
      </c>
      <c r="M102" s="7" t="s">
        <v>1742</v>
      </c>
      <c r="O102" s="1" t="s">
        <v>1760</v>
      </c>
      <c r="P102" s="1" t="s">
        <v>53</v>
      </c>
      <c r="Q102" s="40" t="s">
        <v>1766</v>
      </c>
      <c r="R102" s="1" t="s">
        <v>1781</v>
      </c>
      <c r="S102" s="44" t="s">
        <v>53</v>
      </c>
      <c r="T102" s="40" t="s">
        <v>1788</v>
      </c>
      <c r="U102" s="1" t="s">
        <v>1803</v>
      </c>
      <c r="V102" s="44" t="s">
        <v>53</v>
      </c>
      <c r="Z102" s="1" t="s">
        <v>1819</v>
      </c>
      <c r="AA102" s="1" t="s">
        <v>1813</v>
      </c>
      <c r="AS102" s="116" t="b">
        <f t="shared" ref="AS102:AS133" si="128">IF(OR(A102="Done",A102="In Progress"),TRUE)</f>
        <v>1</v>
      </c>
      <c r="AT102" s="117" t="str">
        <f t="shared" ref="AT102:AT133" si="129">"title: """&amp;G102&amp;""""</f>
        <v>title: "Mission San Juan Bautista"</v>
      </c>
      <c r="AU102" s="117" t="str">
        <f t="shared" ref="AU102:AU133" si="130">"location: {lat: "&amp;E102&amp;", lng: "&amp;F102&amp;"}"</f>
        <v>location: {lat: 36.8458910149476, lng: -121.535752689119}</v>
      </c>
      <c r="AV102" s="117" t="str">
        <f t="shared" ref="AV102:AV133" si="131">"interest: "&amp;I102</f>
        <v>interest: local</v>
      </c>
      <c r="AW102" s="117" t="str">
        <f>"- "&amp;VLOOKUP(C102,'Country Tags'!C:E,3,)</f>
        <v>- usa
- california</v>
      </c>
      <c r="AX102" s="117" t="str">
        <f t="shared" ref="AX102:AX133" si="132">IF(LEN(D102)&gt;1,"- "&amp;LOWER(SUBSTITUTE(D102," ","-")),"")</f>
        <v>- monterey</v>
      </c>
      <c r="AY102" s="117" t="str">
        <f t="shared" ref="AY102:AY133" si="133">IF(J102,"- churches","")</f>
        <v>- churches</v>
      </c>
      <c r="AZ102" s="117" t="str">
        <f t="shared" ref="AZ102:AZ133" si="134">IF(K102,"- marian-sites","")</f>
        <v/>
      </c>
      <c r="BA102" s="117" t="str">
        <f t="shared" ref="BA102:BA133" si="135">IF(L102,"- holy-persons","")</f>
        <v>- holy-persons</v>
      </c>
      <c r="BB102" s="117" t="str">
        <f t="shared" ref="BB102:BB133" si="136">IF(LEN(Z102)&gt;0,"- "&amp;Z102,"")</f>
        <v>- california-missions</v>
      </c>
      <c r="BC102" s="117" t="str">
        <f t="shared" ref="BC102:BC133" si="137">IF(LEN(AA102)&gt;0,"- "&amp;AA102,"")</f>
        <v>- franciscans</v>
      </c>
      <c r="BD102" s="117" t="str">
        <f t="shared" ref="BD102:BD133" si="138">IF(LEN(AB102)&gt;0,"- "&amp;AB102,"")</f>
        <v/>
      </c>
      <c r="BE102" s="117" t="str">
        <f t="shared" ref="BE102:BE133" si="139">IF(LEN(AC102)&gt;0,"- "&amp;AC102,"")</f>
        <v/>
      </c>
      <c r="BF102" s="117" t="str">
        <f t="shared" ref="BF102:BF133" si="140">IF(LEN(AD102)&gt;0,"- "&amp;AD102,"")</f>
        <v/>
      </c>
      <c r="BG102" s="117" t="str">
        <f t="shared" ref="BG102:BG133" si="141">IF(LEN(AE102)&gt;0,"- "&amp;AE102,"")</f>
        <v/>
      </c>
      <c r="BH102" s="117" t="str">
        <f t="shared" ref="BH102:BH133" si="142">IF(LEN(AF102)&gt;0,"- "&amp;AF102,"")</f>
        <v/>
      </c>
      <c r="BI102" s="117" t="str">
        <f t="shared" ref="BI102:BI133" si="143">IF(LEN(AG102)&gt;0,"- "&amp;AG102,"")</f>
        <v/>
      </c>
      <c r="BJ102" s="117" t="str">
        <f t="shared" ref="BJ102:BJ133" si="144">IF(LEN(AH102)&gt;0,"- "&amp;AH102,"")</f>
        <v/>
      </c>
      <c r="BK102" s="117" t="str">
        <f t="shared" ref="BK102:BK133" si="145">IF(LEN(AI102)&gt;0,"- "&amp;AI102,"")</f>
        <v/>
      </c>
      <c r="BL102" s="117" t="str">
        <f t="shared" ref="BL102:BL133" si="146">"tags:"&amp;CHAR(10)&amp;concatl(AW102:BK102)</f>
        <v xml:space="preserve">tags:
- usa
- california_x000D_
- monterey_x000D_
- churches_x000D_
- holy-persons_x000D_
- california-missions_x000D_
- franciscans_x000D_
</v>
      </c>
      <c r="BM102" s="120" t="str">
        <f t="shared" si="124"/>
        <v>[Official site](http://www.oldmissionsjb.org/)</v>
      </c>
      <c r="BN102" s="120" t="str">
        <f t="shared" si="125"/>
        <v>[California Missions Foundation page](https://californiamissionsfoundation.org/mission-san-juan-bautista/)</v>
      </c>
      <c r="BO102" s="120" t="str">
        <f t="shared" si="126"/>
        <v>[Missions California page](https://www.missionscalifornia.com/missions/san-juan-bautista/)</v>
      </c>
      <c r="BP102" s="120" t="str">
        <f t="shared" si="127"/>
        <v/>
      </c>
      <c r="BQ102" s="117" t="str">
        <f t="shared" ref="BQ102:BQ133" si="147">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48">IF(LEN(AL102)&gt;0,TRIM(CONCATENATE("[Link](",AL102,") ",AM102)),"")</f>
        <v/>
      </c>
      <c r="BS102" s="117" t="str">
        <f t="shared" ref="BS102:BS133" si="149">IF(LEN(AN102)&gt;0,TRIM(CONCATENATE("[Link](",AN102,") ",AO102)),"")</f>
        <v/>
      </c>
      <c r="BT102" s="117" t="str">
        <f t="shared" ref="BT102:BT133" si="150">IF(LEN(AP102)&gt;0,TRIM(CONCATENATE("[Link](",AP102,") ",AQ102)),"")</f>
        <v/>
      </c>
      <c r="BU102" s="117" t="str">
        <f>IF(LEN(concat(BR102:BT102))&gt;0,concat("| ",BR102," | ",BS102," | ",BT102," |"),"")</f>
        <v/>
      </c>
      <c r="BV102" s="117" t="str">
        <f t="shared" ref="BV102:BV133" si="151">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usa
- california_x000D_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52">"|"&amp;IF(LEN(CG102)&gt;1," "&amp;CG102,"")&amp;IF(LEN(CH102)&gt;1,", "&amp;CH102,"")&amp;IF(LEN(CI102)&gt;1,", "&amp;CI102,"")&amp;" "</f>
        <v>#VALUE!</v>
      </c>
      <c r="CK102" s="12" t="str">
        <f t="shared" ref="CK102:CK133" si="153">"| "&amp;IF(AS102,"["&amp;AJ102&amp;"](/places/"&amp;SUBSTITUTE(CB102,".md","")&amp;")",AJ102)&amp;" "</f>
        <v xml:space="preserve">| [](/places/places\us_ca-monterey-mission-san-juan-bautista) </v>
      </c>
      <c r="CL102" s="13" t="str">
        <f>"| "&amp;IF(AS102,GetTagPage(C102,VLOOKUP(C102,'Country Tags'!C:E,3,)),C102)&amp; " "</f>
        <v xml:space="preserve">| [US California](/tags/usa
- california) </v>
      </c>
      <c r="CM102" s="12" t="str">
        <f t="shared" ref="CM102:CM133" si="154">"| "&amp;AK102&amp;" "</f>
        <v xml:space="preserve">|  </v>
      </c>
      <c r="CN102" s="12" t="str">
        <f t="shared" ref="CN102:CN133" si="155">"|"&amp;IF(AS102," [Link](/places/"&amp;SUBSTITUTE(CB102,".md","")&amp;")","")&amp;" "</f>
        <v xml:space="preserve">| [Link](/places/places\us_ca-monterey-mission-san-juan-bautista) </v>
      </c>
      <c r="CO102" s="12" t="e">
        <f t="shared" ref="CO102:CO133" si="156">"
"&amp;CK102&amp;CL102&amp;CM102&amp;CN102&amp;BM102&amp;BR102&amp;BS102&amp;BT102&amp;CJ102&amp;"|"</f>
        <v>#VALUE!</v>
      </c>
    </row>
    <row r="103" spans="1:93" ht="25.5" x14ac:dyDescent="0.25">
      <c r="A103" s="129" t="s">
        <v>786</v>
      </c>
      <c r="B103" s="7" t="s">
        <v>1901</v>
      </c>
      <c r="C103" s="7" t="s">
        <v>1320</v>
      </c>
      <c r="D103" s="148" t="s">
        <v>2045</v>
      </c>
      <c r="E103" s="1">
        <v>35.744934541386101</v>
      </c>
      <c r="F103" s="30">
        <v>-120.69716204497</v>
      </c>
      <c r="G103" s="7" t="s">
        <v>1708</v>
      </c>
      <c r="H103" s="86" t="s">
        <v>1724</v>
      </c>
      <c r="I103" s="7" t="s">
        <v>1248</v>
      </c>
      <c r="J103" s="7" t="b">
        <v>1</v>
      </c>
      <c r="L103" s="7" t="b">
        <v>1</v>
      </c>
      <c r="M103" s="7" t="s">
        <v>1743</v>
      </c>
      <c r="O103" s="1" t="s">
        <v>1761</v>
      </c>
      <c r="P103" s="1" t="s">
        <v>53</v>
      </c>
      <c r="Q103" s="40" t="s">
        <v>1766</v>
      </c>
      <c r="R103" s="1" t="s">
        <v>1782</v>
      </c>
      <c r="S103" s="44" t="s">
        <v>53</v>
      </c>
      <c r="T103" s="40" t="s">
        <v>1788</v>
      </c>
      <c r="U103" s="1" t="s">
        <v>1804</v>
      </c>
      <c r="V103" s="44" t="s">
        <v>53</v>
      </c>
      <c r="Z103" s="1" t="s">
        <v>1819</v>
      </c>
      <c r="AA103" s="1" t="s">
        <v>1813</v>
      </c>
      <c r="AS103" s="116" t="b">
        <f t="shared" si="128"/>
        <v>1</v>
      </c>
      <c r="AT103" s="117" t="str">
        <f t="shared" si="129"/>
        <v>title: "Mission San Miguel Arcangel"</v>
      </c>
      <c r="AU103" s="117" t="str">
        <f t="shared" si="130"/>
        <v>location: {lat: 35.7449345413861, lng: -120.69716204497}</v>
      </c>
      <c r="AV103" s="117" t="str">
        <f t="shared" si="131"/>
        <v>interest: local</v>
      </c>
      <c r="AW103" s="117" t="str">
        <f>"- "&amp;VLOOKUP(C103,'Country Tags'!C:E,3,)</f>
        <v>- usa
- california</v>
      </c>
      <c r="AX103" s="117" t="str">
        <f t="shared" si="132"/>
        <v>- monterey</v>
      </c>
      <c r="AY103" s="117" t="str">
        <f t="shared" si="133"/>
        <v>- churches</v>
      </c>
      <c r="AZ103" s="117" t="str">
        <f t="shared" si="134"/>
        <v/>
      </c>
      <c r="BA103" s="117" t="str">
        <f t="shared" si="135"/>
        <v>- holy-persons</v>
      </c>
      <c r="BB103" s="117" t="str">
        <f t="shared" si="136"/>
        <v>- california-missions</v>
      </c>
      <c r="BC103" s="117" t="str">
        <f t="shared" si="137"/>
        <v>- franciscans</v>
      </c>
      <c r="BD103" s="117" t="str">
        <f t="shared" si="138"/>
        <v/>
      </c>
      <c r="BE103" s="117" t="str">
        <f t="shared" si="139"/>
        <v/>
      </c>
      <c r="BF103" s="117" t="str">
        <f t="shared" si="140"/>
        <v/>
      </c>
      <c r="BG103" s="117" t="str">
        <f t="shared" si="141"/>
        <v/>
      </c>
      <c r="BH103" s="117" t="str">
        <f t="shared" si="142"/>
        <v/>
      </c>
      <c r="BI103" s="117" t="str">
        <f t="shared" si="143"/>
        <v/>
      </c>
      <c r="BJ103" s="117" t="str">
        <f t="shared" si="144"/>
        <v/>
      </c>
      <c r="BK103" s="117" t="str">
        <f t="shared" si="145"/>
        <v/>
      </c>
      <c r="BL103" s="117" t="str">
        <f t="shared" si="146"/>
        <v xml:space="preserve">tags:
- usa
- california_x000D_
- monterey_x000D_
- churches_x000D_
- holy-persons_x000D_
- california-missions_x000D_
- franciscans_x000D_
</v>
      </c>
      <c r="BM103" s="120" t="str">
        <f t="shared" si="124"/>
        <v>[Official site](http://www.missionsanmiguel.org/)</v>
      </c>
      <c r="BN103" s="120" t="str">
        <f t="shared" si="125"/>
        <v>[California Missions Foundation page](https://californiamissionsfoundation.org/mission-san-miguel/)</v>
      </c>
      <c r="BO103" s="120" t="str">
        <f t="shared" si="126"/>
        <v>[Missions California page](https://www.missionscalifornia.com/missions/san-miguel-arcangel/)</v>
      </c>
      <c r="BP103" s="120" t="str">
        <f t="shared" si="127"/>
        <v/>
      </c>
      <c r="BQ103" s="117" t="str">
        <f t="shared" si="147"/>
        <v xml:space="preserve">* [Official site](http://www.missionsanmiguel.org/)
* [California Missions Foundation page](https://californiamissionsfoundation.org/mission-san-miguel/)
* [Missions California page](https://www.missionscalifornia.com/missions/san-miguel-arcangel/)
</v>
      </c>
      <c r="BR103" s="117" t="str">
        <f t="shared" si="148"/>
        <v/>
      </c>
      <c r="BS103" s="117" t="str">
        <f t="shared" si="149"/>
        <v/>
      </c>
      <c r="BT103" s="117" t="str">
        <f t="shared" si="150"/>
        <v/>
      </c>
      <c r="BU103" s="117" t="str">
        <f>IF(LEN(concat(BR103:BT103))&gt;0,concat("| ",BR103," | ",BS103," | ",BT103," |"),"")</f>
        <v/>
      </c>
      <c r="BV103" s="117" t="str">
        <f t="shared" si="151"/>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usa
- california_x000D_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52"/>
        <v>#VALUE!</v>
      </c>
      <c r="CK103" s="12" t="str">
        <f t="shared" si="153"/>
        <v xml:space="preserve">| [](/places/places\us_ca-monterey-mission-san-miguel) </v>
      </c>
      <c r="CL103" s="13" t="str">
        <f>"| "&amp;IF(AS103,GetTagPage(C103,VLOOKUP(C103,'Country Tags'!C:E,3,)),C103)&amp; " "</f>
        <v xml:space="preserve">| [US California](/tags/usa
- california) </v>
      </c>
      <c r="CM103" s="12" t="str">
        <f t="shared" si="154"/>
        <v xml:space="preserve">|  </v>
      </c>
      <c r="CN103" s="12" t="str">
        <f t="shared" si="155"/>
        <v xml:space="preserve">| [Link](/places/places\us_ca-monterey-mission-san-miguel) </v>
      </c>
      <c r="CO103" s="12" t="e">
        <f t="shared" si="156"/>
        <v>#VALUE!</v>
      </c>
    </row>
    <row r="104" spans="1:93" ht="25.5" x14ac:dyDescent="0.25">
      <c r="A104" s="129" t="s">
        <v>786</v>
      </c>
      <c r="B104" s="7" t="s">
        <v>1901</v>
      </c>
      <c r="C104" s="7" t="s">
        <v>1320</v>
      </c>
      <c r="D104" s="148" t="s">
        <v>2046</v>
      </c>
      <c r="E104" s="1">
        <v>34.272871781930903</v>
      </c>
      <c r="F104" s="30">
        <v>-118.461632373847</v>
      </c>
      <c r="G104" s="7" t="s">
        <v>1709</v>
      </c>
      <c r="H104" s="86" t="s">
        <v>1725</v>
      </c>
      <c r="I104" s="7" t="s">
        <v>1248</v>
      </c>
      <c r="J104" s="7" t="b">
        <v>1</v>
      </c>
      <c r="L104" s="7" t="b">
        <v>1</v>
      </c>
      <c r="M104" s="7" t="s">
        <v>1744</v>
      </c>
      <c r="P104" s="1" t="s">
        <v>53</v>
      </c>
      <c r="Q104" s="40" t="s">
        <v>1766</v>
      </c>
      <c r="R104" s="1" t="s">
        <v>1783</v>
      </c>
      <c r="S104" s="44" t="s">
        <v>53</v>
      </c>
      <c r="T104" s="40" t="s">
        <v>1788</v>
      </c>
      <c r="U104" s="1" t="s">
        <v>1805</v>
      </c>
      <c r="V104" s="44" t="s">
        <v>53</v>
      </c>
      <c r="Z104" s="1" t="s">
        <v>1819</v>
      </c>
      <c r="AA104" s="1" t="s">
        <v>1813</v>
      </c>
      <c r="AS104" s="116" t="b">
        <f t="shared" si="128"/>
        <v>1</v>
      </c>
      <c r="AT104" s="117" t="str">
        <f t="shared" si="129"/>
        <v>title: "Mission San Fernando Rey de Espana"</v>
      </c>
      <c r="AU104" s="117" t="str">
        <f t="shared" si="130"/>
        <v>location: {lat: 34.2728717819309, lng: -118.461632373847}</v>
      </c>
      <c r="AV104" s="117" t="str">
        <f t="shared" si="131"/>
        <v>interest: local</v>
      </c>
      <c r="AW104" s="117" t="str">
        <f>"- "&amp;VLOOKUP(C104,'Country Tags'!C:E,3,)</f>
        <v>- usa
- california</v>
      </c>
      <c r="AX104" s="117" t="str">
        <f t="shared" si="132"/>
        <v>- los-angeles</v>
      </c>
      <c r="AY104" s="117" t="str">
        <f t="shared" si="133"/>
        <v>- churches</v>
      </c>
      <c r="AZ104" s="117" t="str">
        <f t="shared" si="134"/>
        <v/>
      </c>
      <c r="BA104" s="117" t="str">
        <f t="shared" si="135"/>
        <v>- holy-persons</v>
      </c>
      <c r="BB104" s="117" t="str">
        <f t="shared" si="136"/>
        <v>- california-missions</v>
      </c>
      <c r="BC104" s="117" t="str">
        <f t="shared" si="137"/>
        <v>- franciscans</v>
      </c>
      <c r="BD104" s="117" t="str">
        <f t="shared" si="138"/>
        <v/>
      </c>
      <c r="BE104" s="117" t="str">
        <f t="shared" si="139"/>
        <v/>
      </c>
      <c r="BF104" s="117" t="str">
        <f t="shared" si="140"/>
        <v/>
      </c>
      <c r="BG104" s="117" t="str">
        <f t="shared" si="141"/>
        <v/>
      </c>
      <c r="BH104" s="117" t="str">
        <f t="shared" si="142"/>
        <v/>
      </c>
      <c r="BI104" s="117" t="str">
        <f t="shared" si="143"/>
        <v/>
      </c>
      <c r="BJ104" s="117" t="str">
        <f t="shared" si="144"/>
        <v/>
      </c>
      <c r="BK104" s="117" t="str">
        <f t="shared" si="145"/>
        <v/>
      </c>
      <c r="BL104" s="117" t="str">
        <f t="shared" si="146"/>
        <v xml:space="preserve">tags:
- usa
- california_x000D_
- los-angeles_x000D_
- churches_x000D_
- holy-persons_x000D_
- california-missions_x000D_
- franciscans_x000D_
</v>
      </c>
      <c r="BM104" s="120" t="str">
        <f t="shared" si="124"/>
        <v/>
      </c>
      <c r="BN104" s="120" t="str">
        <f t="shared" si="125"/>
        <v>[California Missions Foundation page](https://californiamissionsfoundation.org/mission-san-fernando/)</v>
      </c>
      <c r="BO104" s="120" t="str">
        <f t="shared" si="126"/>
        <v>[Missions California page](https://www.missionscalifornia.com/missions/san-fernando-rey-de-espana/)</v>
      </c>
      <c r="BP104" s="120" t="str">
        <f t="shared" si="127"/>
        <v/>
      </c>
      <c r="BQ104" s="117" t="str">
        <f t="shared" si="147"/>
        <v xml:space="preserve">* [California Missions Foundation page](https://californiamissionsfoundation.org/mission-san-fernando/)
* [Missions California page](https://www.missionscalifornia.com/missions/san-fernando-rey-de-espana/)
</v>
      </c>
      <c r="BR104" s="117" t="str">
        <f t="shared" si="148"/>
        <v/>
      </c>
      <c r="BS104" s="117" t="str">
        <f t="shared" si="149"/>
        <v/>
      </c>
      <c r="BT104" s="117" t="str">
        <f t="shared" si="150"/>
        <v/>
      </c>
      <c r="BU104" s="117" t="str">
        <f>IF(LEN(concat(BR104:BT104))&gt;0,concat("| ",BR104," | ",BS104," | ",BT104," |"),"")</f>
        <v/>
      </c>
      <c r="BV104" s="117" t="str">
        <f t="shared" si="151"/>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usa
- california_x000D_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52"/>
        <v>#VALUE!</v>
      </c>
      <c r="CK104" s="12" t="str">
        <f t="shared" si="153"/>
        <v xml:space="preserve">| [](/places/places\us_ca-los-angeles-mission-san-fernando) </v>
      </c>
      <c r="CL104" s="13" t="str">
        <f>"| "&amp;IF(AS104,GetTagPage(C104,VLOOKUP(C104,'Country Tags'!C:E,3,)),C104)&amp; " "</f>
        <v xml:space="preserve">| [US California](/tags/usa
- california) </v>
      </c>
      <c r="CM104" s="12" t="str">
        <f t="shared" si="154"/>
        <v xml:space="preserve">|  </v>
      </c>
      <c r="CN104" s="12" t="str">
        <f t="shared" si="155"/>
        <v xml:space="preserve">| [Link](/places/places\us_ca-los-angeles-mission-san-fernando) </v>
      </c>
      <c r="CO104" s="12" t="e">
        <f t="shared" si="156"/>
        <v>#VALUE!</v>
      </c>
    </row>
    <row r="105" spans="1:93" ht="25.5" x14ac:dyDescent="0.25">
      <c r="A105" s="129" t="s">
        <v>786</v>
      </c>
      <c r="B105" s="7" t="s">
        <v>1901</v>
      </c>
      <c r="C105" s="7" t="s">
        <v>1320</v>
      </c>
      <c r="D105" s="148" t="s">
        <v>1713</v>
      </c>
      <c r="E105" s="1">
        <v>33.232169550864199</v>
      </c>
      <c r="F105" s="30">
        <v>-117.31975640271099</v>
      </c>
      <c r="G105" s="7" t="s">
        <v>1710</v>
      </c>
      <c r="H105" s="86" t="s">
        <v>1721</v>
      </c>
      <c r="I105" s="7" t="s">
        <v>1248</v>
      </c>
      <c r="J105" s="7" t="b">
        <v>1</v>
      </c>
      <c r="L105" s="7" t="b">
        <v>1</v>
      </c>
      <c r="M105" s="84" t="s">
        <v>1817</v>
      </c>
      <c r="O105" s="1" t="s">
        <v>1762</v>
      </c>
      <c r="P105" s="1" t="s">
        <v>53</v>
      </c>
      <c r="Q105" s="40" t="s">
        <v>1766</v>
      </c>
      <c r="R105" s="1" t="s">
        <v>1784</v>
      </c>
      <c r="S105" s="44" t="s">
        <v>53</v>
      </c>
      <c r="T105" s="40" t="s">
        <v>1788</v>
      </c>
      <c r="U105" s="1" t="s">
        <v>1806</v>
      </c>
      <c r="V105" s="44" t="s">
        <v>53</v>
      </c>
      <c r="Z105" s="1" t="s">
        <v>1819</v>
      </c>
      <c r="AA105" s="1" t="s">
        <v>1813</v>
      </c>
      <c r="AB105" s="1" t="s">
        <v>880</v>
      </c>
      <c r="AS105" s="116" t="b">
        <f t="shared" si="128"/>
        <v>1</v>
      </c>
      <c r="AT105" s="117" t="str">
        <f t="shared" si="129"/>
        <v>title: "Mission San Luis Rey de Francia"</v>
      </c>
      <c r="AU105" s="117" t="str">
        <f t="shared" si="130"/>
        <v>location: {lat: 33.2321695508642, lng: -117.319756402711}</v>
      </c>
      <c r="AV105" s="117" t="str">
        <f t="shared" si="131"/>
        <v>interest: local</v>
      </c>
      <c r="AW105" s="117" t="str">
        <f>"- "&amp;VLOOKUP(C105,'Country Tags'!C:E,3,)</f>
        <v>- usa
- california</v>
      </c>
      <c r="AX105" s="117" t="str">
        <f t="shared" si="132"/>
        <v>- san-diego</v>
      </c>
      <c r="AY105" s="117" t="str">
        <f t="shared" si="133"/>
        <v>- churches</v>
      </c>
      <c r="AZ105" s="117" t="str">
        <f t="shared" si="134"/>
        <v/>
      </c>
      <c r="BA105" s="117" t="str">
        <f t="shared" si="135"/>
        <v>- holy-persons</v>
      </c>
      <c r="BB105" s="117" t="str">
        <f t="shared" si="136"/>
        <v>- california-missions</v>
      </c>
      <c r="BC105" s="117" t="str">
        <f t="shared" si="137"/>
        <v>- franciscans</v>
      </c>
      <c r="BD105" s="117" t="str">
        <f t="shared" si="138"/>
        <v>- communities</v>
      </c>
      <c r="BE105" s="117" t="str">
        <f t="shared" si="139"/>
        <v/>
      </c>
      <c r="BF105" s="117" t="str">
        <f t="shared" si="140"/>
        <v/>
      </c>
      <c r="BG105" s="117" t="str">
        <f t="shared" si="141"/>
        <v/>
      </c>
      <c r="BH105" s="117" t="str">
        <f t="shared" si="142"/>
        <v/>
      </c>
      <c r="BI105" s="117" t="str">
        <f t="shared" si="143"/>
        <v/>
      </c>
      <c r="BJ105" s="117" t="str">
        <f t="shared" si="144"/>
        <v/>
      </c>
      <c r="BK105" s="117" t="str">
        <f t="shared" si="145"/>
        <v/>
      </c>
      <c r="BL105" s="117" t="str">
        <f t="shared" si="146"/>
        <v xml:space="preserve">tags:
- usa
- california_x000D_
- san-diego_x000D_
- churches_x000D_
- holy-persons_x000D_
- california-missions_x000D_
- franciscans_x000D_
- communities_x000D_
</v>
      </c>
      <c r="BM105" s="120" t="str">
        <f t="shared" si="124"/>
        <v>[Official site](https://www.sanluisrey.org/)</v>
      </c>
      <c r="BN105" s="120" t="str">
        <f t="shared" si="125"/>
        <v>[California Missions Foundation page](https://californiamissionsfoundation.org/mission-san-luis-rey/)</v>
      </c>
      <c r="BO105" s="120" t="str">
        <f t="shared" si="126"/>
        <v>[Missions California page](https://www.missionscalifornia.com/missions/san-luis-rey-francia/)</v>
      </c>
      <c r="BP105" s="120" t="str">
        <f t="shared" si="127"/>
        <v/>
      </c>
      <c r="BQ105" s="117" t="str">
        <f t="shared" si="147"/>
        <v xml:space="preserve">* [Official site](https://www.sanluisrey.org/)
* [California Missions Foundation page](https://californiamissionsfoundation.org/mission-san-luis-rey/)
* [Missions California page](https://www.missionscalifornia.com/missions/san-luis-rey-francia/)
</v>
      </c>
      <c r="BR105" s="117" t="str">
        <f t="shared" si="148"/>
        <v/>
      </c>
      <c r="BS105" s="117" t="str">
        <f t="shared" si="149"/>
        <v/>
      </c>
      <c r="BT105" s="117" t="str">
        <f t="shared" si="150"/>
        <v/>
      </c>
      <c r="BU105" s="117" t="str">
        <f>IF(LEN(concat(BR105:BT105))&gt;0,concat("| ",BR105," | ",BS105," | ",BT105," |"),"")</f>
        <v/>
      </c>
      <c r="BV105" s="117" t="str">
        <f t="shared" si="151"/>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usa
- california_x000D_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52"/>
        <v>#VALUE!</v>
      </c>
      <c r="CK105" s="12" t="str">
        <f t="shared" si="153"/>
        <v xml:space="preserve">| [](/places/places\us_ca-san-diego-mission-san-luis) </v>
      </c>
      <c r="CL105" s="13" t="str">
        <f>"| "&amp;IF(AS105,GetTagPage(C105,VLOOKUP(C105,'Country Tags'!C:E,3,)),C105)&amp; " "</f>
        <v xml:space="preserve">| [US California](/tags/usa
- california) </v>
      </c>
      <c r="CM105" s="12" t="str">
        <f t="shared" si="154"/>
        <v xml:space="preserve">|  </v>
      </c>
      <c r="CN105" s="12" t="str">
        <f t="shared" si="155"/>
        <v xml:space="preserve">| [Link](/places/places\us_ca-san-diego-mission-san-luis) </v>
      </c>
      <c r="CO105" s="12" t="e">
        <f t="shared" si="156"/>
        <v>#VALUE!</v>
      </c>
    </row>
    <row r="106" spans="1:93" ht="25.5" x14ac:dyDescent="0.25">
      <c r="A106" s="129" t="s">
        <v>786</v>
      </c>
      <c r="B106" s="7" t="s">
        <v>1901</v>
      </c>
      <c r="C106" s="7" t="s">
        <v>1320</v>
      </c>
      <c r="D106" s="148" t="s">
        <v>2046</v>
      </c>
      <c r="E106" s="1">
        <v>34.594730577400298</v>
      </c>
      <c r="F106" s="30">
        <v>-120.13640525849399</v>
      </c>
      <c r="G106" s="7" t="s">
        <v>1711</v>
      </c>
      <c r="H106" s="33" t="s">
        <v>1711</v>
      </c>
      <c r="I106" s="7" t="s">
        <v>1248</v>
      </c>
      <c r="J106" s="7" t="b">
        <v>1</v>
      </c>
      <c r="L106" s="7" t="b">
        <v>1</v>
      </c>
      <c r="M106" s="148" t="s">
        <v>2050</v>
      </c>
      <c r="O106" s="1" t="s">
        <v>1763</v>
      </c>
      <c r="P106" s="1" t="s">
        <v>53</v>
      </c>
      <c r="Q106" s="40" t="s">
        <v>1766</v>
      </c>
      <c r="R106" s="1" t="s">
        <v>1785</v>
      </c>
      <c r="S106" s="44" t="s">
        <v>53</v>
      </c>
      <c r="T106" s="40" t="s">
        <v>1788</v>
      </c>
      <c r="U106" s="1" t="s">
        <v>1807</v>
      </c>
      <c r="V106" s="44" t="s">
        <v>53</v>
      </c>
      <c r="Z106" s="1" t="s">
        <v>1819</v>
      </c>
      <c r="AA106" s="1" t="s">
        <v>1813</v>
      </c>
      <c r="AB106" s="149" t="s">
        <v>2052</v>
      </c>
      <c r="AS106" s="116" t="b">
        <f t="shared" si="128"/>
        <v>1</v>
      </c>
      <c r="AT106" s="117" t="str">
        <f t="shared" si="129"/>
        <v>title: "Mission Santa Ines"</v>
      </c>
      <c r="AU106" s="117" t="str">
        <f t="shared" si="130"/>
        <v>location: {lat: 34.5947305774003, lng: -120.136405258494}</v>
      </c>
      <c r="AV106" s="117" t="str">
        <f t="shared" si="131"/>
        <v>interest: local</v>
      </c>
      <c r="AW106" s="117" t="str">
        <f>"- "&amp;VLOOKUP(C106,'Country Tags'!C:E,3,)</f>
        <v>- usa
- california</v>
      </c>
      <c r="AX106" s="117" t="str">
        <f t="shared" si="132"/>
        <v>- los-angeles</v>
      </c>
      <c r="AY106" s="117" t="str">
        <f t="shared" si="133"/>
        <v>- churches</v>
      </c>
      <c r="AZ106" s="117" t="str">
        <f t="shared" si="134"/>
        <v/>
      </c>
      <c r="BA106" s="117" t="str">
        <f t="shared" si="135"/>
        <v>- holy-persons</v>
      </c>
      <c r="BB106" s="117" t="str">
        <f t="shared" si="136"/>
        <v>- california-missions</v>
      </c>
      <c r="BC106" s="117" t="str">
        <f t="shared" si="137"/>
        <v>- franciscans</v>
      </c>
      <c r="BD106" s="117" t="str">
        <f t="shared" si="138"/>
        <v>- capuchins</v>
      </c>
      <c r="BE106" s="117" t="str">
        <f t="shared" si="139"/>
        <v/>
      </c>
      <c r="BF106" s="117" t="str">
        <f t="shared" si="140"/>
        <v/>
      </c>
      <c r="BG106" s="117" t="str">
        <f t="shared" si="141"/>
        <v/>
      </c>
      <c r="BH106" s="117" t="str">
        <f t="shared" si="142"/>
        <v/>
      </c>
      <c r="BI106" s="117" t="str">
        <f t="shared" si="143"/>
        <v/>
      </c>
      <c r="BJ106" s="117" t="str">
        <f t="shared" si="144"/>
        <v/>
      </c>
      <c r="BK106" s="117" t="str">
        <f t="shared" si="145"/>
        <v/>
      </c>
      <c r="BL106" s="117" t="str">
        <f t="shared" si="146"/>
        <v xml:space="preserve">tags:
- usa
- california_x000D_
- los-angeles_x000D_
- churches_x000D_
- holy-persons_x000D_
- california-missions_x000D_
- franciscans_x000D_
- capuchins_x000D_
</v>
      </c>
      <c r="BM106" s="120" t="str">
        <f t="shared" si="124"/>
        <v>[Official site](https://missionsantaines.org/)</v>
      </c>
      <c r="BN106" s="120" t="str">
        <f t="shared" si="125"/>
        <v>[California Missions Foundation page](https://californiamissionsfoundation.org/mission-santa-ines/)</v>
      </c>
      <c r="BO106" s="120" t="str">
        <f t="shared" si="126"/>
        <v>[Missions California page](https://www.missionscalifornia.com/missions/santa-ines-virgen-y-martir/)</v>
      </c>
      <c r="BP106" s="120" t="str">
        <f t="shared" si="127"/>
        <v/>
      </c>
      <c r="BQ106" s="117" t="str">
        <f t="shared" si="147"/>
        <v xml:space="preserve">* [Official site](https://missionsantaines.org/)
* [California Missions Foundation page](https://californiamissionsfoundation.org/mission-santa-ines/)
* [Missions California page](https://www.missionscalifornia.com/missions/santa-ines-virgen-y-martir/)
</v>
      </c>
      <c r="BR106" s="117" t="str">
        <f t="shared" si="148"/>
        <v/>
      </c>
      <c r="BS106" s="117" t="str">
        <f t="shared" si="149"/>
        <v/>
      </c>
      <c r="BT106" s="117" t="str">
        <f t="shared" si="150"/>
        <v/>
      </c>
      <c r="BU106" s="117" t="str">
        <f>IF(LEN(concat(BR106:BT106))&gt;0,concat("| ",BR106," | ",BS106," | ",BT106," |"),"")</f>
        <v/>
      </c>
      <c r="BV106" s="117" t="str">
        <f t="shared" si="151"/>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usa
- california_x000D_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52"/>
        <v>#VALUE!</v>
      </c>
      <c r="CK106" s="12" t="str">
        <f t="shared" si="153"/>
        <v xml:space="preserve">| [](/places/places\us_ca-los-angeles-mission-santa-ines) </v>
      </c>
      <c r="CL106" s="13" t="str">
        <f>"| "&amp;IF(AS106,GetTagPage(C106,VLOOKUP(C106,'Country Tags'!C:E,3,)),C106)&amp; " "</f>
        <v xml:space="preserve">| [US California](/tags/usa
- california) </v>
      </c>
      <c r="CM106" s="12" t="str">
        <f t="shared" si="154"/>
        <v xml:space="preserve">|  </v>
      </c>
      <c r="CN106" s="12" t="str">
        <f t="shared" si="155"/>
        <v xml:space="preserve">| [Link](/places/places\us_ca-los-angeles-mission-santa-ines) </v>
      </c>
      <c r="CO106" s="12" t="e">
        <f t="shared" si="156"/>
        <v>#VALUE!</v>
      </c>
    </row>
    <row r="107" spans="1:93" ht="25.5" x14ac:dyDescent="0.25">
      <c r="A107" s="129" t="s">
        <v>786</v>
      </c>
      <c r="B107" s="7" t="s">
        <v>1901</v>
      </c>
      <c r="C107" s="7" t="s">
        <v>1320</v>
      </c>
      <c r="D107" s="148" t="s">
        <v>1714</v>
      </c>
      <c r="E107" s="1">
        <v>37.974237142318998</v>
      </c>
      <c r="F107" s="30">
        <v>-122.52797457374101</v>
      </c>
      <c r="G107" s="84" t="s">
        <v>1729</v>
      </c>
      <c r="H107" s="86" t="s">
        <v>1726</v>
      </c>
      <c r="I107" s="7" t="s">
        <v>1248</v>
      </c>
      <c r="J107" s="7" t="b">
        <v>1</v>
      </c>
      <c r="L107" s="7" t="b">
        <v>1</v>
      </c>
      <c r="M107" s="7" t="s">
        <v>1745</v>
      </c>
      <c r="O107" s="1" t="s">
        <v>1764</v>
      </c>
      <c r="P107" s="1" t="s">
        <v>53</v>
      </c>
      <c r="Q107" s="40" t="s">
        <v>1766</v>
      </c>
      <c r="R107" s="1" t="s">
        <v>1786</v>
      </c>
      <c r="S107" s="44" t="s">
        <v>53</v>
      </c>
      <c r="T107" s="40" t="s">
        <v>1788</v>
      </c>
      <c r="U107" s="1" t="s">
        <v>1808</v>
      </c>
      <c r="V107" s="44" t="s">
        <v>53</v>
      </c>
      <c r="Z107" s="1" t="s">
        <v>1819</v>
      </c>
      <c r="AA107" s="1" t="s">
        <v>1813</v>
      </c>
      <c r="AS107" s="116" t="b">
        <f t="shared" si="128"/>
        <v>1</v>
      </c>
      <c r="AT107" s="117" t="str">
        <f t="shared" si="129"/>
        <v>title: "Mission San Rafael Arcangel"</v>
      </c>
      <c r="AU107" s="117" t="str">
        <f t="shared" si="130"/>
        <v>location: {lat: 37.974237142319, lng: -122.527974573741}</v>
      </c>
      <c r="AV107" s="117" t="str">
        <f t="shared" si="131"/>
        <v>interest: local</v>
      </c>
      <c r="AW107" s="117" t="str">
        <f>"- "&amp;VLOOKUP(C107,'Country Tags'!C:E,3,)</f>
        <v>- usa
- california</v>
      </c>
      <c r="AX107" s="117" t="str">
        <f t="shared" si="132"/>
        <v>- san-francisco</v>
      </c>
      <c r="AY107" s="117" t="str">
        <f t="shared" si="133"/>
        <v>- churches</v>
      </c>
      <c r="AZ107" s="117" t="str">
        <f t="shared" si="134"/>
        <v/>
      </c>
      <c r="BA107" s="117" t="str">
        <f t="shared" si="135"/>
        <v>- holy-persons</v>
      </c>
      <c r="BB107" s="117" t="str">
        <f t="shared" si="136"/>
        <v>- california-missions</v>
      </c>
      <c r="BC107" s="117" t="str">
        <f t="shared" si="137"/>
        <v>- franciscans</v>
      </c>
      <c r="BD107" s="117" t="str">
        <f t="shared" si="138"/>
        <v/>
      </c>
      <c r="BE107" s="117" t="str">
        <f t="shared" si="139"/>
        <v/>
      </c>
      <c r="BF107" s="117" t="str">
        <f t="shared" si="140"/>
        <v/>
      </c>
      <c r="BG107" s="117" t="str">
        <f t="shared" si="141"/>
        <v/>
      </c>
      <c r="BH107" s="117" t="str">
        <f t="shared" si="142"/>
        <v/>
      </c>
      <c r="BI107" s="117" t="str">
        <f t="shared" si="143"/>
        <v/>
      </c>
      <c r="BJ107" s="117" t="str">
        <f t="shared" si="144"/>
        <v/>
      </c>
      <c r="BK107" s="117" t="str">
        <f t="shared" si="145"/>
        <v/>
      </c>
      <c r="BL107" s="117" t="str">
        <f t="shared" si="146"/>
        <v xml:space="preserve">tags:
- usa
- california_x000D_
- san-francisco_x000D_
- churches_x000D_
- holy-persons_x000D_
- california-missions_x000D_
- franciscans_x000D_
</v>
      </c>
      <c r="BM107" s="120" t="str">
        <f t="shared" si="124"/>
        <v>[Official site](http://saintraphael.com/)</v>
      </c>
      <c r="BN107" s="120" t="str">
        <f t="shared" si="125"/>
        <v>[California Missions Foundation page](https://californiamissionsfoundation.org/mission-san-rafael/)</v>
      </c>
      <c r="BO107" s="120" t="str">
        <f t="shared" si="126"/>
        <v>[Missions California page](https://www.missionscalifornia.com/missions/san-rafael-arcangel/)</v>
      </c>
      <c r="BP107" s="120" t="str">
        <f t="shared" si="127"/>
        <v/>
      </c>
      <c r="BQ107" s="117" t="str">
        <f t="shared" si="147"/>
        <v xml:space="preserve">* [Official site](http://saintraphael.com/)
* [California Missions Foundation page](https://californiamissionsfoundation.org/mission-san-rafael/)
* [Missions California page](https://www.missionscalifornia.com/missions/san-rafael-arcangel/)
</v>
      </c>
      <c r="BR107" s="117" t="str">
        <f t="shared" si="148"/>
        <v/>
      </c>
      <c r="BS107" s="117" t="str">
        <f t="shared" si="149"/>
        <v/>
      </c>
      <c r="BT107" s="117" t="str">
        <f t="shared" si="150"/>
        <v/>
      </c>
      <c r="BU107" s="117" t="str">
        <f>IF(LEN(concat(BR107:BT107))&gt;0,concat("| ",BR107," | ",BS107," | ",BT107," |"),"")</f>
        <v/>
      </c>
      <c r="BV107" s="117" t="str">
        <f t="shared" si="151"/>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usa
- california_x000D_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52"/>
        <v>#VALUE!</v>
      </c>
      <c r="CK107" s="12" t="str">
        <f t="shared" si="153"/>
        <v xml:space="preserve">| [](/places/places\us_ca-san-francisco-mission-san-rafael) </v>
      </c>
      <c r="CL107" s="13" t="str">
        <f>"| "&amp;IF(AS107,GetTagPage(C107,VLOOKUP(C107,'Country Tags'!C:E,3,)),C107)&amp; " "</f>
        <v xml:space="preserve">| [US California](/tags/usa
- california) </v>
      </c>
      <c r="CM107" s="12" t="str">
        <f t="shared" si="154"/>
        <v xml:space="preserve">|  </v>
      </c>
      <c r="CN107" s="12" t="str">
        <f t="shared" si="155"/>
        <v xml:space="preserve">| [Link](/places/places\us_ca-san-francisco-mission-san-rafael) </v>
      </c>
      <c r="CO107" s="12" t="e">
        <f t="shared" si="156"/>
        <v>#VALUE!</v>
      </c>
    </row>
    <row r="108" spans="1:93" ht="51" x14ac:dyDescent="0.25">
      <c r="A108" s="129" t="s">
        <v>786</v>
      </c>
      <c r="B108" s="7" t="s">
        <v>1901</v>
      </c>
      <c r="C108" s="7" t="s">
        <v>1320</v>
      </c>
      <c r="D108" s="148" t="s">
        <v>1714</v>
      </c>
      <c r="E108" s="1">
        <v>38.293693030927699</v>
      </c>
      <c r="F108" s="30">
        <v>-122.45588850256701</v>
      </c>
      <c r="G108" s="7" t="s">
        <v>1712</v>
      </c>
      <c r="H108" s="33" t="s">
        <v>1712</v>
      </c>
      <c r="I108" s="7" t="s">
        <v>1248</v>
      </c>
      <c r="L108" s="7" t="b">
        <v>1</v>
      </c>
      <c r="M108" s="84" t="s">
        <v>1816</v>
      </c>
      <c r="O108" s="1" t="s">
        <v>1765</v>
      </c>
      <c r="P108" s="1" t="s">
        <v>53</v>
      </c>
      <c r="Q108" s="40" t="s">
        <v>1766</v>
      </c>
      <c r="R108" s="1" t="s">
        <v>1787</v>
      </c>
      <c r="S108" s="44" t="s">
        <v>53</v>
      </c>
      <c r="T108" s="40" t="s">
        <v>1788</v>
      </c>
      <c r="U108" s="1" t="s">
        <v>1809</v>
      </c>
      <c r="V108" s="44" t="s">
        <v>53</v>
      </c>
      <c r="Z108" s="1" t="s">
        <v>1819</v>
      </c>
      <c r="AA108" s="1" t="s">
        <v>1813</v>
      </c>
      <c r="AB108" s="1" t="s">
        <v>1525</v>
      </c>
      <c r="AS108" s="116" t="b">
        <f t="shared" si="128"/>
        <v>1</v>
      </c>
      <c r="AT108" s="117" t="str">
        <f t="shared" si="129"/>
        <v>title: "Mission San Francisco Solano"</v>
      </c>
      <c r="AU108" s="117" t="str">
        <f t="shared" si="130"/>
        <v>location: {lat: 38.2936930309277, lng: -122.455888502567}</v>
      </c>
      <c r="AV108" s="117" t="str">
        <f t="shared" si="131"/>
        <v>interest: local</v>
      </c>
      <c r="AW108" s="117" t="str">
        <f>"- "&amp;VLOOKUP(C108,'Country Tags'!C:E,3,)</f>
        <v>- usa
- california</v>
      </c>
      <c r="AX108" s="117" t="str">
        <f t="shared" si="132"/>
        <v>- san-francisco</v>
      </c>
      <c r="AY108" s="117" t="str">
        <f t="shared" si="133"/>
        <v/>
      </c>
      <c r="AZ108" s="117" t="str">
        <f t="shared" si="134"/>
        <v/>
      </c>
      <c r="BA108" s="117" t="str">
        <f t="shared" si="135"/>
        <v>- holy-persons</v>
      </c>
      <c r="BB108" s="117" t="str">
        <f t="shared" si="136"/>
        <v>- california-missions</v>
      </c>
      <c r="BC108" s="117" t="str">
        <f t="shared" si="137"/>
        <v>- franciscans</v>
      </c>
      <c r="BD108" s="117" t="str">
        <f t="shared" si="138"/>
        <v>- closed</v>
      </c>
      <c r="BE108" s="117" t="str">
        <f t="shared" si="139"/>
        <v/>
      </c>
      <c r="BF108" s="117" t="str">
        <f t="shared" si="140"/>
        <v/>
      </c>
      <c r="BG108" s="117" t="str">
        <f t="shared" si="141"/>
        <v/>
      </c>
      <c r="BH108" s="117" t="str">
        <f t="shared" si="142"/>
        <v/>
      </c>
      <c r="BI108" s="117" t="str">
        <f t="shared" si="143"/>
        <v/>
      </c>
      <c r="BJ108" s="117" t="str">
        <f t="shared" si="144"/>
        <v/>
      </c>
      <c r="BK108" s="117" t="str">
        <f t="shared" si="145"/>
        <v/>
      </c>
      <c r="BL108" s="117" t="str">
        <f t="shared" si="146"/>
        <v xml:space="preserve">tags:
- usa
- california_x000D_
- san-francisco_x000D_
- holy-persons_x000D_
- california-missions_x000D_
- franciscans_x000D_
- closed_x000D_
</v>
      </c>
      <c r="BM108" s="120" t="str">
        <f t="shared" si="124"/>
        <v>[Official site](https://www.parks.ca.gov/?page_id=479)</v>
      </c>
      <c r="BN108" s="120" t="str">
        <f t="shared" si="125"/>
        <v>[California Missions Foundation page](https://californiamissionsfoundation.org/mission-san-francisco-solano/)</v>
      </c>
      <c r="BO108" s="120" t="str">
        <f t="shared" si="126"/>
        <v>[Missions California page](https://www.missionscalifornia.com/missions/san-francisco-solano/)</v>
      </c>
      <c r="BP108" s="120" t="str">
        <f t="shared" si="127"/>
        <v/>
      </c>
      <c r="BQ108" s="117" t="str">
        <f t="shared" si="147"/>
        <v xml:space="preserve">* [Official site](https://www.parks.ca.gov/?page_id=479)
* [California Missions Foundation page](https://californiamissionsfoundation.org/mission-san-francisco-solano/)
* [Missions California page](https://www.missionscalifornia.com/missions/san-francisco-solano/)
</v>
      </c>
      <c r="BR108" s="117" t="str">
        <f t="shared" si="148"/>
        <v/>
      </c>
      <c r="BS108" s="117" t="str">
        <f t="shared" si="149"/>
        <v/>
      </c>
      <c r="BT108" s="117" t="str">
        <f t="shared" si="150"/>
        <v/>
      </c>
      <c r="BU108" s="117" t="str">
        <f>IF(LEN(concat(BR108:BT108))&gt;0,concat("| ",BR108," | ",BS108," | ",BT108," |"),"")</f>
        <v/>
      </c>
      <c r="BV108" s="117" t="str">
        <f t="shared" si="151"/>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usa
- california_x000D_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52"/>
        <v>#VALUE!</v>
      </c>
      <c r="CK108" s="12" t="str">
        <f t="shared" si="153"/>
        <v xml:space="preserve">| [](/places/places\us_ca-san-francisco-mission-san-francisco-solano) </v>
      </c>
      <c r="CL108" s="13" t="str">
        <f>"| "&amp;IF(AS108,GetTagPage(C108,VLOOKUP(C108,'Country Tags'!C:E,3,)),C108)&amp; " "</f>
        <v xml:space="preserve">| [US California](/tags/usa
- california) </v>
      </c>
      <c r="CM108" s="12" t="str">
        <f t="shared" si="154"/>
        <v xml:space="preserve">|  </v>
      </c>
      <c r="CN108" s="12" t="str">
        <f t="shared" si="155"/>
        <v xml:space="preserve">| [Link](/places/places\us_ca-san-francisco-mission-san-francisco-solano) </v>
      </c>
      <c r="CO108" s="12" t="e">
        <f t="shared" si="156"/>
        <v>#VALUE!</v>
      </c>
    </row>
    <row r="109" spans="1:93" ht="25.5" x14ac:dyDescent="0.25">
      <c r="A109" s="129" t="s">
        <v>786</v>
      </c>
      <c r="B109" s="130" t="s">
        <v>1902</v>
      </c>
      <c r="C109" s="55" t="s">
        <v>1336</v>
      </c>
      <c r="D109" s="168" t="s">
        <v>2130</v>
      </c>
      <c r="E109" s="1">
        <v>39.679924</v>
      </c>
      <c r="F109" s="30">
        <v>-77.356055999999995</v>
      </c>
      <c r="G109" s="7" t="s">
        <v>102</v>
      </c>
      <c r="H109" s="61" t="s">
        <v>1875</v>
      </c>
      <c r="I109" s="55" t="s">
        <v>1248</v>
      </c>
      <c r="J109" s="7" t="b">
        <v>1</v>
      </c>
      <c r="L109" s="7" t="b">
        <v>1</v>
      </c>
      <c r="M109" s="55" t="s">
        <v>1430</v>
      </c>
      <c r="O109" s="1" t="s">
        <v>103</v>
      </c>
      <c r="P109" s="64" t="s">
        <v>53</v>
      </c>
      <c r="Z109" s="62" t="s">
        <v>1282</v>
      </c>
      <c r="AS109" s="116" t="b">
        <f t="shared" si="128"/>
        <v>1</v>
      </c>
      <c r="AT109" s="117" t="str">
        <f t="shared" si="129"/>
        <v>title: "Mount St. Mary's Seminary"</v>
      </c>
      <c r="AU109" s="117" t="str">
        <f t="shared" si="130"/>
        <v>location: {lat: 39.679924, lng: -77.356056}</v>
      </c>
      <c r="AV109" s="117" t="str">
        <f t="shared" si="131"/>
        <v>interest: local</v>
      </c>
      <c r="AW109" s="117" t="str">
        <f>"- "&amp;VLOOKUP(C109,'Country Tags'!C:E,3,)</f>
        <v>- usa
- maryland</v>
      </c>
      <c r="AX109" s="117" t="str">
        <f t="shared" si="132"/>
        <v>- baltimore</v>
      </c>
      <c r="AY109" s="117" t="str">
        <f t="shared" si="133"/>
        <v>- churches</v>
      </c>
      <c r="AZ109" s="117" t="str">
        <f t="shared" si="134"/>
        <v/>
      </c>
      <c r="BA109" s="117" t="str">
        <f t="shared" si="135"/>
        <v>- holy-persons</v>
      </c>
      <c r="BB109" s="117" t="str">
        <f t="shared" si="136"/>
        <v>- stanley-rother</v>
      </c>
      <c r="BC109" s="117" t="str">
        <f t="shared" si="137"/>
        <v/>
      </c>
      <c r="BD109" s="117" t="str">
        <f t="shared" si="138"/>
        <v/>
      </c>
      <c r="BE109" s="117" t="str">
        <f t="shared" si="139"/>
        <v/>
      </c>
      <c r="BF109" s="117" t="str">
        <f t="shared" si="140"/>
        <v/>
      </c>
      <c r="BG109" s="117" t="str">
        <f t="shared" si="141"/>
        <v/>
      </c>
      <c r="BH109" s="117" t="str">
        <f t="shared" si="142"/>
        <v/>
      </c>
      <c r="BI109" s="117" t="str">
        <f t="shared" si="143"/>
        <v/>
      </c>
      <c r="BJ109" s="117" t="str">
        <f t="shared" si="144"/>
        <v/>
      </c>
      <c r="BK109" s="117" t="str">
        <f t="shared" si="145"/>
        <v/>
      </c>
      <c r="BL109" s="117" t="str">
        <f t="shared" si="146"/>
        <v xml:space="preserve">tags:
- usa
- maryland_x000D_
- baltimore_x000D_
- churches_x000D_
- holy-persons_x000D_
- stanley-rother_x000D_
</v>
      </c>
      <c r="BM109" s="120" t="str">
        <f t="shared" si="124"/>
        <v>[Official site](https://seminary.msmary.edu/)</v>
      </c>
      <c r="BN109" s="120" t="str">
        <f t="shared" si="125"/>
        <v/>
      </c>
      <c r="BO109" s="120" t="str">
        <f t="shared" si="126"/>
        <v/>
      </c>
      <c r="BP109" s="120" t="str">
        <f t="shared" si="127"/>
        <v/>
      </c>
      <c r="BQ109" s="117" t="str">
        <f t="shared" si="147"/>
        <v xml:space="preserve">* [Official site](https://seminary.msmary.edu/)
</v>
      </c>
      <c r="BR109" s="117" t="str">
        <f t="shared" si="148"/>
        <v/>
      </c>
      <c r="BS109" s="117" t="str">
        <f t="shared" si="149"/>
        <v/>
      </c>
      <c r="BT109" s="117" t="str">
        <f t="shared" si="150"/>
        <v/>
      </c>
      <c r="BU109" s="117" t="str">
        <f>IF(LEN(concat(BR109:BT109))&gt;0,concat("| ",BR109," | ",BS109," | ",BT109," |"),"")</f>
        <v/>
      </c>
      <c r="BV109" s="117" t="str">
        <f t="shared" si="151"/>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39.679924, lng: -77.356056}_x000D_
interest: local_x000D_
tags:
- usa
- maryland_x000D_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52"/>
        <v>#VALUE!</v>
      </c>
      <c r="CK109" s="12" t="str">
        <f t="shared" si="153"/>
        <v xml:space="preserve">| [](/places/places\us_md-baltimore-mount-st-marys-seminary) </v>
      </c>
      <c r="CL109" s="13" t="str">
        <f>"| "&amp;IF(AS109,GetTagPage(C109,VLOOKUP(C109,'Country Tags'!C:E,3,)),C109)&amp; " "</f>
        <v xml:space="preserve">| [US Maryland](/tags/usa
- maryland) </v>
      </c>
      <c r="CM109" s="12" t="str">
        <f t="shared" si="154"/>
        <v xml:space="preserve">|  </v>
      </c>
      <c r="CN109" s="12" t="str">
        <f t="shared" si="155"/>
        <v xml:space="preserve">| [Link](/places/places\us_md-baltimore-mount-st-marys-seminary) </v>
      </c>
      <c r="CO109" s="12" t="e">
        <f t="shared" si="156"/>
        <v>#VALUE!</v>
      </c>
    </row>
    <row r="110" spans="1:93" ht="38.25" x14ac:dyDescent="0.25">
      <c r="A110" s="129" t="s">
        <v>786</v>
      </c>
      <c r="B110" s="130" t="s">
        <v>1902</v>
      </c>
      <c r="C110" s="55" t="s">
        <v>1347</v>
      </c>
      <c r="D110" s="55" t="s">
        <v>1431</v>
      </c>
      <c r="E110" s="1">
        <v>35.6856315</v>
      </c>
      <c r="F110" s="30">
        <v>-105.93765930000001</v>
      </c>
      <c r="G110" s="7" t="s">
        <v>1432</v>
      </c>
      <c r="H110" s="61" t="s">
        <v>1433</v>
      </c>
      <c r="I110" s="55" t="s">
        <v>1187</v>
      </c>
      <c r="J110" s="7" t="b">
        <v>1</v>
      </c>
      <c r="L110" s="7" t="b">
        <v>1</v>
      </c>
      <c r="M110" s="55" t="s">
        <v>1434</v>
      </c>
      <c r="O110" s="1" t="s">
        <v>1435</v>
      </c>
      <c r="P110" s="1" t="s">
        <v>53</v>
      </c>
      <c r="Q110" s="75" t="s">
        <v>1555</v>
      </c>
      <c r="R110" s="1" t="s">
        <v>1436</v>
      </c>
      <c r="S110" s="63" t="s">
        <v>53</v>
      </c>
      <c r="Z110" s="62" t="s">
        <v>1437</v>
      </c>
      <c r="AS110" s="116" t="b">
        <f t="shared" si="128"/>
        <v>1</v>
      </c>
      <c r="AT110" s="117" t="str">
        <f t="shared" si="129"/>
        <v>title: "Loretto Chapel, Santa Fe, NM"</v>
      </c>
      <c r="AU110" s="117" t="str">
        <f t="shared" si="130"/>
        <v>location: {lat: 35.6856315, lng: -105.9376593}</v>
      </c>
      <c r="AV110" s="117" t="str">
        <f t="shared" si="131"/>
        <v>interest: regional</v>
      </c>
      <c r="AW110" s="117" t="str">
        <f>"- "&amp;VLOOKUP(C110,'Country Tags'!C:E,3,)</f>
        <v>- usa
- new-mexico</v>
      </c>
      <c r="AX110" s="117" t="str">
        <f t="shared" si="132"/>
        <v>- santa-fe</v>
      </c>
      <c r="AY110" s="117" t="str">
        <f t="shared" si="133"/>
        <v>- churches</v>
      </c>
      <c r="AZ110" s="117" t="str">
        <f t="shared" si="134"/>
        <v/>
      </c>
      <c r="BA110" s="117" t="str">
        <f t="shared" si="135"/>
        <v>- holy-persons</v>
      </c>
      <c r="BB110" s="117" t="str">
        <f t="shared" si="136"/>
        <v>- joseph</v>
      </c>
      <c r="BC110" s="117" t="str">
        <f t="shared" si="137"/>
        <v/>
      </c>
      <c r="BD110" s="117" t="str">
        <f t="shared" si="138"/>
        <v/>
      </c>
      <c r="BE110" s="117" t="str">
        <f t="shared" si="139"/>
        <v/>
      </c>
      <c r="BF110" s="117" t="str">
        <f t="shared" si="140"/>
        <v/>
      </c>
      <c r="BG110" s="117" t="str">
        <f t="shared" si="141"/>
        <v/>
      </c>
      <c r="BH110" s="117" t="str">
        <f t="shared" si="142"/>
        <v/>
      </c>
      <c r="BI110" s="117" t="str">
        <f t="shared" si="143"/>
        <v/>
      </c>
      <c r="BJ110" s="117" t="str">
        <f t="shared" si="144"/>
        <v/>
      </c>
      <c r="BK110" s="117" t="str">
        <f t="shared" si="145"/>
        <v/>
      </c>
      <c r="BL110" s="117" t="str">
        <f t="shared" si="146"/>
        <v xml:space="preserve">tags:
- usa
- new-mexico_x000D_
- santa-fe_x000D_
- churches_x000D_
- holy-persons_x000D_
- joseph_x000D_
</v>
      </c>
      <c r="BM110" s="120" t="str">
        <f t="shared" si="124"/>
        <v>[Official site](https://www.lorettochapel.com)</v>
      </c>
      <c r="BN110" s="120" t="str">
        <f t="shared" si="125"/>
        <v>[Story of the staircase on the podcast *That's the Word*](https://thunderrock.org/story-extras/the-spiral-architect)</v>
      </c>
      <c r="BO110" s="120" t="str">
        <f t="shared" si="126"/>
        <v/>
      </c>
      <c r="BP110" s="120" t="str">
        <f t="shared" si="127"/>
        <v/>
      </c>
      <c r="BQ110" s="117" t="str">
        <f t="shared" si="147"/>
        <v xml:space="preserve">* [Official site](https://www.lorettochapel.com)
* [Story of the staircase on the podcast *That's the Word*](https://thunderrock.org/story-extras/the-spiral-architect)
</v>
      </c>
      <c r="BR110" s="117" t="str">
        <f t="shared" si="148"/>
        <v/>
      </c>
      <c r="BS110" s="117" t="str">
        <f t="shared" si="149"/>
        <v/>
      </c>
      <c r="BT110" s="117" t="str">
        <f t="shared" si="150"/>
        <v/>
      </c>
      <c r="BU110" s="117" t="str">
        <f>IF(LEN(concat(BR110:BT110))&gt;0,concat("| ",BR110," | ",BS110," | ",BT110," |"),"")</f>
        <v/>
      </c>
      <c r="BV110" s="117" t="str">
        <f t="shared" si="151"/>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52"/>
        <v>#VALUE!</v>
      </c>
      <c r="CK110" s="12" t="str">
        <f t="shared" si="153"/>
        <v xml:space="preserve">| [](/places/places\us_nm-santa-fe-loretto-chapel) </v>
      </c>
      <c r="CL110" s="13" t="str">
        <f>"| "&amp;IF(AS110,GetTagPage(C110,VLOOKUP(C110,'Country Tags'!C:E,3,)),C110)&amp; " "</f>
        <v xml:space="preserve">| [US New Mexico](/tags/usa
- new-mexico) </v>
      </c>
      <c r="CM110" s="12" t="str">
        <f t="shared" si="154"/>
        <v xml:space="preserve">|  </v>
      </c>
      <c r="CN110" s="12" t="str">
        <f t="shared" si="155"/>
        <v xml:space="preserve">| [Link](/places/places\us_nm-santa-fe-loretto-chapel) </v>
      </c>
      <c r="CO110" s="12" t="e">
        <f t="shared" si="156"/>
        <v>#VALUE!</v>
      </c>
    </row>
    <row r="111" spans="1:93" ht="63.75" x14ac:dyDescent="0.25">
      <c r="A111" s="129" t="s">
        <v>786</v>
      </c>
      <c r="B111" s="130" t="s">
        <v>1902</v>
      </c>
      <c r="C111" s="55" t="s">
        <v>1347</v>
      </c>
      <c r="D111" s="55" t="s">
        <v>1431</v>
      </c>
      <c r="E111" s="1">
        <v>35.989201000000001</v>
      </c>
      <c r="F111" s="30">
        <v>-105.93180220000001</v>
      </c>
      <c r="G111" s="7" t="s">
        <v>1443</v>
      </c>
      <c r="H111" s="61" t="s">
        <v>1444</v>
      </c>
      <c r="I111" s="55" t="s">
        <v>1187</v>
      </c>
      <c r="J111" s="7" t="b">
        <v>1</v>
      </c>
      <c r="M111" s="55" t="s">
        <v>1439</v>
      </c>
      <c r="P111" s="1" t="s">
        <v>53</v>
      </c>
      <c r="Q111" s="65" t="s">
        <v>1441</v>
      </c>
      <c r="R111" s="1" t="s">
        <v>1440</v>
      </c>
      <c r="S111" s="63" t="s">
        <v>53</v>
      </c>
      <c r="T111" s="75" t="s">
        <v>1556</v>
      </c>
      <c r="U111" s="1" t="s">
        <v>1442</v>
      </c>
      <c r="V111" s="63" t="s">
        <v>53</v>
      </c>
      <c r="Z111" s="62"/>
      <c r="AS111" s="116" t="b">
        <f t="shared" si="128"/>
        <v>1</v>
      </c>
      <c r="AT111" s="117" t="str">
        <f t="shared" si="129"/>
        <v>title: "Sanctuary of Chimayo (Santuario de Chimayo)"</v>
      </c>
      <c r="AU111" s="117" t="str">
        <f t="shared" si="130"/>
        <v>location: {lat: 35.989201, lng: -105.9318022}</v>
      </c>
      <c r="AV111" s="117" t="str">
        <f t="shared" si="131"/>
        <v>interest: regional</v>
      </c>
      <c r="AW111" s="117" t="str">
        <f>"- "&amp;VLOOKUP(C111,'Country Tags'!C:E,3,)</f>
        <v>- usa
- new-mexico</v>
      </c>
      <c r="AX111" s="117" t="str">
        <f t="shared" si="132"/>
        <v>- santa-fe</v>
      </c>
      <c r="AY111" s="117" t="str">
        <f t="shared" si="133"/>
        <v>- churches</v>
      </c>
      <c r="AZ111" s="117" t="str">
        <f t="shared" si="134"/>
        <v/>
      </c>
      <c r="BA111" s="117" t="str">
        <f t="shared" si="135"/>
        <v/>
      </c>
      <c r="BB111" s="117" t="str">
        <f t="shared" si="136"/>
        <v/>
      </c>
      <c r="BC111" s="117" t="str">
        <f t="shared" si="137"/>
        <v/>
      </c>
      <c r="BD111" s="117" t="str">
        <f t="shared" si="138"/>
        <v/>
      </c>
      <c r="BE111" s="117" t="str">
        <f t="shared" si="139"/>
        <v/>
      </c>
      <c r="BF111" s="117" t="str">
        <f t="shared" si="140"/>
        <v/>
      </c>
      <c r="BG111" s="117" t="str">
        <f t="shared" si="141"/>
        <v/>
      </c>
      <c r="BH111" s="117" t="str">
        <f t="shared" si="142"/>
        <v/>
      </c>
      <c r="BI111" s="117" t="str">
        <f t="shared" si="143"/>
        <v/>
      </c>
      <c r="BJ111" s="117" t="str">
        <f t="shared" si="144"/>
        <v/>
      </c>
      <c r="BK111" s="117" t="str">
        <f t="shared" si="145"/>
        <v/>
      </c>
      <c r="BL111" s="117" t="str">
        <f t="shared" si="146"/>
        <v xml:space="preserve">tags:
- usa
- new-mexico_x000D_
- santa-fe_x000D_
- churches_x000D_
</v>
      </c>
      <c r="BM111" s="120" t="str">
        <f t="shared" si="124"/>
        <v/>
      </c>
      <c r="BN111" s="120" t="str">
        <f t="shared" si="125"/>
        <v>[Article from Catholic World Report](https://www.catholicworldreport.com/2023/04/07/visiting-el-santuario-de-chimayo-the-most-popular-pilgrimage-site-in-america/)</v>
      </c>
      <c r="BO111" s="120" t="str">
        <f t="shared" si="126"/>
        <v>[Story of the shrine on the podcast *That's the Word*](https://thunderrock.org/story-extras/take-the-hint)</v>
      </c>
      <c r="BP111" s="120" t="str">
        <f t="shared" si="127"/>
        <v/>
      </c>
      <c r="BQ111" s="117" t="str">
        <f t="shared" si="147"/>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48"/>
        <v/>
      </c>
      <c r="BS111" s="117" t="str">
        <f t="shared" si="149"/>
        <v/>
      </c>
      <c r="BT111" s="117" t="str">
        <f t="shared" si="150"/>
        <v/>
      </c>
      <c r="BU111" s="117" t="str">
        <f>IF(LEN(concat(BR111:BT111))&gt;0,concat("| ",BR111," | ",BS111," | ",BT111," |"),"")</f>
        <v/>
      </c>
      <c r="BV111" s="117" t="str">
        <f t="shared" si="151"/>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52"/>
        <v xml:space="preserve">| </v>
      </c>
      <c r="CK111" s="12" t="str">
        <f t="shared" si="153"/>
        <v xml:space="preserve">| [](/places/places\us_nm-santa-fe-santuario-de-chimayo) </v>
      </c>
      <c r="CL111" s="13" t="str">
        <f>"| "&amp;IF(AS111,GetTagPage(C111,VLOOKUP(C111,'Country Tags'!C:E,3,)),C111)&amp; " "</f>
        <v xml:space="preserve">| [US New Mexico](/tags/usa
- new-mexico) </v>
      </c>
      <c r="CM111" s="12" t="str">
        <f t="shared" si="154"/>
        <v xml:space="preserve">|  </v>
      </c>
      <c r="CN111" s="12" t="str">
        <f t="shared" si="155"/>
        <v xml:space="preserve">| [Link](/places/places\us_nm-santa-fe-santuario-de-chimayo) </v>
      </c>
      <c r="CO111" s="12" t="str">
        <f t="shared" si="156"/>
        <v xml:space="preserve">
| [](/places/places\us_nm-santa-fe-santuario-de-chimayo) | [US New Mexico](/tags/usa
- new-mexico) |  | [Link](/places/places\us_nm-santa-fe-santuario-de-chimayo) | |</v>
      </c>
    </row>
    <row r="112" spans="1:93" ht="38.25" x14ac:dyDescent="0.25">
      <c r="A112" s="129" t="s">
        <v>786</v>
      </c>
      <c r="B112" s="130" t="s">
        <v>1902</v>
      </c>
      <c r="C112" s="55" t="s">
        <v>1348</v>
      </c>
      <c r="E112" s="1">
        <v>42.9249911</v>
      </c>
      <c r="F112" s="30">
        <v>-74.302249200000006</v>
      </c>
      <c r="G112" s="55" t="s">
        <v>1457</v>
      </c>
      <c r="H112" s="33" t="s">
        <v>1445</v>
      </c>
      <c r="I112" s="7" t="s">
        <v>1187</v>
      </c>
      <c r="J112" s="7" t="b">
        <v>1</v>
      </c>
      <c r="L112" s="7" t="b">
        <v>1</v>
      </c>
      <c r="M112" s="55" t="s">
        <v>1455</v>
      </c>
      <c r="O112" s="1" t="s">
        <v>1458</v>
      </c>
      <c r="P112" s="1" t="s">
        <v>53</v>
      </c>
      <c r="Q112" s="40" t="s">
        <v>1441</v>
      </c>
      <c r="R112" s="1" t="s">
        <v>1440</v>
      </c>
      <c r="S112" s="44" t="s">
        <v>53</v>
      </c>
      <c r="T112" s="75" t="s">
        <v>1556</v>
      </c>
      <c r="U112" s="1" t="s">
        <v>1442</v>
      </c>
      <c r="V112" s="44" t="s">
        <v>53</v>
      </c>
      <c r="Z112" s="62" t="s">
        <v>1451</v>
      </c>
      <c r="AA112" s="1" t="s">
        <v>1446</v>
      </c>
      <c r="AB112" s="1" t="s">
        <v>1447</v>
      </c>
      <c r="AC112" s="1" t="s">
        <v>1448</v>
      </c>
      <c r="AD112" s="62" t="s">
        <v>1456</v>
      </c>
      <c r="AE112" s="62" t="s">
        <v>1476</v>
      </c>
      <c r="AS112" s="116" t="b">
        <f t="shared" si="128"/>
        <v>1</v>
      </c>
      <c r="AT112" s="117" t="str">
        <f t="shared" si="129"/>
        <v>title: "Shrine of Our Lady of Martyrs (National Shrine of the North American Martyrs)"</v>
      </c>
      <c r="AU112" s="117" t="str">
        <f t="shared" si="130"/>
        <v>location: {lat: 42.9249911, lng: -74.3022492}</v>
      </c>
      <c r="AV112" s="117" t="str">
        <f t="shared" si="131"/>
        <v>interest: regional</v>
      </c>
      <c r="AW112" s="117" t="str">
        <f>"- "&amp;VLOOKUP(C112,'Country Tags'!C:E,3,)</f>
        <v>- usa
- new-york</v>
      </c>
      <c r="AX112" s="117" t="str">
        <f t="shared" si="132"/>
        <v/>
      </c>
      <c r="AY112" s="117" t="str">
        <f t="shared" si="133"/>
        <v>- churches</v>
      </c>
      <c r="AZ112" s="117" t="str">
        <f t="shared" si="134"/>
        <v/>
      </c>
      <c r="BA112" s="117" t="str">
        <f t="shared" si="135"/>
        <v>- holy-persons</v>
      </c>
      <c r="BB112" s="117" t="str">
        <f t="shared" si="136"/>
        <v>- canadian-martyrs</v>
      </c>
      <c r="BC112" s="117" t="str">
        <f t="shared" si="137"/>
        <v>- kateri-tekakwitha</v>
      </c>
      <c r="BD112" s="117" t="str">
        <f t="shared" si="138"/>
        <v>- isaac-jogues</v>
      </c>
      <c r="BE112" s="117" t="str">
        <f t="shared" si="139"/>
        <v>- rene-goupil</v>
      </c>
      <c r="BF112" s="117" t="str">
        <f t="shared" si="140"/>
        <v>- jean-de-lalande</v>
      </c>
      <c r="BG112" s="117" t="str">
        <f t="shared" si="141"/>
        <v>- jesuits</v>
      </c>
      <c r="BH112" s="117" t="str">
        <f t="shared" si="142"/>
        <v/>
      </c>
      <c r="BI112" s="117" t="str">
        <f t="shared" si="143"/>
        <v/>
      </c>
      <c r="BJ112" s="117" t="str">
        <f t="shared" si="144"/>
        <v/>
      </c>
      <c r="BK112" s="117" t="str">
        <f t="shared" si="145"/>
        <v/>
      </c>
      <c r="BL112" s="117" t="str">
        <f t="shared" si="146"/>
        <v xml:space="preserve">tags:
- usa
- new-york_x000D_
- churches_x000D_
- holy-persons_x000D_
- canadian-martyrs_x000D_
- kateri-tekakwitha_x000D_
- isaac-jogues_x000D_
- rene-goupil_x000D_
- jean-de-lalande_x000D_
- jesuits_x000D_
</v>
      </c>
      <c r="BM112" s="120" t="str">
        <f t="shared" si="124"/>
        <v>[Official site](https://www.ourladyofmartyrsshrine.org/)</v>
      </c>
      <c r="BN112" s="120" t="str">
        <f t="shared" si="125"/>
        <v>[Article from Catholic World Report](https://www.catholicworldreport.com/2023/04/07/visiting-el-santuario-de-chimayo-the-most-popular-pilgrimage-site-in-america/)</v>
      </c>
      <c r="BO112" s="120" t="str">
        <f t="shared" si="126"/>
        <v>[Story of the shrine on the podcast *That's the Word*](https://thunderrock.org/story-extras/take-the-hint)</v>
      </c>
      <c r="BP112" s="120" t="str">
        <f t="shared" si="127"/>
        <v/>
      </c>
      <c r="BQ112" s="117" t="str">
        <f t="shared" si="147"/>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48"/>
        <v/>
      </c>
      <c r="BS112" s="117" t="str">
        <f t="shared" si="149"/>
        <v/>
      </c>
      <c r="BT112" s="117" t="str">
        <f t="shared" si="150"/>
        <v/>
      </c>
      <c r="BU112" s="117" t="str">
        <f>IF(LEN(concat(BR112:BT112))&gt;0,concat("| ",BR112," | ",BS112," | ",BT112," |"),"")</f>
        <v/>
      </c>
      <c r="BV112" s="117" t="str">
        <f t="shared" si="151"/>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52"/>
        <v>#VALUE!</v>
      </c>
      <c r="CK112" s="12" t="str">
        <f t="shared" si="153"/>
        <v xml:space="preserve">| [](/places/places\us_ny-shrine-of-our-lady-of-martyrs) </v>
      </c>
      <c r="CL112" s="13" t="str">
        <f>"| "&amp;IF(AS112,GetTagPage(C112,VLOOKUP(C112,'Country Tags'!C:E,3,)),C112)&amp; " "</f>
        <v xml:space="preserve">| [US New York](/tags/usa
- new-york) </v>
      </c>
      <c r="CM112" s="12" t="str">
        <f t="shared" si="154"/>
        <v xml:space="preserve">|  </v>
      </c>
      <c r="CN112" s="12" t="str">
        <f t="shared" si="155"/>
        <v xml:space="preserve">| [Link](/places/places\us_ny-shrine-of-our-lady-of-martyrs) </v>
      </c>
      <c r="CO112" s="12" t="e">
        <f t="shared" si="156"/>
        <v>#VALUE!</v>
      </c>
    </row>
    <row r="113" spans="1:93" ht="25.5" x14ac:dyDescent="0.25">
      <c r="A113" s="129" t="s">
        <v>786</v>
      </c>
      <c r="B113" s="130" t="s">
        <v>1901</v>
      </c>
      <c r="C113" s="55" t="s">
        <v>1352</v>
      </c>
      <c r="D113" s="55" t="s">
        <v>1427</v>
      </c>
      <c r="E113" s="1">
        <v>35.728490299999997</v>
      </c>
      <c r="F113" s="30">
        <v>-97.975802000000002</v>
      </c>
      <c r="G113" s="55" t="s">
        <v>1424</v>
      </c>
      <c r="H113" s="61" t="s">
        <v>1425</v>
      </c>
      <c r="I113" s="55" t="s">
        <v>1248</v>
      </c>
      <c r="J113" s="7" t="b">
        <v>1</v>
      </c>
      <c r="L113" s="7" t="b">
        <v>1</v>
      </c>
      <c r="M113" s="7" t="s">
        <v>112</v>
      </c>
      <c r="O113" s="1" t="s">
        <v>111</v>
      </c>
      <c r="P113" s="1" t="s">
        <v>53</v>
      </c>
      <c r="Z113" s="1" t="s">
        <v>1282</v>
      </c>
      <c r="AS113" s="116" t="b">
        <f t="shared" si="128"/>
        <v>1</v>
      </c>
      <c r="AT113" s="117" t="str">
        <f t="shared" si="129"/>
        <v>title: "Holy Trinity Catholic Church, Okarche, OK"</v>
      </c>
      <c r="AU113" s="117" t="str">
        <f t="shared" si="130"/>
        <v>location: {lat: 35.7284903, lng: -97.975802}</v>
      </c>
      <c r="AV113" s="117" t="str">
        <f t="shared" si="131"/>
        <v>interest: local</v>
      </c>
      <c r="AW113" s="117" t="str">
        <f>"- "&amp;VLOOKUP(C113,'Country Tags'!C:E,3,)</f>
        <v>- usa
- oklahoma</v>
      </c>
      <c r="AX113" s="117" t="str">
        <f t="shared" si="132"/>
        <v>- oklahoma-city</v>
      </c>
      <c r="AY113" s="117" t="str">
        <f t="shared" si="133"/>
        <v>- churches</v>
      </c>
      <c r="AZ113" s="117" t="str">
        <f t="shared" si="134"/>
        <v/>
      </c>
      <c r="BA113" s="117" t="str">
        <f t="shared" si="135"/>
        <v>- holy-persons</v>
      </c>
      <c r="BB113" s="117" t="str">
        <f t="shared" si="136"/>
        <v>- stanley-rother</v>
      </c>
      <c r="BC113" s="117" t="str">
        <f t="shared" si="137"/>
        <v/>
      </c>
      <c r="BD113" s="117" t="str">
        <f t="shared" si="138"/>
        <v/>
      </c>
      <c r="BE113" s="117" t="str">
        <f t="shared" si="139"/>
        <v/>
      </c>
      <c r="BF113" s="117" t="str">
        <f t="shared" si="140"/>
        <v/>
      </c>
      <c r="BG113" s="117" t="str">
        <f t="shared" si="141"/>
        <v/>
      </c>
      <c r="BH113" s="117" t="str">
        <f t="shared" si="142"/>
        <v/>
      </c>
      <c r="BI113" s="117" t="str">
        <f t="shared" si="143"/>
        <v/>
      </c>
      <c r="BJ113" s="117" t="str">
        <f t="shared" si="144"/>
        <v/>
      </c>
      <c r="BK113" s="117" t="str">
        <f t="shared" si="145"/>
        <v/>
      </c>
      <c r="BL113" s="117" t="str">
        <f t="shared" si="146"/>
        <v xml:space="preserve">tags:
- usa
- oklahoma_x000D_
- oklahoma-city_x000D_
- churches_x000D_
- holy-persons_x000D_
- stanley-rother_x000D_
</v>
      </c>
      <c r="BM113" s="120" t="str">
        <f t="shared" si="124"/>
        <v>[Official site](https://www.holytrinityok.org/)</v>
      </c>
      <c r="BN113" s="120" t="str">
        <f t="shared" si="125"/>
        <v/>
      </c>
      <c r="BO113" s="120" t="str">
        <f t="shared" si="126"/>
        <v/>
      </c>
      <c r="BP113" s="120" t="str">
        <f t="shared" si="127"/>
        <v/>
      </c>
      <c r="BQ113" s="117" t="str">
        <f t="shared" si="147"/>
        <v xml:space="preserve">* [Official site](https://www.holytrinityok.org/)
</v>
      </c>
      <c r="BR113" s="117" t="str">
        <f t="shared" si="148"/>
        <v/>
      </c>
      <c r="BS113" s="117" t="str">
        <f t="shared" si="149"/>
        <v/>
      </c>
      <c r="BT113" s="117" t="str">
        <f t="shared" si="150"/>
        <v/>
      </c>
      <c r="BU113" s="117" t="str">
        <f>IF(LEN(concat(BR113:BT113))&gt;0,concat("| ",BR113," | ",BS113," | ",BT113," |"),"")</f>
        <v/>
      </c>
      <c r="BV113" s="117" t="str">
        <f t="shared" si="151"/>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usa
- oklahoma_x000D_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52"/>
        <v>#VALUE!</v>
      </c>
      <c r="CK113" s="12" t="str">
        <f t="shared" si="153"/>
        <v xml:space="preserve">| [](/places/places\us_ok-oklahoma-city-holy-trinity) </v>
      </c>
      <c r="CL113" s="13" t="str">
        <f>"| "&amp;IF(AS113,GetTagPage(C113,VLOOKUP(C113,'Country Tags'!C:E,3,)),C113)&amp; " "</f>
        <v xml:space="preserve">| [US Oklahoma](/tags/usa
- oklahoma) </v>
      </c>
      <c r="CM113" s="12" t="str">
        <f t="shared" si="154"/>
        <v xml:space="preserve">|  </v>
      </c>
      <c r="CN113" s="12" t="str">
        <f t="shared" si="155"/>
        <v xml:space="preserve">| [Link](/places/places\us_ok-oklahoma-city-holy-trinity) </v>
      </c>
      <c r="CO113" s="12" t="e">
        <f t="shared" si="156"/>
        <v>#VALUE!</v>
      </c>
    </row>
    <row r="114" spans="1:93" ht="38.25" x14ac:dyDescent="0.25">
      <c r="A114" s="129" t="s">
        <v>786</v>
      </c>
      <c r="B114" s="7" t="s">
        <v>1901</v>
      </c>
      <c r="C114" s="7" t="s">
        <v>1352</v>
      </c>
      <c r="D114" s="55" t="s">
        <v>1427</v>
      </c>
      <c r="E114" s="1">
        <v>35.375799999999998</v>
      </c>
      <c r="F114" s="30">
        <v>-97.497500000000002</v>
      </c>
      <c r="G114" s="7" t="s">
        <v>95</v>
      </c>
      <c r="H114" s="61" t="s">
        <v>1426</v>
      </c>
      <c r="I114" s="7" t="s">
        <v>1248</v>
      </c>
      <c r="J114" s="7" t="b">
        <v>1</v>
      </c>
      <c r="L114" s="7" t="b">
        <v>1</v>
      </c>
      <c r="M114" s="7" t="s">
        <v>1428</v>
      </c>
      <c r="O114" s="1" t="s">
        <v>96</v>
      </c>
      <c r="P114" s="1" t="s">
        <v>53</v>
      </c>
      <c r="Z114" s="1" t="s">
        <v>1282</v>
      </c>
      <c r="AS114" s="116" t="b">
        <f t="shared" si="128"/>
        <v>1</v>
      </c>
      <c r="AT114" s="117" t="str">
        <f t="shared" si="129"/>
        <v>title: "Blessed Stanley Rother Shrine"</v>
      </c>
      <c r="AU114" s="117" t="str">
        <f t="shared" si="130"/>
        <v>location: {lat: 35.3758, lng: -97.4975}</v>
      </c>
      <c r="AV114" s="117" t="str">
        <f t="shared" si="131"/>
        <v>interest: local</v>
      </c>
      <c r="AW114" s="117" t="str">
        <f>"- "&amp;VLOOKUP(C114,'Country Tags'!C:E,3,)</f>
        <v>- usa
- oklahoma</v>
      </c>
      <c r="AX114" s="117" t="str">
        <f t="shared" si="132"/>
        <v>- oklahoma-city</v>
      </c>
      <c r="AY114" s="117" t="str">
        <f t="shared" si="133"/>
        <v>- churches</v>
      </c>
      <c r="AZ114" s="117" t="str">
        <f t="shared" si="134"/>
        <v/>
      </c>
      <c r="BA114" s="117" t="str">
        <f t="shared" si="135"/>
        <v>- holy-persons</v>
      </c>
      <c r="BB114" s="117" t="str">
        <f t="shared" si="136"/>
        <v>- stanley-rother</v>
      </c>
      <c r="BC114" s="117" t="str">
        <f t="shared" si="137"/>
        <v/>
      </c>
      <c r="BD114" s="117" t="str">
        <f t="shared" si="138"/>
        <v/>
      </c>
      <c r="BE114" s="117" t="str">
        <f t="shared" si="139"/>
        <v/>
      </c>
      <c r="BF114" s="117" t="str">
        <f t="shared" si="140"/>
        <v/>
      </c>
      <c r="BG114" s="117" t="str">
        <f t="shared" si="141"/>
        <v/>
      </c>
      <c r="BH114" s="117" t="str">
        <f t="shared" si="142"/>
        <v/>
      </c>
      <c r="BI114" s="117" t="str">
        <f t="shared" si="143"/>
        <v/>
      </c>
      <c r="BJ114" s="117" t="str">
        <f t="shared" si="144"/>
        <v/>
      </c>
      <c r="BK114" s="117" t="str">
        <f t="shared" si="145"/>
        <v/>
      </c>
      <c r="BL114" s="117" t="str">
        <f t="shared" si="146"/>
        <v xml:space="preserve">tags:
- usa
- oklahoma_x000D_
- oklahoma-city_x000D_
- churches_x000D_
- holy-persons_x000D_
- stanley-rother_x000D_
</v>
      </c>
      <c r="BM114" s="120" t="str">
        <f t="shared" si="124"/>
        <v>[Official site](https://www.rothershrine.org/)</v>
      </c>
      <c r="BN114" s="120" t="str">
        <f t="shared" si="125"/>
        <v/>
      </c>
      <c r="BO114" s="120" t="str">
        <f t="shared" si="126"/>
        <v/>
      </c>
      <c r="BP114" s="120" t="str">
        <f t="shared" si="127"/>
        <v/>
      </c>
      <c r="BQ114" s="117" t="str">
        <f t="shared" si="147"/>
        <v xml:space="preserve">* [Official site](https://www.rothershrine.org/)
</v>
      </c>
      <c r="BR114" s="117" t="str">
        <f t="shared" si="148"/>
        <v/>
      </c>
      <c r="BS114" s="117" t="str">
        <f t="shared" si="149"/>
        <v/>
      </c>
      <c r="BT114" s="117" t="str">
        <f t="shared" si="150"/>
        <v/>
      </c>
      <c r="BU114" s="117" t="str">
        <f>IF(LEN(concat(BR114:BT114))&gt;0,concat("| ",BR114," | ",BS114," | ",BT114," |"),"")</f>
        <v/>
      </c>
      <c r="BV114" s="117" t="str">
        <f t="shared" si="151"/>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52"/>
        <v>#VALUE!</v>
      </c>
      <c r="CK114" s="12" t="str">
        <f t="shared" si="153"/>
        <v xml:space="preserve">| [](/places/places\us_ok-oklahoma-city-stanley-rother-shrine) </v>
      </c>
      <c r="CL114" s="13" t="str">
        <f>"| "&amp;IF(AS114,GetTagPage(C114,VLOOKUP(C114,'Country Tags'!C:E,3,)),C114)&amp; " "</f>
        <v xml:space="preserve">| [US Oklahoma](/tags/usa
- oklahoma) </v>
      </c>
      <c r="CM114" s="12" t="str">
        <f t="shared" si="154"/>
        <v xml:space="preserve">|  </v>
      </c>
      <c r="CN114" s="12" t="str">
        <f t="shared" si="155"/>
        <v xml:space="preserve">| [Link](/places/places\us_ok-oklahoma-city-stanley-rother-shrine) </v>
      </c>
      <c r="CO114" s="12" t="e">
        <f t="shared" si="156"/>
        <v>#VALUE!</v>
      </c>
    </row>
    <row r="115" spans="1:93" ht="25.5" x14ac:dyDescent="0.25">
      <c r="A115" s="129" t="s">
        <v>786</v>
      </c>
      <c r="B115" s="55" t="s">
        <v>1901</v>
      </c>
      <c r="C115" s="55" t="s">
        <v>1359</v>
      </c>
      <c r="D115" s="55" t="s">
        <v>1429</v>
      </c>
      <c r="E115" s="1">
        <v>29.454204000000001</v>
      </c>
      <c r="F115" s="30">
        <v>-98.545190000000005</v>
      </c>
      <c r="G115" s="55" t="s">
        <v>106</v>
      </c>
      <c r="H115" s="33" t="s">
        <v>106</v>
      </c>
      <c r="I115" s="7" t="s">
        <v>1248</v>
      </c>
      <c r="J115" s="7" t="b">
        <v>1</v>
      </c>
      <c r="L115" s="7" t="b">
        <v>1</v>
      </c>
      <c r="M115" s="55" t="s">
        <v>108</v>
      </c>
      <c r="O115" s="1" t="s">
        <v>107</v>
      </c>
      <c r="P115" s="1" t="s">
        <v>53</v>
      </c>
      <c r="Z115" s="1" t="s">
        <v>1282</v>
      </c>
      <c r="AS115" s="116" t="b">
        <f t="shared" si="128"/>
        <v>1</v>
      </c>
      <c r="AT115" s="117" t="str">
        <f t="shared" si="129"/>
        <v>title: "Assumption Seminary"</v>
      </c>
      <c r="AU115" s="117" t="str">
        <f t="shared" si="130"/>
        <v>location: {lat: 29.454204, lng: -98.54519}</v>
      </c>
      <c r="AV115" s="117" t="str">
        <f t="shared" si="131"/>
        <v>interest: local</v>
      </c>
      <c r="AW115" s="117" t="str">
        <f>"- "&amp;VLOOKUP(C115,'Country Tags'!C:E,3,)</f>
        <v>- usa
- texas</v>
      </c>
      <c r="AX115" s="117" t="str">
        <f t="shared" si="132"/>
        <v>- san-antonio</v>
      </c>
      <c r="AY115" s="117" t="str">
        <f t="shared" si="133"/>
        <v>- churches</v>
      </c>
      <c r="AZ115" s="117" t="str">
        <f t="shared" si="134"/>
        <v/>
      </c>
      <c r="BA115" s="117" t="str">
        <f t="shared" si="135"/>
        <v>- holy-persons</v>
      </c>
      <c r="BB115" s="117" t="str">
        <f t="shared" si="136"/>
        <v>- stanley-rother</v>
      </c>
      <c r="BC115" s="117" t="str">
        <f t="shared" si="137"/>
        <v/>
      </c>
      <c r="BD115" s="117" t="str">
        <f t="shared" si="138"/>
        <v/>
      </c>
      <c r="BE115" s="117" t="str">
        <f t="shared" si="139"/>
        <v/>
      </c>
      <c r="BF115" s="117" t="str">
        <f t="shared" si="140"/>
        <v/>
      </c>
      <c r="BG115" s="117" t="str">
        <f t="shared" si="141"/>
        <v/>
      </c>
      <c r="BH115" s="117" t="str">
        <f t="shared" si="142"/>
        <v/>
      </c>
      <c r="BI115" s="117" t="str">
        <f t="shared" si="143"/>
        <v/>
      </c>
      <c r="BJ115" s="117" t="str">
        <f t="shared" si="144"/>
        <v/>
      </c>
      <c r="BK115" s="117" t="str">
        <f t="shared" si="145"/>
        <v/>
      </c>
      <c r="BL115" s="117" t="str">
        <f t="shared" si="146"/>
        <v xml:space="preserve">tags:
- usa
- texas_x000D_
- san-antonio_x000D_
- churches_x000D_
- holy-persons_x000D_
- stanley-rother_x000D_
</v>
      </c>
      <c r="BM115" s="120" t="str">
        <f t="shared" si="124"/>
        <v>[Official site](https://assumptionseminary.org/)</v>
      </c>
      <c r="BN115" s="120" t="str">
        <f t="shared" si="125"/>
        <v/>
      </c>
      <c r="BO115" s="120" t="str">
        <f t="shared" si="126"/>
        <v/>
      </c>
      <c r="BP115" s="120" t="str">
        <f t="shared" si="127"/>
        <v/>
      </c>
      <c r="BQ115" s="117" t="str">
        <f t="shared" si="147"/>
        <v xml:space="preserve">* [Official site](https://assumptionseminary.org/)
</v>
      </c>
      <c r="BR115" s="117" t="str">
        <f t="shared" si="148"/>
        <v/>
      </c>
      <c r="BS115" s="117" t="str">
        <f t="shared" si="149"/>
        <v/>
      </c>
      <c r="BT115" s="117" t="str">
        <f t="shared" si="150"/>
        <v/>
      </c>
      <c r="BU115" s="117" t="str">
        <f>IF(LEN(concat(BR115:BT115))&gt;0,concat("| ",BR115," | ",BS115," | ",BT115," |"),"")</f>
        <v/>
      </c>
      <c r="BV115" s="117" t="str">
        <f t="shared" si="151"/>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usa
- texas_x000D_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52"/>
        <v>#VALUE!</v>
      </c>
      <c r="CK115" s="12" t="str">
        <f t="shared" si="153"/>
        <v xml:space="preserve">| [](/places/places\us_tx-san-antonio-assumption-seminary) </v>
      </c>
      <c r="CL115" s="13" t="str">
        <f>"| "&amp;IF(AS115,GetTagPage(C115,VLOOKUP(C115,'Country Tags'!C:E,3,)),C115)&amp; " "</f>
        <v xml:space="preserve">| [US Texas](/tags/usa
- texas) </v>
      </c>
      <c r="CM115" s="12" t="str">
        <f t="shared" si="154"/>
        <v xml:space="preserve">|  </v>
      </c>
      <c r="CN115" s="12" t="str">
        <f t="shared" si="155"/>
        <v xml:space="preserve">| [Link](/places/places\us_tx-san-antonio-assumption-seminary) </v>
      </c>
      <c r="CO115" s="12" t="e">
        <f t="shared" si="156"/>
        <v>#VALUE!</v>
      </c>
    </row>
    <row r="116" spans="1:93" ht="25.5" x14ac:dyDescent="0.25">
      <c r="A116" s="129" t="s">
        <v>786</v>
      </c>
      <c r="B116" s="130" t="s">
        <v>1902</v>
      </c>
      <c r="C116" s="55" t="s">
        <v>1359</v>
      </c>
      <c r="D116" s="55" t="s">
        <v>1459</v>
      </c>
      <c r="E116" s="1">
        <v>32.750999999999998</v>
      </c>
      <c r="F116" s="30">
        <v>-96.8159986</v>
      </c>
      <c r="G116" s="55" t="s">
        <v>1460</v>
      </c>
      <c r="H116" s="61" t="s">
        <v>1461</v>
      </c>
      <c r="I116" s="55" t="s">
        <v>1248</v>
      </c>
      <c r="J116" s="7" t="b">
        <v>1</v>
      </c>
      <c r="M116" s="7" t="s">
        <v>1462</v>
      </c>
      <c r="O116" s="62" t="s">
        <v>1473</v>
      </c>
      <c r="P116" s="64" t="s">
        <v>53</v>
      </c>
      <c r="Q116" s="65" t="s">
        <v>1472</v>
      </c>
      <c r="R116" s="1" t="s">
        <v>1463</v>
      </c>
      <c r="S116" s="63" t="s">
        <v>53</v>
      </c>
      <c r="AS116" s="116" t="b">
        <f t="shared" si="128"/>
        <v>1</v>
      </c>
      <c r="AT116" s="117" t="str">
        <f t="shared" si="129"/>
        <v>title: "Blessed Sacrament Catholic Church, Dallas, TX"</v>
      </c>
      <c r="AU116" s="117" t="str">
        <f t="shared" si="130"/>
        <v>location: {lat: 32.751, lng: -96.8159986}</v>
      </c>
      <c r="AV116" s="117" t="str">
        <f t="shared" si="131"/>
        <v>interest: local</v>
      </c>
      <c r="AW116" s="117" t="str">
        <f>"- "&amp;VLOOKUP(C116,'Country Tags'!C:E,3,)</f>
        <v>- usa
- texas</v>
      </c>
      <c r="AX116" s="117" t="str">
        <f t="shared" si="132"/>
        <v>- dallas</v>
      </c>
      <c r="AY116" s="117" t="str">
        <f t="shared" si="133"/>
        <v>- churches</v>
      </c>
      <c r="AZ116" s="117" t="str">
        <f t="shared" si="134"/>
        <v/>
      </c>
      <c r="BA116" s="117" t="str">
        <f t="shared" si="135"/>
        <v/>
      </c>
      <c r="BB116" s="117" t="str">
        <f t="shared" si="136"/>
        <v/>
      </c>
      <c r="BC116" s="117" t="str">
        <f t="shared" si="137"/>
        <v/>
      </c>
      <c r="BD116" s="117" t="str">
        <f t="shared" si="138"/>
        <v/>
      </c>
      <c r="BE116" s="117" t="str">
        <f t="shared" si="139"/>
        <v/>
      </c>
      <c r="BF116" s="117" t="str">
        <f t="shared" si="140"/>
        <v/>
      </c>
      <c r="BG116" s="117" t="str">
        <f t="shared" si="141"/>
        <v/>
      </c>
      <c r="BH116" s="117" t="str">
        <f t="shared" si="142"/>
        <v/>
      </c>
      <c r="BI116" s="117" t="str">
        <f t="shared" si="143"/>
        <v/>
      </c>
      <c r="BJ116" s="117" t="str">
        <f t="shared" si="144"/>
        <v/>
      </c>
      <c r="BK116" s="117" t="str">
        <f t="shared" si="145"/>
        <v/>
      </c>
      <c r="BL116" s="117" t="str">
        <f t="shared" si="146"/>
        <v xml:space="preserve">tags:
- usa
- texas_x000D_
- dallas_x000D_
- churches_x000D_
</v>
      </c>
      <c r="BM116" s="120" t="str">
        <f t="shared" si="124"/>
        <v>[Official site](https://www.bsdallas.org/)</v>
      </c>
      <c r="BN116" s="120" t="str">
        <f t="shared" si="125"/>
        <v>[Parish history](https://www.bsdallas.org/about-our-parish)</v>
      </c>
      <c r="BO116" s="120" t="str">
        <f t="shared" si="126"/>
        <v/>
      </c>
      <c r="BP116" s="120" t="str">
        <f t="shared" si="127"/>
        <v/>
      </c>
      <c r="BQ116" s="117" t="str">
        <f t="shared" si="147"/>
        <v xml:space="preserve">* [Official site](https://www.bsdallas.org/)
* [Parish history](https://www.bsdallas.org/about-our-parish)
</v>
      </c>
      <c r="BR116" s="117" t="str">
        <f t="shared" si="148"/>
        <v/>
      </c>
      <c r="BS116" s="117" t="str">
        <f t="shared" si="149"/>
        <v/>
      </c>
      <c r="BT116" s="117" t="str">
        <f t="shared" si="150"/>
        <v/>
      </c>
      <c r="BU116" s="117" t="str">
        <f>IF(LEN(concat(BR116:BT116))&gt;0,concat("| ",BR116," | ",BS116," | ",BT116," |"),"")</f>
        <v/>
      </c>
      <c r="BV116" s="117" t="str">
        <f t="shared" si="151"/>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usa
- texas_x000D_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52"/>
        <v xml:space="preserve">| </v>
      </c>
      <c r="CK116" s="12" t="str">
        <f t="shared" si="153"/>
        <v xml:space="preserve">| [](/places/places\us_tx-dallas-blessed-sacrament) </v>
      </c>
      <c r="CL116" s="13" t="str">
        <f>"| "&amp;IF(AS116,GetTagPage(C116,VLOOKUP(C116,'Country Tags'!C:E,3,)),C116)&amp; " "</f>
        <v xml:space="preserve">| [US Texas](/tags/usa
- texas) </v>
      </c>
      <c r="CM116" s="12" t="str">
        <f t="shared" si="154"/>
        <v xml:space="preserve">|  </v>
      </c>
      <c r="CN116" s="12" t="str">
        <f t="shared" si="155"/>
        <v xml:space="preserve">| [Link](/places/places\us_tx-dallas-blessed-sacrament) </v>
      </c>
      <c r="CO116" s="12" t="str">
        <f t="shared" si="156"/>
        <v xml:space="preserve">
| [](/places/places\us_tx-dallas-blessed-sacrament) | [US Texas](/tags/usa
- texas) |  | [Link](/places/places\us_tx-dallas-blessed-sacrament) [Official site](https://www.bsdallas.org/)| |</v>
      </c>
    </row>
    <row r="117" spans="1:93" ht="89.25" x14ac:dyDescent="0.25">
      <c r="A117" s="129" t="s">
        <v>786</v>
      </c>
      <c r="B117" s="7" t="s">
        <v>1902</v>
      </c>
      <c r="C117" s="7" t="s">
        <v>1359</v>
      </c>
      <c r="D117" s="7" t="s">
        <v>1459</v>
      </c>
      <c r="E117" s="1">
        <v>32.788515199999999</v>
      </c>
      <c r="F117" s="30">
        <v>-96.797780700000004</v>
      </c>
      <c r="G117" s="55" t="s">
        <v>1465</v>
      </c>
      <c r="H117" s="61" t="s">
        <v>1466</v>
      </c>
      <c r="I117" s="7" t="s">
        <v>1248</v>
      </c>
      <c r="J117" s="7" t="b">
        <v>1</v>
      </c>
      <c r="M117" s="55" t="s">
        <v>1464</v>
      </c>
      <c r="N117" s="139" t="s">
        <v>1936</v>
      </c>
      <c r="O117" s="1" t="s">
        <v>1467</v>
      </c>
      <c r="P117" s="64" t="s">
        <v>53</v>
      </c>
      <c r="AS117" s="116" t="b">
        <f t="shared" si="128"/>
        <v>1</v>
      </c>
      <c r="AT117" s="117" t="str">
        <f t="shared" si="129"/>
        <v>title: "National Shrine Cathedral of Our Lady of Guadalupe, Dallas, TX"</v>
      </c>
      <c r="AU117" s="117" t="str">
        <f t="shared" si="130"/>
        <v>location: {lat: 32.7885152, lng: -96.7977807}</v>
      </c>
      <c r="AV117" s="117" t="str">
        <f t="shared" si="131"/>
        <v>interest: local</v>
      </c>
      <c r="AW117" s="117" t="str">
        <f>"- "&amp;VLOOKUP(C117,'Country Tags'!C:E,3,)</f>
        <v>- usa
- texas</v>
      </c>
      <c r="AX117" s="117" t="str">
        <f t="shared" si="132"/>
        <v>- dallas</v>
      </c>
      <c r="AY117" s="117" t="str">
        <f t="shared" si="133"/>
        <v>- churches</v>
      </c>
      <c r="AZ117" s="117" t="str">
        <f t="shared" si="134"/>
        <v/>
      </c>
      <c r="BA117" s="117" t="str">
        <f t="shared" si="135"/>
        <v/>
      </c>
      <c r="BB117" s="117" t="str">
        <f t="shared" si="136"/>
        <v/>
      </c>
      <c r="BC117" s="117" t="str">
        <f t="shared" si="137"/>
        <v/>
      </c>
      <c r="BD117" s="117" t="str">
        <f t="shared" si="138"/>
        <v/>
      </c>
      <c r="BE117" s="117" t="str">
        <f t="shared" si="139"/>
        <v/>
      </c>
      <c r="BF117" s="117" t="str">
        <f t="shared" si="140"/>
        <v/>
      </c>
      <c r="BG117" s="117" t="str">
        <f t="shared" si="141"/>
        <v/>
      </c>
      <c r="BH117" s="117" t="str">
        <f t="shared" si="142"/>
        <v/>
      </c>
      <c r="BI117" s="117" t="str">
        <f t="shared" si="143"/>
        <v/>
      </c>
      <c r="BJ117" s="117" t="str">
        <f t="shared" si="144"/>
        <v/>
      </c>
      <c r="BK117" s="117" t="str">
        <f t="shared" si="145"/>
        <v/>
      </c>
      <c r="BL117" s="117" t="str">
        <f t="shared" si="146"/>
        <v xml:space="preserve">tags:
- usa
- texas_x000D_
- dallas_x000D_
- churches_x000D_
</v>
      </c>
      <c r="BM117" s="120" t="str">
        <f t="shared" si="124"/>
        <v>[Official site](https://www.cathdal.org/cathedral)</v>
      </c>
      <c r="BN117" s="120" t="str">
        <f t="shared" si="125"/>
        <v/>
      </c>
      <c r="BO117" s="120" t="str">
        <f t="shared" si="126"/>
        <v/>
      </c>
      <c r="BP117" s="120" t="str">
        <f t="shared" si="127"/>
        <v/>
      </c>
      <c r="BQ117" s="117" t="str">
        <f t="shared" si="147"/>
        <v xml:space="preserve">* [Official site](https://www.cathdal.org/cathedral)
</v>
      </c>
      <c r="BR117" s="117" t="str">
        <f t="shared" si="148"/>
        <v/>
      </c>
      <c r="BS117" s="117" t="str">
        <f t="shared" si="149"/>
        <v/>
      </c>
      <c r="BT117" s="117" t="str">
        <f t="shared" si="150"/>
        <v/>
      </c>
      <c r="BU117" s="117" t="str">
        <f>IF(LEN(concat(BR117:BT117))&gt;0,concat("| ",BR117," | ",BS117," | ",BT117," |"),"")</f>
        <v/>
      </c>
      <c r="BV117" s="117" t="str">
        <f t="shared" si="151"/>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52"/>
        <v xml:space="preserve">| </v>
      </c>
      <c r="CK117" s="12" t="str">
        <f t="shared" si="153"/>
        <v xml:space="preserve">| [](/places/places\us_tx-dallas-guadalupe-cathedral) </v>
      </c>
      <c r="CL117" s="13" t="str">
        <f>"| "&amp;IF(AS117,GetTagPage(C117,VLOOKUP(C117,'Country Tags'!C:E,3,)),C117)&amp; " "</f>
        <v xml:space="preserve">| [US Texas](/tags/usa
- texas) </v>
      </c>
      <c r="CM117" s="12" t="str">
        <f t="shared" si="154"/>
        <v xml:space="preserve">|  </v>
      </c>
      <c r="CN117" s="12" t="str">
        <f t="shared" si="155"/>
        <v xml:space="preserve">| [Link](/places/places\us_tx-dallas-guadalupe-cathedral) </v>
      </c>
      <c r="CO117" s="12" t="str">
        <f t="shared" si="156"/>
        <v xml:space="preserve">
| [](/places/places\us_tx-dallas-guadalupe-cathedral) | [US Texas](/tags/usa
- texas) |  | [Link](/places/places\us_tx-dallas-guadalupe-cathedral) [Official site](https://www.cathdal.org/cathedral)| |</v>
      </c>
    </row>
    <row r="118" spans="1:93" ht="25.5" x14ac:dyDescent="0.25">
      <c r="A118" s="129" t="s">
        <v>786</v>
      </c>
      <c r="B118" s="7" t="s">
        <v>1902</v>
      </c>
      <c r="C118" s="7" t="s">
        <v>1359</v>
      </c>
      <c r="D118" s="7" t="s">
        <v>1459</v>
      </c>
      <c r="E118" s="1">
        <v>32.814570799999998</v>
      </c>
      <c r="F118" s="30">
        <v>-96.802842799999993</v>
      </c>
      <c r="G118" s="7" t="s">
        <v>1468</v>
      </c>
      <c r="H118" s="61" t="s">
        <v>1425</v>
      </c>
      <c r="I118" s="7" t="s">
        <v>1248</v>
      </c>
      <c r="J118" s="7" t="b">
        <v>1</v>
      </c>
      <c r="M118" s="55" t="s">
        <v>1469</v>
      </c>
      <c r="O118" s="62" t="s">
        <v>1470</v>
      </c>
      <c r="P118" s="64" t="s">
        <v>53</v>
      </c>
      <c r="Q118" s="65" t="s">
        <v>1472</v>
      </c>
      <c r="R118" s="1" t="s">
        <v>1471</v>
      </c>
      <c r="S118" s="63" t="s">
        <v>53</v>
      </c>
      <c r="Z118" s="62" t="s">
        <v>1474</v>
      </c>
      <c r="AS118" s="116" t="b">
        <f t="shared" si="128"/>
        <v>1</v>
      </c>
      <c r="AT118" s="117" t="str">
        <f t="shared" si="129"/>
        <v>title: "Holy Trinity Catholic Church, Dallas, TX"</v>
      </c>
      <c r="AU118" s="117" t="str">
        <f t="shared" si="130"/>
        <v>location: {lat: 32.8145708, lng: -96.8028428}</v>
      </c>
      <c r="AV118" s="117" t="str">
        <f t="shared" si="131"/>
        <v>interest: local</v>
      </c>
      <c r="AW118" s="117" t="str">
        <f>"- "&amp;VLOOKUP(C118,'Country Tags'!C:E,3,)</f>
        <v>- usa
- texas</v>
      </c>
      <c r="AX118" s="117" t="str">
        <f t="shared" si="132"/>
        <v>- dallas</v>
      </c>
      <c r="AY118" s="117" t="str">
        <f t="shared" si="133"/>
        <v>- churches</v>
      </c>
      <c r="AZ118" s="117" t="str">
        <f t="shared" si="134"/>
        <v/>
      </c>
      <c r="BA118" s="117" t="str">
        <f t="shared" si="135"/>
        <v/>
      </c>
      <c r="BB118" s="117" t="str">
        <f t="shared" si="136"/>
        <v>- vincentians</v>
      </c>
      <c r="BC118" s="117" t="str">
        <f t="shared" si="137"/>
        <v/>
      </c>
      <c r="BD118" s="117" t="str">
        <f t="shared" si="138"/>
        <v/>
      </c>
      <c r="BE118" s="117" t="str">
        <f t="shared" si="139"/>
        <v/>
      </c>
      <c r="BF118" s="117" t="str">
        <f t="shared" si="140"/>
        <v/>
      </c>
      <c r="BG118" s="117" t="str">
        <f t="shared" si="141"/>
        <v/>
      </c>
      <c r="BH118" s="117" t="str">
        <f t="shared" si="142"/>
        <v/>
      </c>
      <c r="BI118" s="117" t="str">
        <f t="shared" si="143"/>
        <v/>
      </c>
      <c r="BJ118" s="117" t="str">
        <f t="shared" si="144"/>
        <v/>
      </c>
      <c r="BK118" s="117" t="str">
        <f t="shared" si="145"/>
        <v/>
      </c>
      <c r="BL118" s="117" t="str">
        <f t="shared" si="146"/>
        <v xml:space="preserve">tags:
- usa
- texas_x000D_
- dallas_x000D_
- churches_x000D_
- vincentians_x000D_
</v>
      </c>
      <c r="BM118" s="120" t="str">
        <f t="shared" si="124"/>
        <v>[Official site](https://htccd.org/)</v>
      </c>
      <c r="BN118" s="120" t="str">
        <f t="shared" si="125"/>
        <v>[Parish history](https://htccd.org/history)</v>
      </c>
      <c r="BO118" s="120" t="str">
        <f t="shared" si="126"/>
        <v/>
      </c>
      <c r="BP118" s="120" t="str">
        <f t="shared" si="127"/>
        <v/>
      </c>
      <c r="BQ118" s="117" t="str">
        <f t="shared" si="147"/>
        <v xml:space="preserve">* [Official site](https://htccd.org/)
* [Parish history](https://htccd.org/history)
</v>
      </c>
      <c r="BR118" s="117" t="str">
        <f t="shared" si="148"/>
        <v/>
      </c>
      <c r="BS118" s="117" t="str">
        <f t="shared" si="149"/>
        <v/>
      </c>
      <c r="BT118" s="117" t="str">
        <f t="shared" si="150"/>
        <v/>
      </c>
      <c r="BU118" s="117" t="str">
        <f>IF(LEN(concat(BR118:BT118))&gt;0,concat("| ",BR118," | ",BS118," | ",BT118," |"),"")</f>
        <v/>
      </c>
      <c r="BV118" s="117" t="str">
        <f t="shared" si="151"/>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usa
- texas_x000D_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52"/>
        <v>#VALUE!</v>
      </c>
      <c r="CK118" s="12" t="str">
        <f t="shared" si="153"/>
        <v xml:space="preserve">| [](/places/places\us_tx-dallas-holy-trinity) </v>
      </c>
      <c r="CL118" s="13" t="str">
        <f>"| "&amp;IF(AS118,GetTagPage(C118,VLOOKUP(C118,'Country Tags'!C:E,3,)),C118)&amp; " "</f>
        <v xml:space="preserve">| [US Texas](/tags/usa
- texas) </v>
      </c>
      <c r="CM118" s="12" t="str">
        <f t="shared" si="154"/>
        <v xml:space="preserve">|  </v>
      </c>
      <c r="CN118" s="12" t="str">
        <f t="shared" si="155"/>
        <v xml:space="preserve">| [Link](/places/places\us_tx-dallas-holy-trinity) </v>
      </c>
      <c r="CO118" s="12" t="e">
        <f t="shared" si="156"/>
        <v>#VALUE!</v>
      </c>
    </row>
    <row r="119" spans="1:93" ht="127.5" x14ac:dyDescent="0.25">
      <c r="A119" s="129" t="s">
        <v>786</v>
      </c>
      <c r="B119" s="7" t="s">
        <v>1902</v>
      </c>
      <c r="C119" s="7" t="s">
        <v>1359</v>
      </c>
      <c r="D119" s="7" t="s">
        <v>1459</v>
      </c>
      <c r="E119" s="1">
        <v>32.792158999999998</v>
      </c>
      <c r="F119" s="30">
        <v>-96.806457199999997</v>
      </c>
      <c r="G119" s="55" t="s">
        <v>1478</v>
      </c>
      <c r="H119" s="61" t="s">
        <v>1479</v>
      </c>
      <c r="I119" s="7" t="s">
        <v>1248</v>
      </c>
      <c r="M119" s="55" t="s">
        <v>1480</v>
      </c>
      <c r="Q119" s="65" t="s">
        <v>1492</v>
      </c>
      <c r="R119" s="62" t="s">
        <v>1481</v>
      </c>
      <c r="S119" s="136" t="s">
        <v>1990</v>
      </c>
      <c r="T119" s="65" t="s">
        <v>1483</v>
      </c>
      <c r="U119" s="1" t="s">
        <v>1482</v>
      </c>
      <c r="V119" s="63" t="s">
        <v>53</v>
      </c>
      <c r="Z119" s="1" t="s">
        <v>1525</v>
      </c>
      <c r="AS119" s="116" t="b">
        <f t="shared" si="128"/>
        <v>1</v>
      </c>
      <c r="AT119" s="117" t="str">
        <f t="shared" si="129"/>
        <v>title: "Old Our Lady of Guadalupe Catholic Church, Dallas, TX"</v>
      </c>
      <c r="AU119" s="117" t="str">
        <f t="shared" si="130"/>
        <v>location: {lat: 32.792159, lng: -96.8064572}</v>
      </c>
      <c r="AV119" s="117" t="str">
        <f t="shared" si="131"/>
        <v>interest: local</v>
      </c>
      <c r="AW119" s="117" t="str">
        <f>"- "&amp;VLOOKUP(C119,'Country Tags'!C:E,3,)</f>
        <v>- usa
- texas</v>
      </c>
      <c r="AX119" s="117" t="str">
        <f t="shared" si="132"/>
        <v>- dallas</v>
      </c>
      <c r="AY119" s="117" t="str">
        <f t="shared" si="133"/>
        <v/>
      </c>
      <c r="AZ119" s="117" t="str">
        <f t="shared" si="134"/>
        <v/>
      </c>
      <c r="BA119" s="117" t="str">
        <f t="shared" si="135"/>
        <v/>
      </c>
      <c r="BB119" s="117" t="str">
        <f t="shared" si="136"/>
        <v>- closed</v>
      </c>
      <c r="BC119" s="117" t="str">
        <f t="shared" si="137"/>
        <v/>
      </c>
      <c r="BD119" s="117" t="str">
        <f t="shared" si="138"/>
        <v/>
      </c>
      <c r="BE119" s="117" t="str">
        <f t="shared" si="139"/>
        <v/>
      </c>
      <c r="BF119" s="117" t="str">
        <f t="shared" si="140"/>
        <v/>
      </c>
      <c r="BG119" s="117" t="str">
        <f t="shared" si="141"/>
        <v/>
      </c>
      <c r="BH119" s="117" t="str">
        <f t="shared" si="142"/>
        <v/>
      </c>
      <c r="BI119" s="117" t="str">
        <f t="shared" si="143"/>
        <v/>
      </c>
      <c r="BJ119" s="117" t="str">
        <f t="shared" si="144"/>
        <v/>
      </c>
      <c r="BK119" s="117" t="str">
        <f t="shared" si="145"/>
        <v/>
      </c>
      <c r="BL119" s="117" t="str">
        <f t="shared" si="146"/>
        <v xml:space="preserve">tags:
- usa
- texas_x000D_
- dallas_x000D_
- closed_x000D_
</v>
      </c>
      <c r="BM119" s="120" t="str">
        <f t="shared" si="124"/>
        <v/>
      </c>
      <c r="BN119" s="120" t="str">
        <f t="shared" si="125"/>
        <v>[St. Ann preservation application](https://dallascityhall.com/departments/sustainabledevelopment/historicpreservation/HP%20Documents/Landmark%20Structures/St.%20Anns%20School%20Landmark%20Nomination.pdf) - Includes section on the church's history</v>
      </c>
      <c r="BO119" s="120" t="str">
        <f t="shared" si="126"/>
        <v>[About St. Ann restauraunt](https://www.saintanndallas.com/restaurant)</v>
      </c>
      <c r="BP119" s="120" t="str">
        <f t="shared" si="127"/>
        <v/>
      </c>
      <c r="BQ119" s="117" t="str">
        <f t="shared" si="147"/>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48"/>
        <v/>
      </c>
      <c r="BS119" s="117" t="str">
        <f t="shared" si="149"/>
        <v/>
      </c>
      <c r="BT119" s="117" t="str">
        <f t="shared" si="150"/>
        <v/>
      </c>
      <c r="BU119" s="117" t="str">
        <f>IF(LEN(concat(BR119:BT119))&gt;0,concat("| ",BR119," | ",BS119," | ",BT119," |"),"")</f>
        <v/>
      </c>
      <c r="BV119" s="117" t="str">
        <f t="shared" si="151"/>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52"/>
        <v>#VALUE!</v>
      </c>
      <c r="CK119" s="12" t="str">
        <f t="shared" si="153"/>
        <v xml:space="preserve">| [](/places/places\us_tx-dallas-old-guadalupe) </v>
      </c>
      <c r="CL119" s="13" t="str">
        <f>"| "&amp;IF(AS119,GetTagPage(C119,VLOOKUP(C119,'Country Tags'!C:E,3,)),C119)&amp; " "</f>
        <v xml:space="preserve">| [US Texas](/tags/usa
- texas) </v>
      </c>
      <c r="CM119" s="12" t="str">
        <f t="shared" si="154"/>
        <v xml:space="preserve">|  </v>
      </c>
      <c r="CN119" s="12" t="str">
        <f t="shared" si="155"/>
        <v xml:space="preserve">| [Link](/places/places\us_tx-dallas-old-guadalupe) </v>
      </c>
      <c r="CO119" s="12" t="e">
        <f t="shared" si="156"/>
        <v>#VALUE!</v>
      </c>
    </row>
    <row r="120" spans="1:93" ht="63.75" x14ac:dyDescent="0.25">
      <c r="A120" s="129" t="s">
        <v>786</v>
      </c>
      <c r="B120" s="7" t="s">
        <v>1902</v>
      </c>
      <c r="C120" s="7" t="s">
        <v>1359</v>
      </c>
      <c r="D120" s="7" t="s">
        <v>1459</v>
      </c>
      <c r="E120" s="1">
        <v>32.775131000000002</v>
      </c>
      <c r="F120" s="30">
        <v>-96.787789000000004</v>
      </c>
      <c r="G120" s="7" t="s">
        <v>1484</v>
      </c>
      <c r="H120" s="61" t="s">
        <v>1876</v>
      </c>
      <c r="I120" s="7" t="s">
        <v>1248</v>
      </c>
      <c r="M120" s="55" t="s">
        <v>1485</v>
      </c>
      <c r="Q120" s="65" t="s">
        <v>1486</v>
      </c>
      <c r="R120" s="1" t="s">
        <v>1487</v>
      </c>
      <c r="S120" s="63" t="s">
        <v>53</v>
      </c>
      <c r="Z120" s="1" t="s">
        <v>1525</v>
      </c>
      <c r="AS120" s="116" t="b">
        <f t="shared" si="128"/>
        <v>1</v>
      </c>
      <c r="AT120" s="117" t="str">
        <f t="shared" si="129"/>
        <v>title: "Old St. Patrick Catholic Church, Dallas, TX"</v>
      </c>
      <c r="AU120" s="117" t="str">
        <f t="shared" si="130"/>
        <v>location: {lat: 32.775131, lng: -96.787789}</v>
      </c>
      <c r="AV120" s="117" t="str">
        <f t="shared" si="131"/>
        <v>interest: local</v>
      </c>
      <c r="AW120" s="117" t="str">
        <f>"- "&amp;VLOOKUP(C120,'Country Tags'!C:E,3,)</f>
        <v>- usa
- texas</v>
      </c>
      <c r="AX120" s="117" t="str">
        <f t="shared" si="132"/>
        <v>- dallas</v>
      </c>
      <c r="AY120" s="117" t="str">
        <f t="shared" si="133"/>
        <v/>
      </c>
      <c r="AZ120" s="117" t="str">
        <f t="shared" si="134"/>
        <v/>
      </c>
      <c r="BA120" s="117" t="str">
        <f t="shared" si="135"/>
        <v/>
      </c>
      <c r="BB120" s="117" t="str">
        <f t="shared" si="136"/>
        <v>- closed</v>
      </c>
      <c r="BC120" s="117" t="str">
        <f t="shared" si="137"/>
        <v/>
      </c>
      <c r="BD120" s="117" t="str">
        <f t="shared" si="138"/>
        <v/>
      </c>
      <c r="BE120" s="117" t="str">
        <f t="shared" si="139"/>
        <v/>
      </c>
      <c r="BF120" s="117" t="str">
        <f t="shared" si="140"/>
        <v/>
      </c>
      <c r="BG120" s="117" t="str">
        <f t="shared" si="141"/>
        <v/>
      </c>
      <c r="BH120" s="117" t="str">
        <f t="shared" si="142"/>
        <v/>
      </c>
      <c r="BI120" s="117" t="str">
        <f t="shared" si="143"/>
        <v/>
      </c>
      <c r="BJ120" s="117" t="str">
        <f t="shared" si="144"/>
        <v/>
      </c>
      <c r="BK120" s="117" t="str">
        <f t="shared" si="145"/>
        <v/>
      </c>
      <c r="BL120" s="117" t="str">
        <f t="shared" si="146"/>
        <v xml:space="preserve">tags:
- usa
- texas_x000D_
- dallas_x000D_
- closed_x000D_
</v>
      </c>
      <c r="BM120" s="120" t="str">
        <f t="shared" si="124"/>
        <v/>
      </c>
      <c r="BN120" s="120" t="str">
        <f t="shared" si="125"/>
        <v>[Article about St. Patrick](https://cityofdallaspreservation.wordpress.com/2018/03/16/the-old-st-patrick-roman-catholic-church-in-dallas-gone-but-not-forgotten)</v>
      </c>
      <c r="BO120" s="120" t="str">
        <f t="shared" si="126"/>
        <v/>
      </c>
      <c r="BP120" s="120" t="str">
        <f t="shared" si="127"/>
        <v/>
      </c>
      <c r="BQ120" s="117" t="str">
        <f t="shared" si="147"/>
        <v xml:space="preserve">* [Article about St. Patrick](https://cityofdallaspreservation.wordpress.com/2018/03/16/the-old-st-patrick-roman-catholic-church-in-dallas-gone-but-not-forgotten)
</v>
      </c>
      <c r="BR120" s="117" t="str">
        <f t="shared" si="148"/>
        <v/>
      </c>
      <c r="BS120" s="117" t="str">
        <f t="shared" si="149"/>
        <v/>
      </c>
      <c r="BT120" s="117" t="str">
        <f t="shared" si="150"/>
        <v/>
      </c>
      <c r="BU120" s="117" t="str">
        <f>IF(LEN(concat(BR120:BT120))&gt;0,concat("| ",BR120," | ",BS120," | ",BT120," |"),"")</f>
        <v/>
      </c>
      <c r="BV120" s="117" t="str">
        <f t="shared" si="151"/>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52"/>
        <v>#VALUE!</v>
      </c>
      <c r="CK120" s="12" t="str">
        <f t="shared" si="153"/>
        <v xml:space="preserve">| [](/places/places\us_tx-dallas-old-st-patrick) </v>
      </c>
      <c r="CL120" s="13" t="str">
        <f>"| "&amp;IF(AS120,GetTagPage(C120,VLOOKUP(C120,'Country Tags'!C:E,3,)),C120)&amp; " "</f>
        <v xml:space="preserve">| [US Texas](/tags/usa
- texas) </v>
      </c>
      <c r="CM120" s="12" t="str">
        <f t="shared" si="154"/>
        <v xml:space="preserve">|  </v>
      </c>
      <c r="CN120" s="12" t="str">
        <f t="shared" si="155"/>
        <v xml:space="preserve">| [Link](/places/places\us_tx-dallas-old-st-patrick) </v>
      </c>
      <c r="CO120" s="12" t="e">
        <f t="shared" si="156"/>
        <v>#VALUE!</v>
      </c>
    </row>
    <row r="121" spans="1:93" ht="127.5" x14ac:dyDescent="0.25">
      <c r="A121" s="129" t="s">
        <v>786</v>
      </c>
      <c r="B121" s="7" t="s">
        <v>1902</v>
      </c>
      <c r="C121" s="7" t="s">
        <v>1359</v>
      </c>
      <c r="D121" s="7" t="s">
        <v>1459</v>
      </c>
      <c r="E121" s="1">
        <v>32.795627000000003</v>
      </c>
      <c r="F121" s="30">
        <v>-96.782279000000003</v>
      </c>
      <c r="G121" s="55" t="s">
        <v>1488</v>
      </c>
      <c r="H121" s="61" t="s">
        <v>1489</v>
      </c>
      <c r="I121" s="7" t="s">
        <v>1248</v>
      </c>
      <c r="M121" s="55" t="s">
        <v>1490</v>
      </c>
      <c r="Q121" s="65" t="s">
        <v>1491</v>
      </c>
      <c r="R121" s="1" t="s">
        <v>1493</v>
      </c>
      <c r="S121" s="133" t="s">
        <v>1989</v>
      </c>
      <c r="T121" s="67" t="s">
        <v>1494</v>
      </c>
      <c r="U121" s="62" t="s">
        <v>1495</v>
      </c>
      <c r="V121" s="133" t="s">
        <v>1991</v>
      </c>
      <c r="W121" s="1" t="s">
        <v>1496</v>
      </c>
      <c r="X121" s="62" t="s">
        <v>1497</v>
      </c>
      <c r="Y121" s="70" t="s">
        <v>53</v>
      </c>
      <c r="Z121" s="1" t="s">
        <v>1525</v>
      </c>
      <c r="AS121" s="116" t="b">
        <f t="shared" si="128"/>
        <v>1</v>
      </c>
      <c r="AT121" s="117" t="str">
        <f t="shared" si="129"/>
        <v>title: "Old Ursuline Academy, Dallas, TX"</v>
      </c>
      <c r="AU121" s="117" t="str">
        <f t="shared" si="130"/>
        <v>location: {lat: 32.795627, lng: -96.782279}</v>
      </c>
      <c r="AV121" s="117" t="str">
        <f t="shared" si="131"/>
        <v>interest: local</v>
      </c>
      <c r="AW121" s="117" t="str">
        <f>"- "&amp;VLOOKUP(C121,'Country Tags'!C:E,3,)</f>
        <v>- usa
- texas</v>
      </c>
      <c r="AX121" s="117" t="str">
        <f t="shared" si="132"/>
        <v>- dallas</v>
      </c>
      <c r="AY121" s="117" t="str">
        <f t="shared" si="133"/>
        <v/>
      </c>
      <c r="AZ121" s="117" t="str">
        <f t="shared" si="134"/>
        <v/>
      </c>
      <c r="BA121" s="117" t="str">
        <f t="shared" si="135"/>
        <v/>
      </c>
      <c r="BB121" s="117" t="str">
        <f t="shared" si="136"/>
        <v>- closed</v>
      </c>
      <c r="BC121" s="117" t="str">
        <f t="shared" si="137"/>
        <v/>
      </c>
      <c r="BD121" s="117" t="str">
        <f t="shared" si="138"/>
        <v/>
      </c>
      <c r="BE121" s="117" t="str">
        <f t="shared" si="139"/>
        <v/>
      </c>
      <c r="BF121" s="117" t="str">
        <f t="shared" si="140"/>
        <v/>
      </c>
      <c r="BG121" s="117" t="str">
        <f t="shared" si="141"/>
        <v/>
      </c>
      <c r="BH121" s="117" t="str">
        <f t="shared" si="142"/>
        <v/>
      </c>
      <c r="BI121" s="117" t="str">
        <f t="shared" si="143"/>
        <v/>
      </c>
      <c r="BJ121" s="117" t="str">
        <f t="shared" si="144"/>
        <v/>
      </c>
      <c r="BK121" s="117" t="str">
        <f t="shared" si="145"/>
        <v/>
      </c>
      <c r="BL121" s="117" t="str">
        <f t="shared" si="146"/>
        <v xml:space="preserve">tags:
- usa
- texas_x000D_
- dallas_x000D_
- closed_x000D_
</v>
      </c>
      <c r="BM121" s="120" t="str">
        <f t="shared" si="124"/>
        <v/>
      </c>
      <c r="BN121" s="120" t="str">
        <f t="shared" si="125"/>
        <v>[Ursuline history article](https://www.ursulinedallas.org/mission/heritage) - Includes pictures of this convent</v>
      </c>
      <c r="BO121" s="120" t="str">
        <f t="shared" si="126"/>
        <v>[Additional Ursuline history article](https://www.tshaonline.org/handbook/entries/ursuline-academy-dallas) - Includes pictures</v>
      </c>
      <c r="BP121" s="120" t="str">
        <f t="shared" si="127"/>
        <v>[Convent in the 1922 Sanborn map](https://maps.lib.utexas.edu/maps/sanborn/d-f/txu-sanborn-dallas-1922-315.jpg)</v>
      </c>
      <c r="BQ121" s="117" t="str">
        <f t="shared" si="147"/>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48"/>
        <v/>
      </c>
      <c r="BS121" s="117" t="str">
        <f t="shared" si="149"/>
        <v/>
      </c>
      <c r="BT121" s="117" t="str">
        <f t="shared" si="150"/>
        <v/>
      </c>
      <c r="BU121" s="117" t="str">
        <f>IF(LEN(concat(BR121:BT121))&gt;0,concat("| ",BR121," | ",BS121," | ",BT121," |"),"")</f>
        <v/>
      </c>
      <c r="BV121" s="117" t="str">
        <f t="shared" si="151"/>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52"/>
        <v>#VALUE!</v>
      </c>
      <c r="CK121" s="12" t="str">
        <f t="shared" si="153"/>
        <v xml:space="preserve">| [](/places/places\us_tx-dallas-old-ursuline) </v>
      </c>
      <c r="CL121" s="13" t="str">
        <f>"| "&amp;IF(AS121,GetTagPage(C121,VLOOKUP(C121,'Country Tags'!C:E,3,)),C121)&amp; " "</f>
        <v xml:space="preserve">| [US Texas](/tags/usa
- texas) </v>
      </c>
      <c r="CM121" s="12" t="str">
        <f t="shared" si="154"/>
        <v xml:space="preserve">|  </v>
      </c>
      <c r="CN121" s="12" t="str">
        <f t="shared" si="155"/>
        <v xml:space="preserve">| [Link](/places/places\us_tx-dallas-old-ursuline) </v>
      </c>
      <c r="CO121" s="12" t="e">
        <f t="shared" si="156"/>
        <v>#VALUE!</v>
      </c>
    </row>
    <row r="122" spans="1:93" ht="102" x14ac:dyDescent="0.25">
      <c r="A122" s="129" t="s">
        <v>786</v>
      </c>
      <c r="B122" s="7" t="s">
        <v>1902</v>
      </c>
      <c r="C122" s="7" t="s">
        <v>1359</v>
      </c>
      <c r="D122" s="7" t="s">
        <v>1459</v>
      </c>
      <c r="E122" s="1">
        <v>32.794211099999998</v>
      </c>
      <c r="F122" s="30">
        <v>-96.788927799999996</v>
      </c>
      <c r="G122" s="55" t="s">
        <v>1498</v>
      </c>
      <c r="H122" s="61" t="s">
        <v>1877</v>
      </c>
      <c r="I122" s="7" t="s">
        <v>1248</v>
      </c>
      <c r="M122" s="55" t="s">
        <v>1499</v>
      </c>
      <c r="Q122" s="65" t="s">
        <v>1500</v>
      </c>
      <c r="R122" s="1" t="s">
        <v>1501</v>
      </c>
      <c r="S122" s="63" t="s">
        <v>53</v>
      </c>
      <c r="T122" s="65" t="s">
        <v>1503</v>
      </c>
      <c r="U122" s="1" t="s">
        <v>1502</v>
      </c>
      <c r="V122" s="63" t="s">
        <v>53</v>
      </c>
      <c r="W122" s="62" t="s">
        <v>1504</v>
      </c>
      <c r="X122" s="64" t="s">
        <v>1505</v>
      </c>
      <c r="Y122" s="70" t="s">
        <v>53</v>
      </c>
      <c r="Z122" s="1" t="s">
        <v>1525</v>
      </c>
      <c r="AS122" s="116" t="b">
        <f t="shared" si="128"/>
        <v>1</v>
      </c>
      <c r="AT122" s="117" t="str">
        <f t="shared" si="129"/>
        <v>title: "Old St. Paul Sanitarium, Dallas, TX"</v>
      </c>
      <c r="AU122" s="117" t="str">
        <f t="shared" si="130"/>
        <v>location: {lat: 32.7942111, lng: -96.7889278}</v>
      </c>
      <c r="AV122" s="117" t="str">
        <f t="shared" si="131"/>
        <v>interest: local</v>
      </c>
      <c r="AW122" s="117" t="str">
        <f>"- "&amp;VLOOKUP(C122,'Country Tags'!C:E,3,)</f>
        <v>- usa
- texas</v>
      </c>
      <c r="AX122" s="117" t="str">
        <f t="shared" si="132"/>
        <v>- dallas</v>
      </c>
      <c r="AY122" s="117" t="str">
        <f t="shared" si="133"/>
        <v/>
      </c>
      <c r="AZ122" s="117" t="str">
        <f t="shared" si="134"/>
        <v/>
      </c>
      <c r="BA122" s="117" t="str">
        <f t="shared" si="135"/>
        <v/>
      </c>
      <c r="BB122" s="117" t="str">
        <f t="shared" si="136"/>
        <v>- closed</v>
      </c>
      <c r="BC122" s="117" t="str">
        <f t="shared" si="137"/>
        <v/>
      </c>
      <c r="BD122" s="117" t="str">
        <f t="shared" si="138"/>
        <v/>
      </c>
      <c r="BE122" s="117" t="str">
        <f t="shared" si="139"/>
        <v/>
      </c>
      <c r="BF122" s="117" t="str">
        <f t="shared" si="140"/>
        <v/>
      </c>
      <c r="BG122" s="117" t="str">
        <f t="shared" si="141"/>
        <v/>
      </c>
      <c r="BH122" s="117" t="str">
        <f t="shared" si="142"/>
        <v/>
      </c>
      <c r="BI122" s="117" t="str">
        <f t="shared" si="143"/>
        <v/>
      </c>
      <c r="BJ122" s="117" t="str">
        <f t="shared" si="144"/>
        <v/>
      </c>
      <c r="BK122" s="117" t="str">
        <f t="shared" si="145"/>
        <v/>
      </c>
      <c r="BL122" s="117" t="str">
        <f t="shared" si="146"/>
        <v xml:space="preserve">tags:
- usa
- texas_x000D_
- dallas_x000D_
- closed_x000D_
</v>
      </c>
      <c r="BM122" s="120" t="str">
        <f t="shared" si="124"/>
        <v/>
      </c>
      <c r="BN122" s="120" t="str">
        <f t="shared" si="125"/>
        <v>[History of St. Paul Sanitarium](https://cityofdallaspreservation.wordpress.com/2020/04/01/st-pauls-sanitarium-in-dallas-tx/)</v>
      </c>
      <c r="BO122" s="120" t="str">
        <f t="shared" si="126"/>
        <v>[UT Southwestern pamphlet on St. Paul's history](https://www.utsouthwestern.edu/edumedia/edufiles/about_us/Giving/st-paul-mag-2015.pdf)</v>
      </c>
      <c r="BP122" s="120" t="str">
        <f t="shared" si="127"/>
        <v>[Sanitarium in the 1921 Sanborn map](https://maps.lib.utexas.edu/maps/sanborn/d-f/txu-sanborn-dallas-1921-38.jpg)</v>
      </c>
      <c r="BQ122" s="117" t="str">
        <f t="shared" si="1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48"/>
        <v/>
      </c>
      <c r="BS122" s="117" t="str">
        <f t="shared" si="149"/>
        <v/>
      </c>
      <c r="BT122" s="117" t="str">
        <f t="shared" si="150"/>
        <v/>
      </c>
      <c r="BU122" s="117" t="str">
        <f>IF(LEN(concat(BR122:BT122))&gt;0,concat("| ",BR122," | ",BS122," | ",BT122," |"),"")</f>
        <v/>
      </c>
      <c r="BV122" s="117" t="str">
        <f t="shared" si="151"/>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52"/>
        <v>#VALUE!</v>
      </c>
      <c r="CK122" s="12" t="str">
        <f t="shared" si="153"/>
        <v xml:space="preserve">| [](/places/places\us_tx-dallas-old-st-paul) </v>
      </c>
      <c r="CL122" s="13" t="str">
        <f>"| "&amp;IF(AS122,GetTagPage(C122,VLOOKUP(C122,'Country Tags'!C:E,3,)),C122)&amp; " "</f>
        <v xml:space="preserve">| [US Texas](/tags/usa
- texas) </v>
      </c>
      <c r="CM122" s="12" t="str">
        <f t="shared" si="154"/>
        <v xml:space="preserve">|  </v>
      </c>
      <c r="CN122" s="12" t="str">
        <f t="shared" si="155"/>
        <v xml:space="preserve">| [Link](/places/places\us_tx-dallas-old-st-paul) </v>
      </c>
      <c r="CO122" s="12" t="e">
        <f t="shared" si="156"/>
        <v>#VALUE!</v>
      </c>
    </row>
    <row r="123" spans="1:93" ht="178.5" x14ac:dyDescent="0.25">
      <c r="A123" s="129" t="s">
        <v>786</v>
      </c>
      <c r="B123" s="7" t="s">
        <v>1902</v>
      </c>
      <c r="C123" s="7" t="s">
        <v>1359</v>
      </c>
      <c r="D123" s="7" t="s">
        <v>1459</v>
      </c>
      <c r="E123" s="1">
        <v>32.814343000000001</v>
      </c>
      <c r="F123" s="30">
        <v>-96.801815099999999</v>
      </c>
      <c r="G123" s="55" t="s">
        <v>1506</v>
      </c>
      <c r="H123" s="61" t="s">
        <v>1507</v>
      </c>
      <c r="I123" s="7" t="s">
        <v>1248</v>
      </c>
      <c r="M123" s="55" t="s">
        <v>1508</v>
      </c>
      <c r="Q123" s="40" t="s">
        <v>1509</v>
      </c>
      <c r="R123" s="1" t="s">
        <v>1510</v>
      </c>
      <c r="S123" s="63" t="s">
        <v>53</v>
      </c>
      <c r="Z123" s="1" t="s">
        <v>1525</v>
      </c>
      <c r="AS123" s="116" t="b">
        <f t="shared" si="128"/>
        <v>1</v>
      </c>
      <c r="AT123" s="117" t="str">
        <f t="shared" si="129"/>
        <v>title: "Old Trinity College / Dallas University / Jesuit Dallas"</v>
      </c>
      <c r="AU123" s="117" t="str">
        <f t="shared" si="130"/>
        <v>location: {lat: 32.814343, lng: -96.8018151}</v>
      </c>
      <c r="AV123" s="117" t="str">
        <f t="shared" si="131"/>
        <v>interest: local</v>
      </c>
      <c r="AW123" s="117" t="str">
        <f>"- "&amp;VLOOKUP(C123,'Country Tags'!C:E,3,)</f>
        <v>- usa
- texas</v>
      </c>
      <c r="AX123" s="117" t="str">
        <f t="shared" si="132"/>
        <v>- dallas</v>
      </c>
      <c r="AY123" s="117" t="str">
        <f t="shared" si="133"/>
        <v/>
      </c>
      <c r="AZ123" s="117" t="str">
        <f t="shared" si="134"/>
        <v/>
      </c>
      <c r="BA123" s="117" t="str">
        <f t="shared" si="135"/>
        <v/>
      </c>
      <c r="BB123" s="117" t="str">
        <f t="shared" si="136"/>
        <v>- closed</v>
      </c>
      <c r="BC123" s="117" t="str">
        <f t="shared" si="137"/>
        <v/>
      </c>
      <c r="BD123" s="117" t="str">
        <f t="shared" si="138"/>
        <v/>
      </c>
      <c r="BE123" s="117" t="str">
        <f t="shared" si="139"/>
        <v/>
      </c>
      <c r="BF123" s="117" t="str">
        <f t="shared" si="140"/>
        <v/>
      </c>
      <c r="BG123" s="117" t="str">
        <f t="shared" si="141"/>
        <v/>
      </c>
      <c r="BH123" s="117" t="str">
        <f t="shared" si="142"/>
        <v/>
      </c>
      <c r="BI123" s="117" t="str">
        <f t="shared" si="143"/>
        <v/>
      </c>
      <c r="BJ123" s="117" t="str">
        <f t="shared" si="144"/>
        <v/>
      </c>
      <c r="BK123" s="117" t="str">
        <f t="shared" si="145"/>
        <v/>
      </c>
      <c r="BL123" s="117" t="str">
        <f t="shared" si="146"/>
        <v xml:space="preserve">tags:
- usa
- texas_x000D_
- dallas_x000D_
- closed_x000D_
</v>
      </c>
      <c r="BM123" s="120" t="str">
        <f t="shared" si="124"/>
        <v/>
      </c>
      <c r="BN123" s="120" t="str">
        <f t="shared" si="125"/>
        <v>[School in the 1922 Sanborn map](https://maps.lib.utexas.edu/maps/sanborn/d-f/txu-sanborn-dallas-1921-287.jpg)</v>
      </c>
      <c r="BO123" s="120" t="str">
        <f t="shared" si="126"/>
        <v/>
      </c>
      <c r="BP123" s="120" t="str">
        <f t="shared" si="127"/>
        <v/>
      </c>
      <c r="BQ123" s="117" t="str">
        <f t="shared" si="147"/>
        <v xml:space="preserve">* [School in the 1922 Sanborn map](https://maps.lib.utexas.edu/maps/sanborn/d-f/txu-sanborn-dallas-1921-287.jpg)
</v>
      </c>
      <c r="BR123" s="117" t="str">
        <f t="shared" si="148"/>
        <v/>
      </c>
      <c r="BS123" s="117" t="str">
        <f t="shared" si="149"/>
        <v/>
      </c>
      <c r="BT123" s="117" t="str">
        <f t="shared" si="150"/>
        <v/>
      </c>
      <c r="BU123" s="117" t="str">
        <f>IF(LEN(concat(BR123:BT123))&gt;0,concat("| ",BR123," | ",BS123," | ",BT123," |"),"")</f>
        <v/>
      </c>
      <c r="BV123" s="117" t="str">
        <f t="shared" si="151"/>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52"/>
        <v>#VALUE!</v>
      </c>
      <c r="CK123" s="12" t="str">
        <f t="shared" si="153"/>
        <v xml:space="preserve">| [](/places/places\us_tx-dallas-old-trinity-college) </v>
      </c>
      <c r="CL123" s="13" t="str">
        <f>"| "&amp;IF(AS123,GetTagPage(C123,VLOOKUP(C123,'Country Tags'!C:E,3,)),C123)&amp; " "</f>
        <v xml:space="preserve">| [US Texas](/tags/usa
- texas) </v>
      </c>
      <c r="CM123" s="12" t="str">
        <f t="shared" si="154"/>
        <v xml:space="preserve">|  </v>
      </c>
      <c r="CN123" s="12" t="str">
        <f t="shared" si="155"/>
        <v xml:space="preserve">| [Link](/places/places\us_tx-dallas-old-trinity-college) </v>
      </c>
      <c r="CO123" s="12" t="e">
        <f t="shared" si="156"/>
        <v>#VALUE!</v>
      </c>
    </row>
    <row r="124" spans="1:93" ht="127.5" x14ac:dyDescent="0.25">
      <c r="A124" s="129" t="s">
        <v>786</v>
      </c>
      <c r="B124" s="7" t="s">
        <v>1902</v>
      </c>
      <c r="C124" s="7" t="s">
        <v>1359</v>
      </c>
      <c r="D124" s="7" t="s">
        <v>1459</v>
      </c>
      <c r="E124" s="1">
        <v>32.787603699999998</v>
      </c>
      <c r="F124" s="30">
        <v>-96.787011800000002</v>
      </c>
      <c r="G124" s="55" t="s">
        <v>1515</v>
      </c>
      <c r="H124" s="61" t="s">
        <v>1878</v>
      </c>
      <c r="I124" s="7" t="s">
        <v>1248</v>
      </c>
      <c r="M124" s="55" t="s">
        <v>1516</v>
      </c>
      <c r="Q124" s="40" t="s">
        <v>1517</v>
      </c>
      <c r="R124" s="1" t="s">
        <v>1518</v>
      </c>
      <c r="S124" s="63" t="s">
        <v>53</v>
      </c>
      <c r="T124" s="40" t="s">
        <v>1519</v>
      </c>
      <c r="U124" s="1" t="s">
        <v>1520</v>
      </c>
      <c r="V124" s="63" t="s">
        <v>53</v>
      </c>
      <c r="Z124" s="62" t="s">
        <v>1525</v>
      </c>
      <c r="AS124" s="116" t="b">
        <f t="shared" si="128"/>
        <v>1</v>
      </c>
      <c r="AT124" s="117" t="str">
        <f t="shared" si="129"/>
        <v>title: "Old St. Joseph Catholic Church, Dallas, TX"</v>
      </c>
      <c r="AU124" s="117" t="str">
        <f t="shared" si="130"/>
        <v>location: {lat: 32.7876037, lng: -96.7870118}</v>
      </c>
      <c r="AV124" s="117" t="str">
        <f t="shared" si="131"/>
        <v>interest: local</v>
      </c>
      <c r="AW124" s="117" t="str">
        <f>"- "&amp;VLOOKUP(C124,'Country Tags'!C:E,3,)</f>
        <v>- usa
- texas</v>
      </c>
      <c r="AX124" s="117" t="str">
        <f t="shared" si="132"/>
        <v>- dallas</v>
      </c>
      <c r="AY124" s="117" t="str">
        <f t="shared" si="133"/>
        <v/>
      </c>
      <c r="AZ124" s="117" t="str">
        <f t="shared" si="134"/>
        <v/>
      </c>
      <c r="BA124" s="117" t="str">
        <f t="shared" si="135"/>
        <v/>
      </c>
      <c r="BB124" s="117" t="str">
        <f t="shared" si="136"/>
        <v>- closed</v>
      </c>
      <c r="BC124" s="117" t="str">
        <f t="shared" si="137"/>
        <v/>
      </c>
      <c r="BD124" s="117" t="str">
        <f t="shared" si="138"/>
        <v/>
      </c>
      <c r="BE124" s="117" t="str">
        <f t="shared" si="139"/>
        <v/>
      </c>
      <c r="BF124" s="117" t="str">
        <f t="shared" si="140"/>
        <v/>
      </c>
      <c r="BG124" s="117" t="str">
        <f t="shared" si="141"/>
        <v/>
      </c>
      <c r="BH124" s="117" t="str">
        <f t="shared" si="142"/>
        <v/>
      </c>
      <c r="BI124" s="117" t="str">
        <f t="shared" si="143"/>
        <v/>
      </c>
      <c r="BJ124" s="117" t="str">
        <f t="shared" si="144"/>
        <v/>
      </c>
      <c r="BK124" s="117" t="str">
        <f t="shared" si="145"/>
        <v/>
      </c>
      <c r="BL124" s="117" t="str">
        <f t="shared" si="146"/>
        <v xml:space="preserve">tags:
- usa
- texas_x000D_
- dallas_x000D_
- closed_x000D_
</v>
      </c>
      <c r="BM124" s="120" t="str">
        <f t="shared" si="124"/>
        <v/>
      </c>
      <c r="BN124" s="120" t="str">
        <f t="shared" si="125"/>
        <v>[Historical site nomination form](https://dallascityhall.com/departments/sustainabledevelopment/historicpreservation/HP%20Documents/Landmark%20Structures/St%20Josephs%20Catholic%20Church%20Landmark%20Nomination.pdf)</v>
      </c>
      <c r="BO124" s="120" t="str">
        <f t="shared" si="126"/>
        <v>[Historical site page](https://dallascityhall.com/departments/sustainabledevelopment/historicpreservation/Pages/St-Josephs-Catholic-Church-.aspx)</v>
      </c>
      <c r="BP124" s="120" t="str">
        <f t="shared" si="127"/>
        <v/>
      </c>
      <c r="BQ124" s="117" t="str">
        <f t="shared" si="147"/>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48"/>
        <v/>
      </c>
      <c r="BS124" s="117" t="str">
        <f t="shared" si="149"/>
        <v/>
      </c>
      <c r="BT124" s="117" t="str">
        <f t="shared" si="150"/>
        <v/>
      </c>
      <c r="BU124" s="117" t="str">
        <f>IF(LEN(concat(BR124:BT124))&gt;0,concat("| ",BR124," | ",BS124," | ",BT124," |"),"")</f>
        <v/>
      </c>
      <c r="BV124" s="117" t="str">
        <f t="shared" si="151"/>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52"/>
        <v>#VALUE!</v>
      </c>
      <c r="CK124" s="12" t="str">
        <f t="shared" si="153"/>
        <v xml:space="preserve">| [](/places/places\us_tx-dallas-old-st-joseph) </v>
      </c>
      <c r="CL124" s="13" t="str">
        <f>"| "&amp;IF(AS124,GetTagPage(C124,VLOOKUP(C124,'Country Tags'!C:E,3,)),C124)&amp; " "</f>
        <v xml:space="preserve">| [US Texas](/tags/usa
- texas) </v>
      </c>
      <c r="CM124" s="12" t="str">
        <f t="shared" si="154"/>
        <v xml:space="preserve">|  </v>
      </c>
      <c r="CN124" s="12" t="str">
        <f t="shared" si="155"/>
        <v xml:space="preserve">| [Link](/places/places\us_tx-dallas-old-st-joseph) </v>
      </c>
      <c r="CO124" s="12" t="e">
        <f t="shared" si="156"/>
        <v>#VALUE!</v>
      </c>
    </row>
    <row r="125" spans="1:93" ht="89.25" x14ac:dyDescent="0.25">
      <c r="A125" s="129" t="s">
        <v>786</v>
      </c>
      <c r="B125" s="7" t="s">
        <v>1902</v>
      </c>
      <c r="C125" s="7" t="s">
        <v>1359</v>
      </c>
      <c r="D125" s="7" t="s">
        <v>1459</v>
      </c>
      <c r="E125" s="1">
        <v>32.788721000000002</v>
      </c>
      <c r="F125" s="30">
        <v>-96.772652600000001</v>
      </c>
      <c r="G125" s="7" t="s">
        <v>1511</v>
      </c>
      <c r="H125" s="61" t="s">
        <v>1879</v>
      </c>
      <c r="I125" s="7" t="s">
        <v>1248</v>
      </c>
      <c r="J125" s="7" t="b">
        <v>1</v>
      </c>
      <c r="M125" s="55" t="s">
        <v>1512</v>
      </c>
      <c r="O125" s="62" t="s">
        <v>1514</v>
      </c>
      <c r="P125" s="64" t="s">
        <v>53</v>
      </c>
      <c r="Q125" s="65" t="s">
        <v>1472</v>
      </c>
      <c r="R125" s="1" t="s">
        <v>1513</v>
      </c>
      <c r="S125" s="63" t="s">
        <v>53</v>
      </c>
      <c r="Z125" s="62"/>
      <c r="AS125" s="116" t="b">
        <f t="shared" si="128"/>
        <v>1</v>
      </c>
      <c r="AT125" s="117" t="str">
        <f t="shared" si="129"/>
        <v>title: "St. Edward the Confessor Catholic Church, Dallas, TX"</v>
      </c>
      <c r="AU125" s="117" t="str">
        <f t="shared" si="130"/>
        <v>location: {lat: 32.788721, lng: -96.7726526}</v>
      </c>
      <c r="AV125" s="117" t="str">
        <f t="shared" si="131"/>
        <v>interest: local</v>
      </c>
      <c r="AW125" s="117" t="str">
        <f>"- "&amp;VLOOKUP(C125,'Country Tags'!C:E,3,)</f>
        <v>- usa
- texas</v>
      </c>
      <c r="AX125" s="117" t="str">
        <f t="shared" si="132"/>
        <v>- dallas</v>
      </c>
      <c r="AY125" s="117" t="str">
        <f t="shared" si="133"/>
        <v>- churches</v>
      </c>
      <c r="AZ125" s="117" t="str">
        <f t="shared" si="134"/>
        <v/>
      </c>
      <c r="BA125" s="117" t="str">
        <f t="shared" si="135"/>
        <v/>
      </c>
      <c r="BB125" s="117" t="str">
        <f t="shared" si="136"/>
        <v/>
      </c>
      <c r="BC125" s="117" t="str">
        <f t="shared" si="137"/>
        <v/>
      </c>
      <c r="BD125" s="117" t="str">
        <f t="shared" si="138"/>
        <v/>
      </c>
      <c r="BE125" s="117" t="str">
        <f t="shared" si="139"/>
        <v/>
      </c>
      <c r="BF125" s="117" t="str">
        <f t="shared" si="140"/>
        <v/>
      </c>
      <c r="BG125" s="117" t="str">
        <f t="shared" si="141"/>
        <v/>
      </c>
      <c r="BH125" s="117" t="str">
        <f t="shared" si="142"/>
        <v/>
      </c>
      <c r="BI125" s="117" t="str">
        <f t="shared" si="143"/>
        <v/>
      </c>
      <c r="BJ125" s="117" t="str">
        <f t="shared" si="144"/>
        <v/>
      </c>
      <c r="BK125" s="117" t="str">
        <f t="shared" si="145"/>
        <v/>
      </c>
      <c r="BL125" s="117" t="str">
        <f t="shared" si="146"/>
        <v xml:space="preserve">tags:
- usa
- texas_x000D_
- dallas_x000D_
- churches_x000D_
</v>
      </c>
      <c r="BM125" s="120" t="str">
        <f t="shared" si="124"/>
        <v>[Official site](https://stedwardparish.org/)</v>
      </c>
      <c r="BN125" s="120" t="str">
        <f t="shared" si="125"/>
        <v>[Parish history](https://stedwardparish.org/history-)</v>
      </c>
      <c r="BO125" s="120" t="str">
        <f t="shared" si="126"/>
        <v/>
      </c>
      <c r="BP125" s="120" t="str">
        <f t="shared" si="127"/>
        <v/>
      </c>
      <c r="BQ125" s="117" t="str">
        <f t="shared" si="147"/>
        <v xml:space="preserve">* [Official site](https://stedwardparish.org/)
* [Parish history](https://stedwardparish.org/history-)
</v>
      </c>
      <c r="BR125" s="117" t="str">
        <f t="shared" si="148"/>
        <v/>
      </c>
      <c r="BS125" s="117" t="str">
        <f t="shared" si="149"/>
        <v/>
      </c>
      <c r="BT125" s="117" t="str">
        <f t="shared" si="150"/>
        <v/>
      </c>
      <c r="BU125" s="117" t="str">
        <f>IF(LEN(concat(BR125:BT125))&gt;0,concat("| ",BR125," | ",BS125," | ",BT125," |"),"")</f>
        <v/>
      </c>
      <c r="BV125" s="117" t="str">
        <f t="shared" si="151"/>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52"/>
        <v xml:space="preserve">| </v>
      </c>
      <c r="CK125" s="12" t="str">
        <f t="shared" si="153"/>
        <v xml:space="preserve">| [](/places/places\us_tx-dallas-st-edward) </v>
      </c>
      <c r="CL125" s="13" t="str">
        <f>"| "&amp;IF(AS125,GetTagPage(C125,VLOOKUP(C125,'Country Tags'!C:E,3,)),C125)&amp; " "</f>
        <v xml:space="preserve">| [US Texas](/tags/usa
- texas) </v>
      </c>
      <c r="CM125" s="12" t="str">
        <f t="shared" si="154"/>
        <v xml:space="preserve">|  </v>
      </c>
      <c r="CN125" s="12" t="str">
        <f t="shared" si="155"/>
        <v xml:space="preserve">| [Link](/places/places\us_tx-dallas-st-edward) </v>
      </c>
      <c r="CO125" s="12" t="str">
        <f t="shared" si="156"/>
        <v xml:space="preserve">
| [](/places/places\us_tx-dallas-st-edward) | [US Texas](/tags/usa
- texas) |  | [Link](/places/places\us_tx-dallas-st-edward) [Official site](https://stedwardparish.org/)| |</v>
      </c>
    </row>
    <row r="126" spans="1:93" ht="25.5" x14ac:dyDescent="0.25">
      <c r="A126" s="129" t="s">
        <v>786</v>
      </c>
      <c r="B126" s="7" t="s">
        <v>1902</v>
      </c>
      <c r="C126" s="7" t="s">
        <v>1359</v>
      </c>
      <c r="D126" s="7" t="s">
        <v>1459</v>
      </c>
      <c r="E126" s="1">
        <v>32.795037200000003</v>
      </c>
      <c r="F126" s="30">
        <v>-96.795031699999996</v>
      </c>
      <c r="G126" s="55" t="s">
        <v>1521</v>
      </c>
      <c r="H126" s="61" t="s">
        <v>1855</v>
      </c>
      <c r="I126" s="7" t="s">
        <v>1248</v>
      </c>
      <c r="J126" s="7" t="b">
        <v>1</v>
      </c>
      <c r="M126" s="55" t="s">
        <v>1522</v>
      </c>
      <c r="O126" s="62" t="s">
        <v>1524</v>
      </c>
      <c r="P126" s="64" t="s">
        <v>53</v>
      </c>
      <c r="Q126" s="40" t="s">
        <v>1472</v>
      </c>
      <c r="R126" s="1" t="s">
        <v>1523</v>
      </c>
      <c r="S126" s="63" t="s">
        <v>53</v>
      </c>
      <c r="AS126" s="116" t="b">
        <f t="shared" si="128"/>
        <v>1</v>
      </c>
      <c r="AT126" s="117" t="str">
        <f t="shared" si="129"/>
        <v>title: "St. Peter Catholic Church, Dallas, TX"</v>
      </c>
      <c r="AU126" s="117" t="str">
        <f t="shared" si="130"/>
        <v>location: {lat: 32.7950372, lng: -96.7950317}</v>
      </c>
      <c r="AV126" s="117" t="str">
        <f t="shared" si="131"/>
        <v>interest: local</v>
      </c>
      <c r="AW126" s="117" t="str">
        <f>"- "&amp;VLOOKUP(C126,'Country Tags'!C:E,3,)</f>
        <v>- usa
- texas</v>
      </c>
      <c r="AX126" s="117" t="str">
        <f t="shared" si="132"/>
        <v>- dallas</v>
      </c>
      <c r="AY126" s="117" t="str">
        <f t="shared" si="133"/>
        <v>- churches</v>
      </c>
      <c r="AZ126" s="117" t="str">
        <f t="shared" si="134"/>
        <v/>
      </c>
      <c r="BA126" s="117" t="str">
        <f t="shared" si="135"/>
        <v/>
      </c>
      <c r="BB126" s="117" t="str">
        <f t="shared" si="136"/>
        <v/>
      </c>
      <c r="BC126" s="117" t="str">
        <f t="shared" si="137"/>
        <v/>
      </c>
      <c r="BD126" s="117" t="str">
        <f t="shared" si="138"/>
        <v/>
      </c>
      <c r="BE126" s="117" t="str">
        <f t="shared" si="139"/>
        <v/>
      </c>
      <c r="BF126" s="117" t="str">
        <f t="shared" si="140"/>
        <v/>
      </c>
      <c r="BG126" s="117" t="str">
        <f t="shared" si="141"/>
        <v/>
      </c>
      <c r="BH126" s="117" t="str">
        <f t="shared" si="142"/>
        <v/>
      </c>
      <c r="BI126" s="117" t="str">
        <f t="shared" si="143"/>
        <v/>
      </c>
      <c r="BJ126" s="117" t="str">
        <f t="shared" si="144"/>
        <v/>
      </c>
      <c r="BK126" s="117" t="str">
        <f t="shared" si="145"/>
        <v/>
      </c>
      <c r="BL126" s="117" t="str">
        <f t="shared" si="146"/>
        <v xml:space="preserve">tags:
- usa
- texas_x000D_
- dallas_x000D_
- churches_x000D_
</v>
      </c>
      <c r="BM126" s="120" t="str">
        <f t="shared" si="124"/>
        <v>[Official site](https://stpeterdal.com/)</v>
      </c>
      <c r="BN126" s="120" t="str">
        <f t="shared" si="125"/>
        <v>[Parish history](https://stpeterdal.com/about/#History)</v>
      </c>
      <c r="BO126" s="120" t="str">
        <f t="shared" si="126"/>
        <v/>
      </c>
      <c r="BP126" s="120" t="str">
        <f t="shared" si="127"/>
        <v/>
      </c>
      <c r="BQ126" s="117" t="str">
        <f t="shared" si="147"/>
        <v xml:space="preserve">* [Official site](https://stpeterdal.com/)
* [Parish history](https://stpeterdal.com/about/#History)
</v>
      </c>
      <c r="BR126" s="117" t="str">
        <f t="shared" si="148"/>
        <v/>
      </c>
      <c r="BS126" s="117" t="str">
        <f t="shared" si="149"/>
        <v/>
      </c>
      <c r="BT126" s="117" t="str">
        <f t="shared" si="150"/>
        <v/>
      </c>
      <c r="BU126" s="117" t="str">
        <f>IF(LEN(concat(BR126:BT126))&gt;0,concat("| ",BR126," | ",BS126," | ",BT126," |"),"")</f>
        <v/>
      </c>
      <c r="BV126" s="117" t="str">
        <f t="shared" si="151"/>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usa
- texas_x000D_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52"/>
        <v xml:space="preserve">| </v>
      </c>
      <c r="CK126" s="12" t="str">
        <f t="shared" si="153"/>
        <v xml:space="preserve">| [](/places/places\us_tx-dallas-st-peter) </v>
      </c>
      <c r="CL126" s="13" t="str">
        <f>"| "&amp;IF(AS126,GetTagPage(C126,VLOOKUP(C126,'Country Tags'!C:E,3,)),C126)&amp; " "</f>
        <v xml:space="preserve">| [US Texas](/tags/usa
- texas) </v>
      </c>
      <c r="CM126" s="12" t="str">
        <f t="shared" si="154"/>
        <v xml:space="preserve">|  </v>
      </c>
      <c r="CN126" s="12" t="str">
        <f t="shared" si="155"/>
        <v xml:space="preserve">| [Link](/places/places\us_tx-dallas-st-peter) </v>
      </c>
      <c r="CO126" s="12" t="str">
        <f t="shared" si="156"/>
        <v xml:space="preserve">
| [](/places/places\us_tx-dallas-st-peter) | [US Texas](/tags/usa
- texas) |  | [Link](/places/places\us_tx-dallas-st-peter) [Official site](https://stpeterdal.com/)| |</v>
      </c>
    </row>
    <row r="127" spans="1:93" ht="76.5" x14ac:dyDescent="0.25">
      <c r="A127" s="129" t="s">
        <v>786</v>
      </c>
      <c r="B127" s="130" t="s">
        <v>1901</v>
      </c>
      <c r="C127" s="94" t="s">
        <v>1851</v>
      </c>
      <c r="E127" s="1">
        <v>41.902118788029298</v>
      </c>
      <c r="F127" s="30">
        <v>12.4539366999999</v>
      </c>
      <c r="G127" s="94" t="s">
        <v>1852</v>
      </c>
      <c r="H127" s="96" t="s">
        <v>1855</v>
      </c>
      <c r="I127" s="94" t="s">
        <v>1165</v>
      </c>
      <c r="M127" s="98" t="s">
        <v>1857</v>
      </c>
      <c r="O127" s="1" t="s">
        <v>1853</v>
      </c>
      <c r="P127" s="97" t="s">
        <v>53</v>
      </c>
      <c r="Z127" s="95" t="s">
        <v>1854</v>
      </c>
      <c r="AA127" s="132" t="s">
        <v>1956</v>
      </c>
      <c r="AS127" s="116" t="b">
        <f t="shared" si="128"/>
        <v>1</v>
      </c>
      <c r="AT127" s="117" t="str">
        <f t="shared" si="129"/>
        <v>title: "St. Peter's Basilica"</v>
      </c>
      <c r="AU127" s="117" t="str">
        <f t="shared" si="130"/>
        <v>location: {lat: 41.9021187880293, lng: 12.4539366999999}</v>
      </c>
      <c r="AV127" s="117" t="str">
        <f t="shared" si="131"/>
        <v>interest: global</v>
      </c>
      <c r="AW127" s="117" t="str">
        <f>"- "&amp;VLOOKUP(C127,'Country Tags'!C:E,3,)</f>
        <v>- vatican
- rome</v>
      </c>
      <c r="AX127" s="117" t="str">
        <f t="shared" si="132"/>
        <v/>
      </c>
      <c r="AY127" s="117" t="str">
        <f t="shared" si="133"/>
        <v/>
      </c>
      <c r="AZ127" s="117" t="str">
        <f t="shared" si="134"/>
        <v/>
      </c>
      <c r="BA127" s="117" t="str">
        <f t="shared" si="135"/>
        <v/>
      </c>
      <c r="BB127" s="117" t="str">
        <f t="shared" si="136"/>
        <v>- peter</v>
      </c>
      <c r="BC127" s="117" t="str">
        <f t="shared" si="137"/>
        <v>- major-basilicas</v>
      </c>
      <c r="BD127" s="117" t="str">
        <f t="shared" si="138"/>
        <v/>
      </c>
      <c r="BE127" s="117" t="str">
        <f t="shared" si="139"/>
        <v/>
      </c>
      <c r="BF127" s="117" t="str">
        <f t="shared" si="140"/>
        <v/>
      </c>
      <c r="BG127" s="117" t="str">
        <f t="shared" si="141"/>
        <v/>
      </c>
      <c r="BH127" s="117" t="str">
        <f t="shared" si="142"/>
        <v/>
      </c>
      <c r="BI127" s="117" t="str">
        <f t="shared" si="143"/>
        <v/>
      </c>
      <c r="BJ127" s="117" t="str">
        <f t="shared" si="144"/>
        <v/>
      </c>
      <c r="BK127" s="117" t="str">
        <f t="shared" si="145"/>
        <v/>
      </c>
      <c r="BL127" s="117" t="str">
        <f t="shared" si="146"/>
        <v xml:space="preserve">tags:
- vatican
- rome_x000D_
- peter_x000D_
- major-basilicas_x000D_
</v>
      </c>
      <c r="BM127" s="120" t="str">
        <f t="shared" si="124"/>
        <v>[Official site](https://www.basilicasanpietro.va/en.html)</v>
      </c>
      <c r="BN127" s="120" t="str">
        <f t="shared" si="125"/>
        <v/>
      </c>
      <c r="BO127" s="120" t="str">
        <f t="shared" si="126"/>
        <v/>
      </c>
      <c r="BP127" s="120" t="str">
        <f t="shared" si="127"/>
        <v/>
      </c>
      <c r="BQ127" s="117" t="str">
        <f t="shared" si="147"/>
        <v xml:space="preserve">* [Official site](https://www.basilicasanpietro.va/en.html)
</v>
      </c>
      <c r="BR127" s="117" t="str">
        <f t="shared" si="148"/>
        <v/>
      </c>
      <c r="BS127" s="117" t="str">
        <f t="shared" si="149"/>
        <v/>
      </c>
      <c r="BT127" s="117" t="str">
        <f t="shared" si="150"/>
        <v/>
      </c>
      <c r="BU127" s="117" t="str">
        <f>IF(LEN(concat(BR127:BT127))&gt;0,concat("| ",BR127," | ",BS127," | ",BT127," |"),"")</f>
        <v/>
      </c>
      <c r="BV127" s="117" t="str">
        <f t="shared" si="151"/>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vatican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52"/>
        <v>#VALUE!</v>
      </c>
      <c r="CK127" s="12" t="str">
        <f t="shared" si="153"/>
        <v xml:space="preserve">| [](/places/places\va-st-peter) </v>
      </c>
      <c r="CL127" s="13" t="str">
        <f>"| "&amp;IF(AS127,GetTagPage(C127,VLOOKUP(C127,'Country Tags'!C:E,3,)),C127)&amp; " "</f>
        <v xml:space="preserve">| [Vatican City](/tags/vatican
- rome) </v>
      </c>
      <c r="CM127" s="12" t="str">
        <f t="shared" si="154"/>
        <v xml:space="preserve">|  </v>
      </c>
      <c r="CN127" s="12" t="str">
        <f t="shared" si="155"/>
        <v xml:space="preserve">| [Link](/places/places\va-st-peter) </v>
      </c>
      <c r="CO127" s="12" t="e">
        <f t="shared" si="156"/>
        <v>#VALUE!</v>
      </c>
    </row>
    <row r="128" spans="1:93" ht="102" x14ac:dyDescent="0.25">
      <c r="A128" s="129" t="s">
        <v>786</v>
      </c>
      <c r="B128" s="7" t="s">
        <v>1901</v>
      </c>
      <c r="C128" s="7" t="s">
        <v>450</v>
      </c>
      <c r="E128" s="1">
        <v>16.705491099922099</v>
      </c>
      <c r="F128" s="30">
        <v>107.19601082359701</v>
      </c>
      <c r="G128" s="7" t="s">
        <v>834</v>
      </c>
      <c r="H128" s="33" t="s">
        <v>834</v>
      </c>
      <c r="I128" s="7" t="s">
        <v>1165</v>
      </c>
      <c r="J128" s="23" t="b">
        <v>1</v>
      </c>
      <c r="K128" s="7" t="b">
        <v>1</v>
      </c>
      <c r="M128" s="7" t="s">
        <v>833</v>
      </c>
      <c r="N128" s="139" t="s">
        <v>1937</v>
      </c>
      <c r="O128" s="1" t="s">
        <v>53</v>
      </c>
      <c r="P128" s="1" t="s">
        <v>53</v>
      </c>
      <c r="Z128" s="1" t="s">
        <v>53</v>
      </c>
      <c r="AJ128" s="56" t="s">
        <v>772</v>
      </c>
      <c r="AK128" s="57">
        <v>1798</v>
      </c>
      <c r="AL128" s="1" t="s">
        <v>32</v>
      </c>
      <c r="AM128" s="1" t="s">
        <v>53</v>
      </c>
      <c r="AN128" s="1" t="s">
        <v>832</v>
      </c>
      <c r="AO128" s="1" t="s">
        <v>53</v>
      </c>
      <c r="AP128" s="1" t="s">
        <v>835</v>
      </c>
      <c r="AQ128" s="30" t="s">
        <v>53</v>
      </c>
      <c r="AS128" s="116" t="b">
        <f t="shared" si="128"/>
        <v>1</v>
      </c>
      <c r="AT128" s="117" t="str">
        <f t="shared" si="129"/>
        <v>title: "Basilica of Our Lady of La Vang"</v>
      </c>
      <c r="AU128" s="117" t="str">
        <f t="shared" si="130"/>
        <v>location: {lat: 16.7054910999221, lng: 107.196010823597}</v>
      </c>
      <c r="AV128" s="117" t="str">
        <f t="shared" si="131"/>
        <v>interest: global</v>
      </c>
      <c r="AW128" s="117" t="str">
        <f>"- "&amp;VLOOKUP(C128,'Country Tags'!C:E,3,)</f>
        <v>- vietnam</v>
      </c>
      <c r="AX128" s="117" t="str">
        <f t="shared" si="132"/>
        <v/>
      </c>
      <c r="AY128" s="117" t="str">
        <f t="shared" si="133"/>
        <v>- churches</v>
      </c>
      <c r="AZ128" s="117" t="str">
        <f t="shared" si="134"/>
        <v>- marian-sites</v>
      </c>
      <c r="BA128" s="117" t="str">
        <f t="shared" si="135"/>
        <v/>
      </c>
      <c r="BB128" s="117" t="str">
        <f t="shared" si="136"/>
        <v/>
      </c>
      <c r="BC128" s="117" t="str">
        <f t="shared" si="137"/>
        <v/>
      </c>
      <c r="BD128" s="117" t="str">
        <f t="shared" si="138"/>
        <v/>
      </c>
      <c r="BE128" s="117" t="str">
        <f t="shared" si="139"/>
        <v/>
      </c>
      <c r="BF128" s="117" t="str">
        <f t="shared" si="140"/>
        <v/>
      </c>
      <c r="BG128" s="117" t="str">
        <f t="shared" si="141"/>
        <v/>
      </c>
      <c r="BH128" s="117" t="str">
        <f t="shared" si="142"/>
        <v/>
      </c>
      <c r="BI128" s="117" t="str">
        <f t="shared" si="143"/>
        <v/>
      </c>
      <c r="BJ128" s="117" t="str">
        <f t="shared" si="144"/>
        <v/>
      </c>
      <c r="BK128" s="117" t="str">
        <f t="shared" si="145"/>
        <v/>
      </c>
      <c r="BL128" s="117" t="str">
        <f t="shared" si="146"/>
        <v xml:space="preserve">tags:
- vietnam_x000D_
- churches_x000D_
- marian-sites_x000D_
</v>
      </c>
      <c r="BM128" s="120" t="str">
        <f t="shared" si="124"/>
        <v/>
      </c>
      <c r="BN128" s="120" t="str">
        <f t="shared" si="125"/>
        <v/>
      </c>
      <c r="BO128" s="120" t="str">
        <f t="shared" si="126"/>
        <v/>
      </c>
      <c r="BP128" s="120" t="str">
        <f t="shared" si="127"/>
        <v/>
      </c>
      <c r="BQ128" s="120" t="str">
        <f t="shared" si="147"/>
        <v/>
      </c>
      <c r="BR128" s="120" t="str">
        <f t="shared" si="148"/>
        <v>[Link](http://www.therealpresence.org/eucharst/misc/BVM/21_LAVANG_60x96.pdf)</v>
      </c>
      <c r="BS128" s="120" t="str">
        <f t="shared" si="149"/>
        <v>[Link](http://www.miraclehunter.com/marian_apparitions/approved_apparitions/lavang/index.html)</v>
      </c>
      <c r="BT128" s="120" t="str">
        <f t="shared" si="150"/>
        <v>[Link](https://www.marypages.com/la-vang-vietnam-en.html)</v>
      </c>
      <c r="BU128" s="120" t="str">
        <f>IF(LEN(concat(BR128:BT128))&gt;0,concat("| ",BR128," | ",BS128," | ",BT128," |"),"")</f>
        <v>| [Link](http://www.therealpresence.org/eucharst/misc/BVM/21_LAVANG_60x96.pdf) | [Link](http://www.miraclehunter.com/marian_apparitions/approved_apparitions/lavang/index.html) | [Link](https://www.marypages.com/la-vang-vietnam-en.html) |</v>
      </c>
      <c r="BV128" s="117" t="str">
        <f t="shared" si="151"/>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52"/>
        <v xml:space="preserve">| </v>
      </c>
      <c r="CK128" s="13" t="str">
        <f t="shared" si="153"/>
        <v xml:space="preserve">| [La Vang](/places/places\vn-basilica-of-our-lady-of-la-vang) </v>
      </c>
      <c r="CL128" s="13" t="str">
        <f>"| "&amp;IF(AS128,GetTagPage(C128,VLOOKUP(C128,'Country Tags'!C:E,3,)),C128)&amp; " "</f>
        <v xml:space="preserve">| [Vietnam](/tags/vietnam) </v>
      </c>
      <c r="CM128" s="13" t="str">
        <f t="shared" si="154"/>
        <v xml:space="preserve">| 1798 </v>
      </c>
      <c r="CN128" s="13" t="str">
        <f t="shared" si="155"/>
        <v xml:space="preserve">| [Link](/places/places\vn-basilica-of-our-lady-of-la-vang) </v>
      </c>
      <c r="CO128" s="12" t="str">
        <f t="shared" si="156"/>
        <v xml:space="preserve">
| [La Vang](/places/places\vn-basilica-of-our-lady-of-la-vang) | [Vietnam](/tags/vietnam)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1905</v>
      </c>
      <c r="C129" s="94" t="s">
        <v>450</v>
      </c>
      <c r="D129" s="7" t="s">
        <v>1865</v>
      </c>
      <c r="E129" s="1">
        <v>20.4247269</v>
      </c>
      <c r="F129" s="30">
        <v>106.1588304</v>
      </c>
      <c r="G129" s="94" t="s">
        <v>1858</v>
      </c>
      <c r="H129" s="101" t="s">
        <v>1867</v>
      </c>
      <c r="I129" s="102" t="s">
        <v>1248</v>
      </c>
      <c r="J129" s="7" t="b">
        <v>1</v>
      </c>
      <c r="L129" s="7" t="b">
        <v>1</v>
      </c>
      <c r="M129" s="102" t="s">
        <v>1866</v>
      </c>
      <c r="N129" s="139" t="s">
        <v>798</v>
      </c>
      <c r="P129" s="97"/>
      <c r="Q129" s="40" t="s">
        <v>1860</v>
      </c>
      <c r="R129" s="1" t="s">
        <v>1859</v>
      </c>
      <c r="S129" s="100" t="s">
        <v>53</v>
      </c>
      <c r="Z129" s="95" t="s">
        <v>1861</v>
      </c>
      <c r="AA129" s="95" t="s">
        <v>1862</v>
      </c>
      <c r="AS129" s="116" t="b">
        <f t="shared" si="128"/>
        <v>1</v>
      </c>
      <c r="AT129" s="117" t="str">
        <f t="shared" si="129"/>
        <v>title: "Basilica of the Immaculate Conception at Ha Nam"</v>
      </c>
      <c r="AU129" s="117" t="str">
        <f t="shared" si="130"/>
        <v>location: {lat: 20.4247269, lng: 106.1588304}</v>
      </c>
      <c r="AV129" s="117" t="str">
        <f t="shared" si="131"/>
        <v>interest: local</v>
      </c>
      <c r="AW129" s="117" t="str">
        <f>"- "&amp;VLOOKUP(C129,'Country Tags'!C:E,3,)</f>
        <v>- vietnam</v>
      </c>
      <c r="AX129" s="117" t="str">
        <f t="shared" si="132"/>
        <v>- ha-nam</v>
      </c>
      <c r="AY129" s="117" t="str">
        <f t="shared" si="133"/>
        <v>- churches</v>
      </c>
      <c r="AZ129" s="117" t="str">
        <f t="shared" si="134"/>
        <v/>
      </c>
      <c r="BA129" s="117" t="str">
        <f t="shared" si="135"/>
        <v>- holy-persons</v>
      </c>
      <c r="BB129" s="117" t="str">
        <f t="shared" si="136"/>
        <v>- vietnamese-martyrs</v>
      </c>
      <c r="BC129" s="117" t="str">
        <f t="shared" si="137"/>
        <v>- andrew-dung-lac</v>
      </c>
      <c r="BD129" s="117" t="str">
        <f t="shared" si="138"/>
        <v/>
      </c>
      <c r="BE129" s="117" t="str">
        <f t="shared" si="139"/>
        <v/>
      </c>
      <c r="BF129" s="117" t="str">
        <f t="shared" si="140"/>
        <v/>
      </c>
      <c r="BG129" s="117" t="str">
        <f t="shared" si="141"/>
        <v/>
      </c>
      <c r="BH129" s="117" t="str">
        <f t="shared" si="142"/>
        <v/>
      </c>
      <c r="BI129" s="117" t="str">
        <f t="shared" si="143"/>
        <v/>
      </c>
      <c r="BJ129" s="117" t="str">
        <f t="shared" si="144"/>
        <v/>
      </c>
      <c r="BK129" s="117" t="str">
        <f t="shared" si="145"/>
        <v/>
      </c>
      <c r="BL129" s="117" t="str">
        <f t="shared" si="146"/>
        <v xml:space="preserve">tags:
- vietnam_x000D_
- ha-nam_x000D_
- churches_x000D_
- holy-persons_x000D_
- vietnamese-martyrs_x000D_
- andrew-dung-lac_x000D_
</v>
      </c>
      <c r="BM129" s="120" t="str">
        <f t="shared" si="124"/>
        <v/>
      </c>
      <c r="BN129" s="120" t="str">
        <f t="shared" si="125"/>
        <v>[Saint Andrew Dung and Companions](https://mycatholic.life/saints/saints-of-the-liturgical-year/november-24-saint-andrew-dung-lac-and-his-companions-martyrs-memorial/)</v>
      </c>
      <c r="BO129" s="120" t="str">
        <f t="shared" si="126"/>
        <v/>
      </c>
      <c r="BP129" s="120" t="str">
        <f t="shared" si="127"/>
        <v/>
      </c>
      <c r="BQ129" s="117" t="str">
        <f t="shared" si="147"/>
        <v xml:space="preserve">* [Saint Andrew Dung and Companions](https://mycatholic.life/saints/saints-of-the-liturgical-year/november-24-saint-andrew-dung-lac-and-his-companions-martyrs-memorial/)
</v>
      </c>
      <c r="BR129" s="117" t="str">
        <f t="shared" si="148"/>
        <v/>
      </c>
      <c r="BS129" s="117" t="str">
        <f t="shared" si="149"/>
        <v/>
      </c>
      <c r="BT129" s="117" t="str">
        <f t="shared" si="150"/>
        <v/>
      </c>
      <c r="BU129" s="117" t="str">
        <f>IF(LEN(concat(BR129:BT129))&gt;0,concat("| ",BR129," | ",BS129," | ",BT129," |"),"")</f>
        <v/>
      </c>
      <c r="BV129" s="117" t="str">
        <f t="shared" si="151"/>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vietnam_x000D_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52"/>
        <v>#VALUE!</v>
      </c>
      <c r="CK129" s="12" t="str">
        <f t="shared" si="153"/>
        <v xml:space="preserve">| [](/places/places\vn-ha-nam-basilica-of-the-immaculate-conception) </v>
      </c>
      <c r="CL129" s="13" t="str">
        <f>"| "&amp;IF(AS129,GetTagPage(C129,VLOOKUP(C129,'Country Tags'!C:E,3,)),C129)&amp; " "</f>
        <v xml:space="preserve">| [Vietnam](/tags/vietnam) </v>
      </c>
      <c r="CM129" s="12" t="str">
        <f t="shared" si="154"/>
        <v xml:space="preserve">|  </v>
      </c>
      <c r="CN129" s="12" t="str">
        <f t="shared" si="155"/>
        <v xml:space="preserve">| [Link](/places/places\vn-ha-nam-basilica-of-the-immaculate-conception) </v>
      </c>
      <c r="CO129" s="12" t="e">
        <f t="shared" si="156"/>
        <v>#VALUE!</v>
      </c>
    </row>
    <row r="130" spans="1:93" x14ac:dyDescent="0.25">
      <c r="A130" s="129" t="s">
        <v>743</v>
      </c>
      <c r="B130" s="7" t="s">
        <v>1901</v>
      </c>
      <c r="C130" s="7" t="s">
        <v>251</v>
      </c>
      <c r="E130" s="1">
        <v>20.050796521215599</v>
      </c>
      <c r="F130" s="30">
        <v>-75.948970548482805</v>
      </c>
      <c r="G130" s="7" t="s">
        <v>782</v>
      </c>
      <c r="H130" s="33" t="s">
        <v>783</v>
      </c>
      <c r="I130" s="7" t="s">
        <v>1165</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28"/>
        <v>1</v>
      </c>
      <c r="AT130" s="117" t="str">
        <f t="shared" si="129"/>
        <v>title: "Basilica of Our Lady of Charity of El Cobre"</v>
      </c>
      <c r="AU130" s="117" t="str">
        <f t="shared" si="130"/>
        <v>location: {lat: 20.0507965212156, lng: -75.9489705484828}</v>
      </c>
      <c r="AV130" s="117" t="str">
        <f t="shared" si="131"/>
        <v>interest: global</v>
      </c>
      <c r="AW130" s="117" t="str">
        <f>"- "&amp;VLOOKUP(C130,'Country Tags'!C:E,3,)</f>
        <v>- cuba</v>
      </c>
      <c r="AX130" s="117" t="str">
        <f t="shared" si="132"/>
        <v/>
      </c>
      <c r="AY130" s="117" t="str">
        <f t="shared" si="133"/>
        <v>- churches</v>
      </c>
      <c r="AZ130" s="117" t="str">
        <f t="shared" si="134"/>
        <v>- marian-sites</v>
      </c>
      <c r="BA130" s="117" t="str">
        <f t="shared" si="135"/>
        <v/>
      </c>
      <c r="BB130" s="117" t="str">
        <f t="shared" si="136"/>
        <v/>
      </c>
      <c r="BC130" s="117" t="str">
        <f t="shared" si="137"/>
        <v/>
      </c>
      <c r="BD130" s="117" t="str">
        <f t="shared" si="138"/>
        <v/>
      </c>
      <c r="BE130" s="117" t="str">
        <f t="shared" si="139"/>
        <v/>
      </c>
      <c r="BF130" s="117" t="str">
        <f t="shared" si="140"/>
        <v/>
      </c>
      <c r="BG130" s="117" t="str">
        <f t="shared" si="141"/>
        <v/>
      </c>
      <c r="BH130" s="117" t="str">
        <f t="shared" si="142"/>
        <v/>
      </c>
      <c r="BI130" s="117" t="str">
        <f t="shared" si="143"/>
        <v/>
      </c>
      <c r="BJ130" s="117" t="str">
        <f t="shared" si="144"/>
        <v/>
      </c>
      <c r="BK130" s="117" t="str">
        <f t="shared" si="145"/>
        <v/>
      </c>
      <c r="BL130" s="117" t="str">
        <f t="shared" si="146"/>
        <v xml:space="preserve">tags:
- cuba_x000D_
- churches_x000D_
- marian-sites_x000D_
</v>
      </c>
      <c r="BM130" s="120" t="str">
        <f t="shared" si="124"/>
        <v/>
      </c>
      <c r="BN130" s="120" t="str">
        <f t="shared" si="125"/>
        <v/>
      </c>
      <c r="BO130" s="120" t="str">
        <f t="shared" si="126"/>
        <v/>
      </c>
      <c r="BP130" s="120" t="str">
        <f t="shared" si="127"/>
        <v/>
      </c>
      <c r="BQ130" s="120" t="str">
        <f t="shared" si="147"/>
        <v/>
      </c>
      <c r="BR130" s="120" t="str">
        <f t="shared" si="148"/>
        <v>[Link](http://www.therealpresence.org/eucharst/misc/BVM/102_CUBA_96x96.pdf)</v>
      </c>
      <c r="BS130" s="120" t="str">
        <f t="shared" si="149"/>
        <v/>
      </c>
      <c r="BT130" s="120" t="str">
        <f t="shared" si="150"/>
        <v/>
      </c>
      <c r="BU130" s="120" t="str">
        <f>IF(LEN(concat(BR130:BT130))&gt;0,concat("| ",BR130," | ",BS130," | ",BT130," |"),"")</f>
        <v>| [Link](http://www.therealpresence.org/eucharst/misc/BVM/102_CUBA_96x96.pdf) |  |  |</v>
      </c>
      <c r="BV130" s="117" t="str">
        <f t="shared" si="151"/>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cuba_x000D_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52"/>
        <v xml:space="preserve">| </v>
      </c>
      <c r="CK130" s="13" t="str">
        <f t="shared" si="153"/>
        <v xml:space="preserve">| [El Cobre](/places/places\cu-basilica-of-el-cobre) </v>
      </c>
      <c r="CL130" s="13" t="str">
        <f>"| "&amp;IF(AS130,GetTagPage(C130,VLOOKUP(C130,'Country Tags'!C:E,3,)),C130)&amp; " "</f>
        <v xml:space="preserve">| [Cuba](/tags/cuba) </v>
      </c>
      <c r="CM130" s="13" t="str">
        <f t="shared" si="154"/>
        <v xml:space="preserve">| 1612 </v>
      </c>
      <c r="CN130" s="13" t="str">
        <f t="shared" si="155"/>
        <v xml:space="preserve">| [Link](/places/places\cu-basilica-of-el-cobre) </v>
      </c>
      <c r="CO130" s="12" t="str">
        <f t="shared" si="156"/>
        <v xml:space="preserve">
| [El Cobre](/places/places\cu-basilica-of-el-cobre) | [Cuba](/tags/cuba) | 1612 | [Link](/places/places\cu-basilica-of-el-cobre) [Link](http://www.therealpresence.org/eucharst/misc/BVM/102_CUBA_96x96.pdf)| |</v>
      </c>
    </row>
    <row r="131" spans="1:93" x14ac:dyDescent="0.25">
      <c r="A131" s="129" t="s">
        <v>743</v>
      </c>
      <c r="B131" s="7" t="s">
        <v>1901</v>
      </c>
      <c r="C131" s="7" t="s">
        <v>271</v>
      </c>
      <c r="E131" s="1">
        <v>46.982858987663199</v>
      </c>
      <c r="F131" s="30">
        <v>1.4171181142389</v>
      </c>
      <c r="G131" s="10" t="s">
        <v>1152</v>
      </c>
      <c r="H131" s="33" t="s">
        <v>1152</v>
      </c>
      <c r="I131" s="7" t="s">
        <v>1165</v>
      </c>
      <c r="J131" s="23" t="b">
        <v>1</v>
      </c>
      <c r="K131" s="7" t="b">
        <v>1</v>
      </c>
      <c r="M131" s="10" t="s">
        <v>798</v>
      </c>
      <c r="O131" s="1" t="s">
        <v>1153</v>
      </c>
      <c r="P131" s="1" t="s">
        <v>53</v>
      </c>
      <c r="Z131" s="1" t="s">
        <v>53</v>
      </c>
      <c r="AJ131" s="56" t="s">
        <v>773</v>
      </c>
      <c r="AK131" s="57">
        <v>1876</v>
      </c>
      <c r="AL131" s="1" t="s">
        <v>40</v>
      </c>
      <c r="AM131" s="1" t="s">
        <v>53</v>
      </c>
      <c r="AN131" s="1" t="s">
        <v>1154</v>
      </c>
      <c r="AO131" s="1" t="s">
        <v>53</v>
      </c>
      <c r="AP131" s="1" t="s">
        <v>1155</v>
      </c>
      <c r="AQ131" s="30" t="s">
        <v>53</v>
      </c>
      <c r="AS131" s="116" t="b">
        <f t="shared" si="128"/>
        <v>1</v>
      </c>
      <c r="AT131" s="117" t="str">
        <f t="shared" si="129"/>
        <v>title: "Sanctuary of Pellevoisin"</v>
      </c>
      <c r="AU131" s="117" t="str">
        <f t="shared" si="130"/>
        <v>location: {lat: 46.9828589876632, lng: 1.4171181142389}</v>
      </c>
      <c r="AV131" s="117" t="str">
        <f t="shared" si="131"/>
        <v>interest: global</v>
      </c>
      <c r="AW131" s="117" t="str">
        <f>"- "&amp;VLOOKUP(C131,'Country Tags'!C:E,3,)</f>
        <v>- france</v>
      </c>
      <c r="AX131" s="117" t="str">
        <f t="shared" si="132"/>
        <v/>
      </c>
      <c r="AY131" s="117" t="str">
        <f t="shared" si="133"/>
        <v>- churches</v>
      </c>
      <c r="AZ131" s="117" t="str">
        <f t="shared" si="134"/>
        <v>- marian-sites</v>
      </c>
      <c r="BA131" s="117" t="str">
        <f t="shared" si="135"/>
        <v/>
      </c>
      <c r="BB131" s="117" t="str">
        <f t="shared" si="136"/>
        <v/>
      </c>
      <c r="BC131" s="117" t="str">
        <f t="shared" si="137"/>
        <v/>
      </c>
      <c r="BD131" s="117" t="str">
        <f t="shared" si="138"/>
        <v/>
      </c>
      <c r="BE131" s="117" t="str">
        <f t="shared" si="139"/>
        <v/>
      </c>
      <c r="BF131" s="117" t="str">
        <f t="shared" si="140"/>
        <v/>
      </c>
      <c r="BG131" s="117" t="str">
        <f t="shared" si="141"/>
        <v/>
      </c>
      <c r="BH131" s="117" t="str">
        <f t="shared" si="142"/>
        <v/>
      </c>
      <c r="BI131" s="117" t="str">
        <f t="shared" si="143"/>
        <v/>
      </c>
      <c r="BJ131" s="117" t="str">
        <f t="shared" si="144"/>
        <v/>
      </c>
      <c r="BK131" s="117" t="str">
        <f t="shared" si="145"/>
        <v/>
      </c>
      <c r="BL131" s="117" t="str">
        <f t="shared" si="146"/>
        <v xml:space="preserve">tags:
- france_x000D_
- churches_x000D_
- marian-sites_x000D_
</v>
      </c>
      <c r="BM131" s="120" t="str">
        <f t="shared" si="124"/>
        <v>[Official site](https://www.pellevoisin.net/)</v>
      </c>
      <c r="BN131" s="120" t="str">
        <f t="shared" si="125"/>
        <v/>
      </c>
      <c r="BO131" s="120" t="str">
        <f t="shared" si="126"/>
        <v/>
      </c>
      <c r="BP131" s="120" t="str">
        <f t="shared" si="127"/>
        <v/>
      </c>
      <c r="BQ131" s="120" t="str">
        <f t="shared" si="147"/>
        <v xml:space="preserve">* [Official site](https://www.pellevoisin.net/)
</v>
      </c>
      <c r="BR131" s="120" t="str">
        <f t="shared" si="148"/>
        <v>[Link](http://www.therealpresence.org/eucharst/misc/BVM/07_PELLEVOISIN_60x96.pdf)</v>
      </c>
      <c r="BS131" s="120" t="str">
        <f t="shared" si="149"/>
        <v>[Link](https://www.miraclehunter.com/marian_apparitions/approved_apparitions/pellevoisin/index.html)</v>
      </c>
      <c r="BT131" s="120" t="str">
        <f t="shared" si="150"/>
        <v>[Link](https://www.marypages.com/pellevoisin-france-en.html)</v>
      </c>
      <c r="BU131" s="120" t="str">
        <f>IF(LEN(concat(BR131:BT131))&gt;0,concat("| ",BR131," | ",BS131," | ",BT131," |"),"")</f>
        <v>| [Link](http://www.therealpresence.org/eucharst/misc/BVM/07_PELLEVOISIN_60x96.pdf) | [Link](https://www.miraclehunter.com/marian_apparitions/approved_apparitions/pellevoisin/index.html) | [Link](https://www.marypages.com/pellevoisin-france-en.html) |</v>
      </c>
      <c r="BV131" s="117" t="str">
        <f t="shared" si="151"/>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france_x000D_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52"/>
        <v xml:space="preserve">| </v>
      </c>
      <c r="CK131" s="13" t="str">
        <f t="shared" si="153"/>
        <v xml:space="preserve">| [Pellovoisin](/places/places\fr-sanctuary-of-pellevoisin) </v>
      </c>
      <c r="CL131" s="13" t="str">
        <f>"| "&amp;IF(AS131,GetTagPage(C131,VLOOKUP(C131,'Country Tags'!C:E,3,)),C131)&amp; " "</f>
        <v xml:space="preserve">| [France](/tags/france) </v>
      </c>
      <c r="CM131" s="13" t="str">
        <f t="shared" si="154"/>
        <v xml:space="preserve">| 1876 </v>
      </c>
      <c r="CN131" s="13" t="str">
        <f t="shared" si="155"/>
        <v xml:space="preserve">| [Link](/places/places\fr-sanctuary-of-pellevoisin) </v>
      </c>
      <c r="CO131" s="12" t="str">
        <f t="shared" si="156"/>
        <v xml:space="preserve">
| [Pellovoisin](/places/places\fr-sanctuary-of-pellevoisin) | [France](/tags/france)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1901</v>
      </c>
      <c r="C132" s="26" t="s">
        <v>256</v>
      </c>
      <c r="D132" s="55" t="s">
        <v>1274</v>
      </c>
      <c r="E132" s="1">
        <v>48.369192631907303</v>
      </c>
      <c r="F132" s="30">
        <v>10.8982826487021</v>
      </c>
      <c r="G132" s="26" t="s">
        <v>1173</v>
      </c>
      <c r="H132" s="38" t="s">
        <v>1880</v>
      </c>
      <c r="I132" s="7" t="s">
        <v>1165</v>
      </c>
      <c r="J132" s="23" t="b">
        <v>1</v>
      </c>
      <c r="K132" s="7" t="b">
        <v>1</v>
      </c>
      <c r="M132" s="26" t="s">
        <v>1177</v>
      </c>
      <c r="N132" s="139" t="s">
        <v>1938</v>
      </c>
      <c r="O132" s="1" t="s">
        <v>1176</v>
      </c>
      <c r="P132" s="1" t="s">
        <v>53</v>
      </c>
      <c r="Z132" s="7"/>
      <c r="AA132" s="7"/>
      <c r="AB132" s="7"/>
      <c r="AC132" s="7"/>
      <c r="AD132" s="7"/>
      <c r="AE132" s="7"/>
      <c r="AF132" s="7"/>
      <c r="AG132" s="7"/>
      <c r="AH132" s="7"/>
      <c r="AI132" s="7"/>
      <c r="AJ132" s="56" t="s">
        <v>1172</v>
      </c>
      <c r="AK132" s="59" t="s">
        <v>867</v>
      </c>
      <c r="AL132" s="1" t="s">
        <v>53</v>
      </c>
      <c r="AM132" s="1" t="s">
        <v>53</v>
      </c>
      <c r="AN132" s="1" t="s">
        <v>1175</v>
      </c>
      <c r="AO132" s="1" t="s">
        <v>53</v>
      </c>
      <c r="AP132" s="1" t="s">
        <v>1174</v>
      </c>
      <c r="AQ132" s="30" t="s">
        <v>53</v>
      </c>
      <c r="AS132" s="116" t="b">
        <f t="shared" si="128"/>
        <v>1</v>
      </c>
      <c r="AT132" s="117" t="str">
        <f t="shared" si="129"/>
        <v>title: "St. Peter am Perlach (Mary Undoer of Knots)"</v>
      </c>
      <c r="AU132" s="117" t="str">
        <f t="shared" si="130"/>
        <v>location: {lat: 48.3691926319073, lng: 10.8982826487021}</v>
      </c>
      <c r="AV132" s="117" t="str">
        <f t="shared" si="131"/>
        <v>interest: global</v>
      </c>
      <c r="AW132" s="117" t="str">
        <f>"- "&amp;VLOOKUP(C132,'Country Tags'!C:E,3,)</f>
        <v>- germany</v>
      </c>
      <c r="AX132" s="117" t="str">
        <f t="shared" si="132"/>
        <v>- augsburg</v>
      </c>
      <c r="AY132" s="117" t="str">
        <f t="shared" si="133"/>
        <v>- churches</v>
      </c>
      <c r="AZ132" s="117" t="str">
        <f t="shared" si="134"/>
        <v>- marian-sites</v>
      </c>
      <c r="BA132" s="117" t="str">
        <f t="shared" si="135"/>
        <v/>
      </c>
      <c r="BB132" s="117" t="str">
        <f t="shared" si="136"/>
        <v/>
      </c>
      <c r="BC132" s="117" t="str">
        <f t="shared" si="137"/>
        <v/>
      </c>
      <c r="BD132" s="117" t="str">
        <f t="shared" si="138"/>
        <v/>
      </c>
      <c r="BE132" s="117" t="str">
        <f t="shared" si="139"/>
        <v/>
      </c>
      <c r="BF132" s="117" t="str">
        <f t="shared" si="140"/>
        <v/>
      </c>
      <c r="BG132" s="117" t="str">
        <f t="shared" si="141"/>
        <v/>
      </c>
      <c r="BH132" s="117" t="str">
        <f t="shared" si="142"/>
        <v/>
      </c>
      <c r="BI132" s="117" t="str">
        <f t="shared" si="143"/>
        <v/>
      </c>
      <c r="BJ132" s="117" t="str">
        <f t="shared" si="144"/>
        <v/>
      </c>
      <c r="BK132" s="117" t="str">
        <f t="shared" si="145"/>
        <v/>
      </c>
      <c r="BL132" s="117" t="str">
        <f t="shared" si="146"/>
        <v xml:space="preserve">tags:
- germany_x000D_
- augsburg_x000D_
- churches_x000D_
- marian-sites_x000D_
</v>
      </c>
      <c r="BM132" s="120" t="str">
        <f t="shared" si="124"/>
        <v>[Official site](https://sankt-peter-am-perlach.de)</v>
      </c>
      <c r="BN132" s="120" t="str">
        <f t="shared" si="125"/>
        <v/>
      </c>
      <c r="BO132" s="120" t="str">
        <f t="shared" si="126"/>
        <v/>
      </c>
      <c r="BP132" s="120" t="str">
        <f t="shared" si="127"/>
        <v/>
      </c>
      <c r="BQ132" s="120" t="str">
        <f t="shared" si="147"/>
        <v xml:space="preserve">* [Official site](https://sankt-peter-am-perlach.de)
</v>
      </c>
      <c r="BR132" s="120" t="str">
        <f t="shared" si="148"/>
        <v/>
      </c>
      <c r="BS132" s="120" t="str">
        <f t="shared" si="149"/>
        <v>[Link](https://www.miraclehunter.com/news/francis/francis-marian-devotion.html)</v>
      </c>
      <c r="BT132" s="120" t="str">
        <f t="shared" si="150"/>
        <v>[Link](https://www.marypages.com/mary-undoer-of-knots.html)</v>
      </c>
      <c r="BU132" s="120" t="str">
        <f>IF(LEN(concat(BR132:BT132))&gt;0,concat("| ",BR132," | ",BS132," | ",BT132," |"),"")</f>
        <v>|  | [Link](https://www.miraclehunter.com/news/francis/francis-marian-devotion.html) | [Link](https://www.marypages.com/mary-undoer-of-knots.html) |</v>
      </c>
      <c r="BV132" s="117" t="str">
        <f t="shared" si="151"/>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germany_x000D_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52"/>
        <v xml:space="preserve">| </v>
      </c>
      <c r="CK132" s="13" t="str">
        <f t="shared" si="153"/>
        <v xml:space="preserve">| [Augsberg](/places/places\de-augsburg-st-peter-am-perlach) </v>
      </c>
      <c r="CL132" s="13" t="str">
        <f>"| "&amp;IF(AS132,GetTagPage(C132,VLOOKUP(C132,'Country Tags'!C:E,3,)),C132)&amp; " "</f>
        <v xml:space="preserve">| [Germany](/tags/germany) </v>
      </c>
      <c r="CM132" s="13" t="str">
        <f t="shared" si="154"/>
        <v xml:space="preserve">| c. 1700 </v>
      </c>
      <c r="CN132" s="13" t="str">
        <f t="shared" si="155"/>
        <v xml:space="preserve">| [Link](/places/places\de-augsburg-st-peter-am-perlach) </v>
      </c>
      <c r="CO132" s="12" t="str">
        <f t="shared" si="156"/>
        <v xml:space="preserve">
| [Augsberg](/places/places\de-augsburg-st-peter-am-perlach) | [Germany](/tags/germany)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1901</v>
      </c>
      <c r="C133" s="7" t="s">
        <v>0</v>
      </c>
      <c r="E133" s="1">
        <v>8.352427276057</v>
      </c>
      <c r="F133" s="30">
        <v>77.663576934286198</v>
      </c>
      <c r="G133" s="23" t="s">
        <v>1168</v>
      </c>
      <c r="H133" s="34" t="s">
        <v>1166</v>
      </c>
      <c r="I133" s="7" t="s">
        <v>1165</v>
      </c>
      <c r="J133" s="23" t="b">
        <v>1</v>
      </c>
      <c r="K133" s="7" t="b">
        <v>1</v>
      </c>
      <c r="M133" s="23" t="s">
        <v>798</v>
      </c>
      <c r="O133" s="1" t="s">
        <v>1167</v>
      </c>
      <c r="P133" s="1" t="s">
        <v>53</v>
      </c>
      <c r="Z133" s="1" t="s">
        <v>53</v>
      </c>
      <c r="AJ133" s="56" t="s">
        <v>774</v>
      </c>
      <c r="AK133" s="57">
        <v>1939</v>
      </c>
      <c r="AL133" s="1" t="s">
        <v>44</v>
      </c>
      <c r="AM133" s="1" t="s">
        <v>53</v>
      </c>
      <c r="AN133" s="1" t="s">
        <v>53</v>
      </c>
      <c r="AO133" s="1" t="s">
        <v>53</v>
      </c>
      <c r="AP133" s="1" t="s">
        <v>53</v>
      </c>
      <c r="AQ133" s="30" t="s">
        <v>53</v>
      </c>
      <c r="AS133" s="116" t="b">
        <f t="shared" si="128"/>
        <v>1</v>
      </c>
      <c r="AT133" s="117" t="str">
        <f t="shared" si="129"/>
        <v>title: "Athisaya Panimatha (Our Lady of Snows) Shrine, Kallikulam"</v>
      </c>
      <c r="AU133" s="117" t="str">
        <f t="shared" si="130"/>
        <v>location: {lat: 8.352427276057, lng: 77.6635769342862}</v>
      </c>
      <c r="AV133" s="117" t="str">
        <f t="shared" si="131"/>
        <v>interest: global</v>
      </c>
      <c r="AW133" s="117" t="str">
        <f>"- "&amp;VLOOKUP(C133,'Country Tags'!C:E,3,)</f>
        <v>- india</v>
      </c>
      <c r="AX133" s="117" t="str">
        <f t="shared" si="132"/>
        <v/>
      </c>
      <c r="AY133" s="117" t="str">
        <f t="shared" si="133"/>
        <v>- churches</v>
      </c>
      <c r="AZ133" s="117" t="str">
        <f t="shared" si="134"/>
        <v>- marian-sites</v>
      </c>
      <c r="BA133" s="117" t="str">
        <f t="shared" si="135"/>
        <v/>
      </c>
      <c r="BB133" s="117" t="str">
        <f t="shared" si="136"/>
        <v/>
      </c>
      <c r="BC133" s="117" t="str">
        <f t="shared" si="137"/>
        <v/>
      </c>
      <c r="BD133" s="117" t="str">
        <f t="shared" si="138"/>
        <v/>
      </c>
      <c r="BE133" s="117" t="str">
        <f t="shared" si="139"/>
        <v/>
      </c>
      <c r="BF133" s="117" t="str">
        <f t="shared" si="140"/>
        <v/>
      </c>
      <c r="BG133" s="117" t="str">
        <f t="shared" si="141"/>
        <v/>
      </c>
      <c r="BH133" s="117" t="str">
        <f t="shared" si="142"/>
        <v/>
      </c>
      <c r="BI133" s="117" t="str">
        <f t="shared" si="143"/>
        <v/>
      </c>
      <c r="BJ133" s="117" t="str">
        <f t="shared" si="144"/>
        <v/>
      </c>
      <c r="BK133" s="117" t="str">
        <f t="shared" si="145"/>
        <v/>
      </c>
      <c r="BL133" s="117" t="str">
        <f t="shared" si="146"/>
        <v xml:space="preserve">tags:
- india_x000D_
- churches_x000D_
- marian-sites_x000D_
</v>
      </c>
      <c r="BM133" s="120" t="str">
        <f t="shared" si="124"/>
        <v>[Official site](https://www.athisayapanimatha.com/)</v>
      </c>
      <c r="BN133" s="120" t="str">
        <f t="shared" si="125"/>
        <v/>
      </c>
      <c r="BO133" s="120" t="str">
        <f t="shared" si="126"/>
        <v/>
      </c>
      <c r="BP133" s="120" t="str">
        <f t="shared" si="127"/>
        <v/>
      </c>
      <c r="BQ133" s="120" t="str">
        <f t="shared" si="147"/>
        <v xml:space="preserve">* [Official site](https://www.athisayapanimatha.com/)
</v>
      </c>
      <c r="BR133" s="120" t="str">
        <f t="shared" si="148"/>
        <v>[Link](http://www.therealpresence.org/eucharst/misc/BVM/128_KALLIKULAM_60x96.pdf)</v>
      </c>
      <c r="BS133" s="120" t="str">
        <f t="shared" si="149"/>
        <v/>
      </c>
      <c r="BT133" s="120" t="str">
        <f t="shared" si="150"/>
        <v/>
      </c>
      <c r="BU133" s="120" t="str">
        <f>IF(LEN(concat(BR133:BT133))&gt;0,concat("| ",BR133," | ",BS133," | ",BT133," |"),"")</f>
        <v>| [Link](http://www.therealpresence.org/eucharst/misc/BVM/128_KALLIKULAM_60x96.pdf) |  |  |</v>
      </c>
      <c r="BV133" s="117" t="str">
        <f t="shared" si="151"/>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india_x000D_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52"/>
        <v xml:space="preserve">| </v>
      </c>
      <c r="CK133" s="13" t="str">
        <f t="shared" si="153"/>
        <v xml:space="preserve">| [Kallikulam](/places/places\in-athisaya-panimatha-shrine) </v>
      </c>
      <c r="CL133" s="13" t="str">
        <f>"| "&amp;IF(AS133,GetTagPage(C133,VLOOKUP(C133,'Country Tags'!C:E,3,)),C133)&amp; " "</f>
        <v xml:space="preserve">| [India](/tags/india) </v>
      </c>
      <c r="CM133" s="13" t="str">
        <f t="shared" si="154"/>
        <v xml:space="preserve">| 1939 </v>
      </c>
      <c r="CN133" s="13" t="str">
        <f t="shared" si="155"/>
        <v xml:space="preserve">| [Link](/places/places\in-athisaya-panimatha-shrine) </v>
      </c>
      <c r="CO133" s="12" t="str">
        <f t="shared" si="156"/>
        <v xml:space="preserve">
| [Kallikulam](/places/places\in-athisaya-panimatha-shrine) | [India](/tags/india) | 1939 | [Link](/places/places\in-athisaya-panimatha-shrine) [Official site](https://www.athisayapanimatha.com/)[Link](http://www.therealpresence.org/eucharst/misc/BVM/128_KALLIKULAM_60x96.pdf)| |</v>
      </c>
    </row>
    <row r="134" spans="1:93" x14ac:dyDescent="0.25">
      <c r="A134" s="129" t="s">
        <v>743</v>
      </c>
      <c r="B134" s="7" t="s">
        <v>1901</v>
      </c>
      <c r="C134" s="7" t="s">
        <v>1</v>
      </c>
      <c r="D134" s="26" t="s">
        <v>887</v>
      </c>
      <c r="E134" s="1">
        <v>38.141271460015901</v>
      </c>
      <c r="F134" s="30">
        <v>15.0456795824699</v>
      </c>
      <c r="G134" s="7" t="s">
        <v>803</v>
      </c>
      <c r="H134" s="33" t="s">
        <v>802</v>
      </c>
      <c r="I134" s="7" t="s">
        <v>1165</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39" si="157">IF(OR(A134="Done",A134="In Progress"),TRUE)</f>
        <v>1</v>
      </c>
      <c r="AT134" s="117" t="str">
        <f t="shared" ref="AT134:AT139" si="158">"title: """&amp;G134&amp;""""</f>
        <v>title: "Sanctuary of Holy Mary of Tindari"</v>
      </c>
      <c r="AU134" s="117" t="str">
        <f t="shared" ref="AU134:AU139" si="159">"location: {lat: "&amp;E134&amp;", lng: "&amp;F134&amp;"}"</f>
        <v>location: {lat: 38.1412714600159, lng: 15.0456795824699}</v>
      </c>
      <c r="AV134" s="117" t="str">
        <f t="shared" ref="AV134:AV139" si="160">"interest: "&amp;I134</f>
        <v>interest: global</v>
      </c>
      <c r="AW134" s="117" t="str">
        <f>"- "&amp;VLOOKUP(C134,'Country Tags'!C:E,3,)</f>
        <v>- italy</v>
      </c>
      <c r="AX134" s="117" t="str">
        <f t="shared" ref="AX134:AX139" si="161">IF(LEN(D134)&gt;1,"- "&amp;LOWER(SUBSTITUTE(D134," ","-")),"")</f>
        <v>- sicily</v>
      </c>
      <c r="AY134" s="117" t="str">
        <f t="shared" ref="AY134:AY139" si="162">IF(J134,"- churches","")</f>
        <v>- churches</v>
      </c>
      <c r="AZ134" s="117" t="str">
        <f t="shared" ref="AZ134:AZ139" si="163">IF(K134,"- marian-sites","")</f>
        <v>- marian-sites</v>
      </c>
      <c r="BA134" s="117" t="str">
        <f t="shared" ref="BA134:BA139" si="164">IF(L134,"- holy-persons","")</f>
        <v/>
      </c>
      <c r="BB134" s="117" t="str">
        <f t="shared" ref="BB134:BB139" si="165">IF(LEN(Z134)&gt;0,"- "&amp;Z134,"")</f>
        <v/>
      </c>
      <c r="BC134" s="117" t="str">
        <f t="shared" ref="BC134:BC139" si="166">IF(LEN(AA134)&gt;0,"- "&amp;AA134,"")</f>
        <v/>
      </c>
      <c r="BD134" s="117" t="str">
        <f t="shared" ref="BD134:BD139" si="167">IF(LEN(AB134)&gt;0,"- "&amp;AB134,"")</f>
        <v/>
      </c>
      <c r="BE134" s="117" t="str">
        <f t="shared" ref="BE134:BE139" si="168">IF(LEN(AC134)&gt;0,"- "&amp;AC134,"")</f>
        <v/>
      </c>
      <c r="BF134" s="117" t="str">
        <f t="shared" ref="BF134:BF139" si="169">IF(LEN(AD134)&gt;0,"- "&amp;AD134,"")</f>
        <v/>
      </c>
      <c r="BG134" s="117" t="str">
        <f t="shared" ref="BG134:BG139" si="170">IF(LEN(AE134)&gt;0,"- "&amp;AE134,"")</f>
        <v/>
      </c>
      <c r="BH134" s="117" t="str">
        <f t="shared" ref="BH134:BH139" si="171">IF(LEN(AF134)&gt;0,"- "&amp;AF134,"")</f>
        <v/>
      </c>
      <c r="BI134" s="117" t="str">
        <f t="shared" ref="BI134:BI139" si="172">IF(LEN(AG134)&gt;0,"- "&amp;AG134,"")</f>
        <v/>
      </c>
      <c r="BJ134" s="117" t="str">
        <f t="shared" ref="BJ134:BJ139" si="173">IF(LEN(AH134)&gt;0,"- "&amp;AH134,"")</f>
        <v/>
      </c>
      <c r="BK134" s="117" t="str">
        <f t="shared" ref="BK134:BK139" si="174">IF(LEN(AI134)&gt;0,"- "&amp;AI134,"")</f>
        <v/>
      </c>
      <c r="BL134" s="117" t="str">
        <f t="shared" ref="BL134:BL139" si="175">"tags:"&amp;CHAR(10)&amp;concatl(AW134:BK134)</f>
        <v xml:space="preserve">tags:
- italy_x000D_
- sicily_x000D_
- churches_x000D_
- marian-sites_x000D_
</v>
      </c>
      <c r="BM134" s="120" t="str">
        <f t="shared" si="124"/>
        <v>[Official site](https://santuariotindari.it/)</v>
      </c>
      <c r="BN134" s="120" t="str">
        <f t="shared" si="125"/>
        <v/>
      </c>
      <c r="BO134" s="120" t="str">
        <f t="shared" si="126"/>
        <v/>
      </c>
      <c r="BP134" s="120" t="str">
        <f t="shared" si="127"/>
        <v/>
      </c>
      <c r="BQ134" s="120" t="str">
        <f t="shared" ref="BQ134:BQ139" si="176">IF(LEN(BM134)&gt;0,"* "&amp;BM134&amp;CHAR(10),"")&amp;
IF(LEN(BN134)&gt;0,"* "&amp;BN134&amp;CHAR(10),"")&amp;
IF(LEN(BO134)&gt;0,"* "&amp;BO134&amp;CHAR(10),"")&amp;
IF(LEN(BP134)&gt;0,"* "&amp;BP134&amp;CHAR(10),"")</f>
        <v xml:space="preserve">* [Official site](https://santuariotindari.it/)
</v>
      </c>
      <c r="BR134" s="120" t="str">
        <f t="shared" ref="BR134:BR139" si="177">IF(LEN(AL134)&gt;0,TRIM(CONCATENATE("[Link](",AL134,") ",AM134)),"")</f>
        <v>[Link](http://www.therealpresence.org/eucharst/misc/BVM/90_TINDARI_60x96.pdf)</v>
      </c>
      <c r="BS134" s="120" t="str">
        <f t="shared" ref="BS134:BS139" si="178">IF(LEN(AN134)&gt;0,TRIM(CONCATENATE("[Link](",AN134,") ",AO134)),"")</f>
        <v/>
      </c>
      <c r="BT134" s="120" t="str">
        <f t="shared" ref="BT134:BT139" si="179">IF(LEN(AP134)&gt;0,TRIM(CONCATENATE("[Link](",AP134,") ",AQ134)),"")</f>
        <v/>
      </c>
      <c r="BU134" s="120" t="str">
        <f>IF(LEN(concat(BR134:BT134))&gt;0,concat("| ",BR134," | ",BS134," | ",BT134," |"),"")</f>
        <v>| [Link](http://www.therealpresence.org/eucharst/misc/BVM/90_TINDARI_60x96.pdf) |  |  |</v>
      </c>
      <c r="BV134" s="117" t="str">
        <f t="shared" ref="BV134:BV139" si="18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italy_x000D_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39" si="181">"|"&amp;IF(LEN(CG134)&gt;1," "&amp;CG134,"")&amp;IF(LEN(CH134)&gt;1,", "&amp;CH134,"")&amp;IF(LEN(CI134)&gt;1,", "&amp;CI134,"")&amp;" "</f>
        <v xml:space="preserve">| </v>
      </c>
      <c r="CK134" s="13" t="str">
        <f t="shared" ref="CK134:CK139" si="182">"| "&amp;IF(AS134,"["&amp;AJ134&amp;"](/places/"&amp;SUBSTITUTE(CB134,".md","")&amp;")",AJ134)&amp;" "</f>
        <v xml:space="preserve">| [Tindari](/places/places\it-sicily-sanctuary-of-tindari) </v>
      </c>
      <c r="CL134" s="13" t="str">
        <f>"| "&amp;IF(AS134,GetTagPage(C134,VLOOKUP(C134,'Country Tags'!C:E,3,)),C134)&amp; " "</f>
        <v xml:space="preserve">| [Italy](/tags/italy) </v>
      </c>
      <c r="CM134" s="13" t="str">
        <f t="shared" ref="CM134:CM139" si="183">"| "&amp;AK134&amp;" "</f>
        <v xml:space="preserve">| 5th or 6th Century </v>
      </c>
      <c r="CN134" s="13" t="str">
        <f t="shared" ref="CN134:CN139" si="184">"|"&amp;IF(AS134," [Link](/places/"&amp;SUBSTITUTE(CB134,".md","")&amp;")","")&amp;" "</f>
        <v xml:space="preserve">| [Link](/places/places\it-sicily-sanctuary-of-tindari) </v>
      </c>
      <c r="CO134" s="12" t="str">
        <f t="shared" ref="CO134:CO139" si="185">"
"&amp;CK134&amp;CL134&amp;CM134&amp;CN134&amp;BM134&amp;BR134&amp;BS134&amp;BT134&amp;CJ134&amp;"|"</f>
        <v xml:space="preserve">
| [Tindari](/places/places\it-sicily-sanctuary-of-tindari) | [Italy](/tags/italy) | 5th or 6th Century | [Link](/places/places\it-sicily-sanctuary-of-tindari) [Official site](https://santuariotindari.it/)[Link](http://www.therealpresence.org/eucharst/misc/BVM/90_TINDARI_60x96.pdf)| |</v>
      </c>
    </row>
    <row r="135" spans="1:93" x14ac:dyDescent="0.25">
      <c r="A135" s="129" t="s">
        <v>743</v>
      </c>
      <c r="B135" s="7" t="s">
        <v>1901</v>
      </c>
      <c r="C135" s="7" t="s">
        <v>340</v>
      </c>
      <c r="E135" s="1">
        <v>36.0617520264557</v>
      </c>
      <c r="F135" s="30">
        <v>14.2153318855345</v>
      </c>
      <c r="G135" s="7" t="s">
        <v>831</v>
      </c>
      <c r="H135" s="34" t="s">
        <v>1164</v>
      </c>
      <c r="I135" s="23" t="s">
        <v>1165</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57"/>
        <v>1</v>
      </c>
      <c r="AT135" s="117" t="str">
        <f t="shared" si="158"/>
        <v>title: "Basilica of the Blessed Virgin of Ta' Pinu"</v>
      </c>
      <c r="AU135" s="117" t="str">
        <f t="shared" si="159"/>
        <v>location: {lat: 36.0617520264557, lng: 14.2153318855345}</v>
      </c>
      <c r="AV135" s="117" t="str">
        <f t="shared" si="160"/>
        <v>interest: global</v>
      </c>
      <c r="AW135" s="117" t="str">
        <f>"- "&amp;VLOOKUP(C135,'Country Tags'!C:E,3,)</f>
        <v>- malta</v>
      </c>
      <c r="AX135" s="117" t="str">
        <f t="shared" si="161"/>
        <v/>
      </c>
      <c r="AY135" s="117" t="str">
        <f t="shared" si="162"/>
        <v>- churches</v>
      </c>
      <c r="AZ135" s="117" t="str">
        <f t="shared" si="163"/>
        <v>- marian-sites</v>
      </c>
      <c r="BA135" s="117" t="str">
        <f t="shared" si="164"/>
        <v/>
      </c>
      <c r="BB135" s="117" t="str">
        <f t="shared" si="165"/>
        <v/>
      </c>
      <c r="BC135" s="117" t="str">
        <f t="shared" si="166"/>
        <v/>
      </c>
      <c r="BD135" s="117" t="str">
        <f t="shared" si="167"/>
        <v/>
      </c>
      <c r="BE135" s="117" t="str">
        <f t="shared" si="168"/>
        <v/>
      </c>
      <c r="BF135" s="117" t="str">
        <f t="shared" si="169"/>
        <v/>
      </c>
      <c r="BG135" s="117" t="str">
        <f t="shared" si="170"/>
        <v/>
      </c>
      <c r="BH135" s="117" t="str">
        <f t="shared" si="171"/>
        <v/>
      </c>
      <c r="BI135" s="117" t="str">
        <f t="shared" si="172"/>
        <v/>
      </c>
      <c r="BJ135" s="117" t="str">
        <f t="shared" si="173"/>
        <v/>
      </c>
      <c r="BK135" s="117" t="str">
        <f t="shared" si="174"/>
        <v/>
      </c>
      <c r="BL135" s="117" t="str">
        <f t="shared" si="175"/>
        <v xml:space="preserve">tags:
- malta_x000D_
- churches_x000D_
- marian-sites_x000D_
</v>
      </c>
      <c r="BM135" s="120" t="str">
        <f t="shared" ref="BM135:BM139" si="186">IF(LEN(O135)&gt;0,TRIM(CONCATENATE("[Official site](",O135,") ",IF(LEN(P135)&gt;0,"- "&amp;P135,P135))),"")</f>
        <v>[Official site](http://www.tapinu.org/)</v>
      </c>
      <c r="BN135" s="120" t="str">
        <f t="shared" ref="BN135:BN139" si="187">IF(LEN(R135)&gt;0,TRIM(CONCATENATE("["&amp;Q135&amp;"](",R135,") ",IF(LEN(S135)&gt;0,"- "&amp;S135,S135))),"")</f>
        <v/>
      </c>
      <c r="BO135" s="120" t="str">
        <f t="shared" ref="BO135:BO139" si="188">IF(LEN(U135)&gt;0,TRIM(CONCATENATE("["&amp;T135&amp;"](",U135,") ",IF(LEN(V135)&gt;0,"- "&amp;V135,V135))),"")</f>
        <v/>
      </c>
      <c r="BP135" s="120" t="str">
        <f t="shared" ref="BP135:BP139" si="189">IF(LEN(X135)&gt;0,TRIM(CONCATENATE("["&amp;W135&amp;"](",X135,") ",IF(LEN(Y135)&gt;0,"- "&amp;Y135,Y135))),"")</f>
        <v/>
      </c>
      <c r="BQ135" s="120" t="str">
        <f t="shared" si="176"/>
        <v xml:space="preserve">* [Official site](http://www.tapinu.org/)
</v>
      </c>
      <c r="BR135" s="120" t="str">
        <f t="shared" si="177"/>
        <v>[Link](http://www.therealpresence.org/eucharst/misc/BVM/140_GOZO_60x96.pdf)</v>
      </c>
      <c r="BS135" s="120" t="str">
        <f t="shared" si="178"/>
        <v>[Link](http://www.miraclehunter.com/marian_apparitions/approved_apparitions/tapinu/)</v>
      </c>
      <c r="BT135" s="120" t="str">
        <f t="shared" si="179"/>
        <v>[Link](https://www.marypages.com/ta-pinu-malta-en.html)</v>
      </c>
      <c r="BU135" s="120" t="str">
        <f>IF(LEN(concat(BR135:BT135))&gt;0,concat("| ",BR135," | ",BS135," | ",BT135," |"),"")</f>
        <v>| [Link](http://www.therealpresence.org/eucharst/misc/BVM/140_GOZO_60x96.pdf) | [Link](http://www.miraclehunter.com/marian_apparitions/approved_apparitions/tapinu/) | [Link](https://www.marypages.com/ta-pinu-malta-en.html) |</v>
      </c>
      <c r="BV135" s="117" t="str">
        <f t="shared" si="18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malta_x000D_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81"/>
        <v xml:space="preserve">| </v>
      </c>
      <c r="CK135" s="13" t="str">
        <f t="shared" si="182"/>
        <v xml:space="preserve">| [Gozo](/places/places\mt-basilica-of-ta-pinu) </v>
      </c>
      <c r="CL135" s="13" t="str">
        <f>"| "&amp;IF(AS135,GetTagPage(C135,VLOOKUP(C135,'Country Tags'!C:E,3,)),C135)&amp; " "</f>
        <v xml:space="preserve">| [Malta](/tags/malta) </v>
      </c>
      <c r="CM135" s="13" t="str">
        <f t="shared" si="183"/>
        <v xml:space="preserve">| 1575 </v>
      </c>
      <c r="CN135" s="13" t="str">
        <f t="shared" si="184"/>
        <v xml:space="preserve">| [Link](/places/places\mt-basilica-of-ta-pinu) </v>
      </c>
      <c r="CO135" s="12" t="str">
        <f t="shared" si="185"/>
        <v xml:space="preserve">
| [Gozo](/places/places\mt-basilica-of-ta-pinu) | [Malta](/tags/malta)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1901</v>
      </c>
      <c r="C136" s="7" t="s">
        <v>352</v>
      </c>
      <c r="E136" s="1">
        <v>12.250924807686999</v>
      </c>
      <c r="F136" s="30">
        <v>-85.378274608161107</v>
      </c>
      <c r="G136" s="7" t="s">
        <v>811</v>
      </c>
      <c r="H136" s="33" t="s">
        <v>810</v>
      </c>
      <c r="I136" s="7" t="s">
        <v>1165</v>
      </c>
      <c r="J136" s="23" t="b">
        <v>1</v>
      </c>
      <c r="K136" s="7" t="b">
        <v>1</v>
      </c>
      <c r="M136" s="7" t="s">
        <v>798</v>
      </c>
      <c r="N136" s="139" t="s">
        <v>1939</v>
      </c>
      <c r="O136" s="1" t="s">
        <v>812</v>
      </c>
      <c r="P136" s="1" t="s">
        <v>53</v>
      </c>
      <c r="Z136" s="1" t="s">
        <v>53</v>
      </c>
      <c r="AJ136" s="56" t="s">
        <v>777</v>
      </c>
      <c r="AK136" s="57">
        <v>1980</v>
      </c>
      <c r="AL136" s="1" t="s">
        <v>48</v>
      </c>
      <c r="AM136" s="1" t="s">
        <v>53</v>
      </c>
      <c r="AN136" s="1" t="s">
        <v>809</v>
      </c>
      <c r="AO136" s="1" t="s">
        <v>53</v>
      </c>
      <c r="AP136" s="1" t="s">
        <v>808</v>
      </c>
      <c r="AQ136" s="30" t="s">
        <v>53</v>
      </c>
      <c r="AS136" s="116" t="b">
        <f t="shared" si="157"/>
        <v>1</v>
      </c>
      <c r="AT136" s="117" t="str">
        <f t="shared" si="158"/>
        <v>title: "National Sanctuary of Our Lady of Cuapa"</v>
      </c>
      <c r="AU136" s="117" t="str">
        <f t="shared" si="159"/>
        <v>location: {lat: 12.250924807687, lng: -85.3782746081611}</v>
      </c>
      <c r="AV136" s="117" t="str">
        <f t="shared" si="160"/>
        <v>interest: global</v>
      </c>
      <c r="AW136" s="117" t="str">
        <f>"- "&amp;VLOOKUP(C136,'Country Tags'!C:E,3,)</f>
        <v>- nicaragua</v>
      </c>
      <c r="AX136" s="117" t="str">
        <f t="shared" si="161"/>
        <v/>
      </c>
      <c r="AY136" s="117" t="str">
        <f t="shared" si="162"/>
        <v>- churches</v>
      </c>
      <c r="AZ136" s="117" t="str">
        <f t="shared" si="163"/>
        <v>- marian-sites</v>
      </c>
      <c r="BA136" s="117" t="str">
        <f t="shared" si="164"/>
        <v/>
      </c>
      <c r="BB136" s="117" t="str">
        <f t="shared" si="165"/>
        <v/>
      </c>
      <c r="BC136" s="117" t="str">
        <f t="shared" si="166"/>
        <v/>
      </c>
      <c r="BD136" s="117" t="str">
        <f t="shared" si="167"/>
        <v/>
      </c>
      <c r="BE136" s="117" t="str">
        <f t="shared" si="168"/>
        <v/>
      </c>
      <c r="BF136" s="117" t="str">
        <f t="shared" si="169"/>
        <v/>
      </c>
      <c r="BG136" s="117" t="str">
        <f t="shared" si="170"/>
        <v/>
      </c>
      <c r="BH136" s="117" t="str">
        <f t="shared" si="171"/>
        <v/>
      </c>
      <c r="BI136" s="117" t="str">
        <f t="shared" si="172"/>
        <v/>
      </c>
      <c r="BJ136" s="117" t="str">
        <f t="shared" si="173"/>
        <v/>
      </c>
      <c r="BK136" s="117" t="str">
        <f t="shared" si="174"/>
        <v/>
      </c>
      <c r="BL136" s="117" t="str">
        <f t="shared" si="175"/>
        <v xml:space="preserve">tags:
- nicaragua_x000D_
- churches_x000D_
- marian-sites_x000D_
</v>
      </c>
      <c r="BM136" s="120" t="str">
        <f t="shared" si="186"/>
        <v>[Official site](https://www.facebook.com/SDVirgendeCuapa)</v>
      </c>
      <c r="BN136" s="120" t="str">
        <f t="shared" si="187"/>
        <v/>
      </c>
      <c r="BO136" s="120" t="str">
        <f t="shared" si="188"/>
        <v/>
      </c>
      <c r="BP136" s="120" t="str">
        <f t="shared" si="189"/>
        <v/>
      </c>
      <c r="BQ136" s="120" t="str">
        <f t="shared" si="176"/>
        <v xml:space="preserve">* [Official site](https://www.facebook.com/SDVirgendeCuapa)
</v>
      </c>
      <c r="BR136" s="120" t="str">
        <f t="shared" si="177"/>
        <v>[Link](http://www.therealpresence.org/eucharst/misc/BVM/16_CUAPA_60x96.pdf)</v>
      </c>
      <c r="BS136" s="120" t="str">
        <f t="shared" si="178"/>
        <v>[Link](http://www.miraclehunter.com/marian_apparitions/approved_apparitions/cuapa/index.html)</v>
      </c>
      <c r="BT136" s="120" t="str">
        <f t="shared" si="179"/>
        <v>[Link](https://www.marypages.com/our-lady-of-cuapa-also-known-as-our-lady-of-nicaragua-en.html)</v>
      </c>
      <c r="BU136" s="120" t="str">
        <f>IF(LEN(concat(BR136:BT136))&gt;0,concat("|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8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nicaragua_x000D_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81"/>
        <v xml:space="preserve">| </v>
      </c>
      <c r="CK136" s="13" t="str">
        <f t="shared" si="182"/>
        <v xml:space="preserve">| [Cuapa](/places/places\ni-sanctuary-of-our-lady-of-cuapa) </v>
      </c>
      <c r="CL136" s="13" t="str">
        <f>"| "&amp;IF(AS136,GetTagPage(C136,VLOOKUP(C136,'Country Tags'!C:E,3,)),C136)&amp; " "</f>
        <v xml:space="preserve">| [Nicaragua](/tags/nicaragua) </v>
      </c>
      <c r="CM136" s="13" t="str">
        <f t="shared" si="183"/>
        <v xml:space="preserve">| 1980 </v>
      </c>
      <c r="CN136" s="13" t="str">
        <f t="shared" si="184"/>
        <v xml:space="preserve">| [Link](/places/places\ni-sanctuary-of-our-lady-of-cuapa) </v>
      </c>
      <c r="CO136" s="12" t="str">
        <f t="shared" si="185"/>
        <v xml:space="preserve">
| [Cuapa](/places/places\ni-sanctuary-of-our-lady-of-cuapa) | [Nicaragua](/tags/nicaragua)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1901</v>
      </c>
      <c r="C137" s="7" t="s">
        <v>363</v>
      </c>
      <c r="E137" s="1">
        <v>13.882181522598099</v>
      </c>
      <c r="F137" s="30">
        <v>120.92027885535801</v>
      </c>
      <c r="G137" s="7" t="s">
        <v>837</v>
      </c>
      <c r="H137" s="33" t="s">
        <v>838</v>
      </c>
      <c r="I137" s="7" t="s">
        <v>1165</v>
      </c>
      <c r="J137" s="23" t="b">
        <v>1</v>
      </c>
      <c r="K137" s="7" t="b">
        <v>1</v>
      </c>
      <c r="M137" s="7" t="s">
        <v>798</v>
      </c>
      <c r="N137" s="139" t="s">
        <v>1940</v>
      </c>
      <c r="O137" s="1" t="s">
        <v>840</v>
      </c>
      <c r="P137" s="1" t="s">
        <v>53</v>
      </c>
      <c r="Z137" s="1" t="s">
        <v>53</v>
      </c>
      <c r="AJ137" s="56" t="s">
        <v>768</v>
      </c>
      <c r="AK137" s="57">
        <v>1603</v>
      </c>
      <c r="AL137" s="1" t="s">
        <v>25</v>
      </c>
      <c r="AM137" s="1" t="s">
        <v>53</v>
      </c>
      <c r="AN137" s="1" t="s">
        <v>839</v>
      </c>
      <c r="AO137" s="1" t="s">
        <v>53</v>
      </c>
      <c r="AP137" s="1" t="s">
        <v>53</v>
      </c>
      <c r="AQ137" s="30" t="s">
        <v>53</v>
      </c>
      <c r="AS137" s="116" t="b">
        <f t="shared" si="157"/>
        <v>1</v>
      </c>
      <c r="AT137" s="117" t="str">
        <f t="shared" si="158"/>
        <v>title: "Archdiocesan Shrine of Our Lady of Caysasay"</v>
      </c>
      <c r="AU137" s="117" t="str">
        <f t="shared" si="159"/>
        <v>location: {lat: 13.8821815225981, lng: 120.920278855358}</v>
      </c>
      <c r="AV137" s="117" t="str">
        <f t="shared" si="160"/>
        <v>interest: global</v>
      </c>
      <c r="AW137" s="117" t="str">
        <f>"- "&amp;VLOOKUP(C137,'Country Tags'!C:E,3,)</f>
        <v>- philippines</v>
      </c>
      <c r="AX137" s="117" t="str">
        <f t="shared" si="161"/>
        <v/>
      </c>
      <c r="AY137" s="117" t="str">
        <f t="shared" si="162"/>
        <v>- churches</v>
      </c>
      <c r="AZ137" s="117" t="str">
        <f t="shared" si="163"/>
        <v>- marian-sites</v>
      </c>
      <c r="BA137" s="117" t="str">
        <f t="shared" si="164"/>
        <v/>
      </c>
      <c r="BB137" s="117" t="str">
        <f t="shared" si="165"/>
        <v/>
      </c>
      <c r="BC137" s="117" t="str">
        <f t="shared" si="166"/>
        <v/>
      </c>
      <c r="BD137" s="117" t="str">
        <f t="shared" si="167"/>
        <v/>
      </c>
      <c r="BE137" s="117" t="str">
        <f t="shared" si="168"/>
        <v/>
      </c>
      <c r="BF137" s="117" t="str">
        <f t="shared" si="169"/>
        <v/>
      </c>
      <c r="BG137" s="117" t="str">
        <f t="shared" si="170"/>
        <v/>
      </c>
      <c r="BH137" s="117" t="str">
        <f t="shared" si="171"/>
        <v/>
      </c>
      <c r="BI137" s="117" t="str">
        <f t="shared" si="172"/>
        <v/>
      </c>
      <c r="BJ137" s="117" t="str">
        <f t="shared" si="173"/>
        <v/>
      </c>
      <c r="BK137" s="117" t="str">
        <f t="shared" si="174"/>
        <v/>
      </c>
      <c r="BL137" s="117" t="str">
        <f t="shared" si="175"/>
        <v xml:space="preserve">tags:
- philippines_x000D_
- churches_x000D_
- marian-sites_x000D_
</v>
      </c>
      <c r="BM137" s="120" t="str">
        <f t="shared" si="186"/>
        <v>[Official site](https://www.facebook.com/CaysasayTaal)</v>
      </c>
      <c r="BN137" s="120" t="str">
        <f t="shared" si="187"/>
        <v/>
      </c>
      <c r="BO137" s="120" t="str">
        <f t="shared" si="188"/>
        <v/>
      </c>
      <c r="BP137" s="120" t="str">
        <f t="shared" si="189"/>
        <v/>
      </c>
      <c r="BQ137" s="120" t="str">
        <f t="shared" si="176"/>
        <v xml:space="preserve">* [Official site](https://www.facebook.com/CaysasayTaal)
</v>
      </c>
      <c r="BR137" s="120" t="str">
        <f t="shared" si="177"/>
        <v>[Link](http://www.therealpresence.org/eucharst/misc/BVM/94_CAYSASAY_60x96.pdf)</v>
      </c>
      <c r="BS137" s="120" t="str">
        <f t="shared" si="178"/>
        <v>[Link](http://www.miraclehunter.com/marian_apparitions/approved_apparitions/caysasay/index.html)</v>
      </c>
      <c r="BT137" s="120" t="str">
        <f t="shared" si="179"/>
        <v/>
      </c>
      <c r="BU137" s="120" t="str">
        <f>IF(LEN(concat(BR137:BT137))&gt;0,concat("| ",BR137," | ",BS137," | ",BT137," |"),"")</f>
        <v>| [Link](http://www.therealpresence.org/eucharst/misc/BVM/94_CAYSASAY_60x96.pdf) | [Link](http://www.miraclehunter.com/marian_apparitions/approved_apparitions/caysasay/index.html) |  |</v>
      </c>
      <c r="BV137" s="117" t="str">
        <f t="shared" si="18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philippines_x000D_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81"/>
        <v xml:space="preserve">| </v>
      </c>
      <c r="CK137" s="13" t="str">
        <f t="shared" si="182"/>
        <v xml:space="preserve">| [Caysasay](/places/places\ph-shrine-of-our-lady-of-caysasay) </v>
      </c>
      <c r="CL137" s="13" t="str">
        <f>"| "&amp;IF(AS137,GetTagPage(C137,VLOOKUP(C137,'Country Tags'!C:E,3,)),C137)&amp; " "</f>
        <v xml:space="preserve">| [Philippines](/tags/philippines) </v>
      </c>
      <c r="CM137" s="13" t="str">
        <f t="shared" si="183"/>
        <v xml:space="preserve">| 1603 </v>
      </c>
      <c r="CN137" s="13" t="str">
        <f t="shared" si="184"/>
        <v xml:space="preserve">| [Link](/places/places\ph-shrine-of-our-lady-of-caysasay) </v>
      </c>
      <c r="CO137" s="12" t="str">
        <f t="shared" si="185"/>
        <v xml:space="preserve">
| [Caysasay](/places/places\ph-shrine-of-our-lady-of-caysasay) | [Philippines](/tags/philippines)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1901</v>
      </c>
      <c r="C138" s="7" t="s">
        <v>418</v>
      </c>
      <c r="E138" s="1">
        <v>-27.855349035650701</v>
      </c>
      <c r="F138" s="30">
        <v>31.453787971164701</v>
      </c>
      <c r="G138" s="7" t="s">
        <v>784</v>
      </c>
      <c r="H138" s="33" t="s">
        <v>784</v>
      </c>
      <c r="I138" s="7" t="s">
        <v>1165</v>
      </c>
      <c r="J138" s="23" t="b">
        <v>1</v>
      </c>
      <c r="K138" s="7" t="b">
        <v>1</v>
      </c>
      <c r="M138" s="7" t="s">
        <v>798</v>
      </c>
      <c r="N138" s="35"/>
      <c r="O138" s="1" t="s">
        <v>799</v>
      </c>
      <c r="P138" s="144" t="s">
        <v>1988</v>
      </c>
      <c r="Q138" s="40" t="s">
        <v>1242</v>
      </c>
      <c r="R138" s="1" t="s">
        <v>1240</v>
      </c>
      <c r="Z138" s="1" t="s">
        <v>785</v>
      </c>
      <c r="AJ138" s="56" t="s">
        <v>775</v>
      </c>
      <c r="AK138" s="57" t="s">
        <v>759</v>
      </c>
      <c r="AL138" s="1" t="s">
        <v>45</v>
      </c>
      <c r="AM138" s="1" t="s">
        <v>53</v>
      </c>
      <c r="AN138" s="1" t="s">
        <v>53</v>
      </c>
      <c r="AO138" s="1" t="s">
        <v>53</v>
      </c>
      <c r="AP138" s="1" t="s">
        <v>53</v>
      </c>
      <c r="AQ138" s="30" t="s">
        <v>53</v>
      </c>
      <c r="AS138" s="116" t="b">
        <f t="shared" si="157"/>
        <v>1</v>
      </c>
      <c r="AT138" s="117" t="str">
        <f t="shared" si="158"/>
        <v>title: "Ngome Marian Shrine"</v>
      </c>
      <c r="AU138" s="117" t="str">
        <f t="shared" si="159"/>
        <v>location: {lat: -27.8553490356507, lng: 31.4537879711647}</v>
      </c>
      <c r="AV138" s="117" t="str">
        <f t="shared" si="160"/>
        <v>interest: global</v>
      </c>
      <c r="AW138" s="117" t="str">
        <f>"- "&amp;VLOOKUP(C138,'Country Tags'!C:E,3,)</f>
        <v>- south-africa</v>
      </c>
      <c r="AX138" s="117" t="str">
        <f t="shared" si="161"/>
        <v/>
      </c>
      <c r="AY138" s="117" t="str">
        <f t="shared" si="162"/>
        <v>- churches</v>
      </c>
      <c r="AZ138" s="117" t="str">
        <f t="shared" si="163"/>
        <v>- marian-sites</v>
      </c>
      <c r="BA138" s="117" t="str">
        <f t="shared" si="164"/>
        <v/>
      </c>
      <c r="BB138" s="117" t="str">
        <f t="shared" si="165"/>
        <v>- reinolda-may</v>
      </c>
      <c r="BC138" s="117" t="str">
        <f t="shared" si="166"/>
        <v/>
      </c>
      <c r="BD138" s="117" t="str">
        <f t="shared" si="167"/>
        <v/>
      </c>
      <c r="BE138" s="117" t="str">
        <f t="shared" si="168"/>
        <v/>
      </c>
      <c r="BF138" s="117" t="str">
        <f t="shared" si="169"/>
        <v/>
      </c>
      <c r="BG138" s="117" t="str">
        <f t="shared" si="170"/>
        <v/>
      </c>
      <c r="BH138" s="117" t="str">
        <f t="shared" si="171"/>
        <v/>
      </c>
      <c r="BI138" s="117" t="str">
        <f t="shared" si="172"/>
        <v/>
      </c>
      <c r="BJ138" s="117" t="str">
        <f t="shared" si="173"/>
        <v/>
      </c>
      <c r="BK138" s="117" t="str">
        <f t="shared" si="174"/>
        <v/>
      </c>
      <c r="BL138" s="117" t="str">
        <f t="shared" si="175"/>
        <v xml:space="preserve">tags:
- south-africa_x000D_
- churches_x000D_
- marian-sites_x000D_
- reinolda-may_x000D_
</v>
      </c>
      <c r="BM138" s="120" t="str">
        <f t="shared" si="186"/>
        <v>[Official site](http://www.ngome.co.za/) - Note: website not active at time of writing</v>
      </c>
      <c r="BN138" s="120" t="str">
        <f t="shared" si="187"/>
        <v>[Official Facebook page](https://www.facebook.com/ngomemarianshrine/)</v>
      </c>
      <c r="BO138" s="120" t="str">
        <f t="shared" si="188"/>
        <v/>
      </c>
      <c r="BP138" s="120" t="str">
        <f t="shared" si="189"/>
        <v/>
      </c>
      <c r="BQ138" s="120" t="str">
        <f t="shared" si="176"/>
        <v xml:space="preserve">* [Official site](http://www.ngome.co.za/) - Note: website not active at time of writing
* [Official Facebook page](https://www.facebook.com/ngomemarianshrine/)
</v>
      </c>
      <c r="BR138" s="120" t="str">
        <f t="shared" si="177"/>
        <v>[Link](http://www.therealpresence.org/eucharst/misc/BVM/124_NGOME_140x96.pdf)</v>
      </c>
      <c r="BS138" s="120" t="str">
        <f t="shared" si="178"/>
        <v/>
      </c>
      <c r="BT138" s="120" t="str">
        <f t="shared" si="179"/>
        <v/>
      </c>
      <c r="BU138" s="120" t="str">
        <f>IF(LEN(concat(BR138:BT138))&gt;0,concat("| ",BR138," | ",BS138," | ",BT138," |"),"")</f>
        <v>| [Link](http://www.therealpresence.org/eucharst/misc/BVM/124_NGOME_140x96.pdf) |  |  |</v>
      </c>
      <c r="BV138" s="117" t="str">
        <f t="shared" si="18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south-africa_x000D_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81"/>
        <v>#VALUE!</v>
      </c>
      <c r="CK138" s="13" t="str">
        <f t="shared" si="182"/>
        <v xml:space="preserve">| [Ngome](/places/places\za-ngome-marian-shrine) </v>
      </c>
      <c r="CL138" s="13" t="str">
        <f>"| "&amp;IF(AS138,GetTagPage(C138,VLOOKUP(C138,'Country Tags'!C:E,3,)),C138)&amp; " "</f>
        <v xml:space="preserve">| [South Africa](/tags/south-africa) </v>
      </c>
      <c r="CM138" s="13" t="str">
        <f t="shared" si="183"/>
        <v xml:space="preserve">| 1955-1971 </v>
      </c>
      <c r="CN138" s="13" t="str">
        <f t="shared" si="184"/>
        <v xml:space="preserve">| [Link](/places/places\za-ngome-marian-shrine) </v>
      </c>
      <c r="CO138" s="12" t="e">
        <f t="shared" si="185"/>
        <v>#VALUE!</v>
      </c>
    </row>
    <row r="139" spans="1:93" ht="76.5" x14ac:dyDescent="0.25">
      <c r="A139" s="129" t="s">
        <v>743</v>
      </c>
      <c r="B139" s="7" t="s">
        <v>1901</v>
      </c>
      <c r="C139" s="7" t="s">
        <v>445</v>
      </c>
      <c r="E139" s="1">
        <v>52.880559553822799</v>
      </c>
      <c r="F139" s="30">
        <v>0.85276071534114095</v>
      </c>
      <c r="G139" s="7" t="s">
        <v>818</v>
      </c>
      <c r="H139" s="33" t="s">
        <v>51</v>
      </c>
      <c r="I139" s="7" t="s">
        <v>1165</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57"/>
        <v>1</v>
      </c>
      <c r="AT139" s="117" t="str">
        <f t="shared" si="158"/>
        <v>title: "Catholic National Shrine and Basilica of Our Lady of Walsingham"</v>
      </c>
      <c r="AU139" s="117" t="str">
        <f t="shared" si="159"/>
        <v>location: {lat: 52.8805595538228, lng: 0.852760715341141}</v>
      </c>
      <c r="AV139" s="117" t="str">
        <f t="shared" si="160"/>
        <v>interest: global</v>
      </c>
      <c r="AW139" s="117" t="str">
        <f>"- "&amp;VLOOKUP(C139,'Country Tags'!C:E,3,)</f>
        <v>- uk</v>
      </c>
      <c r="AX139" s="117" t="str">
        <f t="shared" si="161"/>
        <v/>
      </c>
      <c r="AY139" s="117" t="str">
        <f t="shared" si="162"/>
        <v>- churches</v>
      </c>
      <c r="AZ139" s="117" t="str">
        <f t="shared" si="163"/>
        <v>- marian-sites</v>
      </c>
      <c r="BA139" s="117" t="str">
        <f t="shared" si="164"/>
        <v/>
      </c>
      <c r="BB139" s="117" t="str">
        <f t="shared" si="165"/>
        <v/>
      </c>
      <c r="BC139" s="117" t="str">
        <f t="shared" si="166"/>
        <v/>
      </c>
      <c r="BD139" s="117" t="str">
        <f t="shared" si="167"/>
        <v/>
      </c>
      <c r="BE139" s="117" t="str">
        <f t="shared" si="168"/>
        <v/>
      </c>
      <c r="BF139" s="117" t="str">
        <f t="shared" si="169"/>
        <v/>
      </c>
      <c r="BG139" s="117" t="str">
        <f t="shared" si="170"/>
        <v/>
      </c>
      <c r="BH139" s="117" t="str">
        <f t="shared" si="171"/>
        <v/>
      </c>
      <c r="BI139" s="117" t="str">
        <f t="shared" si="172"/>
        <v/>
      </c>
      <c r="BJ139" s="117" t="str">
        <f t="shared" si="173"/>
        <v/>
      </c>
      <c r="BK139" s="117" t="str">
        <f t="shared" si="174"/>
        <v/>
      </c>
      <c r="BL139" s="117" t="str">
        <f t="shared" si="175"/>
        <v xml:space="preserve">tags:
- uk_x000D_
- churches_x000D_
- marian-sites_x000D_
</v>
      </c>
      <c r="BM139" s="120" t="str">
        <f t="shared" si="186"/>
        <v>[Official site](https://www.walsingham.org.uk/)</v>
      </c>
      <c r="BN139" s="120" t="str">
        <f t="shared" si="187"/>
        <v/>
      </c>
      <c r="BO139" s="120" t="str">
        <f t="shared" si="188"/>
        <v/>
      </c>
      <c r="BP139" s="120" t="str">
        <f t="shared" si="189"/>
        <v/>
      </c>
      <c r="BQ139" s="120" t="str">
        <f t="shared" si="176"/>
        <v xml:space="preserve">* [Official site](https://www.walsingham.org.uk/)
</v>
      </c>
      <c r="BR139" s="120" t="str">
        <f t="shared" si="177"/>
        <v>[Link](http://www.therealpresence.org/eucharst/misc/BVM/153_WALSINGHAM_60x96.pdf)</v>
      </c>
      <c r="BS139" s="120" t="str">
        <f t="shared" si="178"/>
        <v>[Link](https://www.miraclehunter.com/marian_apparitions/approved_apparitions/walsingham/index.html)</v>
      </c>
      <c r="BT139" s="120" t="str">
        <f t="shared" si="179"/>
        <v>[Link](https://www.marypages.com/our-lady-of-walsingham-en.html)</v>
      </c>
      <c r="BU139" s="120" t="str">
        <f>IF(LEN(concat(BR139:BT139))&gt;0,concat("| ",BR139," | ",BS139," | ",BT139," |"),"")</f>
        <v>| [Link](http://www.therealpresence.org/eucharst/misc/BVM/153_WALSINGHAM_60x96.pdf) | [Link](https://www.miraclehunter.com/marian_apparitions/approved_apparitions/walsingham/index.html) | [Link](https://www.marypages.com/our-lady-of-walsingham-en.html) |</v>
      </c>
      <c r="BV139" s="117" t="str">
        <f t="shared" si="18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81"/>
        <v xml:space="preserve">| </v>
      </c>
      <c r="CK139" s="13" t="str">
        <f t="shared" si="182"/>
        <v xml:space="preserve">| [Walsingham](/places/places\gb-basilica-of-our-lady-of-walsingham) </v>
      </c>
      <c r="CL139" s="13" t="str">
        <f>"| "&amp;IF(AS139,GetTagPage(C139,VLOOKUP(C139,'Country Tags'!C:E,3,)),C139)&amp; " "</f>
        <v xml:space="preserve">| [United Kingdom](/tags/uk) </v>
      </c>
      <c r="CM139" s="13" t="str">
        <f t="shared" si="183"/>
        <v xml:space="preserve">| 11th Century </v>
      </c>
      <c r="CN139" s="13" t="str">
        <f t="shared" si="184"/>
        <v xml:space="preserve">| [Link](/places/places\gb-basilica-of-our-lady-of-walsingham) </v>
      </c>
      <c r="CO139" s="12" t="str">
        <f t="shared" si="185"/>
        <v xml:space="preserve">
| [Walsingham](/places/places\gb-basilica-of-our-lady-of-walsingham) | [United Kingdom](/tags/uk)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x14ac:dyDescent="0.25">
      <c r="G140" s="15"/>
      <c r="H140" s="37"/>
      <c r="I140" s="15"/>
      <c r="J140" s="23"/>
      <c r="M140" s="28"/>
      <c r="O140" s="103"/>
      <c r="AJ140" s="104"/>
      <c r="AK140" s="105"/>
      <c r="AL140" s="103"/>
      <c r="AM140" s="103"/>
      <c r="AN140" s="103"/>
      <c r="AO140" s="103"/>
      <c r="AP140" s="103"/>
      <c r="AQ140" s="106"/>
      <c r="BM140" s="120"/>
      <c r="BN140" s="120"/>
      <c r="BO140" s="120"/>
      <c r="BP140" s="120"/>
      <c r="BQ140" s="120"/>
      <c r="BR140" s="120"/>
      <c r="BS140" s="120"/>
      <c r="BT140" s="120"/>
      <c r="BU140" s="120"/>
      <c r="CB140" s="6"/>
      <c r="CC140" s="6"/>
      <c r="CG140" s="13"/>
      <c r="CH140" s="13"/>
      <c r="CI140" s="13"/>
      <c r="CJ140" s="13"/>
      <c r="CK140" s="13"/>
      <c r="CL140" s="13"/>
      <c r="CM140" s="13"/>
      <c r="CN140" s="13"/>
    </row>
    <row r="141" spans="1:93" x14ac:dyDescent="0.25">
      <c r="CB141" s="6"/>
      <c r="CC141" s="6"/>
    </row>
  </sheetData>
  <autoFilter ref="A5:CP141" xr:uid="{1F42FE33-8E3C-4CCA-BACD-45C80E7F4A0D}"/>
  <conditionalFormatting sqref="AJ1:AQ1048576">
    <cfRule type="expression" dxfId="17" priority="108">
      <formula>IF(AND($A1&lt;&gt;0,$K1=0),TRUE,FALSE)</formula>
    </cfRule>
  </conditionalFormatting>
  <conditionalFormatting sqref="A1:AQ1048576">
    <cfRule type="expression" dxfId="16" priority="102" stopIfTrue="1">
      <formula>IF($A1="New (change to Done when complete)",TRUE,FALSE)</formula>
    </cfRule>
    <cfRule type="expression" dxfId="15" priority="103" stopIfTrue="1">
      <formula>IF($A1="Blocked",TRUE,FALSE)</formula>
    </cfRule>
    <cfRule type="expression" dxfId="14" priority="104">
      <formula>IF(AND(LEN($A1)&gt;0,$A1&lt;&gt;"Done",$A1&lt;&gt;"Status"),TRUE,FALSE)</formula>
    </cfRule>
  </conditionalFormatting>
  <conditionalFormatting sqref="B1:AQ1048576">
    <cfRule type="expression" dxfId="13" priority="1">
      <formula>IF(B1=B$1,TRUE,FALSE)</formula>
    </cfRule>
  </conditionalFormatting>
  <hyperlinks>
    <hyperlink ref="AJ56" r:id="rId1" display="http://www.therealpresence.org/eucharst/misc/BVM/09_ZARAGOZA_60x96.pdf" xr:uid="{C32278E4-7B7A-4954-906D-9C47B409BA2E}"/>
    <hyperlink ref="AJ12" r:id="rId2" display="http://www.therealpresence.org/eucharst/misc/BVM/68_LE_PUY_60x96.pdf" xr:uid="{CA03B079-2CAD-492C-9E3F-618DC97F1315}"/>
    <hyperlink ref="AJ28" r:id="rId3" display="http://www.therealpresence.org/eucharst/misc/BVM/117_ROMA_60x96.pdf" xr:uid="{19903BBD-2E0B-4FC0-B12B-17CA17D1BEAD}"/>
    <hyperlink ref="AJ134" r:id="rId4" display="http://www.therealpresence.org/eucharst/misc/BVM/90_TINDARI_60x96.pdf" xr:uid="{5DEB3489-2F6D-49A0-874C-5F62C2659263}"/>
    <hyperlink ref="AJ139" r:id="rId5" display="http://www.therealpresence.org/eucharst/misc/BVM/153_WALSINGHAM_60x96.pdf" xr:uid="{F08A0A36-1EB4-43EE-82AF-E0260EA92604}"/>
    <hyperlink ref="AJ46" r:id="rId6" display="http://www.therealpresence.org/eucharst/misc/BVM/138_SWIETA_LIPKA_60x96.pdf" xr:uid="{A5DE945D-29BF-4310-B2D2-A673B5065271}"/>
    <hyperlink ref="AJ29" r:id="rId7" display="http://www.therealpresence.org/eucharst/misc/BVM/13_VALVERDE_60x96.pdf" xr:uid="{7BCA5074-E5ED-4665-ABB7-0692B0D6A186}"/>
    <hyperlink ref="AJ25" r:id="rId8" display="http://www.therealpresence.org/eucharst/misc/BVM/32_VAILANKANNI_60x96.pdf" xr:uid="{489E131A-8E14-46B5-BB24-7DDA799C38FB}"/>
    <hyperlink ref="AJ41" r:id="rId9" display="http://www.therealpresence.org/eucharst/misc/BVM/70_GUADALUPE_96x96.pdf" xr:uid="{B1B8B53E-5BAF-460A-AABE-EF5672BC9ACC}"/>
    <hyperlink ref="AJ55" r:id="rId10" display="http://www.therealpresence.org/eucharst/misc/BVM/137_SVETA_GORA_60x96.pdf" xr:uid="{DF9F5ACF-66C9-4DC5-971D-5E7894EEDBED}"/>
    <hyperlink ref="AJ135" r:id="rId11" display="http://www.therealpresence.org/eucharst/misc/BVM/140_GOZO_60x96.pdf" xr:uid="{12021650-E5C0-4596-B9DA-B5910F446D73}"/>
    <hyperlink ref="AJ137" r:id="rId12" display="http://www.therealpresence.org/eucharst/misc/BVM/94_CAYSASAY_60x96.pdf" xr:uid="{E30EF88F-2468-4403-A13B-FC90525FB784}"/>
    <hyperlink ref="AJ54" r:id="rId13" display="http://www.therealpresence.org/eucharst/misc/BVM/104_DOROSZLO_60x96.pdf" xr:uid="{D355AD30-56C2-4752-AF84-7613A746082C}"/>
    <hyperlink ref="AJ40" r:id="rId14" display="http://www.therealpresence.org/eucharst/misc/BVM/57_SILUVA_96x96.pdf" xr:uid="{57CA58CD-A9F6-41BA-9AFE-3EF68EFC1E97}"/>
    <hyperlink ref="AJ45" r:id="rId15" display="http://www.therealpresence.org/eucharst/misc/BVM/88_MANAOAG_60x96.pdf" xr:uid="{9B5AE47B-71F0-4951-BA0C-73F35609D322}"/>
    <hyperlink ref="AJ130" r:id="rId16" display="http://www.therealpresence.org/eucharst/misc/BVM/102_CUBA_96x96.pdf" xr:uid="{AE52E191-4C08-4325-AAC1-F431733684EE}"/>
    <hyperlink ref="AJ13" r:id="rId17" display="http://www.therealpresence.org/eucharst/misc/BVM/69_LAUS_140x96.pdf" xr:uid="{47EBC17E-3022-4B54-8C06-F6E30985CF34}"/>
    <hyperlink ref="AJ9" r:id="rId18" display="http://www.therealpresence.org/eucharst/misc/BVM/109_LAJAS_96x96.pdf" xr:uid="{5E55BC1B-CDB5-4035-B57A-F4F9C4615022}"/>
    <hyperlink ref="AJ128" r:id="rId19" display="http://www.therealpresence.org/eucharst/misc/BVM/21_LAVANG_60x96.pdf" xr:uid="{E25E80BB-D05A-4AE7-A237-C4CE83C48226}"/>
    <hyperlink ref="AJ49" r:id="rId20" display="http://www.therealpresence.org/eucharst/misc/BVM/110_LICHEN_96x96.pdf" xr:uid="{C3DA243D-69BB-40E7-B6C2-682AC414D5CF}"/>
    <hyperlink ref="AJ14" r:id="rId21" display="http://www.therealpresence.org/eucharst/misc/BVM/06_PARIGI_60x96.pdf" xr:uid="{B55806A6-B198-4A9F-8B4E-C8B236010F2F}"/>
    <hyperlink ref="AJ30" r:id="rId22" display="http://www.therealpresence.org/eucharst/misc/BVM/23_ROMA_60x96.pdf" xr:uid="{04873456-C162-4CCF-A15B-B99C615CE702}"/>
    <hyperlink ref="AJ15" r:id="rId23" display="http://www.therealpresence.org/eucharst/misc/BVM/30_LA_SALETTE_96x96.pdf" xr:uid="{196A5320-6676-4EF1-8332-90C055C3F324}"/>
    <hyperlink ref="AJ16" r:id="rId24" display="http://www.therealpresence.org/eucharst/misc/BVM/40_LOURDES_140x96.pdf" xr:uid="{0E442E49-F47F-4E39-B0F8-7BD5EE632E6A}"/>
    <hyperlink ref="AJ10" r:id="rId25" display="http://www.therealpresence.org/eucharst/misc/BVM/89_FILIPOV_96x96.pdf" xr:uid="{487ABD3A-F8BB-4BE0-ACFC-033D0C037295}"/>
    <hyperlink ref="AJ17" r:id="rId26" display="http://www.therealpresence.org/eucharst/misc/BVM/26_PONTMAIN_60x96.pdf" xr:uid="{1C4295E7-38F2-4746-9EA4-3167D315BC85}"/>
    <hyperlink ref="AJ131" r:id="rId27" display="http://www.therealpresence.org/eucharst/misc/BVM/07_PELLEVOISIN_60x96.pdf" xr:uid="{D2B26C3B-937B-4D07-805A-79B71B01D389}"/>
    <hyperlink ref="AJ50" r:id="rId28" display="http://www.therealpresence.org/eucharst/misc/BVM/85_GIETRZALD_96x96.pdf" xr:uid="{2E378F3D-BCCF-40CC-B461-739D7CE2DB36}"/>
    <hyperlink ref="AJ27" r:id="rId29" display="http://www.therealpresence.org/eucharst/misc/BVM/63_KNOCK_60x96.pdf" xr:uid="{7AEA5702-3D74-45DC-BBA5-772B410C7ABB}"/>
    <hyperlink ref="AJ52" r:id="rId30" display="http://www.therealpresence.org/eucharst/misc/BVM/154_FATIMA_96x96_1.pdf" xr:uid="{BBE3D2C4-1E15-438E-874E-7C013CE9F038}"/>
    <hyperlink ref="AJ133" r:id="rId31" display="http://www.therealpresence.org/eucharst/misc/BVM/128_KALLIKULAM_60x96.pdf" xr:uid="{EC20155A-4D8F-4B9A-8BC9-AD53DDAA3B2D}"/>
    <hyperlink ref="AJ138" r:id="rId32" display="http://www.therealpresence.org/eucharst/misc/BVM/124_NGOME_140x96.pdf" xr:uid="{4235EB2E-6994-48B8-B2B9-BD0AF0481CF3}"/>
    <hyperlink ref="AJ11" r:id="rId33" display="http://www.therealpresence.org/eucharst/misc/BVM/144_ZEITUN_96x96.pdf" xr:uid="{0EDD73A9-5A3C-4483-A3C8-1A95818F3C4B}"/>
    <hyperlink ref="AJ39" r:id="rId34" display="http://www.therealpresence.org/eucharst/misc/BVM/01_AKITA_60x96.pdf" xr:uid="{FA8314A8-A194-4DAE-9A7E-65EECB2DC573}"/>
    <hyperlink ref="AJ136" r:id="rId35" display="http://www.therealpresence.org/eucharst/misc/BVM/16_CUAPA_60x96.pdf" xr:uid="{71244677-A467-4D01-B899-925B6A0E0158}"/>
    <hyperlink ref="AJ53" r:id="rId36" display="http://www.therealpresence.org/eucharst/misc/BVM/20_KIBEHO_96x96.pdf" xr:uid="{FF0B29AE-9B16-4798-BF10-3705A44A3613}"/>
  </hyperlinks>
  <pageMargins left="0.7" right="0.7" top="0.75" bottom="0.75" header="0.3" footer="0.3"/>
  <pageSetup orientation="portrait" r:id="rId37"/>
  <drawing r:id="rId38"/>
  <legacyDrawing r:id="rId39"/>
  <mc:AlternateContent xmlns:mc="http://schemas.openxmlformats.org/markup-compatibility/2006">
    <mc:Choice Requires="x14">
      <controls>
        <mc:AlternateContent xmlns:mc="http://schemas.openxmlformats.org/markup-compatibility/2006">
          <mc:Choice Requires="x14">
            <control shapeId="1029" r:id="rId40"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41"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1" id="{1BCE7D4C-278A-4156-90B9-020449CA49D6}">
            <xm:f>IF(AND(LEN(Z1)&lt;&gt;0,ROW(Z1)&gt;1,ISNA(VLOOKUP(Z1,Tags!$C:$D,2,))),TRUE,FALSE)</xm:f>
            <x14:dxf>
              <font>
                <b val="0"/>
                <i/>
                <color rgb="FFFF0000"/>
              </font>
            </x14:dxf>
          </x14:cfRule>
          <xm:sqref>Z1:AI1048576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xm:f>
          </x14:formula1>
          <xm:sqref>C1:C1048576</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153" customWidth="1"/>
    <col min="8" max="8" width="45.5703125" style="33" customWidth="1"/>
    <col min="9" max="9" width="11.5703125" style="157"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1899</v>
      </c>
      <c r="B1" s="130" t="s">
        <v>1900</v>
      </c>
      <c r="C1" s="139" t="s">
        <v>1969</v>
      </c>
      <c r="D1" s="126" t="s">
        <v>1884</v>
      </c>
      <c r="E1" s="139" t="s">
        <v>1971</v>
      </c>
      <c r="F1" s="130" t="s">
        <v>1975</v>
      </c>
      <c r="G1" s="152" t="s">
        <v>1972</v>
      </c>
      <c r="H1" s="166" t="s">
        <v>2104</v>
      </c>
      <c r="I1" s="156" t="s">
        <v>1906</v>
      </c>
      <c r="J1" s="132" t="s">
        <v>1907</v>
      </c>
      <c r="K1" s="133" t="s">
        <v>1908</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1904</v>
      </c>
      <c r="C5" s="110" t="s">
        <v>883</v>
      </c>
      <c r="D5" s="108" t="s">
        <v>884</v>
      </c>
      <c r="E5" s="110" t="s">
        <v>1527</v>
      </c>
      <c r="F5" s="108" t="s">
        <v>1974</v>
      </c>
      <c r="G5" s="108" t="s">
        <v>84</v>
      </c>
      <c r="H5" s="110" t="s">
        <v>2103</v>
      </c>
      <c r="I5" s="107" t="s">
        <v>1203</v>
      </c>
      <c r="J5" s="107" t="s">
        <v>1204</v>
      </c>
      <c r="K5" s="112" t="s">
        <v>1895</v>
      </c>
      <c r="L5" s="111" t="s">
        <v>1206</v>
      </c>
      <c r="M5" s="107" t="s">
        <v>1207</v>
      </c>
      <c r="N5" s="112" t="s">
        <v>1896</v>
      </c>
      <c r="O5" s="107" t="s">
        <v>1208</v>
      </c>
      <c r="P5" s="107" t="s">
        <v>1209</v>
      </c>
      <c r="Q5" s="109" t="s">
        <v>1897</v>
      </c>
      <c r="R5" s="122" t="s">
        <v>53</v>
      </c>
      <c r="S5" s="118" t="s">
        <v>908</v>
      </c>
      <c r="T5" s="119" t="s">
        <v>706</v>
      </c>
      <c r="U5" s="119" t="s">
        <v>1229</v>
      </c>
      <c r="V5" s="119" t="s">
        <v>1230</v>
      </c>
      <c r="W5" s="119" t="s">
        <v>1231</v>
      </c>
      <c r="X5" s="119" t="s">
        <v>1236</v>
      </c>
      <c r="Y5" s="119" t="s">
        <v>1674</v>
      </c>
      <c r="Z5" s="119" t="s">
        <v>1226</v>
      </c>
      <c r="AA5" s="119" t="s">
        <v>2105</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1233</v>
      </c>
      <c r="CB5" s="49" t="s">
        <v>699</v>
      </c>
    </row>
    <row r="6" spans="1:80" ht="76.5" x14ac:dyDescent="0.25">
      <c r="A6" s="129" t="s">
        <v>786</v>
      </c>
      <c r="B6" s="130" t="s">
        <v>1901</v>
      </c>
      <c r="C6" s="139" t="s">
        <v>1956</v>
      </c>
      <c r="D6" s="130" t="s">
        <v>1955</v>
      </c>
      <c r="E6" s="33" t="s">
        <v>1529</v>
      </c>
      <c r="F6" s="130" t="s">
        <v>1957</v>
      </c>
      <c r="G6" s="152"/>
      <c r="H6" s="139"/>
      <c r="I6" s="156" t="s">
        <v>1961</v>
      </c>
      <c r="J6" s="1" t="s">
        <v>1962</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1976</v>
      </c>
      <c r="C7" s="140" t="s">
        <v>880</v>
      </c>
      <c r="D7" s="7" t="s">
        <v>891</v>
      </c>
      <c r="E7" s="33" t="s">
        <v>1529</v>
      </c>
      <c r="I7" s="158"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1976</v>
      </c>
      <c r="B8" s="130"/>
      <c r="C8" s="33" t="s">
        <v>1275</v>
      </c>
      <c r="D8" s="26" t="s">
        <v>1276</v>
      </c>
      <c r="E8" s="38" t="s">
        <v>1529</v>
      </c>
      <c r="F8" s="26"/>
      <c r="I8" s="157"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1976</v>
      </c>
      <c r="C9" s="33" t="s">
        <v>1525</v>
      </c>
      <c r="D9" s="55" t="s">
        <v>1526</v>
      </c>
      <c r="E9" s="61" t="s">
        <v>1529</v>
      </c>
      <c r="F9" s="55"/>
      <c r="G9" s="152"/>
      <c r="H9" s="139"/>
      <c r="I9" s="157"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1976</v>
      </c>
      <c r="C10" s="33" t="s">
        <v>1690</v>
      </c>
      <c r="D10" s="24" t="s">
        <v>1691</v>
      </c>
      <c r="E10" s="36" t="s">
        <v>1529</v>
      </c>
      <c r="G10" s="152"/>
      <c r="H10" s="139"/>
      <c r="I10" s="15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1976</v>
      </c>
      <c r="C11" s="33" t="s">
        <v>1810</v>
      </c>
      <c r="D11" s="24" t="s">
        <v>1811</v>
      </c>
      <c r="E11" s="33" t="s">
        <v>1529</v>
      </c>
      <c r="F11" s="24"/>
      <c r="I11" s="157"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1976</v>
      </c>
      <c r="B12" s="130"/>
      <c r="C12" s="73" t="s">
        <v>1813</v>
      </c>
      <c r="D12" s="71" t="s">
        <v>1814</v>
      </c>
      <c r="E12" s="73" t="s">
        <v>1529</v>
      </c>
      <c r="F12" s="71"/>
      <c r="I12" s="157"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1976</v>
      </c>
      <c r="C13" s="33" t="s">
        <v>1819</v>
      </c>
      <c r="D13" s="71" t="s">
        <v>1820</v>
      </c>
      <c r="E13" s="73" t="s">
        <v>1529</v>
      </c>
      <c r="F13" s="71"/>
      <c r="I13" s="160"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1976</v>
      </c>
      <c r="C14" s="73" t="s">
        <v>1841</v>
      </c>
      <c r="D14" s="71" t="s">
        <v>1842</v>
      </c>
      <c r="E14" s="33" t="s">
        <v>1529</v>
      </c>
      <c r="F14" s="71"/>
      <c r="I14" s="157"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1901</v>
      </c>
      <c r="C15" s="139" t="s">
        <v>1965</v>
      </c>
      <c r="D15" s="130" t="s">
        <v>1970</v>
      </c>
      <c r="E15" s="139" t="s">
        <v>1529</v>
      </c>
      <c r="F15" s="130" t="s">
        <v>1966</v>
      </c>
      <c r="I15" s="156" t="s">
        <v>1967</v>
      </c>
      <c r="J15" s="1" t="s">
        <v>1968</v>
      </c>
      <c r="K15" s="133" t="s">
        <v>1973</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1976</v>
      </c>
      <c r="B16" s="130"/>
      <c r="C16" s="139" t="s">
        <v>1943</v>
      </c>
      <c r="D16" s="23" t="s">
        <v>1185</v>
      </c>
      <c r="E16" s="139" t="s">
        <v>1945</v>
      </c>
      <c r="F16" s="23"/>
      <c r="G16" s="152"/>
      <c r="H16" s="139"/>
      <c r="I16" s="157"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1976</v>
      </c>
      <c r="B17" s="130"/>
      <c r="C17" s="139" t="s">
        <v>1944</v>
      </c>
      <c r="D17" s="7" t="s">
        <v>1186</v>
      </c>
      <c r="E17" s="33" t="s">
        <v>1945</v>
      </c>
      <c r="F17" s="84"/>
      <c r="I17" s="157"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1901</v>
      </c>
      <c r="C18" s="139" t="s">
        <v>1949</v>
      </c>
      <c r="D18" s="130" t="s">
        <v>1950</v>
      </c>
      <c r="E18" s="37" t="s">
        <v>1184</v>
      </c>
      <c r="F18" s="130" t="s">
        <v>1951</v>
      </c>
      <c r="I18" s="161"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1901</v>
      </c>
      <c r="C19" s="33" t="s">
        <v>873</v>
      </c>
      <c r="D19" s="7" t="s">
        <v>888</v>
      </c>
      <c r="E19" s="33" t="s">
        <v>1184</v>
      </c>
      <c r="F19" s="130" t="s">
        <v>1963</v>
      </c>
      <c r="G19" s="152"/>
      <c r="H19" s="139"/>
      <c r="I19" s="15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1901</v>
      </c>
      <c r="C20" s="33" t="s">
        <v>201</v>
      </c>
      <c r="D20" s="7" t="s">
        <v>889</v>
      </c>
      <c r="E20" s="33" t="s">
        <v>1184</v>
      </c>
      <c r="F20" s="130" t="s">
        <v>1964</v>
      </c>
      <c r="G20" s="152"/>
      <c r="H20" s="139"/>
      <c r="I20" s="157"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1976</v>
      </c>
      <c r="C21" s="33" t="s">
        <v>202</v>
      </c>
      <c r="D21" s="7" t="s">
        <v>1530</v>
      </c>
      <c r="E21" s="33" t="s">
        <v>1184</v>
      </c>
      <c r="G21" s="152"/>
      <c r="H21" s="139"/>
      <c r="I21" s="157"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1976</v>
      </c>
      <c r="B22" s="10"/>
      <c r="C22" s="38" t="s">
        <v>203</v>
      </c>
      <c r="D22" s="7" t="s">
        <v>890</v>
      </c>
      <c r="E22" s="33" t="s">
        <v>1184</v>
      </c>
      <c r="F22" s="26"/>
      <c r="G22" s="152"/>
      <c r="H22" s="139"/>
      <c r="I22" s="157"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1976</v>
      </c>
      <c r="C23" s="33" t="s">
        <v>204</v>
      </c>
      <c r="D23" s="7" t="s">
        <v>1832</v>
      </c>
      <c r="E23" s="33" t="s">
        <v>1184</v>
      </c>
      <c r="I23" s="157"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1976</v>
      </c>
      <c r="C24" s="33" t="s">
        <v>205</v>
      </c>
      <c r="D24" s="7" t="s">
        <v>892</v>
      </c>
      <c r="E24" s="33" t="s">
        <v>1184</v>
      </c>
      <c r="I24" s="157"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1976</v>
      </c>
      <c r="C25" s="33" t="s">
        <v>881</v>
      </c>
      <c r="D25" s="7" t="s">
        <v>893</v>
      </c>
      <c r="E25" s="33" t="s">
        <v>1184</v>
      </c>
      <c r="I25" s="157"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1976</v>
      </c>
      <c r="B26" s="130"/>
      <c r="C26" s="61" t="s">
        <v>785</v>
      </c>
      <c r="D26" s="7" t="s">
        <v>1531</v>
      </c>
      <c r="E26" s="61" t="s">
        <v>1184</v>
      </c>
      <c r="F26" s="55"/>
      <c r="G26" s="152"/>
      <c r="H26" s="139"/>
      <c r="I26" s="157"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1976</v>
      </c>
      <c r="B27" s="130"/>
      <c r="C27" s="33" t="s">
        <v>882</v>
      </c>
      <c r="D27" s="55" t="s">
        <v>894</v>
      </c>
      <c r="E27" s="61" t="s">
        <v>1184</v>
      </c>
      <c r="F27" s="55"/>
      <c r="I27" s="157"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1976</v>
      </c>
      <c r="C28" s="33" t="s">
        <v>1156</v>
      </c>
      <c r="D28" s="7" t="s">
        <v>1833</v>
      </c>
      <c r="E28" s="61" t="s">
        <v>1184</v>
      </c>
      <c r="G28" s="152"/>
      <c r="H28" s="139"/>
      <c r="I28" s="157"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1976</v>
      </c>
      <c r="C29" s="33" t="s">
        <v>1170</v>
      </c>
      <c r="D29" s="7" t="s">
        <v>1834</v>
      </c>
      <c r="E29" s="61" t="s">
        <v>1184</v>
      </c>
      <c r="F29" s="55"/>
      <c r="G29" s="152"/>
      <c r="H29" s="139"/>
      <c r="I29" s="157"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1976</v>
      </c>
      <c r="B30" s="130"/>
      <c r="C30" s="61" t="s">
        <v>1171</v>
      </c>
      <c r="D30" s="55" t="s">
        <v>1835</v>
      </c>
      <c r="E30" s="61" t="s">
        <v>1184</v>
      </c>
      <c r="F30" s="55"/>
      <c r="I30" s="157"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1902</v>
      </c>
      <c r="C31" s="141" t="s">
        <v>1182</v>
      </c>
      <c r="D31" s="15" t="s">
        <v>1183</v>
      </c>
      <c r="E31" s="37" t="s">
        <v>1184</v>
      </c>
      <c r="F31" s="130" t="s">
        <v>1977</v>
      </c>
      <c r="I31" s="161" t="s">
        <v>1980</v>
      </c>
      <c r="J31" s="2" t="s">
        <v>1978</v>
      </c>
      <c r="K31" s="136" t="s">
        <v>1979</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1976</v>
      </c>
      <c r="B32" s="130" t="s">
        <v>1902</v>
      </c>
      <c r="C32" s="33" t="s">
        <v>1192</v>
      </c>
      <c r="D32" s="7" t="s">
        <v>1836</v>
      </c>
      <c r="E32" s="33" t="s">
        <v>1184</v>
      </c>
      <c r="G32" s="152"/>
      <c r="H32" s="139"/>
      <c r="I32" s="156" t="s">
        <v>1984</v>
      </c>
      <c r="J32" s="132" t="s">
        <v>1983</v>
      </c>
      <c r="K32" s="133" t="s">
        <v>1985</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1976</v>
      </c>
      <c r="B33" s="10"/>
      <c r="C33" s="38" t="s">
        <v>1255</v>
      </c>
      <c r="D33" s="7" t="s">
        <v>1257</v>
      </c>
      <c r="E33" s="33" t="s">
        <v>1184</v>
      </c>
      <c r="I33" s="157"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1976</v>
      </c>
      <c r="C34" s="33" t="s">
        <v>1256</v>
      </c>
      <c r="D34" s="55" t="s">
        <v>1258</v>
      </c>
      <c r="E34" s="33" t="s">
        <v>1184</v>
      </c>
      <c r="I34" s="157"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1976</v>
      </c>
      <c r="C35" s="38" t="s">
        <v>1259</v>
      </c>
      <c r="D35" s="7" t="s">
        <v>1260</v>
      </c>
      <c r="E35" s="33" t="s">
        <v>1184</v>
      </c>
      <c r="F35" s="26"/>
      <c r="I35" s="157"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1976</v>
      </c>
      <c r="B36" s="130"/>
      <c r="C36" s="61" t="s">
        <v>1265</v>
      </c>
      <c r="D36" s="55" t="s">
        <v>1266</v>
      </c>
      <c r="E36" s="61" t="s">
        <v>1184</v>
      </c>
      <c r="F36" s="26"/>
      <c r="G36" s="152"/>
      <c r="H36" s="139"/>
      <c r="I36" s="15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1901</v>
      </c>
      <c r="C37" s="61" t="s">
        <v>1282</v>
      </c>
      <c r="D37" s="55" t="s">
        <v>1283</v>
      </c>
      <c r="E37" s="61" t="s">
        <v>1184</v>
      </c>
      <c r="F37" s="130" t="s">
        <v>1992</v>
      </c>
      <c r="G37" s="154"/>
      <c r="H37" s="166" t="s">
        <v>2106</v>
      </c>
      <c r="I37" s="156" t="s">
        <v>1986</v>
      </c>
      <c r="J37" s="1" t="s">
        <v>1987</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1902</v>
      </c>
      <c r="C38" s="33" t="s">
        <v>1306</v>
      </c>
      <c r="D38" s="7" t="s">
        <v>1307</v>
      </c>
      <c r="E38" s="61" t="s">
        <v>1184</v>
      </c>
      <c r="F38" s="130" t="s">
        <v>1981</v>
      </c>
      <c r="G38" s="152" t="s">
        <v>1982</v>
      </c>
      <c r="H38" s="139"/>
      <c r="I38" s="157" t="s">
        <v>53</v>
      </c>
      <c r="J38" s="1" t="s">
        <v>53</v>
      </c>
      <c r="K38" s="44" t="s">
        <v>53</v>
      </c>
      <c r="L38" s="40" t="s">
        <v>53</v>
      </c>
      <c r="M38" s="1" t="s">
        <v>53</v>
      </c>
      <c r="N38" s="44" t="s">
        <v>53</v>
      </c>
      <c r="O38" s="1" t="s">
        <v>53</v>
      </c>
      <c r="P38" s="1" t="s">
        <v>53</v>
      </c>
      <c r="Q38" s="30" t="s">
        <v>53</v>
      </c>
      <c r="S38" s="116" t="b">
        <f t="shared" ref="S38:S68" si="12">IF(OR(A38="Done",A38="In Progress"),TRUE)</f>
        <v>1</v>
      </c>
      <c r="T38" s="117" t="str">
        <f t="shared" ref="T38:T68"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68"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68" si="19">IF(S38,"tags\"&amp;C38&amp;"\_index.md","")</f>
        <v>tags\miguel-pro\_index.md</v>
      </c>
    </row>
    <row r="39" spans="1:80" x14ac:dyDescent="0.25">
      <c r="A39" s="129" t="s">
        <v>1976</v>
      </c>
      <c r="C39" s="33" t="s">
        <v>1422</v>
      </c>
      <c r="D39" s="55" t="s">
        <v>1423</v>
      </c>
      <c r="E39" s="61" t="s">
        <v>1184</v>
      </c>
      <c r="F39" s="55"/>
      <c r="I39" s="157"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1976</v>
      </c>
      <c r="B40" s="55"/>
      <c r="C40" s="61" t="s">
        <v>1437</v>
      </c>
      <c r="D40" s="55" t="s">
        <v>1438</v>
      </c>
      <c r="E40" s="33" t="s">
        <v>1184</v>
      </c>
      <c r="F40" s="55"/>
      <c r="I40" s="157"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1976</v>
      </c>
      <c r="B41" s="55"/>
      <c r="C41" s="61" t="s">
        <v>1446</v>
      </c>
      <c r="D41" s="55" t="s">
        <v>1449</v>
      </c>
      <c r="E41" s="61" t="s">
        <v>1184</v>
      </c>
      <c r="I41" s="157"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1976</v>
      </c>
      <c r="B42" s="55"/>
      <c r="C42" s="61" t="s">
        <v>1447</v>
      </c>
      <c r="D42" s="55" t="s">
        <v>1450</v>
      </c>
      <c r="E42" s="61" t="s">
        <v>1184</v>
      </c>
      <c r="F42" s="55"/>
      <c r="I42" s="157"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1976</v>
      </c>
      <c r="C43" s="33" t="s">
        <v>1448</v>
      </c>
      <c r="D43" s="7" t="s">
        <v>1453</v>
      </c>
      <c r="E43" s="33" t="s">
        <v>1184</v>
      </c>
      <c r="I43" s="157"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1976</v>
      </c>
      <c r="C44" s="33" t="s">
        <v>1456</v>
      </c>
      <c r="D44" s="7" t="s">
        <v>1454</v>
      </c>
      <c r="E44" s="33" t="s">
        <v>1184</v>
      </c>
      <c r="G44" s="152"/>
      <c r="H44" s="139"/>
      <c r="I44" s="157"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1976</v>
      </c>
      <c r="C45" s="38" t="s">
        <v>1451</v>
      </c>
      <c r="D45" s="7" t="s">
        <v>1452</v>
      </c>
      <c r="E45" s="33" t="s">
        <v>1184</v>
      </c>
      <c r="I45" s="157"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1976</v>
      </c>
      <c r="B46" s="10"/>
      <c r="C46" s="33" t="s">
        <v>1543</v>
      </c>
      <c r="D46" s="10" t="s">
        <v>1544</v>
      </c>
      <c r="E46" s="33" t="s">
        <v>1184</v>
      </c>
      <c r="F46" s="10"/>
      <c r="G46" s="152"/>
      <c r="H46" s="139"/>
      <c r="I46" s="157"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1976</v>
      </c>
      <c r="C47" s="33" t="s">
        <v>1542</v>
      </c>
      <c r="D47" s="55" t="s">
        <v>1545</v>
      </c>
      <c r="E47" s="33" t="s">
        <v>1184</v>
      </c>
      <c r="G47" s="152"/>
      <c r="H47" s="139"/>
      <c r="I47" s="157"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1976</v>
      </c>
      <c r="C48" s="33" t="s">
        <v>1643</v>
      </c>
      <c r="D48" s="7" t="s">
        <v>1644</v>
      </c>
      <c r="E48" s="33" t="s">
        <v>1184</v>
      </c>
      <c r="I48" s="157"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1976</v>
      </c>
      <c r="C49" s="33" t="s">
        <v>1645</v>
      </c>
      <c r="D49" s="10" t="s">
        <v>1646</v>
      </c>
      <c r="E49" s="33" t="s">
        <v>1184</v>
      </c>
      <c r="F49" s="10"/>
      <c r="I49" s="157"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1976</v>
      </c>
      <c r="C50" s="33" t="s">
        <v>1647</v>
      </c>
      <c r="D50" s="7" t="s">
        <v>1648</v>
      </c>
      <c r="E50" s="33" t="s">
        <v>1184</v>
      </c>
      <c r="I50" s="157"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1976</v>
      </c>
      <c r="C51" s="33" t="s">
        <v>1679</v>
      </c>
      <c r="D51" s="7" t="s">
        <v>1680</v>
      </c>
      <c r="E51" s="33" t="s">
        <v>1184</v>
      </c>
      <c r="I51" s="157"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1976</v>
      </c>
      <c r="C52" s="92" t="s">
        <v>1812</v>
      </c>
      <c r="D52" s="7" t="s">
        <v>1831</v>
      </c>
      <c r="E52" s="33" t="s">
        <v>1184</v>
      </c>
      <c r="F52" s="28"/>
      <c r="G52" s="152"/>
      <c r="H52" s="139"/>
      <c r="I52" s="162"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1976</v>
      </c>
      <c r="C53" s="33" t="s">
        <v>1824</v>
      </c>
      <c r="D53" s="71" t="s">
        <v>1830</v>
      </c>
      <c r="E53" s="33" t="s">
        <v>1184</v>
      </c>
      <c r="F53" s="71"/>
      <c r="I53" s="157"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1976</v>
      </c>
      <c r="C54" s="81" t="s">
        <v>1843</v>
      </c>
      <c r="D54" s="80" t="s">
        <v>1844</v>
      </c>
      <c r="E54" s="33" t="s">
        <v>1184</v>
      </c>
      <c r="F54" s="71"/>
      <c r="I54" s="157"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1976</v>
      </c>
      <c r="C55" s="73" t="s">
        <v>1846</v>
      </c>
      <c r="D55" s="71" t="s">
        <v>1847</v>
      </c>
      <c r="E55" s="33" t="s">
        <v>1184</v>
      </c>
      <c r="F55" s="71"/>
      <c r="I55" s="157"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1976</v>
      </c>
      <c r="C56" s="73" t="s">
        <v>1854</v>
      </c>
      <c r="D56" s="71" t="s">
        <v>1855</v>
      </c>
      <c r="E56" s="73" t="s">
        <v>1184</v>
      </c>
      <c r="F56" s="71"/>
      <c r="I56" s="160"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1976</v>
      </c>
      <c r="B57" s="7" t="s">
        <v>1905</v>
      </c>
      <c r="C57" s="73" t="s">
        <v>1861</v>
      </c>
      <c r="D57" s="71" t="s">
        <v>1863</v>
      </c>
      <c r="E57" s="139" t="s">
        <v>1184</v>
      </c>
      <c r="F57" s="71"/>
      <c r="I57" s="157"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1976</v>
      </c>
      <c r="B58" s="130" t="s">
        <v>1905</v>
      </c>
      <c r="C58" s="73" t="s">
        <v>1862</v>
      </c>
      <c r="D58" s="80" t="s">
        <v>1864</v>
      </c>
      <c r="E58" s="73" t="s">
        <v>1184</v>
      </c>
      <c r="F58" s="71"/>
      <c r="I58" s="160"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1976</v>
      </c>
      <c r="C59" s="33" t="s">
        <v>1474</v>
      </c>
      <c r="D59" s="7" t="s">
        <v>1475</v>
      </c>
      <c r="E59" s="61" t="s">
        <v>1532</v>
      </c>
      <c r="F59" s="55"/>
      <c r="I59" s="157"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1976</v>
      </c>
      <c r="C60" s="33" t="s">
        <v>1476</v>
      </c>
      <c r="D60" s="55" t="s">
        <v>1477</v>
      </c>
      <c r="E60" s="61" t="s">
        <v>1532</v>
      </c>
      <c r="F60" s="55"/>
      <c r="G60" s="152"/>
      <c r="H60" s="139"/>
      <c r="I60" s="157"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1976</v>
      </c>
      <c r="C61" s="33" t="s">
        <v>1539</v>
      </c>
      <c r="D61" s="7" t="s">
        <v>1540</v>
      </c>
      <c r="E61" s="33" t="s">
        <v>1532</v>
      </c>
      <c r="I61" s="157"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1976</v>
      </c>
      <c r="C62" s="33" t="s">
        <v>1538</v>
      </c>
      <c r="D62" s="7" t="s">
        <v>1541</v>
      </c>
      <c r="E62" s="33" t="s">
        <v>1532</v>
      </c>
      <c r="F62" s="23"/>
      <c r="G62" s="152"/>
      <c r="H62" s="139"/>
      <c r="I62" s="157"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1976</v>
      </c>
      <c r="C63" s="33" t="s">
        <v>1576</v>
      </c>
      <c r="D63" s="7" t="s">
        <v>1577</v>
      </c>
      <c r="E63" s="33" t="s">
        <v>1532</v>
      </c>
      <c r="I63" s="157"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1976</v>
      </c>
      <c r="C64" s="73" t="s">
        <v>1828</v>
      </c>
      <c r="D64" s="71" t="s">
        <v>1829</v>
      </c>
      <c r="E64" s="33" t="s">
        <v>1532</v>
      </c>
      <c r="F64" s="71"/>
      <c r="I64" s="160"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1901</v>
      </c>
      <c r="C65" s="61" t="s">
        <v>1528</v>
      </c>
      <c r="D65" s="55" t="s">
        <v>885</v>
      </c>
      <c r="E65" s="139" t="s">
        <v>1942</v>
      </c>
      <c r="F65" s="130" t="s">
        <v>1946</v>
      </c>
      <c r="G65" s="152"/>
      <c r="H65" s="139"/>
      <c r="I65" s="156" t="s">
        <v>1947</v>
      </c>
      <c r="J65" s="1" t="s">
        <v>1948</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1901</v>
      </c>
      <c r="C66" s="33" t="s">
        <v>861</v>
      </c>
      <c r="D66" s="55" t="s">
        <v>886</v>
      </c>
      <c r="E66" s="61" t="s">
        <v>1533</v>
      </c>
      <c r="F66" s="130" t="s">
        <v>1952</v>
      </c>
      <c r="G66" s="152"/>
      <c r="H66" s="139"/>
      <c r="I66" s="156" t="s">
        <v>1954</v>
      </c>
      <c r="J66" s="1" t="s">
        <v>1953</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1976</v>
      </c>
      <c r="B67" s="130" t="s">
        <v>1901</v>
      </c>
      <c r="C67" s="139" t="s">
        <v>725</v>
      </c>
      <c r="D67" s="130" t="s">
        <v>895</v>
      </c>
      <c r="E67" s="139" t="s">
        <v>1533</v>
      </c>
      <c r="F67" s="130"/>
      <c r="I67" s="156"/>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1976</v>
      </c>
      <c r="B68" s="148" t="s">
        <v>1901</v>
      </c>
      <c r="C68" s="146" t="s">
        <v>2052</v>
      </c>
      <c r="D68" s="148" t="s">
        <v>2051</v>
      </c>
      <c r="E68" s="146" t="s">
        <v>1532</v>
      </c>
      <c r="F68" s="71"/>
      <c r="I68" s="163" t="s">
        <v>1954</v>
      </c>
      <c r="J68" s="1" t="s">
        <v>2053</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25">
      <c r="C69" s="73"/>
      <c r="D69" s="80"/>
      <c r="F69" s="71"/>
      <c r="I69" s="160"/>
      <c r="K69" s="76"/>
      <c r="CB69" s="6"/>
    </row>
    <row r="70" spans="1:80" x14ac:dyDescent="0.25">
      <c r="C70" s="73"/>
      <c r="D70" s="71"/>
      <c r="F70" s="71"/>
      <c r="I70" s="160"/>
      <c r="K70" s="76"/>
      <c r="L70" s="75"/>
      <c r="N70" s="76"/>
      <c r="CB70" s="6"/>
    </row>
    <row r="71" spans="1:80" x14ac:dyDescent="0.25">
      <c r="C71" s="81"/>
      <c r="D71" s="80"/>
      <c r="F71" s="71"/>
      <c r="I71" s="160"/>
      <c r="K71" s="76"/>
      <c r="CB71" s="6"/>
    </row>
    <row r="72" spans="1:80" x14ac:dyDescent="0.25">
      <c r="C72" s="73"/>
      <c r="D72" s="80"/>
      <c r="E72" s="73"/>
      <c r="F72" s="71"/>
      <c r="I72" s="160"/>
      <c r="CB72" s="6"/>
    </row>
    <row r="73" spans="1:80" x14ac:dyDescent="0.25">
      <c r="C73" s="73"/>
      <c r="D73" s="80"/>
      <c r="F73" s="71"/>
      <c r="G73" s="152"/>
      <c r="H73" s="139"/>
      <c r="I73" s="160"/>
      <c r="CB73" s="6"/>
    </row>
    <row r="74" spans="1:80" x14ac:dyDescent="0.25">
      <c r="C74" s="73"/>
      <c r="D74" s="71"/>
      <c r="F74" s="71"/>
      <c r="I74" s="160"/>
      <c r="CB74" s="6"/>
    </row>
    <row r="75" spans="1:80" x14ac:dyDescent="0.25">
      <c r="C75" s="73"/>
      <c r="D75" s="80"/>
      <c r="F75" s="71"/>
      <c r="G75" s="152"/>
      <c r="H75" s="139"/>
      <c r="I75" s="160"/>
      <c r="L75" s="78"/>
      <c r="CB75" s="6"/>
    </row>
    <row r="76" spans="1:80" x14ac:dyDescent="0.25">
      <c r="C76" s="73"/>
      <c r="D76" s="71"/>
      <c r="E76" s="73"/>
      <c r="F76" s="71"/>
      <c r="CB76" s="6"/>
    </row>
    <row r="77" spans="1:80" x14ac:dyDescent="0.25">
      <c r="D77" s="71"/>
      <c r="E77" s="73"/>
      <c r="F77" s="71"/>
      <c r="CB77" s="6"/>
    </row>
    <row r="78" spans="1:80" x14ac:dyDescent="0.25">
      <c r="F78" s="71"/>
      <c r="G78" s="152"/>
      <c r="H78" s="139"/>
      <c r="CB78" s="6"/>
    </row>
    <row r="79" spans="1:80" x14ac:dyDescent="0.25">
      <c r="C79" s="73"/>
      <c r="D79" s="71"/>
      <c r="E79" s="73"/>
      <c r="F79" s="71"/>
      <c r="CB79" s="6"/>
    </row>
    <row r="80" spans="1:80" x14ac:dyDescent="0.25">
      <c r="C80" s="73"/>
      <c r="D80" s="71"/>
      <c r="E80" s="73"/>
      <c r="F80" s="71"/>
      <c r="CB80" s="6"/>
    </row>
    <row r="81" spans="2:80" x14ac:dyDescent="0.25">
      <c r="C81" s="73"/>
      <c r="D81" s="71"/>
      <c r="E81" s="73"/>
      <c r="F81" s="71"/>
      <c r="I81" s="160"/>
      <c r="CB81" s="6"/>
    </row>
    <row r="82" spans="2:80" x14ac:dyDescent="0.25">
      <c r="C82" s="81"/>
      <c r="D82" s="80"/>
      <c r="E82" s="81"/>
      <c r="F82" s="115"/>
      <c r="CB82" s="6"/>
    </row>
    <row r="83" spans="2:80" x14ac:dyDescent="0.25">
      <c r="D83" s="90"/>
      <c r="F83" s="90"/>
      <c r="G83" s="152"/>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160"/>
      <c r="K87" s="63"/>
      <c r="CB87" s="6"/>
    </row>
    <row r="88" spans="2:80" x14ac:dyDescent="0.25">
      <c r="B88" s="130"/>
      <c r="E88" s="86"/>
      <c r="I88" s="164"/>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160"/>
      <c r="K110" s="63"/>
      <c r="CB110" s="6"/>
    </row>
    <row r="111" spans="2:80" x14ac:dyDescent="0.25">
      <c r="B111" s="130"/>
      <c r="C111" s="61"/>
      <c r="E111" s="61"/>
      <c r="F111" s="55"/>
      <c r="I111" s="165"/>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165"/>
      <c r="K116" s="63"/>
      <c r="CB116" s="6"/>
    </row>
    <row r="117" spans="2:80" x14ac:dyDescent="0.25">
      <c r="D117" s="55"/>
      <c r="E117" s="61"/>
      <c r="F117" s="55"/>
      <c r="G117" s="152"/>
      <c r="H117" s="139"/>
      <c r="CB117" s="6"/>
    </row>
    <row r="118" spans="2:80" x14ac:dyDescent="0.25">
      <c r="E118" s="61"/>
      <c r="F118" s="55"/>
      <c r="I118" s="165"/>
      <c r="K118" s="63"/>
      <c r="CB118" s="6"/>
    </row>
    <row r="119" spans="2:80" x14ac:dyDescent="0.25">
      <c r="D119" s="55"/>
      <c r="E119" s="61"/>
      <c r="F119" s="55"/>
      <c r="I119" s="165"/>
      <c r="J119" s="62"/>
      <c r="K119" s="63"/>
      <c r="L119" s="65"/>
      <c r="N119" s="63"/>
      <c r="CB119" s="6"/>
    </row>
    <row r="120" spans="2:80" x14ac:dyDescent="0.25">
      <c r="E120" s="61"/>
      <c r="F120" s="55"/>
      <c r="I120" s="165"/>
      <c r="K120" s="63"/>
      <c r="CB120" s="6"/>
    </row>
    <row r="121" spans="2:80" x14ac:dyDescent="0.25">
      <c r="D121" s="55"/>
      <c r="E121" s="61"/>
      <c r="F121" s="55"/>
      <c r="I121" s="165"/>
      <c r="K121" s="66"/>
      <c r="L121" s="67"/>
      <c r="M121" s="62"/>
      <c r="N121" s="66"/>
      <c r="P121" s="62"/>
      <c r="Q121" s="70"/>
      <c r="CB121" s="6"/>
    </row>
    <row r="122" spans="2:80" x14ac:dyDescent="0.25">
      <c r="D122" s="55"/>
      <c r="E122" s="61"/>
      <c r="F122" s="55"/>
      <c r="I122" s="165"/>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165"/>
      <c r="K125" s="63"/>
      <c r="CB125" s="6"/>
    </row>
    <row r="126" spans="2:80" x14ac:dyDescent="0.25">
      <c r="D126" s="55"/>
      <c r="E126" s="61"/>
      <c r="F126" s="55"/>
      <c r="K126" s="63"/>
      <c r="CB126" s="6"/>
    </row>
    <row r="127" spans="2:80" x14ac:dyDescent="0.25">
      <c r="B127" s="130"/>
      <c r="D127" s="94"/>
      <c r="E127" s="96"/>
      <c r="F127" s="98"/>
      <c r="CB127" s="6"/>
    </row>
    <row r="128" spans="2:80" x14ac:dyDescent="0.25">
      <c r="G128" s="152"/>
      <c r="H128" s="139"/>
      <c r="U128" s="120"/>
      <c r="V128" s="120"/>
      <c r="W128" s="120"/>
      <c r="X128" s="120"/>
      <c r="CB128" s="6"/>
    </row>
    <row r="129" spans="2:80" x14ac:dyDescent="0.25">
      <c r="B129" s="130"/>
      <c r="D129" s="94"/>
      <c r="E129" s="101"/>
      <c r="F129" s="102"/>
      <c r="G129" s="152"/>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52"/>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52"/>
      <c r="H136" s="139"/>
      <c r="U136" s="120"/>
      <c r="V136" s="120"/>
      <c r="W136" s="120"/>
      <c r="X136" s="120"/>
      <c r="CB136" s="6"/>
    </row>
    <row r="137" spans="2:80" x14ac:dyDescent="0.25">
      <c r="G137" s="152"/>
      <c r="H137" s="139"/>
      <c r="U137" s="120"/>
      <c r="V137" s="120"/>
      <c r="W137" s="120"/>
      <c r="X137" s="120"/>
      <c r="CB137" s="6"/>
    </row>
    <row r="138" spans="2:80" x14ac:dyDescent="0.25">
      <c r="G138" s="155"/>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3" stopIfTrue="1">
      <formula>IF($A1="New (change to Done when complete)",TRUE,FALSE)</formula>
    </cfRule>
    <cfRule type="expression" dxfId="10" priority="4" stopIfTrue="1">
      <formula>IF($A1="Blocked",TRUE,FALSE)</formula>
    </cfRule>
    <cfRule type="expression" dxfId="9" priority="5">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A2" sqref="A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153" customWidth="1"/>
    <col min="8" max="8" width="45.5703125" style="33" customWidth="1"/>
    <col min="9" max="9" width="11.5703125" style="157"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1899</v>
      </c>
      <c r="B1" s="130" t="s">
        <v>1900</v>
      </c>
      <c r="C1" s="166" t="s">
        <v>2129</v>
      </c>
      <c r="D1" s="126" t="s">
        <v>1884</v>
      </c>
      <c r="E1" s="139" t="s">
        <v>1971</v>
      </c>
      <c r="F1" s="130" t="s">
        <v>1975</v>
      </c>
      <c r="G1" s="152" t="s">
        <v>1972</v>
      </c>
      <c r="H1" s="139" t="s">
        <v>2104</v>
      </c>
      <c r="I1" s="169" t="s">
        <v>53</v>
      </c>
      <c r="J1" s="170"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1904</v>
      </c>
      <c r="C5" s="110" t="s">
        <v>2127</v>
      </c>
      <c r="D5" s="108" t="s">
        <v>884</v>
      </c>
      <c r="E5" s="110" t="s">
        <v>1527</v>
      </c>
      <c r="F5" s="108" t="s">
        <v>1974</v>
      </c>
      <c r="G5" s="108" t="s">
        <v>84</v>
      </c>
      <c r="H5" s="110" t="s">
        <v>2103</v>
      </c>
      <c r="I5" s="107" t="s">
        <v>1203</v>
      </c>
      <c r="J5" s="107" t="s">
        <v>1204</v>
      </c>
      <c r="K5" s="112" t="s">
        <v>1895</v>
      </c>
      <c r="L5" s="111" t="s">
        <v>1206</v>
      </c>
      <c r="M5" s="107" t="s">
        <v>1207</v>
      </c>
      <c r="N5" s="112" t="s">
        <v>1896</v>
      </c>
      <c r="O5" s="107" t="s">
        <v>1208</v>
      </c>
      <c r="P5" s="107" t="s">
        <v>1209</v>
      </c>
      <c r="Q5" s="109" t="s">
        <v>1897</v>
      </c>
      <c r="R5" s="122" t="s">
        <v>53</v>
      </c>
      <c r="S5" s="118" t="s">
        <v>908</v>
      </c>
      <c r="T5" s="119" t="s">
        <v>706</v>
      </c>
      <c r="U5" s="119" t="s">
        <v>1229</v>
      </c>
      <c r="V5" s="119" t="s">
        <v>1230</v>
      </c>
      <c r="W5" s="119" t="s">
        <v>1231</v>
      </c>
      <c r="X5" s="119" t="s">
        <v>1236</v>
      </c>
      <c r="Y5" s="119" t="s">
        <v>1674</v>
      </c>
      <c r="Z5" s="119" t="s">
        <v>1226</v>
      </c>
      <c r="AA5" s="119" t="s">
        <v>2105</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1233</v>
      </c>
      <c r="CB5" s="49" t="s">
        <v>699</v>
      </c>
    </row>
    <row r="6" spans="1:80" x14ac:dyDescent="0.25">
      <c r="A6" s="129" t="s">
        <v>786</v>
      </c>
      <c r="B6" s="168" t="s">
        <v>1902</v>
      </c>
      <c r="C6" s="146" t="s">
        <v>2057</v>
      </c>
      <c r="D6" s="168" t="s">
        <v>1246</v>
      </c>
      <c r="E6" s="166" t="s">
        <v>2107</v>
      </c>
      <c r="F6" s="168" t="s">
        <v>2109</v>
      </c>
      <c r="G6" s="152"/>
      <c r="H6" s="139"/>
      <c r="I6" s="167"/>
      <c r="J6" s="147"/>
      <c r="L6" s="40" t="s">
        <v>53</v>
      </c>
      <c r="M6" s="1" t="s">
        <v>53</v>
      </c>
      <c r="N6" s="44" t="s">
        <v>53</v>
      </c>
      <c r="O6" s="1" t="s">
        <v>53</v>
      </c>
      <c r="P6" s="1" t="s">
        <v>53</v>
      </c>
      <c r="Q6" s="30" t="s">
        <v>53</v>
      </c>
      <c r="R6" s="121" t="s">
        <v>53</v>
      </c>
      <c r="S6" s="116" t="b">
        <f>IF(OR(A6="Done",A6="In Progress"),TRUE)</f>
        <v>1</v>
      </c>
      <c r="T6" s="117" t="str">
        <f>"title: """&amp;D6&amp;""""</f>
        <v>title: "Brussels"</v>
      </c>
      <c r="U6" s="120" t="str">
        <f>IF(LEN(J6)&gt;0,TRIM(CONCATENATE("["&amp;I6&amp;"](",J6,") ",IF(LEN(K6)&gt;0,"- "&amp;K6,K6))),"")</f>
        <v/>
      </c>
      <c r="V6" s="120" t="str">
        <f>IF(LEN(M6)&gt;0,TRIM(CONCATENATE("["&amp;L6&amp;"](",M6,") ",IF(LEN(N6)&gt;0,"- "&amp;N6,N6))),"")</f>
        <v/>
      </c>
      <c r="W6" s="120" t="str">
        <f>IF(LEN(P6)&gt;0,TRIM(CONCATENATE("["&amp;O6&amp;"](",P6,") ",IF(LEN(Q6)&gt;0,"- "&amp;Q6,Q6))),"")</f>
        <v/>
      </c>
      <c r="X6" s="120" t="str">
        <f>IF(LEN(U6)&gt;0,"* "&amp;U6&amp;CHAR(10),"")&amp;
IF(LEN(V6)&gt;0,"* "&amp;V6&amp;CHAR(10),"")&amp;
IF(LEN(W6)&gt;0,"* "&amp;W6&amp;CHAR(10),"")</f>
        <v/>
      </c>
      <c r="Y6" s="117" t="str">
        <f>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IF(S6,"tags\"&amp;C6&amp;"\_index.md","")</f>
        <v>tags\brussels\_index.md</v>
      </c>
    </row>
    <row r="7" spans="1:80" x14ac:dyDescent="0.25">
      <c r="A7" s="129" t="s">
        <v>786</v>
      </c>
      <c r="B7" s="168" t="s">
        <v>1901</v>
      </c>
      <c r="C7" s="140" t="s">
        <v>2058</v>
      </c>
      <c r="D7" s="168" t="s">
        <v>730</v>
      </c>
      <c r="E7" s="166" t="s">
        <v>2107</v>
      </c>
      <c r="F7" s="168" t="s">
        <v>2108</v>
      </c>
      <c r="I7" s="158"/>
      <c r="J7" s="2"/>
      <c r="K7" s="43"/>
      <c r="L7" s="39" t="s">
        <v>53</v>
      </c>
      <c r="M7" s="2" t="s">
        <v>53</v>
      </c>
      <c r="N7" s="43" t="s">
        <v>53</v>
      </c>
      <c r="O7" s="2" t="s">
        <v>53</v>
      </c>
      <c r="P7" s="2" t="s">
        <v>53</v>
      </c>
      <c r="Q7" s="31" t="s">
        <v>53</v>
      </c>
      <c r="R7" s="121" t="s">
        <v>53</v>
      </c>
      <c r="S7" s="116" t="b">
        <f>IF(OR(A7="Done",A7="In Progress"),TRUE)</f>
        <v>1</v>
      </c>
      <c r="T7" s="117" t="str">
        <f>"title: """&amp;D7&amp;""""</f>
        <v>title: "Paris"</v>
      </c>
      <c r="U7" s="120" t="str">
        <f>IF(LEN(J7)&gt;0,TRIM(CONCATENATE("["&amp;I7&amp;"](",J7,") ",IF(LEN(K7)&gt;0,"- "&amp;K7,K7))),"")</f>
        <v/>
      </c>
      <c r="V7" s="120" t="str">
        <f>IF(LEN(M7)&gt;0,TRIM(CONCATENATE("["&amp;L7&amp;"](",M7,") ",IF(LEN(N7)&gt;0,"- "&amp;N7,N7))),"")</f>
        <v/>
      </c>
      <c r="W7" s="120" t="str">
        <f>IF(LEN(P7)&gt;0,TRIM(CONCATENATE("["&amp;O7&amp;"](",P7,") ",IF(LEN(Q7)&gt;0,"- "&amp;Q7,Q7))),"")</f>
        <v/>
      </c>
      <c r="X7" s="120" t="str">
        <f>IF(LEN(U7)&gt;0,"* "&amp;U7&amp;CHAR(10),"")&amp;
IF(LEN(V7)&gt;0,"* "&amp;V7&amp;CHAR(10),"")&amp;
IF(LEN(W7)&gt;0,"* "&amp;W7&amp;CHAR(10),"")</f>
        <v/>
      </c>
      <c r="Y7" s="117" t="str">
        <f>IF(LEN(X7)&gt;0,concatl("#### More Information",X7),"")</f>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IF(S7,"tags\"&amp;C7&amp;"\_index.md","")</f>
        <v>tags\paris\_index.md</v>
      </c>
    </row>
    <row r="8" spans="1:80" x14ac:dyDescent="0.25">
      <c r="A8" s="129" t="s">
        <v>786</v>
      </c>
      <c r="B8" s="168" t="s">
        <v>1902</v>
      </c>
      <c r="C8" s="33" t="s">
        <v>2059</v>
      </c>
      <c r="D8" s="168" t="s">
        <v>2143</v>
      </c>
      <c r="E8" s="166" t="s">
        <v>2054</v>
      </c>
      <c r="F8" s="168" t="s">
        <v>2140</v>
      </c>
      <c r="L8" s="40" t="s">
        <v>53</v>
      </c>
      <c r="M8" s="1" t="s">
        <v>53</v>
      </c>
      <c r="N8" s="44" t="s">
        <v>53</v>
      </c>
      <c r="O8" s="1" t="s">
        <v>53</v>
      </c>
      <c r="P8" s="1" t="s">
        <v>53</v>
      </c>
      <c r="Q8" s="30" t="s">
        <v>53</v>
      </c>
      <c r="R8" s="121" t="s">
        <v>53</v>
      </c>
      <c r="S8" s="116" t="b">
        <f>IF(OR(A8="Done",A8="In Progress"),TRUE)</f>
        <v>1</v>
      </c>
      <c r="T8" s="117" t="str">
        <f>"title: """&amp;D8&amp;""""</f>
        <v>title: "Diocese of Augsburg"</v>
      </c>
      <c r="U8" s="120" t="str">
        <f>IF(LEN(J8)&gt;0,TRIM(CONCATENATE("["&amp;I8&amp;"](",J8,") ",IF(LEN(K8)&gt;0,"- "&amp;K8,K8))),"")</f>
        <v/>
      </c>
      <c r="V8" s="120" t="str">
        <f>IF(LEN(M8)&gt;0,TRIM(CONCATENATE("["&amp;L8&amp;"](",M8,") ",IF(LEN(N8)&gt;0,"- "&amp;N8,N8))),"")</f>
        <v/>
      </c>
      <c r="W8" s="120" t="str">
        <f>IF(LEN(P8)&gt;0,TRIM(CONCATENATE("["&amp;O8&amp;"](",P8,") ",IF(LEN(Q8)&gt;0,"- "&amp;Q8,Q8))),"")</f>
        <v/>
      </c>
      <c r="X8" s="120" t="str">
        <f>IF(LEN(U8)&gt;0,"* "&amp;U8&amp;CHAR(10),"")&amp;
IF(LEN(V8)&gt;0,"* "&amp;V8&amp;CHAR(10),"")&amp;
IF(LEN(W8)&gt;0,"* "&amp;W8&amp;CHAR(10),"")</f>
        <v/>
      </c>
      <c r="Y8" s="117" t="str">
        <f>IF(LEN(X8)&gt;0,concatl("#### More Information",X8),"")</f>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IF(S8,"tags\"&amp;C8&amp;"\_index.md","")</f>
        <v>tags\augsburg\_index.md</v>
      </c>
    </row>
    <row r="9" spans="1:80" x14ac:dyDescent="0.25">
      <c r="A9" s="129" t="s">
        <v>786</v>
      </c>
      <c r="B9" s="168" t="s">
        <v>1905</v>
      </c>
      <c r="C9" s="33" t="s">
        <v>2061</v>
      </c>
      <c r="D9" s="168" t="s">
        <v>1821</v>
      </c>
      <c r="E9" s="166" t="s">
        <v>2107</v>
      </c>
      <c r="F9" s="168" t="s">
        <v>2110</v>
      </c>
      <c r="G9" s="152"/>
      <c r="H9" s="139"/>
      <c r="I9" s="159"/>
      <c r="J9" s="17"/>
      <c r="K9" s="83"/>
      <c r="L9" s="41" t="s">
        <v>53</v>
      </c>
      <c r="M9" s="17" t="s">
        <v>53</v>
      </c>
      <c r="N9" s="45" t="s">
        <v>53</v>
      </c>
      <c r="O9" s="17" t="s">
        <v>53</v>
      </c>
      <c r="P9" s="17" t="s">
        <v>53</v>
      </c>
      <c r="Q9" s="68" t="s">
        <v>53</v>
      </c>
      <c r="R9" s="121" t="s">
        <v>53</v>
      </c>
      <c r="S9" s="116" t="b">
        <f>IF(OR(A9="Done",A9="In Progress"),TRUE)</f>
        <v>1</v>
      </c>
      <c r="T9" s="117" t="str">
        <f>"title: """&amp;D9&amp;""""</f>
        <v>title: "Goa"</v>
      </c>
      <c r="U9" s="120" t="str">
        <f>IF(LEN(J9)&gt;0,TRIM(CONCATENATE("["&amp;I9&amp;"](",J9,") ",IF(LEN(K9)&gt;0,"- "&amp;K9,K9))),"")</f>
        <v/>
      </c>
      <c r="V9" s="120" t="str">
        <f>IF(LEN(M9)&gt;0,TRIM(CONCATENATE("["&amp;L9&amp;"](",M9,") ",IF(LEN(N9)&gt;0,"- "&amp;N9,N9))),"")</f>
        <v/>
      </c>
      <c r="W9" s="120" t="str">
        <f>IF(LEN(P9)&gt;0,TRIM(CONCATENATE("["&amp;O9&amp;"](",P9,") ",IF(LEN(Q9)&gt;0,"- "&amp;Q9,Q9))),"")</f>
        <v/>
      </c>
      <c r="X9" s="120" t="str">
        <f>IF(LEN(U9)&gt;0,"* "&amp;U9&amp;CHAR(10),"")&amp;
IF(LEN(V9)&gt;0,"* "&amp;V9&amp;CHAR(10),"")&amp;
IF(LEN(W9)&gt;0,"* "&amp;W9&amp;CHAR(10),"")</f>
        <v/>
      </c>
      <c r="Y9" s="117" t="str">
        <f>IF(LEN(X9)&gt;0,concatl("#### More Information",X9),"")</f>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IF(S9,"tags\"&amp;C9&amp;"\_index.md","")</f>
        <v>tags\goa\_index.md</v>
      </c>
    </row>
    <row r="10" spans="1:80" ht="25.5" x14ac:dyDescent="0.25">
      <c r="A10" s="129" t="s">
        <v>786</v>
      </c>
      <c r="B10" s="168" t="s">
        <v>2114</v>
      </c>
      <c r="C10" s="33" t="s">
        <v>2062</v>
      </c>
      <c r="D10" s="168" t="s">
        <v>709</v>
      </c>
      <c r="E10" s="166" t="s">
        <v>2107</v>
      </c>
      <c r="F10" s="168" t="s">
        <v>2113</v>
      </c>
      <c r="L10" s="40" t="s">
        <v>53</v>
      </c>
      <c r="M10" s="1" t="s">
        <v>53</v>
      </c>
      <c r="N10" s="44" t="s">
        <v>53</v>
      </c>
      <c r="O10" s="1" t="s">
        <v>53</v>
      </c>
      <c r="P10" s="1" t="s">
        <v>53</v>
      </c>
      <c r="Q10" s="30" t="s">
        <v>53</v>
      </c>
      <c r="R10" s="121" t="s">
        <v>53</v>
      </c>
      <c r="S10" s="116" t="b">
        <f>IF(OR(A10="Done",A10="In Progress"),TRUE)</f>
        <v>1</v>
      </c>
      <c r="T10" s="117" t="str">
        <f>"title: """&amp;D10&amp;""""</f>
        <v>title: "Rome"</v>
      </c>
      <c r="U10" s="120" t="str">
        <f>IF(LEN(J10)&gt;0,TRIM(CONCATENATE("["&amp;I10&amp;"](",J10,") ",IF(LEN(K10)&gt;0,"- "&amp;K10,K10))),"")</f>
        <v/>
      </c>
      <c r="V10" s="120" t="str">
        <f>IF(LEN(M10)&gt;0,TRIM(CONCATENATE("["&amp;L10&amp;"](",M10,") ",IF(LEN(N10)&gt;0,"- "&amp;N10,N10))),"")</f>
        <v/>
      </c>
      <c r="W10" s="120" t="str">
        <f>IF(LEN(P10)&gt;0,TRIM(CONCATENATE("["&amp;O10&amp;"](",P10,") ",IF(LEN(Q10)&gt;0,"- "&amp;Q10,Q10))),"")</f>
        <v/>
      </c>
      <c r="X10" s="120" t="str">
        <f>IF(LEN(U10)&gt;0,"* "&amp;U10&amp;CHAR(10),"")&amp;
IF(LEN(V10)&gt;0,"* "&amp;V10&amp;CHAR(10),"")&amp;
IF(LEN(W10)&gt;0,"* "&amp;W10&amp;CHAR(10),"")</f>
        <v/>
      </c>
      <c r="Y10" s="117" t="str">
        <f>IF(LEN(X10)&gt;0,concatl("#### More Information",X10),"")</f>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IF(S10,"tags\"&amp;C10&amp;"\_index.md","")</f>
        <v>tags\rome\_index.md</v>
      </c>
    </row>
    <row r="11" spans="1:80" ht="25.5" x14ac:dyDescent="0.25">
      <c r="A11" s="129" t="s">
        <v>786</v>
      </c>
      <c r="B11" s="168" t="s">
        <v>2114</v>
      </c>
      <c r="C11" s="139" t="s">
        <v>2066</v>
      </c>
      <c r="D11" s="168" t="s">
        <v>1188</v>
      </c>
      <c r="E11" s="166" t="s">
        <v>2107</v>
      </c>
      <c r="F11" s="168" t="s">
        <v>2141</v>
      </c>
      <c r="I11" s="156"/>
      <c r="K11" s="133"/>
      <c r="L11" s="40" t="s">
        <v>53</v>
      </c>
      <c r="M11" s="1" t="s">
        <v>53</v>
      </c>
      <c r="N11" s="44" t="s">
        <v>53</v>
      </c>
      <c r="O11" s="1" t="s">
        <v>53</v>
      </c>
      <c r="P11" s="1" t="s">
        <v>53</v>
      </c>
      <c r="Q11" s="30" t="s">
        <v>53</v>
      </c>
      <c r="R11" s="121" t="s">
        <v>53</v>
      </c>
      <c r="S11" s="116" t="b">
        <f>IF(OR(A11="Done",A11="In Progress"),TRUE)</f>
        <v>1</v>
      </c>
      <c r="T11" s="117" t="str">
        <f>"title: """&amp;D11&amp;""""</f>
        <v>title: "Mexico City"</v>
      </c>
      <c r="U11" s="120" t="str">
        <f>IF(LEN(J11)&gt;0,TRIM(CONCATENATE("["&amp;I11&amp;"](",J11,") ",IF(LEN(K11)&gt;0,"- "&amp;K11,K11))),"")</f>
        <v/>
      </c>
      <c r="V11" s="120" t="str">
        <f>IF(LEN(M11)&gt;0,TRIM(CONCATENATE("["&amp;L11&amp;"](",M11,") ",IF(LEN(N11)&gt;0,"- "&amp;N11,N11))),"")</f>
        <v/>
      </c>
      <c r="W11" s="120" t="str">
        <f>IF(LEN(P11)&gt;0,TRIM(CONCATENATE("["&amp;O11&amp;"](",P11,") ",IF(LEN(Q11)&gt;0,"- "&amp;Q11,Q11))),"")</f>
        <v/>
      </c>
      <c r="X11" s="117" t="str">
        <f>IF(LEN(U11)&gt;0,"* "&amp;U11&amp;CHAR(10),"")&amp;
IF(LEN(V11)&gt;0,"* "&amp;V11&amp;CHAR(10),"")&amp;
IF(LEN(W11)&gt;0,"* "&amp;W11&amp;CHAR(10),"")</f>
        <v/>
      </c>
      <c r="Y11" s="117" t="str">
        <f>IF(LEN(X11)&gt;0,concatl("#### More Information",X11),"")</f>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IF(S11,"tags\"&amp;C11&amp;"\_index.md","")</f>
        <v>tags\mexico-city\_index.md</v>
      </c>
    </row>
    <row r="12" spans="1:80" x14ac:dyDescent="0.25">
      <c r="A12" s="129" t="s">
        <v>786</v>
      </c>
      <c r="B12" s="168" t="s">
        <v>1902</v>
      </c>
      <c r="C12" s="33" t="s">
        <v>2097</v>
      </c>
      <c r="D12" s="168" t="s">
        <v>2142</v>
      </c>
      <c r="E12" s="166" t="s">
        <v>2054</v>
      </c>
      <c r="F12" s="168" t="s">
        <v>2123</v>
      </c>
      <c r="L12" s="40" t="s">
        <v>53</v>
      </c>
      <c r="M12" s="1" t="s">
        <v>53</v>
      </c>
      <c r="N12" s="44" t="s">
        <v>53</v>
      </c>
      <c r="O12" s="1" t="s">
        <v>53</v>
      </c>
      <c r="P12" s="1" t="s">
        <v>53</v>
      </c>
      <c r="Q12" s="30" t="s">
        <v>53</v>
      </c>
      <c r="R12" s="121" t="s">
        <v>53</v>
      </c>
      <c r="S12" s="116" t="b">
        <f>IF(OR(A12="Done",A12="In Progress"),TRUE)</f>
        <v>1</v>
      </c>
      <c r="T12" s="117" t="str">
        <f>"title: """&amp;D12&amp;""""</f>
        <v>title: "Archdiocese of Santa Fe"</v>
      </c>
      <c r="U12" s="120" t="str">
        <f>IF(LEN(J12)&gt;0,TRIM(CONCATENATE("["&amp;I12&amp;"](",J12,") ",IF(LEN(K12)&gt;0,"- "&amp;K12,K12))),"")</f>
        <v/>
      </c>
      <c r="V12" s="120" t="str">
        <f>IF(LEN(M12)&gt;0,TRIM(CONCATENATE("["&amp;L12&amp;"](",M12,") ",IF(LEN(N12)&gt;0,"- "&amp;N12,N12))),"")</f>
        <v/>
      </c>
      <c r="W12" s="120" t="str">
        <f>IF(LEN(P12)&gt;0,TRIM(CONCATENATE("["&amp;O12&amp;"](",P12,") ",IF(LEN(Q12)&gt;0,"- "&amp;Q12,Q12))),"")</f>
        <v/>
      </c>
      <c r="X12" s="120" t="str">
        <f>IF(LEN(U12)&gt;0,"* "&amp;U12&amp;CHAR(10),"")&amp;
IF(LEN(V12)&gt;0,"* "&amp;V12&amp;CHAR(10),"")&amp;
IF(LEN(W12)&gt;0,"* "&amp;W12&amp;CHAR(10),"")</f>
        <v/>
      </c>
      <c r="Y12" s="117" t="str">
        <f>IF(LEN(X12)&gt;0,concatl("#### More Information",X12),"")</f>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IF(S12,"tags\"&amp;C12&amp;"\_index.md","")</f>
        <v>tags\santa-fe\_index.md</v>
      </c>
    </row>
    <row r="13" spans="1:80" x14ac:dyDescent="0.25">
      <c r="A13" s="129" t="s">
        <v>786</v>
      </c>
      <c r="B13" s="168" t="s">
        <v>1901</v>
      </c>
      <c r="C13" s="33" t="s">
        <v>2098</v>
      </c>
      <c r="D13" s="168" t="s">
        <v>2144</v>
      </c>
      <c r="E13" s="33" t="s">
        <v>2054</v>
      </c>
      <c r="F13" s="168" t="s">
        <v>2126</v>
      </c>
      <c r="L13" s="40" t="s">
        <v>53</v>
      </c>
      <c r="M13" s="1" t="s">
        <v>53</v>
      </c>
      <c r="N13" s="44" t="s">
        <v>53</v>
      </c>
      <c r="O13" s="1" t="s">
        <v>53</v>
      </c>
      <c r="P13" s="1" t="s">
        <v>53</v>
      </c>
      <c r="Q13" s="30" t="s">
        <v>53</v>
      </c>
      <c r="R13" s="121" t="s">
        <v>53</v>
      </c>
      <c r="S13" s="116" t="b">
        <f>IF(OR(A13="Done",A13="In Progress"),TRUE)</f>
        <v>1</v>
      </c>
      <c r="T13" s="117" t="str">
        <f>"title: """&amp;D13&amp;""""</f>
        <v>title: "Archdiocese of Oklahoma City"</v>
      </c>
      <c r="U13" s="120" t="str">
        <f>IF(LEN(J13)&gt;0,TRIM(CONCATENATE("["&amp;I13&amp;"](",J13,") ",IF(LEN(K13)&gt;0,"- "&amp;K13,K13))),"")</f>
        <v/>
      </c>
      <c r="V13" s="120" t="str">
        <f>IF(LEN(M13)&gt;0,TRIM(CONCATENATE("["&amp;L13&amp;"](",M13,") ",IF(LEN(N13)&gt;0,"- "&amp;N13,N13))),"")</f>
        <v/>
      </c>
      <c r="W13" s="120" t="str">
        <f>IF(LEN(P13)&gt;0,TRIM(CONCATENATE("["&amp;O13&amp;"](",P13,") ",IF(LEN(Q13)&gt;0,"- "&amp;Q13,Q13))),"")</f>
        <v/>
      </c>
      <c r="X13" s="120" t="str">
        <f>IF(LEN(U13)&gt;0,"* "&amp;U13&amp;CHAR(10),"")&amp;
IF(LEN(V13)&gt;0,"* "&amp;V13&amp;CHAR(10),"")&amp;
IF(LEN(W13)&gt;0,"* "&amp;W13&amp;CHAR(10),"")</f>
        <v/>
      </c>
      <c r="Y13" s="117" t="str">
        <f>IF(LEN(X13)&gt;0,concatl("#### More Information",X13),"")</f>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IF(S13,"tags\"&amp;C13&amp;"\_index.md","")</f>
        <v>tags\oklahoma-city\_index.md</v>
      </c>
    </row>
    <row r="14" spans="1:80" x14ac:dyDescent="0.25">
      <c r="A14" s="129" t="s">
        <v>786</v>
      </c>
      <c r="B14" s="168" t="s">
        <v>1901</v>
      </c>
      <c r="C14" s="92" t="s">
        <v>2099</v>
      </c>
      <c r="D14" s="168" t="s">
        <v>2145</v>
      </c>
      <c r="E14" s="166" t="s">
        <v>2054</v>
      </c>
      <c r="F14" s="168" t="s">
        <v>2125</v>
      </c>
      <c r="G14" s="152"/>
      <c r="H14" s="139"/>
      <c r="I14" s="162"/>
      <c r="J14" s="51"/>
      <c r="K14" s="53"/>
      <c r="L14" s="39" t="s">
        <v>53</v>
      </c>
      <c r="M14" s="2" t="s">
        <v>53</v>
      </c>
      <c r="N14" s="43" t="s">
        <v>53</v>
      </c>
      <c r="O14" s="2" t="s">
        <v>53</v>
      </c>
      <c r="P14" s="2" t="s">
        <v>53</v>
      </c>
      <c r="Q14" s="31" t="s">
        <v>53</v>
      </c>
      <c r="R14" s="123" t="s">
        <v>53</v>
      </c>
      <c r="S14" s="116" t="b">
        <f>IF(OR(A14="Done",A14="In Progress"),TRUE)</f>
        <v>1</v>
      </c>
      <c r="T14" s="117" t="str">
        <f>"title: """&amp;D14&amp;""""</f>
        <v>title: "Archdiocese of San Antonio"</v>
      </c>
      <c r="U14" s="120" t="str">
        <f>IF(LEN(J14)&gt;0,TRIM(CONCATENATE("["&amp;I14&amp;"](",J14,") ",IF(LEN(K14)&gt;0,"- "&amp;K14,K14))),"")</f>
        <v/>
      </c>
      <c r="V14" s="120" t="str">
        <f>IF(LEN(M14)&gt;0,TRIM(CONCATENATE("["&amp;L14&amp;"](",M14,") ",IF(LEN(N14)&gt;0,"- "&amp;N14,N14))),"")</f>
        <v/>
      </c>
      <c r="W14" s="120" t="str">
        <f>IF(LEN(P14)&gt;0,TRIM(CONCATENATE("["&amp;O14&amp;"](",P14,") ",IF(LEN(Q14)&gt;0,"- "&amp;Q14,Q14))),"")</f>
        <v/>
      </c>
      <c r="X14" s="120" t="str">
        <f>IF(LEN(U14)&gt;0,"* "&amp;U14&amp;CHAR(10),"")&amp;
IF(LEN(V14)&gt;0,"* "&amp;V14&amp;CHAR(10),"")&amp;
IF(LEN(W14)&gt;0,"* "&amp;W14&amp;CHAR(10),"")</f>
        <v/>
      </c>
      <c r="Y14" s="117" t="str">
        <f>IF(LEN(X14)&gt;0,concatl("#### More Information",X14),"")</f>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IF(S14,"tags\"&amp;C14&amp;"\_index.md","")</f>
        <v>tags\san-antonio\_index.md</v>
      </c>
    </row>
    <row r="15" spans="1:80" x14ac:dyDescent="0.25">
      <c r="A15" s="129" t="s">
        <v>786</v>
      </c>
      <c r="B15" s="168" t="s">
        <v>1902</v>
      </c>
      <c r="C15" s="33" t="s">
        <v>2100</v>
      </c>
      <c r="D15" s="168" t="s">
        <v>2146</v>
      </c>
      <c r="E15" s="166" t="s">
        <v>2054</v>
      </c>
      <c r="F15" s="168" t="s">
        <v>2124</v>
      </c>
      <c r="I15" s="157" t="s">
        <v>2112</v>
      </c>
      <c r="J15" s="1" t="s">
        <v>2111</v>
      </c>
      <c r="K15" s="151" t="s">
        <v>53</v>
      </c>
      <c r="L15" s="40" t="s">
        <v>53</v>
      </c>
      <c r="M15" s="1" t="s">
        <v>53</v>
      </c>
      <c r="N15" s="44" t="s">
        <v>53</v>
      </c>
      <c r="O15" s="1" t="s">
        <v>53</v>
      </c>
      <c r="P15" s="1" t="s">
        <v>53</v>
      </c>
      <c r="Q15" s="30" t="s">
        <v>53</v>
      </c>
      <c r="R15" s="121" t="s">
        <v>53</v>
      </c>
      <c r="S15" s="116" t="b">
        <f>IF(OR(A15="Done",A15="In Progress"),TRUE)</f>
        <v>1</v>
      </c>
      <c r="T15" s="117" t="str">
        <f>"title: """&amp;D15&amp;""""</f>
        <v>title: "Diocese of Dallas"</v>
      </c>
      <c r="U15" s="120" t="str">
        <f>IF(LEN(J15)&gt;0,TRIM(CONCATENATE("["&amp;I15&amp;"](",J15,") ",IF(LEN(K15)&gt;0,"- "&amp;K15,K15))),"")</f>
        <v>[History of the church in Dallas, specifically the cathedral](https://dallaspioneer.org/sacred-heart-guadalupe-cathedral/))</v>
      </c>
      <c r="V15" s="120" t="str">
        <f>IF(LEN(M15)&gt;0,TRIM(CONCATENATE("["&amp;L15&amp;"](",M15,") ",IF(LEN(N15)&gt;0,"- "&amp;N15,N15))),"")</f>
        <v/>
      </c>
      <c r="W15" s="120" t="str">
        <f>IF(LEN(P15)&gt;0,TRIM(CONCATENATE("["&amp;O15&amp;"](",P15,") ",IF(LEN(Q15)&gt;0,"- "&amp;Q15,Q15))),"")</f>
        <v/>
      </c>
      <c r="X15" s="120" t="str">
        <f>IF(LEN(U15)&gt;0,"* "&amp;U15&amp;CHAR(10),"")&amp;
IF(LEN(V15)&gt;0,"* "&amp;V15&amp;CHAR(10),"")&amp;
IF(LEN(W15)&gt;0,"* "&amp;W15&amp;CHAR(10),"")</f>
        <v xml:space="preserve">* [History of the church in Dallas, specifically the cathedral](https://dallaspioneer.org/sacred-heart-guadalupe-cathedral/))
</v>
      </c>
      <c r="Y15" s="117" t="str">
        <f>IF(LEN(X15)&gt;0,concatl("#### More Information",X15),"")</f>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IF(S15,"tags\"&amp;C15&amp;"\_index.md","")</f>
        <v>tags\dallas\_index.md</v>
      </c>
    </row>
    <row r="16" spans="1:80" x14ac:dyDescent="0.25">
      <c r="A16" s="129" t="s">
        <v>786</v>
      </c>
      <c r="B16" s="168" t="s">
        <v>1901</v>
      </c>
      <c r="C16" s="61" t="s">
        <v>2090</v>
      </c>
      <c r="D16" s="168" t="s">
        <v>2147</v>
      </c>
      <c r="E16" s="33" t="s">
        <v>2054</v>
      </c>
      <c r="F16" s="168" t="s">
        <v>2115</v>
      </c>
      <c r="L16" s="40" t="s">
        <v>53</v>
      </c>
      <c r="M16" s="1" t="s">
        <v>53</v>
      </c>
      <c r="N16" s="44" t="s">
        <v>53</v>
      </c>
      <c r="O16" s="1" t="s">
        <v>53</v>
      </c>
      <c r="P16" s="1" t="s">
        <v>53</v>
      </c>
      <c r="Q16" s="30" t="s">
        <v>53</v>
      </c>
      <c r="R16" s="121" t="s">
        <v>53</v>
      </c>
      <c r="S16" s="116" t="b">
        <f>IF(OR(A16="Done",A16="In Progress"),TRUE)</f>
        <v>1</v>
      </c>
      <c r="T16" s="117" t="str">
        <f>"title: """&amp;D16&amp;""""</f>
        <v>title: "Diocese of San Diego"</v>
      </c>
      <c r="U16" s="120" t="str">
        <f>IF(LEN(J16)&gt;0,TRIM(CONCATENATE("["&amp;I16&amp;"](",J16,") ",IF(LEN(K16)&gt;0,"- "&amp;K16,K16))),"")</f>
        <v/>
      </c>
      <c r="V16" s="120" t="str">
        <f>IF(LEN(M16)&gt;0,TRIM(CONCATENATE("["&amp;L16&amp;"](",M16,") ",IF(LEN(N16)&gt;0,"- "&amp;N16,N16))),"")</f>
        <v/>
      </c>
      <c r="W16" s="120" t="str">
        <f>IF(LEN(P16)&gt;0,TRIM(CONCATENATE("["&amp;O16&amp;"](",P16,") ",IF(LEN(Q16)&gt;0,"- "&amp;Q16,Q16))),"")</f>
        <v/>
      </c>
      <c r="X16" s="120" t="str">
        <f>IF(LEN(U16)&gt;0,"* "&amp;U16&amp;CHAR(10),"")&amp;
IF(LEN(V16)&gt;0,"* "&amp;V16&amp;CHAR(10),"")&amp;
IF(LEN(W16)&gt;0,"* "&amp;W16&amp;CHAR(10),"")</f>
        <v/>
      </c>
      <c r="Y16" s="117" t="str">
        <f>IF(LEN(X16)&gt;0,concatl("#### More Information",X16),"")</f>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IF(S16,"tags\"&amp;C16&amp;"\_index.md","")</f>
        <v>tags\san-diego\_index.md</v>
      </c>
    </row>
    <row r="17" spans="1:80" x14ac:dyDescent="0.25">
      <c r="A17" s="129" t="s">
        <v>786</v>
      </c>
      <c r="B17" s="55" t="s">
        <v>1901</v>
      </c>
      <c r="C17" s="61" t="s">
        <v>2091</v>
      </c>
      <c r="D17" s="168" t="s">
        <v>2148</v>
      </c>
      <c r="E17" s="61" t="s">
        <v>2054</v>
      </c>
      <c r="F17" s="168" t="s">
        <v>2116</v>
      </c>
      <c r="L17" s="40" t="s">
        <v>53</v>
      </c>
      <c r="M17" s="1" t="s">
        <v>53</v>
      </c>
      <c r="N17" s="44" t="s">
        <v>53</v>
      </c>
      <c r="O17" s="1" t="s">
        <v>53</v>
      </c>
      <c r="P17" s="1" t="s">
        <v>53</v>
      </c>
      <c r="Q17" s="30" t="s">
        <v>53</v>
      </c>
      <c r="R17" s="121" t="s">
        <v>53</v>
      </c>
      <c r="S17" s="116" t="b">
        <f>IF(OR(A17="Done",A17="In Progress"),TRUE)</f>
        <v>1</v>
      </c>
      <c r="T17" s="117" t="str">
        <f>"title: """&amp;D17&amp;""""</f>
        <v>title: "Diocese of Monterey"</v>
      </c>
      <c r="U17" s="120" t="str">
        <f>IF(LEN(J17)&gt;0,TRIM(CONCATENATE("["&amp;I17&amp;"](",J17,") ",IF(LEN(K17)&gt;0,"- "&amp;K17,K17))),"")</f>
        <v/>
      </c>
      <c r="V17" s="120" t="str">
        <f>IF(LEN(M17)&gt;0,TRIM(CONCATENATE("["&amp;L17&amp;"](",M17,") ",IF(LEN(N17)&gt;0,"- "&amp;N17,N17))),"")</f>
        <v/>
      </c>
      <c r="W17" s="120" t="str">
        <f>IF(LEN(P17)&gt;0,TRIM(CONCATENATE("["&amp;O17&amp;"](",P17,") ",IF(LEN(Q17)&gt;0,"- "&amp;Q17,Q17))),"")</f>
        <v/>
      </c>
      <c r="X17" s="120" t="str">
        <f>IF(LEN(U17)&gt;0,"* "&amp;U17&amp;CHAR(10),"")&amp;
IF(LEN(V17)&gt;0,"* "&amp;V17&amp;CHAR(10),"")&amp;
IF(LEN(W17)&gt;0,"* "&amp;W17&amp;CHAR(10),"")</f>
        <v/>
      </c>
      <c r="Y17" s="117" t="str">
        <f>IF(LEN(X17)&gt;0,concatl("#### More Information",X17),"")</f>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IF(S17,"tags\"&amp;C17&amp;"\_index.md","")</f>
        <v>tags\monterey\_index.md</v>
      </c>
    </row>
    <row r="18" spans="1:80" x14ac:dyDescent="0.25">
      <c r="A18" s="129" t="s">
        <v>786</v>
      </c>
      <c r="B18" s="55" t="s">
        <v>1901</v>
      </c>
      <c r="C18" s="61" t="s">
        <v>2092</v>
      </c>
      <c r="D18" s="168" t="s">
        <v>2149</v>
      </c>
      <c r="E18" s="61" t="s">
        <v>2054</v>
      </c>
      <c r="F18" s="55" t="s">
        <v>2117</v>
      </c>
      <c r="L18" s="40" t="s">
        <v>53</v>
      </c>
      <c r="M18" s="1" t="s">
        <v>53</v>
      </c>
      <c r="N18" s="44" t="s">
        <v>53</v>
      </c>
      <c r="O18" s="1" t="s">
        <v>53</v>
      </c>
      <c r="P18" s="1" t="s">
        <v>53</v>
      </c>
      <c r="Q18" s="30" t="s">
        <v>53</v>
      </c>
      <c r="R18" s="121" t="s">
        <v>53</v>
      </c>
      <c r="S18" s="116" t="b">
        <f>IF(OR(A18="Done",A18="In Progress"),TRUE)</f>
        <v>1</v>
      </c>
      <c r="T18" s="117" t="str">
        <f>"title: """&amp;D18&amp;""""</f>
        <v>title: "Archdiocese of Los Angeles"</v>
      </c>
      <c r="U18" s="120" t="str">
        <f>IF(LEN(J18)&gt;0,TRIM(CONCATENATE("["&amp;I18&amp;"](",J18,") ",IF(LEN(K18)&gt;0,"- "&amp;K18,K18))),"")</f>
        <v/>
      </c>
      <c r="V18" s="120" t="str">
        <f>IF(LEN(M18)&gt;0,TRIM(CONCATENATE("["&amp;L18&amp;"](",M18,") ",IF(LEN(N18)&gt;0,"- "&amp;N18,N18))),"")</f>
        <v/>
      </c>
      <c r="W18" s="120" t="str">
        <f>IF(LEN(P18)&gt;0,TRIM(CONCATENATE("["&amp;O18&amp;"](",P18,") ",IF(LEN(Q18)&gt;0,"- "&amp;Q18,Q18))),"")</f>
        <v/>
      </c>
      <c r="X18" s="120" t="str">
        <f>IF(LEN(U18)&gt;0,"* "&amp;U18&amp;CHAR(10),"")&amp;
IF(LEN(V18)&gt;0,"* "&amp;V18&amp;CHAR(10),"")&amp;
IF(LEN(W18)&gt;0,"* "&amp;W18&amp;CHAR(10),"")</f>
        <v/>
      </c>
      <c r="Y18" s="117" t="str">
        <f>IF(LEN(X18)&gt;0,concatl("#### More Information",X18),"")</f>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IF(S18,"tags\"&amp;C18&amp;"\_index.md","")</f>
        <v>tags\los-angeles\_index.md</v>
      </c>
    </row>
    <row r="19" spans="1:80" x14ac:dyDescent="0.25">
      <c r="A19" s="129" t="s">
        <v>786</v>
      </c>
      <c r="B19" s="7" t="s">
        <v>1901</v>
      </c>
      <c r="C19" s="33" t="s">
        <v>2093</v>
      </c>
      <c r="D19" s="168" t="s">
        <v>2150</v>
      </c>
      <c r="E19" s="33" t="s">
        <v>2054</v>
      </c>
      <c r="F19" s="7" t="s">
        <v>2118</v>
      </c>
      <c r="L19" s="40" t="s">
        <v>53</v>
      </c>
      <c r="M19" s="1" t="s">
        <v>53</v>
      </c>
      <c r="N19" s="44" t="s">
        <v>53</v>
      </c>
      <c r="O19" s="1" t="s">
        <v>53</v>
      </c>
      <c r="P19" s="1" t="s">
        <v>53</v>
      </c>
      <c r="Q19" s="30" t="s">
        <v>53</v>
      </c>
      <c r="R19" s="121" t="s">
        <v>53</v>
      </c>
      <c r="S19" s="116" t="b">
        <f>IF(OR(A19="Done",A19="In Progress"),TRUE)</f>
        <v>1</v>
      </c>
      <c r="T19" s="117" t="str">
        <f>"title: """&amp;D19&amp;""""</f>
        <v>title: "Archdiocese of San Francisco"</v>
      </c>
      <c r="U19" s="120" t="str">
        <f>IF(LEN(J19)&gt;0,TRIM(CONCATENATE("["&amp;I19&amp;"](",J19,") ",IF(LEN(K19)&gt;0,"- "&amp;K19,K19))),"")</f>
        <v/>
      </c>
      <c r="V19" s="120" t="str">
        <f>IF(LEN(M19)&gt;0,TRIM(CONCATENATE("["&amp;L19&amp;"](",M19,") ",IF(LEN(N19)&gt;0,"- "&amp;N19,N19))),"")</f>
        <v/>
      </c>
      <c r="W19" s="120" t="str">
        <f>IF(LEN(P19)&gt;0,TRIM(CONCATENATE("["&amp;O19&amp;"](",P19,") ",IF(LEN(Q19)&gt;0,"- "&amp;Q19,Q19))),"")</f>
        <v/>
      </c>
      <c r="X19" s="120" t="str">
        <f>IF(LEN(U19)&gt;0,"* "&amp;U19&amp;CHAR(10),"")&amp;
IF(LEN(V19)&gt;0,"* "&amp;V19&amp;CHAR(10),"")&amp;
IF(LEN(W19)&gt;0,"* "&amp;W19&amp;CHAR(10),"")</f>
        <v/>
      </c>
      <c r="Y19" s="117" t="str">
        <f>IF(LEN(X19)&gt;0,concatl("#### More Information",X19),"")</f>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IF(S19,"tags\"&amp;C19&amp;"\_index.md","")</f>
        <v>tags\san-francisco\_index.md</v>
      </c>
    </row>
    <row r="20" spans="1:80" x14ac:dyDescent="0.25">
      <c r="A20" s="129" t="s">
        <v>786</v>
      </c>
      <c r="B20" s="7" t="s">
        <v>1901</v>
      </c>
      <c r="C20" s="33" t="s">
        <v>2094</v>
      </c>
      <c r="D20" s="168" t="s">
        <v>2151</v>
      </c>
      <c r="E20" s="33" t="s">
        <v>2054</v>
      </c>
      <c r="F20" s="7" t="s">
        <v>2119</v>
      </c>
      <c r="G20" s="152"/>
      <c r="H20" s="139"/>
      <c r="L20" s="40" t="s">
        <v>53</v>
      </c>
      <c r="M20" s="1" t="s">
        <v>53</v>
      </c>
      <c r="N20" s="44" t="s">
        <v>53</v>
      </c>
      <c r="O20" s="1" t="s">
        <v>53</v>
      </c>
      <c r="P20" s="1" t="s">
        <v>53</v>
      </c>
      <c r="Q20" s="30" t="s">
        <v>53</v>
      </c>
      <c r="R20" s="121" t="s">
        <v>53</v>
      </c>
      <c r="S20" s="116" t="b">
        <f>IF(OR(A20="Done",A20="In Progress"),TRUE)</f>
        <v>1</v>
      </c>
      <c r="T20" s="117" t="str">
        <f>"title: """&amp;D20&amp;""""</f>
        <v>title: "Diocese of Orange"</v>
      </c>
      <c r="U20" s="120" t="str">
        <f>IF(LEN(J20)&gt;0,TRIM(CONCATENATE("["&amp;I20&amp;"](",J20,") ",IF(LEN(K20)&gt;0,"- "&amp;K20,K20))),"")</f>
        <v/>
      </c>
      <c r="V20" s="120" t="str">
        <f>IF(LEN(M20)&gt;0,TRIM(CONCATENATE("["&amp;L20&amp;"](",M20,") ",IF(LEN(N20)&gt;0,"- "&amp;N20,N20))),"")</f>
        <v/>
      </c>
      <c r="W20" s="120" t="str">
        <f>IF(LEN(P20)&gt;0,TRIM(CONCATENATE("["&amp;O20&amp;"](",P20,") ",IF(LEN(Q20)&gt;0,"- "&amp;Q20,Q20))),"")</f>
        <v/>
      </c>
      <c r="X20" s="120" t="str">
        <f>IF(LEN(U20)&gt;0,"* "&amp;U20&amp;CHAR(10),"")&amp;
IF(LEN(V20)&gt;0,"* "&amp;V20&amp;CHAR(10),"")&amp;
IF(LEN(W20)&gt;0,"* "&amp;W20&amp;CHAR(10),"")</f>
        <v/>
      </c>
      <c r="Y20" s="117" t="str">
        <f>IF(LEN(X20)&gt;0,concatl("#### More Information",X20),"")</f>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IF(S20,"tags\"&amp;C20&amp;"\_index.md","")</f>
        <v>tags\orange\_index.md</v>
      </c>
    </row>
    <row r="21" spans="1:80" x14ac:dyDescent="0.25">
      <c r="A21" s="129" t="s">
        <v>786</v>
      </c>
      <c r="B21" s="7" t="s">
        <v>1901</v>
      </c>
      <c r="C21" s="38" t="s">
        <v>2095</v>
      </c>
      <c r="D21" s="168" t="s">
        <v>2152</v>
      </c>
      <c r="E21" s="33" t="s">
        <v>2054</v>
      </c>
      <c r="F21" s="7" t="s">
        <v>2120</v>
      </c>
      <c r="L21" s="40" t="s">
        <v>53</v>
      </c>
      <c r="M21" s="1" t="s">
        <v>53</v>
      </c>
      <c r="N21" s="44" t="s">
        <v>53</v>
      </c>
      <c r="O21" s="1" t="s">
        <v>53</v>
      </c>
      <c r="P21" s="1" t="s">
        <v>53</v>
      </c>
      <c r="Q21" s="30" t="s">
        <v>53</v>
      </c>
      <c r="R21" s="121" t="s">
        <v>53</v>
      </c>
      <c r="S21" s="116" t="b">
        <f>IF(OR(A21="Done",A21="In Progress"),TRUE)</f>
        <v>1</v>
      </c>
      <c r="T21" s="117" t="str">
        <f>"title: """&amp;D21&amp;""""</f>
        <v>title: "Diocese of San Jose"</v>
      </c>
      <c r="U21" s="120" t="str">
        <f>IF(LEN(J21)&gt;0,TRIM(CONCATENATE("["&amp;I21&amp;"](",J21,") ",IF(LEN(K21)&gt;0,"- "&amp;K21,K21))),"")</f>
        <v/>
      </c>
      <c r="V21" s="120" t="str">
        <f>IF(LEN(M21)&gt;0,TRIM(CONCATENATE("["&amp;L21&amp;"](",M21,") ",IF(LEN(N21)&gt;0,"- "&amp;N21,N21))),"")</f>
        <v/>
      </c>
      <c r="W21" s="120" t="str">
        <f>IF(LEN(P21)&gt;0,TRIM(CONCATENATE("["&amp;O21&amp;"](",P21,") ",IF(LEN(Q21)&gt;0,"- "&amp;Q21,Q21))),"")</f>
        <v/>
      </c>
      <c r="X21" s="120" t="str">
        <f>IF(LEN(U21)&gt;0,"* "&amp;U21&amp;CHAR(10),"")&amp;
IF(LEN(V21)&gt;0,"* "&amp;V21&amp;CHAR(10),"")&amp;
IF(LEN(W21)&gt;0,"* "&amp;W21&amp;CHAR(10),"")</f>
        <v/>
      </c>
      <c r="Y21" s="117" t="str">
        <f>IF(LEN(X21)&gt;0,concatl("#### More Information",X21),"")</f>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IF(S21,"tags\"&amp;C21&amp;"\_index.md","")</f>
        <v>tags\san-jose\_index.md</v>
      </c>
    </row>
    <row r="22" spans="1:80" x14ac:dyDescent="0.25">
      <c r="A22" s="129" t="s">
        <v>786</v>
      </c>
      <c r="B22" s="10" t="s">
        <v>1901</v>
      </c>
      <c r="C22" s="33" t="s">
        <v>2096</v>
      </c>
      <c r="D22" s="168" t="s">
        <v>2153</v>
      </c>
      <c r="E22" s="33" t="s">
        <v>2054</v>
      </c>
      <c r="F22" s="10" t="s">
        <v>2121</v>
      </c>
      <c r="G22" s="152"/>
      <c r="H22" s="139"/>
      <c r="L22" s="40" t="s">
        <v>53</v>
      </c>
      <c r="M22" s="1" t="s">
        <v>53</v>
      </c>
      <c r="N22" s="44" t="s">
        <v>53</v>
      </c>
      <c r="O22" s="1" t="s">
        <v>53</v>
      </c>
      <c r="P22" s="1" t="s">
        <v>53</v>
      </c>
      <c r="Q22" s="30" t="s">
        <v>53</v>
      </c>
      <c r="R22" s="121" t="s">
        <v>53</v>
      </c>
      <c r="S22" s="116" t="b">
        <f>IF(OR(A22="Done",A22="In Progress"),TRUE)</f>
        <v>1</v>
      </c>
      <c r="T22" s="117" t="str">
        <f>"title: """&amp;D22&amp;""""</f>
        <v>title: "Diocese of Ventura"</v>
      </c>
      <c r="U22" s="120" t="str">
        <f>IF(LEN(J22)&gt;0,TRIM(CONCATENATE("["&amp;I22&amp;"](",J22,") ",IF(LEN(K22)&gt;0,"- "&amp;K22,K22))),"")</f>
        <v/>
      </c>
      <c r="V22" s="120" t="str">
        <f>IF(LEN(M22)&gt;0,TRIM(CONCATENATE("["&amp;L22&amp;"](",M22,") ",IF(LEN(N22)&gt;0,"- "&amp;N22,N22))),"")</f>
        <v/>
      </c>
      <c r="W22" s="120" t="str">
        <f>IF(LEN(P22)&gt;0,TRIM(CONCATENATE("["&amp;O22&amp;"](",P22,") ",IF(LEN(Q22)&gt;0,"- "&amp;Q22,Q22))),"")</f>
        <v/>
      </c>
      <c r="X22" s="120" t="str">
        <f>IF(LEN(U22)&gt;0,"* "&amp;U22&amp;CHAR(10),"")&amp;
IF(LEN(V22)&gt;0,"* "&amp;V22&amp;CHAR(10),"")&amp;
IF(LEN(W22)&gt;0,"* "&amp;W22&amp;CHAR(10),"")</f>
        <v/>
      </c>
      <c r="Y22" s="117" t="str">
        <f>IF(LEN(X22)&gt;0,concatl("#### More Information",X22),"")</f>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IF(S22,"tags\"&amp;C22&amp;"\_index.md","")</f>
        <v>tags\ventura\_index.md</v>
      </c>
    </row>
    <row r="23" spans="1:80" x14ac:dyDescent="0.25">
      <c r="A23" s="129" t="s">
        <v>786</v>
      </c>
      <c r="B23" s="7" t="s">
        <v>1901</v>
      </c>
      <c r="C23" s="33" t="s">
        <v>2056</v>
      </c>
      <c r="D23" s="168" t="s">
        <v>2154</v>
      </c>
      <c r="E23" s="166" t="s">
        <v>2054</v>
      </c>
      <c r="F23" s="7" t="s">
        <v>2122</v>
      </c>
      <c r="G23" s="152"/>
      <c r="H23" s="139"/>
      <c r="L23" s="40" t="s">
        <v>53</v>
      </c>
      <c r="M23" s="1" t="s">
        <v>53</v>
      </c>
      <c r="N23" s="44" t="s">
        <v>53</v>
      </c>
      <c r="O23" s="1" t="s">
        <v>53</v>
      </c>
      <c r="P23" s="1" t="s">
        <v>53</v>
      </c>
      <c r="Q23" s="30" t="s">
        <v>53</v>
      </c>
      <c r="R23" s="121" t="s">
        <v>53</v>
      </c>
      <c r="S23" s="116" t="b">
        <f>IF(OR(A23="Done",A23="In Progress"),TRUE)</f>
        <v>1</v>
      </c>
      <c r="T23" s="117" t="str">
        <f>"title: """&amp;D23&amp;""""</f>
        <v>title: "Diocese of Oakland"</v>
      </c>
      <c r="U23" s="120" t="str">
        <f>IF(LEN(J23)&gt;0,TRIM(CONCATENATE("["&amp;I23&amp;"](",J23,") ",IF(LEN(K23)&gt;0,"- "&amp;K23,K23))),"")</f>
        <v/>
      </c>
      <c r="V23" s="120" t="str">
        <f>IF(LEN(M23)&gt;0,TRIM(CONCATENATE("["&amp;L23&amp;"](",M23,") ",IF(LEN(N23)&gt;0,"- "&amp;N23,N23))),"")</f>
        <v/>
      </c>
      <c r="W23" s="120" t="str">
        <f>IF(LEN(P23)&gt;0,TRIM(CONCATENATE("["&amp;O23&amp;"](",P23,") ",IF(LEN(Q23)&gt;0,"- "&amp;Q23,Q23))),"")</f>
        <v/>
      </c>
      <c r="X23" s="120" t="str">
        <f>IF(LEN(U23)&gt;0,"* "&amp;U23&amp;CHAR(10),"")&amp;
IF(LEN(V23)&gt;0,"* "&amp;V23&amp;CHAR(10),"")&amp;
IF(LEN(W23)&gt;0,"* "&amp;W23&amp;CHAR(10),"")</f>
        <v/>
      </c>
      <c r="Y23" s="117" t="str">
        <f>IF(LEN(X23)&gt;0,concatl("#### More Information",X23),"")</f>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IF(S23,"tags\"&amp;C23&amp;"\_index.md","")</f>
        <v>tags\oakland\_index.md</v>
      </c>
    </row>
    <row r="24" spans="1:80" x14ac:dyDescent="0.25">
      <c r="A24" s="129" t="s">
        <v>786</v>
      </c>
      <c r="B24" s="168" t="s">
        <v>1901</v>
      </c>
      <c r="C24" s="81" t="s">
        <v>2131</v>
      </c>
      <c r="D24" s="168" t="s">
        <v>2155</v>
      </c>
      <c r="E24" s="166" t="s">
        <v>2054</v>
      </c>
      <c r="F24" s="168" t="s">
        <v>2132</v>
      </c>
      <c r="I24" s="157" t="s">
        <v>53</v>
      </c>
      <c r="J24" s="1" t="s">
        <v>53</v>
      </c>
      <c r="K24" s="44" t="s">
        <v>53</v>
      </c>
      <c r="L24" s="40" t="s">
        <v>53</v>
      </c>
      <c r="M24" s="1" t="s">
        <v>53</v>
      </c>
      <c r="N24" s="44" t="s">
        <v>53</v>
      </c>
      <c r="O24" s="1" t="s">
        <v>53</v>
      </c>
      <c r="P24" s="1" t="s">
        <v>53</v>
      </c>
      <c r="Q24" s="30" t="s">
        <v>53</v>
      </c>
      <c r="R24" s="121" t="s">
        <v>53</v>
      </c>
      <c r="S24" s="116" t="b">
        <f>IF(OR(A24="Done",A24="In Progress"),TRUE)</f>
        <v>1</v>
      </c>
      <c r="T24" s="117" t="str">
        <f>"title: """&amp;D24&amp;""""</f>
        <v>title: "Archdiocese of Baltimore"</v>
      </c>
      <c r="U24" s="120" t="str">
        <f>IF(LEN(J24)&gt;0,TRIM(CONCATENATE("["&amp;I24&amp;"](",J24,") ",IF(LEN(K24)&gt;0,"- "&amp;K24,K24))),"")</f>
        <v/>
      </c>
      <c r="V24" s="120" t="str">
        <f>IF(LEN(M24)&gt;0,TRIM(CONCATENATE("["&amp;L24&amp;"](",M24,") ",IF(LEN(N24)&gt;0,"- "&amp;N24,N24))),"")</f>
        <v/>
      </c>
      <c r="W24" s="120" t="str">
        <f>IF(LEN(P24)&gt;0,TRIM(CONCATENATE("["&amp;O24&amp;"](",P24,") ",IF(LEN(Q24)&gt;0,"- "&amp;Q24,Q24))),"")</f>
        <v/>
      </c>
      <c r="X24" s="120" t="str">
        <f>IF(LEN(U24)&gt;0,"* "&amp;U24&amp;CHAR(10),"")&amp;
IF(LEN(V24)&gt;0,"* "&amp;V24&amp;CHAR(10),"")&amp;
IF(LEN(W24)&gt;0,"* "&amp;W24&amp;CHAR(10),"")</f>
        <v/>
      </c>
      <c r="Y24" s="117" t="str">
        <f>IF(LEN(X24)&gt;0,concatl("#### More Information",X24),"")</f>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IF(S24,"tags\"&amp;C24&amp;"\_index.md","")</f>
        <v>tags\baltimore\_index.md</v>
      </c>
    </row>
    <row r="25" spans="1:80" ht="25.5" x14ac:dyDescent="0.25">
      <c r="A25" s="129" t="s">
        <v>786</v>
      </c>
      <c r="B25" s="168" t="s">
        <v>1902</v>
      </c>
      <c r="C25" s="33" t="s">
        <v>2136</v>
      </c>
      <c r="D25" s="168" t="s">
        <v>2156</v>
      </c>
      <c r="E25" s="166" t="s">
        <v>2054</v>
      </c>
      <c r="F25" s="168" t="s">
        <v>2137</v>
      </c>
      <c r="I25" s="171" t="s">
        <v>2138</v>
      </c>
      <c r="J25" s="1" t="s">
        <v>2139</v>
      </c>
      <c r="K25" s="44" t="s">
        <v>53</v>
      </c>
      <c r="L25" s="40" t="s">
        <v>53</v>
      </c>
      <c r="M25" s="1" t="s">
        <v>53</v>
      </c>
      <c r="N25" s="44" t="s">
        <v>53</v>
      </c>
      <c r="O25" s="1" t="s">
        <v>53</v>
      </c>
      <c r="P25" s="1" t="s">
        <v>53</v>
      </c>
      <c r="Q25" s="30" t="s">
        <v>53</v>
      </c>
      <c r="R25" s="121" t="s">
        <v>53</v>
      </c>
      <c r="S25" s="116" t="b">
        <f>IF(OR(A25="Done",A25="In Progress"),TRUE)</f>
        <v>1</v>
      </c>
      <c r="T25" s="117" t="str">
        <f>"title: """&amp;D25&amp;""""</f>
        <v>title: "Archdiocese of Westminster (London)"</v>
      </c>
      <c r="U25" s="120" t="str">
        <f>IF(LEN(J25)&gt;0,TRIM(CONCATENATE("["&amp;I25&amp;"](",J25,") ",IF(LEN(K25)&gt;0,"- "&amp;K25,K25))),"")</f>
        <v>[Official site](https://rcdow.org.uk/)</v>
      </c>
      <c r="V25" s="120" t="str">
        <f>IF(LEN(M25)&gt;0,TRIM(CONCATENATE("["&amp;L25&amp;"](",M25,") ",IF(LEN(N25)&gt;0,"- "&amp;N25,N25))),"")</f>
        <v/>
      </c>
      <c r="W25" s="120" t="str">
        <f>IF(LEN(P25)&gt;0,TRIM(CONCATENATE("["&amp;O25&amp;"](",P25,") ",IF(LEN(Q25)&gt;0,"- "&amp;Q25,Q25))),"")</f>
        <v/>
      </c>
      <c r="X25" s="120" t="str">
        <f>IF(LEN(U25)&gt;0,"* "&amp;U25&amp;CHAR(10),"")&amp;
IF(LEN(V25)&gt;0,"* "&amp;V25&amp;CHAR(10),"")&amp;
IF(LEN(W25)&gt;0,"* "&amp;W25&amp;CHAR(10),"")</f>
        <v xml:space="preserve">* [Official site](https://rcdow.org.uk/)
</v>
      </c>
      <c r="Y25" s="117" t="str">
        <f>IF(LEN(X25)&gt;0,concatl("#### More Information",X25),"")</f>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IF(S25,"tags\"&amp;C25&amp;"\_index.md","")</f>
        <v>tags\london\_index.md</v>
      </c>
    </row>
    <row r="26" spans="1:80" x14ac:dyDescent="0.25">
      <c r="A26" s="129" t="s">
        <v>786</v>
      </c>
      <c r="B26" s="168" t="s">
        <v>1901</v>
      </c>
      <c r="C26" s="33" t="s">
        <v>2060</v>
      </c>
      <c r="D26" s="168" t="s">
        <v>2157</v>
      </c>
      <c r="E26" s="166" t="s">
        <v>2128</v>
      </c>
      <c r="F26" s="168" t="s">
        <v>2134</v>
      </c>
      <c r="G26" s="152"/>
      <c r="H26" s="139"/>
      <c r="L26" s="40" t="s">
        <v>53</v>
      </c>
      <c r="M26" s="1" t="s">
        <v>53</v>
      </c>
      <c r="N26" s="44" t="s">
        <v>53</v>
      </c>
      <c r="O26" s="1" t="s">
        <v>53</v>
      </c>
      <c r="P26" s="1" t="s">
        <v>53</v>
      </c>
      <c r="Q26" s="30" t="s">
        <v>53</v>
      </c>
      <c r="R26" s="121" t="s">
        <v>53</v>
      </c>
      <c r="S26" s="116" t="b">
        <f>IF(OR(A26="Done",A26="In Progress"),TRUE)</f>
        <v>1</v>
      </c>
      <c r="T26" s="117" t="str">
        <f>"title: """&amp;D26&amp;""""</f>
        <v>title: "Lake Atitlan"</v>
      </c>
      <c r="U26" s="120" t="str">
        <f>IF(LEN(J26)&gt;0,TRIM(CONCATENATE("["&amp;I26&amp;"](",J26,") ",IF(LEN(K26)&gt;0,"- "&amp;K26,K26))),"")</f>
        <v/>
      </c>
      <c r="V26" s="120" t="str">
        <f>IF(LEN(M26)&gt;0,TRIM(CONCATENATE("["&amp;L26&amp;"](",M26,") ",IF(LEN(N26)&gt;0,"- "&amp;N26,N26))),"")</f>
        <v/>
      </c>
      <c r="W26" s="120" t="str">
        <f>IF(LEN(P26)&gt;0,TRIM(CONCATENATE("["&amp;O26&amp;"](",P26,") ",IF(LEN(Q26)&gt;0,"- "&amp;Q26,Q26))),"")</f>
        <v/>
      </c>
      <c r="X26" s="117" t="str">
        <f>IF(LEN(U26)&gt;0,"* "&amp;U26&amp;CHAR(10),"")&amp;
IF(LEN(V26)&gt;0,"* "&amp;V26&amp;CHAR(10),"")&amp;
IF(LEN(W26)&gt;0,"* "&amp;W26&amp;CHAR(10),"")</f>
        <v/>
      </c>
      <c r="Y26" s="117" t="str">
        <f>IF(LEN(X26)&gt;0,concatl("#### More Information",X26),"")</f>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IF(S26,"tags\"&amp;C26&amp;"\_index.md","")</f>
        <v>tags\atitlan\_index.md</v>
      </c>
    </row>
    <row r="27" spans="1:80" x14ac:dyDescent="0.25">
      <c r="A27" s="129" t="s">
        <v>786</v>
      </c>
      <c r="B27" s="7" t="s">
        <v>1901</v>
      </c>
      <c r="C27" s="33" t="s">
        <v>2102</v>
      </c>
      <c r="D27" s="55" t="s">
        <v>887</v>
      </c>
      <c r="E27" s="61" t="s">
        <v>2128</v>
      </c>
      <c r="F27" s="55" t="s">
        <v>2133</v>
      </c>
      <c r="L27" s="40" t="s">
        <v>53</v>
      </c>
      <c r="M27" s="1" t="s">
        <v>53</v>
      </c>
      <c r="N27" s="44" t="s">
        <v>53</v>
      </c>
      <c r="O27" s="1" t="s">
        <v>53</v>
      </c>
      <c r="P27" s="1" t="s">
        <v>53</v>
      </c>
      <c r="Q27" s="30" t="s">
        <v>53</v>
      </c>
      <c r="R27" s="121" t="s">
        <v>53</v>
      </c>
      <c r="S27" s="116" t="b">
        <f>IF(OR(A27="Done",A27="In Progress"),TRUE)</f>
        <v>1</v>
      </c>
      <c r="T27" s="117" t="str">
        <f>"title: """&amp;D27&amp;""""</f>
        <v>title: "Sicily"</v>
      </c>
      <c r="U27" s="120" t="str">
        <f>IF(LEN(J27)&gt;0,TRIM(CONCATENATE("["&amp;I27&amp;"](",J27,") ",IF(LEN(K27)&gt;0,"- "&amp;K27,K27))),"")</f>
        <v/>
      </c>
      <c r="V27" s="120" t="str">
        <f>IF(LEN(M27)&gt;0,TRIM(CONCATENATE("["&amp;L27&amp;"](",M27,") ",IF(LEN(N27)&gt;0,"- "&amp;N27,N27))),"")</f>
        <v/>
      </c>
      <c r="W27" s="120" t="str">
        <f>IF(LEN(P27)&gt;0,TRIM(CONCATENATE("["&amp;O27&amp;"](",P27,") ",IF(LEN(Q27)&gt;0,"- "&amp;Q27,Q27))),"")</f>
        <v/>
      </c>
      <c r="X27" s="120" t="str">
        <f>IF(LEN(U27)&gt;0,"* "&amp;U27&amp;CHAR(10),"")&amp;
IF(LEN(V27)&gt;0,"* "&amp;V27&amp;CHAR(10),"")&amp;
IF(LEN(W27)&gt;0,"* "&amp;W27&amp;CHAR(10),"")</f>
        <v/>
      </c>
      <c r="Y27" s="117" t="str">
        <f>IF(LEN(X27)&gt;0,concatl("#### More Information",X27),"")</f>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IF(S27,"tags\"&amp;C27&amp;"\_index.md","")</f>
        <v>tags\sicily\_index.md</v>
      </c>
    </row>
    <row r="28" spans="1:80" ht="51" x14ac:dyDescent="0.25">
      <c r="A28" s="129" t="s">
        <v>1899</v>
      </c>
      <c r="B28" s="130" t="s">
        <v>1900</v>
      </c>
      <c r="C28" s="73" t="s">
        <v>2063</v>
      </c>
      <c r="D28" s="71" t="s">
        <v>1884</v>
      </c>
      <c r="E28" s="73" t="s">
        <v>1971</v>
      </c>
      <c r="F28" s="71" t="s">
        <v>1975</v>
      </c>
      <c r="L28" s="40" t="s">
        <v>53</v>
      </c>
      <c r="M28" s="1" t="s">
        <v>53</v>
      </c>
      <c r="N28" s="44" t="s">
        <v>53</v>
      </c>
      <c r="O28" s="1" t="s">
        <v>53</v>
      </c>
      <c r="P28" s="1" t="s">
        <v>53</v>
      </c>
      <c r="Q28" s="30" t="s">
        <v>53</v>
      </c>
      <c r="R28" s="121" t="s">
        <v>53</v>
      </c>
      <c r="S28" s="116" t="b">
        <f>IF(OR(A28="Done",A28="In Progress"),TRUE)</f>
        <v>0</v>
      </c>
      <c r="T28" s="117" t="str">
        <f>"title: """&amp;D28&amp;""""</f>
        <v>title: "Page Title (what will display on website)"</v>
      </c>
      <c r="U28" s="120" t="str">
        <f>IF(LEN(J28)&gt;0,TRIM(CONCATENATE("["&amp;I28&amp;"](",J28,") ",IF(LEN(K28)&gt;0,"- "&amp;K28,K28))),"")</f>
        <v/>
      </c>
      <c r="V28" s="120" t="str">
        <f>IF(LEN(M28)&gt;0,TRIM(CONCATENATE("["&amp;L28&amp;"](",M28,") ",IF(LEN(N28)&gt;0,"- "&amp;N28,N28))),"")</f>
        <v/>
      </c>
      <c r="W28" s="120" t="str">
        <f>IF(LEN(P28)&gt;0,TRIM(CONCATENATE("["&amp;O28&amp;"](",P28,") ",IF(LEN(Q28)&gt;0,"- "&amp;Q28,Q28))),"")</f>
        <v/>
      </c>
      <c r="X28" s="117" t="str">
        <f>IF(LEN(U28)&gt;0,"* "&amp;U28&amp;CHAR(10),"")&amp;
IF(LEN(V28)&gt;0,"* "&amp;V28&amp;CHAR(10),"")&amp;
IF(LEN(W28)&gt;0,"* "&amp;W28&amp;CHAR(10),"")</f>
        <v/>
      </c>
      <c r="Y28" s="117" t="str">
        <f>IF(LEN(X28)&gt;0,concatl("#### More Information",X28),"")</f>
        <v/>
      </c>
      <c r="Z28" s="117" t="str">
        <f>IF(LEN(G28)&gt;1,concatll("#### Author's Note",G28,"-"&amp;B28),"")</f>
        <v/>
      </c>
      <c r="AA28" s="117" t="str">
        <f>IF(LEN(H28)&gt;1,concatll("#### Dedication",H28,"-"&amp;$B28),"")</f>
        <v/>
      </c>
      <c r="CA28" s="6" t="str">
        <f>IF(S28,concatll(concatl("---",T28,"---"),"*A collection of sites associated with this topic.*","#### Background",F28,Y28,Z28,AA28),"")</f>
        <v/>
      </c>
      <c r="CB28" s="6" t="str">
        <f>IF(S28,"tags\"&amp;C28&amp;"\_index.md","")</f>
        <v/>
      </c>
    </row>
    <row r="29" spans="1:80" ht="51" x14ac:dyDescent="0.25">
      <c r="A29" s="129" t="s">
        <v>1899</v>
      </c>
      <c r="B29" s="7" t="s">
        <v>1900</v>
      </c>
      <c r="C29" s="33" t="s">
        <v>2064</v>
      </c>
      <c r="D29" s="71" t="s">
        <v>1884</v>
      </c>
      <c r="E29" s="73" t="s">
        <v>1971</v>
      </c>
      <c r="F29" s="71" t="s">
        <v>1975</v>
      </c>
      <c r="I29" s="160"/>
      <c r="K29" s="76"/>
      <c r="L29" s="40" t="s">
        <v>53</v>
      </c>
      <c r="M29" s="1" t="s">
        <v>53</v>
      </c>
      <c r="N29" s="44" t="s">
        <v>53</v>
      </c>
      <c r="O29" s="1" t="s">
        <v>53</v>
      </c>
      <c r="P29" s="1" t="s">
        <v>53</v>
      </c>
      <c r="Q29" s="30" t="s">
        <v>53</v>
      </c>
      <c r="R29" s="121" t="s">
        <v>53</v>
      </c>
      <c r="S29" s="116" t="b">
        <f>IF(OR(A29="Done",A29="In Progress"),TRUE)</f>
        <v>0</v>
      </c>
      <c r="T29" s="117" t="str">
        <f>"title: """&amp;D29&amp;""""</f>
        <v>title: "Page Title (what will display on website)"</v>
      </c>
      <c r="U29" s="120" t="str">
        <f>IF(LEN(J29)&gt;0,TRIM(CONCATENATE("["&amp;I29&amp;"](",J29,") ",IF(LEN(K29)&gt;0,"- "&amp;K29,K29))),"")</f>
        <v/>
      </c>
      <c r="V29" s="120" t="str">
        <f>IF(LEN(M29)&gt;0,TRIM(CONCATENATE("["&amp;L29&amp;"](",M29,") ",IF(LEN(N29)&gt;0,"- "&amp;N29,N29))),"")</f>
        <v/>
      </c>
      <c r="W29" s="120" t="str">
        <f>IF(LEN(P29)&gt;0,TRIM(CONCATENATE("["&amp;O29&amp;"](",P29,") ",IF(LEN(Q29)&gt;0,"- "&amp;Q29,Q29))),"")</f>
        <v/>
      </c>
      <c r="X29" s="117" t="str">
        <f>IF(LEN(U29)&gt;0,"* "&amp;U29&amp;CHAR(10),"")&amp;
IF(LEN(V29)&gt;0,"* "&amp;V29&amp;CHAR(10),"")&amp;
IF(LEN(W29)&gt;0,"* "&amp;W29&amp;CHAR(10),"")</f>
        <v/>
      </c>
      <c r="Y29" s="117" t="str">
        <f>IF(LEN(X29)&gt;0,concatl("#### More Information",X29),"")</f>
        <v/>
      </c>
      <c r="Z29" s="117" t="str">
        <f>IF(LEN(G29)&gt;1,concatll("#### Author's Note",G29,"-"&amp;B29),"")</f>
        <v/>
      </c>
      <c r="AA29" s="117" t="str">
        <f>IF(LEN(H29)&gt;1,concatll("#### Dedication",H29,"-"&amp;$B29),"")</f>
        <v/>
      </c>
      <c r="CA29" s="6" t="str">
        <f>IF(S29,concatll(concatl("---",T29,"---"),"*A collection of sites associated with this topic.*","#### Background",F29,Y29,Z29,AA29),"")</f>
        <v/>
      </c>
      <c r="CB29" s="6" t="str">
        <f>IF(S29,"tags\"&amp;C29&amp;"\_index.md","")</f>
        <v/>
      </c>
    </row>
    <row r="30" spans="1:80" ht="51" x14ac:dyDescent="0.25">
      <c r="A30" s="129" t="s">
        <v>1899</v>
      </c>
      <c r="B30" s="7" t="s">
        <v>1900</v>
      </c>
      <c r="C30" s="73" t="s">
        <v>2065</v>
      </c>
      <c r="D30" s="71" t="s">
        <v>1884</v>
      </c>
      <c r="E30" s="33" t="s">
        <v>1971</v>
      </c>
      <c r="F30" s="71" t="s">
        <v>1975</v>
      </c>
      <c r="L30" s="40" t="s">
        <v>53</v>
      </c>
      <c r="M30" s="1" t="s">
        <v>53</v>
      </c>
      <c r="N30" s="44" t="s">
        <v>53</v>
      </c>
      <c r="O30" s="1" t="s">
        <v>53</v>
      </c>
      <c r="P30" s="1" t="s">
        <v>53</v>
      </c>
      <c r="Q30" s="30" t="s">
        <v>53</v>
      </c>
      <c r="R30" s="121" t="s">
        <v>53</v>
      </c>
      <c r="S30" s="116" t="b">
        <f>IF(OR(A30="Done",A30="In Progress"),TRUE)</f>
        <v>0</v>
      </c>
      <c r="T30" s="117" t="str">
        <f>"title: """&amp;D30&amp;""""</f>
        <v>title: "Page Title (what will display on website)"</v>
      </c>
      <c r="U30" s="120" t="str">
        <f>IF(LEN(J30)&gt;0,TRIM(CONCATENATE("["&amp;I30&amp;"](",J30,") ",IF(LEN(K30)&gt;0,"- "&amp;K30,K30))),"")</f>
        <v/>
      </c>
      <c r="V30" s="120" t="str">
        <f>IF(LEN(M30)&gt;0,TRIM(CONCATENATE("["&amp;L30&amp;"](",M30,") ",IF(LEN(N30)&gt;0,"- "&amp;N30,N30))),"")</f>
        <v/>
      </c>
      <c r="W30" s="120" t="str">
        <f>IF(LEN(P30)&gt;0,TRIM(CONCATENATE("["&amp;O30&amp;"](",P30,") ",IF(LEN(Q30)&gt;0,"- "&amp;Q30,Q30))),"")</f>
        <v/>
      </c>
      <c r="X30" s="117" t="str">
        <f>IF(LEN(U30)&gt;0,"* "&amp;U30&amp;CHAR(10),"")&amp;
IF(LEN(V30)&gt;0,"* "&amp;V30&amp;CHAR(10),"")&amp;
IF(LEN(W30)&gt;0,"* "&amp;W30&amp;CHAR(10),"")</f>
        <v/>
      </c>
      <c r="Y30" s="117" t="str">
        <f>IF(LEN(X30)&gt;0,concatl("#### More Information",X30),"")</f>
        <v/>
      </c>
      <c r="Z30" s="117" t="str">
        <f>IF(LEN(G30)&gt;1,concatll("#### Author's Note",G30,"-"&amp;B30),"")</f>
        <v/>
      </c>
      <c r="AA30" s="117" t="str">
        <f>IF(LEN(H30)&gt;1,concatll("#### Dedication",H30,"-"&amp;$B30),"")</f>
        <v/>
      </c>
      <c r="CA30" s="6" t="str">
        <f>IF(S30,concatll(concatl("---",T30,"---"),"*A collection of sites associated with this topic.*","#### Background",F30,Y30,Z30,AA30),"")</f>
        <v/>
      </c>
      <c r="CB30" s="6" t="str">
        <f>IF(S30,"tags\"&amp;C30&amp;"\_index.md","")</f>
        <v/>
      </c>
    </row>
    <row r="31" spans="1:80" ht="51" x14ac:dyDescent="0.25">
      <c r="A31" s="129" t="s">
        <v>1899</v>
      </c>
      <c r="B31" s="130" t="s">
        <v>1900</v>
      </c>
      <c r="C31" s="139" t="s">
        <v>2067</v>
      </c>
      <c r="D31" s="23" t="s">
        <v>1884</v>
      </c>
      <c r="E31" s="139" t="s">
        <v>1971</v>
      </c>
      <c r="F31" s="23" t="s">
        <v>1975</v>
      </c>
      <c r="G31" s="152"/>
      <c r="H31" s="139"/>
      <c r="L31" s="40" t="s">
        <v>53</v>
      </c>
      <c r="M31" s="1" t="s">
        <v>53</v>
      </c>
      <c r="N31" s="44" t="s">
        <v>53</v>
      </c>
      <c r="O31" s="1" t="s">
        <v>53</v>
      </c>
      <c r="P31" s="1" t="s">
        <v>53</v>
      </c>
      <c r="Q31" s="30" t="s">
        <v>53</v>
      </c>
      <c r="R31" s="121" t="s">
        <v>53</v>
      </c>
      <c r="S31" s="116" t="b">
        <f>IF(OR(A31="Done",A31="In Progress"),TRUE)</f>
        <v>0</v>
      </c>
      <c r="T31" s="117" t="str">
        <f>"title: """&amp;D31&amp;""""</f>
        <v>title: "Page Title (what will display on website)"</v>
      </c>
      <c r="U31" s="120" t="str">
        <f>IF(LEN(J31)&gt;0,TRIM(CONCATENATE("["&amp;I31&amp;"](",J31,") ",IF(LEN(K31)&gt;0,"- "&amp;K31,K31))),"")</f>
        <v/>
      </c>
      <c r="V31" s="120" t="str">
        <f>IF(LEN(M31)&gt;0,TRIM(CONCATENATE("["&amp;L31&amp;"](",M31,") ",IF(LEN(N31)&gt;0,"- "&amp;N31,N31))),"")</f>
        <v/>
      </c>
      <c r="W31" s="120" t="str">
        <f>IF(LEN(P31)&gt;0,TRIM(CONCATENATE("["&amp;O31&amp;"](",P31,") ",IF(LEN(Q31)&gt;0,"- "&amp;Q31,Q31))),"")</f>
        <v/>
      </c>
      <c r="X31" s="120" t="str">
        <f>IF(LEN(U31)&gt;0,"* "&amp;U31&amp;CHAR(10),"")&amp;
IF(LEN(V31)&gt;0,"* "&amp;V31&amp;CHAR(10),"")&amp;
IF(LEN(W31)&gt;0,"* "&amp;W31&amp;CHAR(10),"")</f>
        <v/>
      </c>
      <c r="Y31" s="117" t="str">
        <f>IF(LEN(X31)&gt;0,concatl("#### More Information",X31),"")</f>
        <v/>
      </c>
      <c r="Z31" s="117" t="str">
        <f>IF(LEN(G31)&gt;1,concatll("#### Author's Note",G31,"-"&amp;B31),"")</f>
        <v/>
      </c>
      <c r="AA31" s="117" t="str">
        <f>IF(LEN(H31)&gt;1,concatll("#### Dedication",H31,"-"&amp;$B31),"")</f>
        <v/>
      </c>
      <c r="CA31" s="6" t="str">
        <f>IF(S31,concatll(concatl("---",T31,"---"),"*A collection of sites associated with this topic.*","#### Background",F31,Y31,Z31,AA31),"")</f>
        <v/>
      </c>
      <c r="CB31" s="6" t="str">
        <f>IF(S31,"tags\"&amp;C31&amp;"\_index.md","")</f>
        <v/>
      </c>
    </row>
    <row r="32" spans="1:80" ht="51" x14ac:dyDescent="0.25">
      <c r="A32" s="129" t="s">
        <v>1899</v>
      </c>
      <c r="B32" s="130" t="s">
        <v>1900</v>
      </c>
      <c r="C32" s="139" t="s">
        <v>2068</v>
      </c>
      <c r="D32" s="7" t="s">
        <v>1884</v>
      </c>
      <c r="E32" s="33" t="s">
        <v>1971</v>
      </c>
      <c r="F32" s="84" t="s">
        <v>1975</v>
      </c>
      <c r="L32" s="40" t="s">
        <v>53</v>
      </c>
      <c r="M32" s="1" t="s">
        <v>53</v>
      </c>
      <c r="N32" s="44" t="s">
        <v>53</v>
      </c>
      <c r="O32" s="1" t="s">
        <v>53</v>
      </c>
      <c r="P32" s="1" t="s">
        <v>53</v>
      </c>
      <c r="Q32" s="30" t="s">
        <v>53</v>
      </c>
      <c r="R32" s="121" t="s">
        <v>53</v>
      </c>
      <c r="S32" s="116" t="b">
        <f>IF(OR(A32="Done",A32="In Progress"),TRUE)</f>
        <v>0</v>
      </c>
      <c r="T32" s="117" t="str">
        <f>"title: """&amp;D32&amp;""""</f>
        <v>title: "Page Title (what will display on website)"</v>
      </c>
      <c r="U32" s="120" t="str">
        <f>IF(LEN(J32)&gt;0,TRIM(CONCATENATE("["&amp;I32&amp;"](",J32,") ",IF(LEN(K32)&gt;0,"- "&amp;K32,K32))),"")</f>
        <v/>
      </c>
      <c r="V32" s="120" t="str">
        <f>IF(LEN(M32)&gt;0,TRIM(CONCATENATE("["&amp;L32&amp;"](",M32,") ",IF(LEN(N32)&gt;0,"- "&amp;N32,N32))),"")</f>
        <v/>
      </c>
      <c r="W32" s="120" t="str">
        <f>IF(LEN(P32)&gt;0,TRIM(CONCATENATE("["&amp;O32&amp;"](",P32,") ",IF(LEN(Q32)&gt;0,"- "&amp;Q32,Q32))),"")</f>
        <v/>
      </c>
      <c r="X32" s="117" t="str">
        <f>IF(LEN(U32)&gt;0,"* "&amp;U32&amp;CHAR(10),"")&amp;
IF(LEN(V32)&gt;0,"* "&amp;V32&amp;CHAR(10),"")&amp;
IF(LEN(W32)&gt;0,"* "&amp;W32&amp;CHAR(10),"")</f>
        <v/>
      </c>
      <c r="Y32" s="117" t="str">
        <f>IF(LEN(X32)&gt;0,concatl("#### More Information",X32),"")</f>
        <v/>
      </c>
      <c r="Z32" s="117" t="str">
        <f>IF(LEN(G32)&gt;1,concatll("#### Author's Note",G32,"-"&amp;B32),"")</f>
        <v/>
      </c>
      <c r="AA32" s="117" t="str">
        <f>IF(LEN(H32)&gt;1,concatll("#### Dedication",H32,"-"&amp;$B32),"")</f>
        <v/>
      </c>
      <c r="CA32" s="6" t="str">
        <f>IF(S32,concatll(concatl("---",T32,"---"),"*A collection of sites associated with this topic.*","#### Background",F32,Y32,Z32,AA32),"")</f>
        <v/>
      </c>
      <c r="CB32" s="6" t="str">
        <f>IF(S32,"tags\"&amp;C32&amp;"\_index.md","")</f>
        <v/>
      </c>
    </row>
    <row r="33" spans="1:80" ht="51" x14ac:dyDescent="0.25">
      <c r="A33" s="129" t="s">
        <v>1899</v>
      </c>
      <c r="B33" s="130" t="s">
        <v>1900</v>
      </c>
      <c r="C33" s="139" t="s">
        <v>2069</v>
      </c>
      <c r="D33" s="130" t="s">
        <v>1884</v>
      </c>
      <c r="E33" s="37" t="s">
        <v>1971</v>
      </c>
      <c r="F33" s="130" t="s">
        <v>1975</v>
      </c>
      <c r="I33" s="161"/>
      <c r="J33" s="135"/>
      <c r="K33" s="136"/>
      <c r="L33" s="134" t="s">
        <v>53</v>
      </c>
      <c r="M33" s="135" t="s">
        <v>53</v>
      </c>
      <c r="N33" s="136" t="s">
        <v>53</v>
      </c>
      <c r="O33" s="135" t="s">
        <v>53</v>
      </c>
      <c r="P33" s="135" t="s">
        <v>53</v>
      </c>
      <c r="Q33" s="137" t="s">
        <v>53</v>
      </c>
      <c r="R33" s="121" t="s">
        <v>53</v>
      </c>
      <c r="S33" s="116" t="b">
        <f>IF(OR(A33="Done",A33="In Progress"),TRUE)</f>
        <v>0</v>
      </c>
      <c r="T33" s="117" t="str">
        <f>"title: """&amp;D33&amp;""""</f>
        <v>title: "Page Title (what will display on website)"</v>
      </c>
      <c r="U33" s="120" t="str">
        <f>IF(LEN(J33)&gt;0,TRIM(CONCATENATE("["&amp;I33&amp;"](",J33,") ",IF(LEN(K33)&gt;0,"- "&amp;K33,K33))),"")</f>
        <v/>
      </c>
      <c r="V33" s="120" t="str">
        <f>IF(LEN(M33)&gt;0,TRIM(CONCATENATE("["&amp;L33&amp;"](",M33,") ",IF(LEN(N33)&gt;0,"- "&amp;N33,N33))),"")</f>
        <v/>
      </c>
      <c r="W33" s="120" t="str">
        <f>IF(LEN(P33)&gt;0,TRIM(CONCATENATE("["&amp;O33&amp;"](",P33,") ",IF(LEN(Q33)&gt;0,"- "&amp;Q33,Q33))),"")</f>
        <v/>
      </c>
      <c r="X33" s="120" t="str">
        <f>IF(LEN(U33)&gt;0,"* "&amp;U33&amp;CHAR(10),"")&amp;
IF(LEN(V33)&gt;0,"* "&amp;V33&amp;CHAR(10),"")&amp;
IF(LEN(W33)&gt;0,"* "&amp;W33&amp;CHAR(10),"")</f>
        <v/>
      </c>
      <c r="Y33" s="117" t="str">
        <f>IF(LEN(X33)&gt;0,concatl("#### More Information",X33),"")</f>
        <v/>
      </c>
      <c r="Z33" s="117" t="str">
        <f>IF(LEN(G33)&gt;1,concatll("#### Author's Note",G33,"-"&amp;B33),"")</f>
        <v/>
      </c>
      <c r="AA33" s="117" t="str">
        <f>IF(LEN(H33)&gt;1,concatll("#### Dedication",H33,"-"&amp;$B33),"")</f>
        <v/>
      </c>
      <c r="CA33" s="6" t="str">
        <f>IF(S33,concatll(concatl("---",T33,"---"),"*A collection of sites associated with this topic.*","#### Background",F33,Y33,Z33,AA33),"")</f>
        <v/>
      </c>
      <c r="CB33" s="6" t="str">
        <f>IF(S33,"tags\"&amp;C33&amp;"\_index.md","")</f>
        <v/>
      </c>
    </row>
    <row r="34" spans="1:80" ht="51" x14ac:dyDescent="0.25">
      <c r="A34" s="129" t="s">
        <v>1899</v>
      </c>
      <c r="B34" s="130" t="s">
        <v>1900</v>
      </c>
      <c r="C34" s="33" t="s">
        <v>2070</v>
      </c>
      <c r="D34" s="7" t="s">
        <v>1884</v>
      </c>
      <c r="E34" s="33" t="s">
        <v>1971</v>
      </c>
      <c r="F34" s="130" t="s">
        <v>1975</v>
      </c>
      <c r="G34" s="152"/>
      <c r="H34" s="139"/>
      <c r="I34" s="159"/>
      <c r="L34" s="40" t="s">
        <v>53</v>
      </c>
      <c r="M34" s="1" t="s">
        <v>53</v>
      </c>
      <c r="N34" s="44" t="s">
        <v>53</v>
      </c>
      <c r="O34" s="1" t="s">
        <v>53</v>
      </c>
      <c r="P34" s="1" t="s">
        <v>53</v>
      </c>
      <c r="Q34" s="30" t="s">
        <v>53</v>
      </c>
      <c r="R34" s="121" t="s">
        <v>53</v>
      </c>
      <c r="S34" s="116" t="b">
        <f>IF(OR(A34="Done",A34="In Progress"),TRUE)</f>
        <v>0</v>
      </c>
      <c r="T34" s="117" t="str">
        <f>"title: """&amp;D34&amp;""""</f>
        <v>title: "Page Title (what will display on website)"</v>
      </c>
      <c r="U34" s="120" t="str">
        <f>IF(LEN(J34)&gt;0,TRIM(CONCATENATE("["&amp;I34&amp;"](",J34,") ",IF(LEN(K34)&gt;0,"- "&amp;K34,K34))),"")</f>
        <v/>
      </c>
      <c r="V34" s="120" t="str">
        <f>IF(LEN(M34)&gt;0,TRIM(CONCATENATE("["&amp;L34&amp;"](",M34,") ",IF(LEN(N34)&gt;0,"- "&amp;N34,N34))),"")</f>
        <v/>
      </c>
      <c r="W34" s="120" t="str">
        <f>IF(LEN(P34)&gt;0,TRIM(CONCATENATE("["&amp;O34&amp;"](",P34,") ",IF(LEN(Q34)&gt;0,"- "&amp;Q34,Q34))),"")</f>
        <v/>
      </c>
      <c r="X34" s="120" t="str">
        <f>IF(LEN(U34)&gt;0,"* "&amp;U34&amp;CHAR(10),"")&amp;
IF(LEN(V34)&gt;0,"* "&amp;V34&amp;CHAR(10),"")&amp;
IF(LEN(W34)&gt;0,"* "&amp;W34&amp;CHAR(10),"")</f>
        <v/>
      </c>
      <c r="Y34" s="117" t="str">
        <f>IF(LEN(X34)&gt;0,concatl("#### More Information",X34),"")</f>
        <v/>
      </c>
      <c r="Z34" s="117" t="str">
        <f>IF(LEN(G34)&gt;1,concatll("#### Author's Note",G34,"-"&amp;B34),"")</f>
        <v/>
      </c>
      <c r="AA34" s="117" t="str">
        <f>IF(LEN(H34)&gt;1,concatll("#### Dedication",H34,"-"&amp;$B34),"")</f>
        <v/>
      </c>
      <c r="CA34" s="6" t="str">
        <f>IF(S34,concatll(concatl("---",T34,"---"),"*A collection of sites associated with this topic.*","#### Background",F34,Y34,Z34,AA34),"")</f>
        <v/>
      </c>
      <c r="CB34" s="6" t="str">
        <f>IF(S34,"tags\"&amp;C34&amp;"\_index.md","")</f>
        <v/>
      </c>
    </row>
    <row r="35" spans="1:80" ht="51" x14ac:dyDescent="0.25">
      <c r="A35" s="129" t="s">
        <v>1899</v>
      </c>
      <c r="B35" s="130" t="s">
        <v>1900</v>
      </c>
      <c r="C35" s="33" t="s">
        <v>2071</v>
      </c>
      <c r="D35" s="7" t="s">
        <v>1884</v>
      </c>
      <c r="E35" s="33" t="s">
        <v>1971</v>
      </c>
      <c r="F35" s="130" t="s">
        <v>1975</v>
      </c>
      <c r="G35" s="152"/>
      <c r="H35" s="139"/>
      <c r="L35" s="40" t="s">
        <v>53</v>
      </c>
      <c r="M35" s="1" t="s">
        <v>53</v>
      </c>
      <c r="N35" s="44" t="s">
        <v>53</v>
      </c>
      <c r="O35" s="1" t="s">
        <v>53</v>
      </c>
      <c r="P35" s="1" t="s">
        <v>53</v>
      </c>
      <c r="Q35" s="30" t="s">
        <v>53</v>
      </c>
      <c r="R35" s="121" t="s">
        <v>53</v>
      </c>
      <c r="S35" s="116" t="b">
        <f>IF(OR(A35="Done",A35="In Progress"),TRUE)</f>
        <v>0</v>
      </c>
      <c r="T35" s="117" t="str">
        <f>"title: """&amp;D35&amp;""""</f>
        <v>title: "Page Title (what will display on website)"</v>
      </c>
      <c r="U35" s="120" t="str">
        <f>IF(LEN(J35)&gt;0,TRIM(CONCATENATE("["&amp;I35&amp;"](",J35,") ",IF(LEN(K35)&gt;0,"- "&amp;K35,K35))),"")</f>
        <v/>
      </c>
      <c r="V35" s="120" t="str">
        <f>IF(LEN(M35)&gt;0,TRIM(CONCATENATE("["&amp;L35&amp;"](",M35,") ",IF(LEN(N35)&gt;0,"- "&amp;N35,N35))),"")</f>
        <v/>
      </c>
      <c r="W35" s="120" t="str">
        <f>IF(LEN(P35)&gt;0,TRIM(CONCATENATE("["&amp;O35&amp;"](",P35,") ",IF(LEN(Q35)&gt;0,"- "&amp;Q35,Q35))),"")</f>
        <v/>
      </c>
      <c r="X35" s="120" t="str">
        <f>IF(LEN(U35)&gt;0,"* "&amp;U35&amp;CHAR(10),"")&amp;
IF(LEN(V35)&gt;0,"* "&amp;V35&amp;CHAR(10),"")&amp;
IF(LEN(W35)&gt;0,"* "&amp;W35&amp;CHAR(10),"")</f>
        <v/>
      </c>
      <c r="Y35" s="117" t="str">
        <f>IF(LEN(X35)&gt;0,concatl("#### More Information",X35),"")</f>
        <v/>
      </c>
      <c r="Z35" s="117" t="str">
        <f>IF(LEN(G35)&gt;1,concatll("#### Author's Note",G35,"-"&amp;B35),"")</f>
        <v/>
      </c>
      <c r="AA35" s="117" t="str">
        <f>IF(LEN(H35)&gt;1,concatll("#### Dedication",H35,"-"&amp;$B35),"")</f>
        <v/>
      </c>
      <c r="CA35" s="6" t="str">
        <f>IF(S35,concatll(concatl("---",T35,"---"),"*A collection of sites associated with this topic.*","#### Background",F35,Y35,Z35,AA35),"")</f>
        <v/>
      </c>
      <c r="CB35" s="6" t="str">
        <f>IF(S35,"tags\"&amp;C35&amp;"\_index.md","")</f>
        <v/>
      </c>
    </row>
    <row r="36" spans="1:80" ht="51" x14ac:dyDescent="0.25">
      <c r="A36" s="129" t="s">
        <v>1899</v>
      </c>
      <c r="B36" s="7" t="s">
        <v>1900</v>
      </c>
      <c r="C36" s="33" t="s">
        <v>2072</v>
      </c>
      <c r="D36" s="7" t="s">
        <v>1884</v>
      </c>
      <c r="E36" s="33" t="s">
        <v>1971</v>
      </c>
      <c r="F36" s="7" t="s">
        <v>1975</v>
      </c>
      <c r="G36" s="152"/>
      <c r="H36" s="139"/>
      <c r="L36" s="40" t="s">
        <v>53</v>
      </c>
      <c r="M36" s="1" t="s">
        <v>53</v>
      </c>
      <c r="N36" s="44" t="s">
        <v>53</v>
      </c>
      <c r="O36" s="1" t="s">
        <v>53</v>
      </c>
      <c r="P36" s="1" t="s">
        <v>53</v>
      </c>
      <c r="Q36" s="30" t="s">
        <v>53</v>
      </c>
      <c r="R36" s="121" t="s">
        <v>53</v>
      </c>
      <c r="S36" s="116" t="b">
        <f>IF(OR(A36="Done",A36="In Progress"),TRUE)</f>
        <v>0</v>
      </c>
      <c r="T36" s="117" t="str">
        <f>"title: """&amp;D36&amp;""""</f>
        <v>title: "Page Title (what will display on website)"</v>
      </c>
      <c r="U36" s="120" t="str">
        <f>IF(LEN(J36)&gt;0,TRIM(CONCATENATE("["&amp;I36&amp;"](",J36,") ",IF(LEN(K36)&gt;0,"- "&amp;K36,K36))),"")</f>
        <v/>
      </c>
      <c r="V36" s="120" t="str">
        <f>IF(LEN(M36)&gt;0,TRIM(CONCATENATE("["&amp;L36&amp;"](",M36,") ",IF(LEN(N36)&gt;0,"- "&amp;N36,N36))),"")</f>
        <v/>
      </c>
      <c r="W36" s="120" t="str">
        <f>IF(LEN(P36)&gt;0,TRIM(CONCATENATE("["&amp;O36&amp;"](",P36,") ",IF(LEN(Q36)&gt;0,"- "&amp;Q36,Q36))),"")</f>
        <v/>
      </c>
      <c r="X36" s="120" t="str">
        <f>IF(LEN(U36)&gt;0,"* "&amp;U36&amp;CHAR(10),"")&amp;
IF(LEN(V36)&gt;0,"* "&amp;V36&amp;CHAR(10),"")&amp;
IF(LEN(W36)&gt;0,"* "&amp;W36&amp;CHAR(10),"")</f>
        <v/>
      </c>
      <c r="Y36" s="117" t="str">
        <f>IF(LEN(X36)&gt;0,concatl("#### More Information",X36),"")</f>
        <v/>
      </c>
      <c r="Z36" s="117" t="str">
        <f>IF(LEN(G36)&gt;1,concatll("#### Author's Note",G36,"-"&amp;B36),"")</f>
        <v/>
      </c>
      <c r="AA36" s="117" t="str">
        <f>IF(LEN(H36)&gt;1,concatll("#### Dedication",H36,"-"&amp;$B36),"")</f>
        <v/>
      </c>
      <c r="CA36" s="6" t="str">
        <f>IF(S36,concatll(concatl("---",T36,"---"),"*A collection of sites associated with this topic.*","#### Background",F36,Y36,Z36,AA36),"")</f>
        <v/>
      </c>
      <c r="CB36" s="6" t="str">
        <f>IF(S36,"tags\"&amp;C36&amp;"\_index.md","")</f>
        <v/>
      </c>
    </row>
    <row r="37" spans="1:80" ht="51" x14ac:dyDescent="0.25">
      <c r="A37" s="129" t="s">
        <v>1899</v>
      </c>
      <c r="B37" s="10" t="s">
        <v>1900</v>
      </c>
      <c r="C37" s="38" t="s">
        <v>2073</v>
      </c>
      <c r="D37" s="7" t="s">
        <v>1884</v>
      </c>
      <c r="E37" s="33" t="s">
        <v>1971</v>
      </c>
      <c r="F37" s="26" t="s">
        <v>1975</v>
      </c>
      <c r="G37" s="152"/>
      <c r="H37" s="139"/>
      <c r="L37" s="40" t="s">
        <v>53</v>
      </c>
      <c r="M37" s="1" t="s">
        <v>53</v>
      </c>
      <c r="N37" s="44" t="s">
        <v>53</v>
      </c>
      <c r="O37" s="1" t="s">
        <v>53</v>
      </c>
      <c r="P37" s="1" t="s">
        <v>53</v>
      </c>
      <c r="Q37" s="30" t="s">
        <v>53</v>
      </c>
      <c r="R37" s="121" t="s">
        <v>53</v>
      </c>
      <c r="S37" s="116" t="b">
        <f>IF(OR(A37="Done",A37="In Progress"),TRUE)</f>
        <v>0</v>
      </c>
      <c r="T37" s="117" t="str">
        <f>"title: """&amp;D37&amp;""""</f>
        <v>title: "Page Title (what will display on website)"</v>
      </c>
      <c r="U37" s="120" t="str">
        <f>IF(LEN(J37)&gt;0,TRIM(CONCATENATE("["&amp;I37&amp;"](",J37,") ",IF(LEN(K37)&gt;0,"- "&amp;K37,K37))),"")</f>
        <v/>
      </c>
      <c r="V37" s="120" t="str">
        <f>IF(LEN(M37)&gt;0,TRIM(CONCATENATE("["&amp;L37&amp;"](",M37,") ",IF(LEN(N37)&gt;0,"- "&amp;N37,N37))),"")</f>
        <v/>
      </c>
      <c r="W37" s="120" t="str">
        <f>IF(LEN(P37)&gt;0,TRIM(CONCATENATE("["&amp;O37&amp;"](",P37,") ",IF(LEN(Q37)&gt;0,"- "&amp;Q37,Q37))),"")</f>
        <v/>
      </c>
      <c r="X37" s="120" t="str">
        <f>IF(LEN(U37)&gt;0,"* "&amp;U37&amp;CHAR(10),"")&amp;
IF(LEN(V37)&gt;0,"* "&amp;V37&amp;CHAR(10),"")&amp;
IF(LEN(W37)&gt;0,"* "&amp;W37&amp;CHAR(10),"")</f>
        <v/>
      </c>
      <c r="Y37" s="117" t="str">
        <f>IF(LEN(X37)&gt;0,concatl("#### More Information",X37),"")</f>
        <v/>
      </c>
      <c r="Z37" s="117" t="str">
        <f>IF(LEN(G37)&gt;1,concatll("#### Author's Note",G37,"-"&amp;B37),"")</f>
        <v/>
      </c>
      <c r="AA37" s="117" t="str">
        <f>IF(LEN(H37)&gt;1,concatll("#### Dedication",H37,"-"&amp;$B37),"")</f>
        <v/>
      </c>
      <c r="CA37" s="6" t="str">
        <f>IF(S37,concatll(concatl("---",T37,"---"),"*A collection of sites associated with this topic.*","#### Background",F37,Y37,Z37,AA37),"")</f>
        <v/>
      </c>
      <c r="CB37" s="6" t="str">
        <f>IF(S37,"tags\"&amp;C37&amp;"\_index.md","")</f>
        <v/>
      </c>
    </row>
    <row r="38" spans="1:80" ht="51" x14ac:dyDescent="0.25">
      <c r="A38" s="129" t="s">
        <v>1899</v>
      </c>
      <c r="B38" s="7" t="s">
        <v>1900</v>
      </c>
      <c r="C38" s="33" t="s">
        <v>2074</v>
      </c>
      <c r="D38" s="7" t="s">
        <v>1884</v>
      </c>
      <c r="E38" s="33" t="s">
        <v>1971</v>
      </c>
      <c r="F38" s="7" t="s">
        <v>1975</v>
      </c>
      <c r="L38" s="40" t="s">
        <v>53</v>
      </c>
      <c r="M38" s="1" t="s">
        <v>53</v>
      </c>
      <c r="N38" s="44" t="s">
        <v>53</v>
      </c>
      <c r="O38" s="1" t="s">
        <v>53</v>
      </c>
      <c r="P38" s="1" t="s">
        <v>53</v>
      </c>
      <c r="Q38" s="30" t="s">
        <v>53</v>
      </c>
      <c r="R38" s="121" t="s">
        <v>53</v>
      </c>
      <c r="S38" s="116" t="b">
        <f>IF(OR(A38="Done",A38="In Progress"),TRUE)</f>
        <v>0</v>
      </c>
      <c r="T38" s="117" t="str">
        <f>"title: """&amp;D38&amp;""""</f>
        <v>title: "Page Title (what will display on website)"</v>
      </c>
      <c r="U38" s="120" t="str">
        <f>IF(LEN(J38)&gt;0,TRIM(CONCATENATE("["&amp;I38&amp;"](",J38,") ",IF(LEN(K38)&gt;0,"- "&amp;K38,K38))),"")</f>
        <v/>
      </c>
      <c r="V38" s="120" t="str">
        <f>IF(LEN(M38)&gt;0,TRIM(CONCATENATE("["&amp;L38&amp;"](",M38,") ",IF(LEN(N38)&gt;0,"- "&amp;N38,N38))),"")</f>
        <v/>
      </c>
      <c r="W38" s="120" t="str">
        <f>IF(LEN(P38)&gt;0,TRIM(CONCATENATE("["&amp;O38&amp;"](",P38,") ",IF(LEN(Q38)&gt;0,"- "&amp;Q38,Q38))),"")</f>
        <v/>
      </c>
      <c r="X38" s="120" t="str">
        <f>IF(LEN(U38)&gt;0,"* "&amp;U38&amp;CHAR(10),"")&amp;
IF(LEN(V38)&gt;0,"* "&amp;V38&amp;CHAR(10),"")&amp;
IF(LEN(W38)&gt;0,"* "&amp;W38&amp;CHAR(10),"")</f>
        <v/>
      </c>
      <c r="Y38" s="117" t="str">
        <f>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IF(S38,"tags\"&amp;C38&amp;"\_index.md","")</f>
        <v/>
      </c>
    </row>
    <row r="39" spans="1:80" ht="51" x14ac:dyDescent="0.25">
      <c r="A39" s="129" t="s">
        <v>1899</v>
      </c>
      <c r="B39" s="7" t="s">
        <v>1900</v>
      </c>
      <c r="C39" s="33" t="s">
        <v>2075</v>
      </c>
      <c r="D39" s="7" t="s">
        <v>1884</v>
      </c>
      <c r="E39" s="33" t="s">
        <v>1971</v>
      </c>
      <c r="F39" s="7" t="s">
        <v>1975</v>
      </c>
      <c r="L39" s="40" t="s">
        <v>53</v>
      </c>
      <c r="M39" s="1" t="s">
        <v>53</v>
      </c>
      <c r="N39" s="44" t="s">
        <v>53</v>
      </c>
      <c r="O39" s="1" t="s">
        <v>53</v>
      </c>
      <c r="P39" s="1" t="s">
        <v>53</v>
      </c>
      <c r="Q39" s="30" t="s">
        <v>53</v>
      </c>
      <c r="R39" s="121" t="s">
        <v>53</v>
      </c>
      <c r="S39" s="116" t="b">
        <f>IF(OR(A39="Done",A39="In Progress"),TRUE)</f>
        <v>0</v>
      </c>
      <c r="T39" s="117" t="str">
        <f>"title: """&amp;D39&amp;""""</f>
        <v>title: "Page Title (what will display on website)"</v>
      </c>
      <c r="U39" s="120" t="str">
        <f>IF(LEN(J39)&gt;0,TRIM(CONCATENATE("["&amp;I39&amp;"](",J39,") ",IF(LEN(K39)&gt;0,"- "&amp;K39,K39))),"")</f>
        <v/>
      </c>
      <c r="V39" s="120" t="str">
        <f>IF(LEN(M39)&gt;0,TRIM(CONCATENATE("["&amp;L39&amp;"](",M39,") ",IF(LEN(N39)&gt;0,"- "&amp;N39,N39))),"")</f>
        <v/>
      </c>
      <c r="W39" s="120" t="str">
        <f>IF(LEN(P39)&gt;0,TRIM(CONCATENATE("["&amp;O39&amp;"](",P39,") ",IF(LEN(Q39)&gt;0,"- "&amp;Q39,Q39))),"")</f>
        <v/>
      </c>
      <c r="X39" s="120" t="str">
        <f>IF(LEN(U39)&gt;0,"* "&amp;U39&amp;CHAR(10),"")&amp;
IF(LEN(V39)&gt;0,"* "&amp;V39&amp;CHAR(10),"")&amp;
IF(LEN(W39)&gt;0,"* "&amp;W39&amp;CHAR(10),"")</f>
        <v/>
      </c>
      <c r="Y39" s="117" t="str">
        <f>IF(LEN(X39)&gt;0,concatl("#### More Information",X39),"")</f>
        <v/>
      </c>
      <c r="Z39" s="117" t="str">
        <f>IF(LEN(G39)&gt;1,concatll("#### Author's Note",G39,"-"&amp;B39),"")</f>
        <v/>
      </c>
      <c r="AA39" s="117" t="str">
        <f>IF(LEN(H39)&gt;1,concatll("#### Dedication",H39,"-"&amp;$B39),"")</f>
        <v/>
      </c>
      <c r="CA39" s="6" t="str">
        <f>IF(S39,concatll(concatl("---",T39,"---"),"*A collection of sites associated with this topic.*","#### Background",F39,Y39,Z39,AA39),"")</f>
        <v/>
      </c>
      <c r="CB39" s="6" t="str">
        <f>IF(S39,"tags\"&amp;C39&amp;"\_index.md","")</f>
        <v/>
      </c>
    </row>
    <row r="40" spans="1:80" ht="51" x14ac:dyDescent="0.25">
      <c r="A40" s="129" t="s">
        <v>1899</v>
      </c>
      <c r="B40" s="7" t="s">
        <v>1900</v>
      </c>
      <c r="C40" s="33" t="s">
        <v>2076</v>
      </c>
      <c r="D40" s="7" t="s">
        <v>1884</v>
      </c>
      <c r="E40" s="33" t="s">
        <v>1971</v>
      </c>
      <c r="F40" s="7" t="s">
        <v>1975</v>
      </c>
      <c r="L40" s="40" t="s">
        <v>53</v>
      </c>
      <c r="M40" s="1" t="s">
        <v>53</v>
      </c>
      <c r="N40" s="44" t="s">
        <v>53</v>
      </c>
      <c r="O40" s="1" t="s">
        <v>53</v>
      </c>
      <c r="P40" s="1" t="s">
        <v>53</v>
      </c>
      <c r="Q40" s="30" t="s">
        <v>53</v>
      </c>
      <c r="R40" s="121" t="s">
        <v>53</v>
      </c>
      <c r="S40" s="116" t="b">
        <f>IF(OR(A40="Done",A40="In Progress"),TRUE)</f>
        <v>0</v>
      </c>
      <c r="T40" s="117" t="str">
        <f>"title: """&amp;D40&amp;""""</f>
        <v>title: "Page Title (what will display on website)"</v>
      </c>
      <c r="U40" s="120" t="str">
        <f>IF(LEN(J40)&gt;0,TRIM(CONCATENATE("["&amp;I40&amp;"](",J40,") ",IF(LEN(K40)&gt;0,"- "&amp;K40,K40))),"")</f>
        <v/>
      </c>
      <c r="V40" s="120" t="str">
        <f>IF(LEN(M40)&gt;0,TRIM(CONCATENATE("["&amp;L40&amp;"](",M40,") ",IF(LEN(N40)&gt;0,"- "&amp;N40,N40))),"")</f>
        <v/>
      </c>
      <c r="W40" s="120" t="str">
        <f>IF(LEN(P40)&gt;0,TRIM(CONCATENATE("["&amp;O40&amp;"](",P40,") ",IF(LEN(Q40)&gt;0,"- "&amp;Q40,Q40))),"")</f>
        <v/>
      </c>
      <c r="X40" s="120" t="str">
        <f>IF(LEN(U40)&gt;0,"* "&amp;U40&amp;CHAR(10),"")&amp;
IF(LEN(V40)&gt;0,"* "&amp;V40&amp;CHAR(10),"")&amp;
IF(LEN(W40)&gt;0,"* "&amp;W40&amp;CHAR(10),"")</f>
        <v/>
      </c>
      <c r="Y40" s="117" t="str">
        <f>IF(LEN(X40)&gt;0,concatl("#### More Information",X40),"")</f>
        <v/>
      </c>
      <c r="Z40" s="117" t="str">
        <f>IF(LEN(G40)&gt;1,concatll("#### Author's Note",G40,"-"&amp;B40),"")</f>
        <v/>
      </c>
      <c r="AA40" s="117" t="str">
        <f>IF(LEN(H40)&gt;1,concatll("#### Dedication",H40,"-"&amp;$B40),"")</f>
        <v/>
      </c>
      <c r="CA40" s="6" t="str">
        <f>IF(S40,concatll(concatl("---",T40,"---"),"*A collection of sites associated with this topic.*","#### Background",F40,Y40,Z40,AA40),"")</f>
        <v/>
      </c>
      <c r="CB40" s="6" t="str">
        <f>IF(S40,"tags\"&amp;C40&amp;"\_index.md","")</f>
        <v/>
      </c>
    </row>
    <row r="41" spans="1:80" ht="51" x14ac:dyDescent="0.25">
      <c r="A41" s="129" t="s">
        <v>1899</v>
      </c>
      <c r="B41" s="130" t="s">
        <v>1900</v>
      </c>
      <c r="C41" s="61" t="s">
        <v>2077</v>
      </c>
      <c r="D41" s="7" t="s">
        <v>1884</v>
      </c>
      <c r="E41" s="61" t="s">
        <v>1971</v>
      </c>
      <c r="F41" s="55" t="s">
        <v>1975</v>
      </c>
      <c r="G41" s="152"/>
      <c r="H41" s="139"/>
      <c r="L41" s="40" t="s">
        <v>53</v>
      </c>
      <c r="M41" s="1" t="s">
        <v>53</v>
      </c>
      <c r="N41" s="44" t="s">
        <v>53</v>
      </c>
      <c r="O41" s="1" t="s">
        <v>53</v>
      </c>
      <c r="P41" s="1" t="s">
        <v>53</v>
      </c>
      <c r="Q41" s="30" t="s">
        <v>53</v>
      </c>
      <c r="R41" s="121" t="s">
        <v>53</v>
      </c>
      <c r="S41" s="116" t="b">
        <f>IF(OR(A41="Done",A41="In Progress"),TRUE)</f>
        <v>0</v>
      </c>
      <c r="T41" s="117" t="str">
        <f>"title: """&amp;D41&amp;""""</f>
        <v>title: "Page Title (what will display on website)"</v>
      </c>
      <c r="U41" s="120" t="str">
        <f>IF(LEN(J41)&gt;0,TRIM(CONCATENATE("["&amp;I41&amp;"](",J41,") ",IF(LEN(K41)&gt;0,"- "&amp;K41,K41))),"")</f>
        <v/>
      </c>
      <c r="V41" s="120" t="str">
        <f>IF(LEN(M41)&gt;0,TRIM(CONCATENATE("["&amp;L41&amp;"](",M41,") ",IF(LEN(N41)&gt;0,"- "&amp;N41,N41))),"")</f>
        <v/>
      </c>
      <c r="W41" s="120" t="str">
        <f>IF(LEN(P41)&gt;0,TRIM(CONCATENATE("["&amp;O41&amp;"](",P41,") ",IF(LEN(Q41)&gt;0,"- "&amp;Q41,Q41))),"")</f>
        <v/>
      </c>
      <c r="X41" s="120" t="str">
        <f>IF(LEN(U41)&gt;0,"* "&amp;U41&amp;CHAR(10),"")&amp;
IF(LEN(V41)&gt;0,"* "&amp;V41&amp;CHAR(10),"")&amp;
IF(LEN(W41)&gt;0,"* "&amp;W41&amp;CHAR(10),"")</f>
        <v/>
      </c>
      <c r="Y41" s="117" t="str">
        <f>IF(LEN(X41)&gt;0,concatl("#### More Information",X41),"")</f>
        <v/>
      </c>
      <c r="Z41" s="117" t="str">
        <f>IF(LEN(G41)&gt;1,concatll("#### Author's Note",G41,"-"&amp;B41),"")</f>
        <v/>
      </c>
      <c r="AA41" s="117" t="str">
        <f>IF(LEN(H41)&gt;1,concatll("#### Dedication",H41,"-"&amp;$B41),"")</f>
        <v/>
      </c>
      <c r="CA41" s="6" t="str">
        <f>IF(S41,concatll(concatl("---",T41,"---"),"*A collection of sites associated with this topic.*","#### Background",F41,Y41,Z41,AA41),"")</f>
        <v/>
      </c>
      <c r="CB41" s="6" t="str">
        <f>IF(S41,"tags\"&amp;C41&amp;"\_index.md","")</f>
        <v/>
      </c>
    </row>
    <row r="42" spans="1:80" ht="51" x14ac:dyDescent="0.25">
      <c r="A42" s="129" t="s">
        <v>1899</v>
      </c>
      <c r="B42" s="130" t="s">
        <v>1900</v>
      </c>
      <c r="C42" s="33" t="s">
        <v>2078</v>
      </c>
      <c r="D42" s="55" t="s">
        <v>1884</v>
      </c>
      <c r="E42" s="61" t="s">
        <v>1971</v>
      </c>
      <c r="F42" s="55" t="s">
        <v>1975</v>
      </c>
      <c r="L42" s="40" t="s">
        <v>53</v>
      </c>
      <c r="M42" s="1" t="s">
        <v>53</v>
      </c>
      <c r="N42" s="44" t="s">
        <v>53</v>
      </c>
      <c r="O42" s="1" t="s">
        <v>53</v>
      </c>
      <c r="P42" s="1" t="s">
        <v>53</v>
      </c>
      <c r="Q42" s="30" t="s">
        <v>53</v>
      </c>
      <c r="R42" s="121" t="s">
        <v>53</v>
      </c>
      <c r="S42" s="116" t="b">
        <f>IF(OR(A42="Done",A42="In Progress"),TRUE)</f>
        <v>0</v>
      </c>
      <c r="T42" s="117" t="str">
        <f>"title: """&amp;D42&amp;""""</f>
        <v>title: "Page Title (what will display on website)"</v>
      </c>
      <c r="U42" s="120" t="str">
        <f>IF(LEN(J42)&gt;0,TRIM(CONCATENATE("["&amp;I42&amp;"](",J42,") ",IF(LEN(K42)&gt;0,"- "&amp;K42,K42))),"")</f>
        <v/>
      </c>
      <c r="V42" s="120" t="str">
        <f>IF(LEN(M42)&gt;0,TRIM(CONCATENATE("["&amp;L42&amp;"](",M42,") ",IF(LEN(N42)&gt;0,"- "&amp;N42,N42))),"")</f>
        <v/>
      </c>
      <c r="W42" s="120" t="str">
        <f>IF(LEN(P42)&gt;0,TRIM(CONCATENATE("["&amp;O42&amp;"](",P42,") ",IF(LEN(Q42)&gt;0,"- "&amp;Q42,Q42))),"")</f>
        <v/>
      </c>
      <c r="X42" s="120" t="str">
        <f>IF(LEN(U42)&gt;0,"* "&amp;U42&amp;CHAR(10),"")&amp;
IF(LEN(V42)&gt;0,"* "&amp;V42&amp;CHAR(10),"")&amp;
IF(LEN(W42)&gt;0,"* "&amp;W42&amp;CHAR(10),"")</f>
        <v/>
      </c>
      <c r="Y42" s="117" t="str">
        <f>IF(LEN(X42)&gt;0,concatl("#### More Information",X42),"")</f>
        <v/>
      </c>
      <c r="Z42" s="117" t="str">
        <f>IF(LEN(G42)&gt;1,concatll("#### Author's Note",G42,"-"&amp;B42),"")</f>
        <v/>
      </c>
      <c r="AA42" s="117" t="str">
        <f>IF(LEN(H42)&gt;1,concatll("#### Dedication",H42,"-"&amp;$B42),"")</f>
        <v/>
      </c>
      <c r="CA42" s="6" t="str">
        <f>IF(S42,concatll(concatl("---",T42,"---"),"*A collection of sites associated with this topic.*","#### Background",F42,Y42,Z42,AA42),"")</f>
        <v/>
      </c>
      <c r="CB42" s="6" t="str">
        <f>IF(S42,"tags\"&amp;C42&amp;"\_index.md","")</f>
        <v/>
      </c>
    </row>
    <row r="43" spans="1:80" ht="51" x14ac:dyDescent="0.25">
      <c r="A43" s="129" t="s">
        <v>1899</v>
      </c>
      <c r="B43" s="7" t="s">
        <v>1900</v>
      </c>
      <c r="C43" s="33" t="s">
        <v>2079</v>
      </c>
      <c r="D43" s="7" t="s">
        <v>1884</v>
      </c>
      <c r="E43" s="61" t="s">
        <v>1971</v>
      </c>
      <c r="F43" s="7" t="s">
        <v>1975</v>
      </c>
      <c r="G43" s="152"/>
      <c r="H43" s="139"/>
      <c r="L43" s="40" t="s">
        <v>53</v>
      </c>
      <c r="M43" s="1" t="s">
        <v>53</v>
      </c>
      <c r="N43" s="44" t="s">
        <v>53</v>
      </c>
      <c r="O43" s="1" t="s">
        <v>53</v>
      </c>
      <c r="P43" s="1" t="s">
        <v>53</v>
      </c>
      <c r="Q43" s="30" t="s">
        <v>53</v>
      </c>
      <c r="R43" s="121" t="s">
        <v>53</v>
      </c>
      <c r="S43" s="116" t="b">
        <f>IF(OR(A43="Done",A43="In Progress"),TRUE)</f>
        <v>0</v>
      </c>
      <c r="T43" s="117" t="str">
        <f>"title: """&amp;D43&amp;""""</f>
        <v>title: "Page Title (what will display on website)"</v>
      </c>
      <c r="U43" s="120" t="str">
        <f>IF(LEN(J43)&gt;0,TRIM(CONCATENATE("["&amp;I43&amp;"](",J43,") ",IF(LEN(K43)&gt;0,"- "&amp;K43,K43))),"")</f>
        <v/>
      </c>
      <c r="V43" s="120" t="str">
        <f>IF(LEN(M43)&gt;0,TRIM(CONCATENATE("["&amp;L43&amp;"](",M43,") ",IF(LEN(N43)&gt;0,"- "&amp;N43,N43))),"")</f>
        <v/>
      </c>
      <c r="W43" s="120" t="str">
        <f>IF(LEN(P43)&gt;0,TRIM(CONCATENATE("["&amp;O43&amp;"](",P43,") ",IF(LEN(Q43)&gt;0,"- "&amp;Q43,Q43))),"")</f>
        <v/>
      </c>
      <c r="X43" s="120" t="str">
        <f>IF(LEN(U43)&gt;0,"* "&amp;U43&amp;CHAR(10),"")&amp;
IF(LEN(V43)&gt;0,"* "&amp;V43&amp;CHAR(10),"")&amp;
IF(LEN(W43)&gt;0,"* "&amp;W43&amp;CHAR(10),"")</f>
        <v/>
      </c>
      <c r="Y43" s="117" t="str">
        <f>IF(LEN(X43)&gt;0,concatl("#### More Information",X43),"")</f>
        <v/>
      </c>
      <c r="Z43" s="117" t="str">
        <f>IF(LEN(G43)&gt;1,concatll("#### Author's Note",G43,"-"&amp;B43),"")</f>
        <v/>
      </c>
      <c r="AA43" s="117" t="str">
        <f>IF(LEN(H43)&gt;1,concatll("#### Dedication",H43,"-"&amp;$B43),"")</f>
        <v/>
      </c>
      <c r="CA43" s="6" t="str">
        <f>IF(S43,concatll(concatl("---",T43,"---"),"*A collection of sites associated with this topic.*","#### Background",F43,Y43,Z43,AA43),"")</f>
        <v/>
      </c>
      <c r="CB43" s="6" t="str">
        <f>IF(S43,"tags\"&amp;C43&amp;"\_index.md","")</f>
        <v/>
      </c>
    </row>
    <row r="44" spans="1:80" ht="51" x14ac:dyDescent="0.25">
      <c r="A44" s="129" t="s">
        <v>1899</v>
      </c>
      <c r="B44" s="7" t="s">
        <v>1900</v>
      </c>
      <c r="C44" s="33" t="s">
        <v>2080</v>
      </c>
      <c r="D44" s="7" t="s">
        <v>1884</v>
      </c>
      <c r="E44" s="61" t="s">
        <v>1971</v>
      </c>
      <c r="F44" s="55" t="s">
        <v>1975</v>
      </c>
      <c r="G44" s="152"/>
      <c r="H44" s="139"/>
      <c r="L44" s="40" t="s">
        <v>53</v>
      </c>
      <c r="M44" s="1" t="s">
        <v>53</v>
      </c>
      <c r="N44" s="44" t="s">
        <v>53</v>
      </c>
      <c r="O44" s="1" t="s">
        <v>53</v>
      </c>
      <c r="P44" s="1" t="s">
        <v>53</v>
      </c>
      <c r="Q44" s="30" t="s">
        <v>53</v>
      </c>
      <c r="R44" s="121" t="s">
        <v>53</v>
      </c>
      <c r="S44" s="116" t="b">
        <f>IF(OR(A44="Done",A44="In Progress"),TRUE)</f>
        <v>0</v>
      </c>
      <c r="T44" s="117" t="str">
        <f>"title: """&amp;D44&amp;""""</f>
        <v>title: "Page Title (what will display on website)"</v>
      </c>
      <c r="U44" s="120" t="str">
        <f>IF(LEN(J44)&gt;0,TRIM(CONCATENATE("["&amp;I44&amp;"](",J44,") ",IF(LEN(K44)&gt;0,"- "&amp;K44,K44))),"")</f>
        <v/>
      </c>
      <c r="V44" s="120" t="str">
        <f>IF(LEN(M44)&gt;0,TRIM(CONCATENATE("["&amp;L44&amp;"](",M44,") ",IF(LEN(N44)&gt;0,"- "&amp;N44,N44))),"")</f>
        <v/>
      </c>
      <c r="W44" s="120" t="str">
        <f>IF(LEN(P44)&gt;0,TRIM(CONCATENATE("["&amp;O44&amp;"](",P44,") ",IF(LEN(Q44)&gt;0,"- "&amp;Q44,Q44))),"")</f>
        <v/>
      </c>
      <c r="X44" s="120" t="str">
        <f>IF(LEN(U44)&gt;0,"* "&amp;U44&amp;CHAR(10),"")&amp;
IF(LEN(V44)&gt;0,"* "&amp;V44&amp;CHAR(10),"")&amp;
IF(LEN(W44)&gt;0,"* "&amp;W44&amp;CHAR(10),"")</f>
        <v/>
      </c>
      <c r="Y44" s="117" t="str">
        <f>IF(LEN(X44)&gt;0,concatl("#### More Information",X44),"")</f>
        <v/>
      </c>
      <c r="Z44" s="117" t="str">
        <f>IF(LEN(G44)&gt;1,concatll("#### Author's Note",G44,"-"&amp;B44),"")</f>
        <v/>
      </c>
      <c r="AA44" s="117" t="str">
        <f>IF(LEN(H44)&gt;1,concatll("#### Dedication",H44,"-"&amp;$B44),"")</f>
        <v/>
      </c>
      <c r="CA44" s="6" t="str">
        <f>IF(S44,concatll(concatl("---",T44,"---"),"*A collection of sites associated with this topic.*","#### Background",F44,Y44,Z44,AA44),"")</f>
        <v/>
      </c>
      <c r="CB44" s="6" t="str">
        <f>IF(S44,"tags\"&amp;C44&amp;"\_index.md","")</f>
        <v/>
      </c>
    </row>
    <row r="45" spans="1:80" ht="51" x14ac:dyDescent="0.25">
      <c r="A45" s="129" t="s">
        <v>1899</v>
      </c>
      <c r="B45" s="130" t="s">
        <v>1900</v>
      </c>
      <c r="C45" s="61" t="s">
        <v>2081</v>
      </c>
      <c r="D45" s="55" t="s">
        <v>1884</v>
      </c>
      <c r="E45" s="61" t="s">
        <v>1971</v>
      </c>
      <c r="F45" s="55" t="s">
        <v>1975</v>
      </c>
      <c r="L45" s="40" t="s">
        <v>53</v>
      </c>
      <c r="M45" s="1" t="s">
        <v>53</v>
      </c>
      <c r="N45" s="44" t="s">
        <v>53</v>
      </c>
      <c r="O45" s="1" t="s">
        <v>53</v>
      </c>
      <c r="P45" s="1" t="s">
        <v>53</v>
      </c>
      <c r="Q45" s="30" t="s">
        <v>53</v>
      </c>
      <c r="R45" s="121" t="s">
        <v>53</v>
      </c>
      <c r="S45" s="116" t="b">
        <f>IF(OR(A45="Done",A45="In Progress"),TRUE)</f>
        <v>0</v>
      </c>
      <c r="T45" s="117" t="str">
        <f>"title: """&amp;D45&amp;""""</f>
        <v>title: "Page Title (what will display on website)"</v>
      </c>
      <c r="U45" s="120" t="str">
        <f>IF(LEN(J45)&gt;0,TRIM(CONCATENATE("["&amp;I45&amp;"](",J45,") ",IF(LEN(K45)&gt;0,"- "&amp;K45,K45))),"")</f>
        <v/>
      </c>
      <c r="V45" s="120" t="str">
        <f>IF(LEN(M45)&gt;0,TRIM(CONCATENATE("["&amp;L45&amp;"](",M45,") ",IF(LEN(N45)&gt;0,"- "&amp;N45,N45))),"")</f>
        <v/>
      </c>
      <c r="W45" s="120" t="str">
        <f>IF(LEN(P45)&gt;0,TRIM(CONCATENATE("["&amp;O45&amp;"](",P45,") ",IF(LEN(Q45)&gt;0,"- "&amp;Q45,Q45))),"")</f>
        <v/>
      </c>
      <c r="X45" s="120" t="str">
        <f>IF(LEN(U45)&gt;0,"* "&amp;U45&amp;CHAR(10),"")&amp;
IF(LEN(V45)&gt;0,"* "&amp;V45&amp;CHAR(10),"")&amp;
IF(LEN(W45)&gt;0,"* "&amp;W45&amp;CHAR(10),"")</f>
        <v/>
      </c>
      <c r="Y45" s="117" t="str">
        <f>IF(LEN(X45)&gt;0,concatl("#### More Information",X45),"")</f>
        <v/>
      </c>
      <c r="Z45" s="117" t="str">
        <f>IF(LEN(G45)&gt;1,concatll("#### Author's Note",G45,"-"&amp;B45),"")</f>
        <v/>
      </c>
      <c r="AA45" s="117" t="str">
        <f>IF(LEN(H45)&gt;1,concatll("#### Dedication",H45,"-"&amp;$B45),"")</f>
        <v/>
      </c>
      <c r="CA45" s="6" t="str">
        <f>IF(S45,concatll(concatl("---",T45,"---"),"*A collection of sites associated with this topic.*","#### Background",F45,Y45,Z45,AA45),"")</f>
        <v/>
      </c>
      <c r="CB45" s="6" t="str">
        <f>IF(S45,"tags\"&amp;C45&amp;"\_index.md","")</f>
        <v/>
      </c>
    </row>
    <row r="46" spans="1:80" ht="51" x14ac:dyDescent="0.25">
      <c r="A46" s="129" t="s">
        <v>1899</v>
      </c>
      <c r="B46" s="130" t="s">
        <v>1900</v>
      </c>
      <c r="C46" s="141" t="s">
        <v>2082</v>
      </c>
      <c r="D46" s="15" t="s">
        <v>1884</v>
      </c>
      <c r="E46" s="37" t="s">
        <v>1971</v>
      </c>
      <c r="F46" s="130" t="s">
        <v>1975</v>
      </c>
      <c r="I46" s="161"/>
      <c r="J46" s="2"/>
      <c r="K46" s="136"/>
      <c r="L46" s="39" t="s">
        <v>53</v>
      </c>
      <c r="M46" s="2" t="s">
        <v>53</v>
      </c>
      <c r="N46" s="43" t="s">
        <v>53</v>
      </c>
      <c r="O46" s="2" t="s">
        <v>53</v>
      </c>
      <c r="P46" s="2" t="s">
        <v>53</v>
      </c>
      <c r="Q46" s="31" t="s">
        <v>53</v>
      </c>
      <c r="R46" s="121" t="s">
        <v>53</v>
      </c>
      <c r="S46" s="116" t="b">
        <f>IF(OR(A46="Done",A46="In Progress"),TRUE)</f>
        <v>0</v>
      </c>
      <c r="T46" s="117" t="str">
        <f>"title: """&amp;D46&amp;""""</f>
        <v>title: "Page Title (what will display on website)"</v>
      </c>
      <c r="U46" s="120" t="str">
        <f>IF(LEN(J46)&gt;0,TRIM(CONCATENATE("["&amp;I46&amp;"](",J46,") ",IF(LEN(K46)&gt;0,"- "&amp;K46,K46))),"")</f>
        <v/>
      </c>
      <c r="V46" s="120" t="str">
        <f>IF(LEN(M46)&gt;0,TRIM(CONCATENATE("["&amp;L46&amp;"](",M46,") ",IF(LEN(N46)&gt;0,"- "&amp;N46,N46))),"")</f>
        <v/>
      </c>
      <c r="W46" s="120" t="str">
        <f>IF(LEN(P46)&gt;0,TRIM(CONCATENATE("["&amp;O46&amp;"](",P46,") ",IF(LEN(Q46)&gt;0,"- "&amp;Q46,Q46))),"")</f>
        <v/>
      </c>
      <c r="X46" s="120" t="str">
        <f>IF(LEN(U46)&gt;0,"* "&amp;U46&amp;CHAR(10),"")&amp;
IF(LEN(V46)&gt;0,"* "&amp;V46&amp;CHAR(10),"")&amp;
IF(LEN(W46)&gt;0,"* "&amp;W46&amp;CHAR(10),"")</f>
        <v/>
      </c>
      <c r="Y46" s="117" t="str">
        <f>IF(LEN(X46)&gt;0,concatl("#### More Information",X46),"")</f>
        <v/>
      </c>
      <c r="Z46" s="117" t="str">
        <f>IF(LEN(G46)&gt;1,concatll("#### Author's Note",G46,"-"&amp;B46),"")</f>
        <v/>
      </c>
      <c r="AA46" s="117" t="str">
        <f>IF(LEN(H46)&gt;1,concatll("#### Dedication",H46,"-"&amp;$B46),"")</f>
        <v/>
      </c>
      <c r="CA46" s="6" t="str">
        <f>IF(S46,concatll(concatl("---",T46,"---"),"*A collection of sites associated with this topic.*","#### Background",F46,Y46,Z46,AA46),"")</f>
        <v/>
      </c>
      <c r="CB46" s="6" t="str">
        <f>IF(S46,"tags\"&amp;C46&amp;"\_index.md","")</f>
        <v/>
      </c>
    </row>
    <row r="47" spans="1:80" ht="51" x14ac:dyDescent="0.25">
      <c r="A47" s="129" t="s">
        <v>1899</v>
      </c>
      <c r="B47" s="130" t="s">
        <v>1900</v>
      </c>
      <c r="C47" s="33" t="s">
        <v>2083</v>
      </c>
      <c r="D47" s="7" t="s">
        <v>1884</v>
      </c>
      <c r="E47" s="33" t="s">
        <v>1971</v>
      </c>
      <c r="F47" s="7" t="s">
        <v>1975</v>
      </c>
      <c r="G47" s="152"/>
      <c r="H47" s="139"/>
      <c r="I47" s="156"/>
      <c r="J47" s="132"/>
      <c r="K47" s="133"/>
      <c r="L47" s="40" t="s">
        <v>53</v>
      </c>
      <c r="M47" s="1" t="s">
        <v>53</v>
      </c>
      <c r="N47" s="44" t="s">
        <v>53</v>
      </c>
      <c r="O47" s="1" t="s">
        <v>53</v>
      </c>
      <c r="P47" s="1" t="s">
        <v>53</v>
      </c>
      <c r="Q47" s="30" t="s">
        <v>53</v>
      </c>
      <c r="R47" s="121" t="s">
        <v>53</v>
      </c>
      <c r="S47" s="116" t="b">
        <f>IF(OR(A47="Done",A47="In Progress"),TRUE)</f>
        <v>0</v>
      </c>
      <c r="T47" s="117" t="str">
        <f>"title: """&amp;D47&amp;""""</f>
        <v>title: "Page Title (what will display on website)"</v>
      </c>
      <c r="U47" s="120" t="str">
        <f>IF(LEN(J47)&gt;0,TRIM(CONCATENATE("["&amp;I47&amp;"](",J47,") ",IF(LEN(K47)&gt;0,"- "&amp;K47,K47))),"")</f>
        <v/>
      </c>
      <c r="V47" s="120" t="str">
        <f>IF(LEN(M47)&gt;0,TRIM(CONCATENATE("["&amp;L47&amp;"](",M47,") ",IF(LEN(N47)&gt;0,"- "&amp;N47,N47))),"")</f>
        <v/>
      </c>
      <c r="W47" s="120" t="str">
        <f>IF(LEN(P47)&gt;0,TRIM(CONCATENATE("["&amp;O47&amp;"](",P47,") ",IF(LEN(Q47)&gt;0,"- "&amp;Q47,Q47))),"")</f>
        <v/>
      </c>
      <c r="X47" s="120" t="str">
        <f>IF(LEN(U47)&gt;0,"* "&amp;U47&amp;CHAR(10),"")&amp;
IF(LEN(V47)&gt;0,"* "&amp;V47&amp;CHAR(10),"")&amp;
IF(LEN(W47)&gt;0,"* "&amp;W47&amp;CHAR(10),"")</f>
        <v/>
      </c>
      <c r="Y47" s="117" t="str">
        <f>IF(LEN(X47)&gt;0,concatl("#### More Information",X47),"")</f>
        <v/>
      </c>
      <c r="Z47" s="117" t="str">
        <f>IF(LEN(G47)&gt;1,concatll("#### Author's Note",G47,"-"&amp;B47),"")</f>
        <v/>
      </c>
      <c r="AA47" s="117" t="str">
        <f>IF(LEN(H47)&gt;1,concatll("#### Dedication",H47,"-"&amp;$B47),"")</f>
        <v/>
      </c>
      <c r="CA47" s="6" t="str">
        <f>IF(S47,concatll(concatl("---",T47,"---"),"*A collection of sites associated with this topic.*","#### Background",F47,Y47,Z47,AA47),"")</f>
        <v/>
      </c>
      <c r="CB47" s="6" t="str">
        <f>IF(S47,"tags\"&amp;C47&amp;"\_index.md","")</f>
        <v/>
      </c>
    </row>
    <row r="48" spans="1:80" ht="51" x14ac:dyDescent="0.25">
      <c r="A48" s="129" t="s">
        <v>1899</v>
      </c>
      <c r="B48" s="10" t="s">
        <v>1900</v>
      </c>
      <c r="C48" s="38" t="s">
        <v>2084</v>
      </c>
      <c r="D48" s="7" t="s">
        <v>1884</v>
      </c>
      <c r="E48" s="33" t="s">
        <v>1971</v>
      </c>
      <c r="F48" s="7" t="s">
        <v>1975</v>
      </c>
      <c r="L48" s="40" t="s">
        <v>53</v>
      </c>
      <c r="M48" s="1" t="s">
        <v>53</v>
      </c>
      <c r="N48" s="44" t="s">
        <v>53</v>
      </c>
      <c r="O48" s="1" t="s">
        <v>53</v>
      </c>
      <c r="P48" s="1" t="s">
        <v>53</v>
      </c>
      <c r="Q48" s="30" t="s">
        <v>53</v>
      </c>
      <c r="R48" s="121" t="s">
        <v>53</v>
      </c>
      <c r="S48" s="116" t="b">
        <f>IF(OR(A48="Done",A48="In Progress"),TRUE)</f>
        <v>0</v>
      </c>
      <c r="T48" s="117" t="str">
        <f>"title: """&amp;D48&amp;""""</f>
        <v>title: "Page Title (what will display on website)"</v>
      </c>
      <c r="U48" s="120" t="str">
        <f>IF(LEN(J48)&gt;0,TRIM(CONCATENATE("["&amp;I48&amp;"](",J48,") ",IF(LEN(K48)&gt;0,"- "&amp;K48,K48))),"")</f>
        <v/>
      </c>
      <c r="V48" s="120" t="str">
        <f>IF(LEN(M48)&gt;0,TRIM(CONCATENATE("["&amp;L48&amp;"](",M48,") ",IF(LEN(N48)&gt;0,"- "&amp;N48,N48))),"")</f>
        <v/>
      </c>
      <c r="W48" s="120" t="str">
        <f>IF(LEN(P48)&gt;0,TRIM(CONCATENATE("["&amp;O48&amp;"](",P48,") ",IF(LEN(Q48)&gt;0,"- "&amp;Q48,Q48))),"")</f>
        <v/>
      </c>
      <c r="X48" s="120" t="str">
        <f>IF(LEN(U48)&gt;0,"* "&amp;U48&amp;CHAR(10),"")&amp;
IF(LEN(V48)&gt;0,"* "&amp;V48&amp;CHAR(10),"")&amp;
IF(LEN(W48)&gt;0,"* "&amp;W48&amp;CHAR(10),"")</f>
        <v/>
      </c>
      <c r="Y48" s="117" t="str">
        <f>IF(LEN(X48)&gt;0,concatl("#### More Information",X48),"")</f>
        <v/>
      </c>
      <c r="Z48" s="117" t="str">
        <f>IF(LEN(G48)&gt;1,concatll("#### Author's Note",G48,"-"&amp;B48),"")</f>
        <v/>
      </c>
      <c r="AA48" s="117" t="str">
        <f>IF(LEN(H48)&gt;1,concatll("#### Dedication",H48,"-"&amp;$B48),"")</f>
        <v/>
      </c>
      <c r="CA48" s="6" t="str">
        <f>IF(S48,concatll(concatl("---",T48,"---"),"*A collection of sites associated with this topic.*","#### Background",F48,Y48,Z48,AA48),"")</f>
        <v/>
      </c>
      <c r="CB48" s="6" t="str">
        <f>IF(S48,"tags\"&amp;C48&amp;"\_index.md","")</f>
        <v/>
      </c>
    </row>
    <row r="49" spans="1:80" ht="51" x14ac:dyDescent="0.25">
      <c r="A49" s="129" t="s">
        <v>1899</v>
      </c>
      <c r="B49" s="7" t="s">
        <v>1900</v>
      </c>
      <c r="C49" s="33" t="s">
        <v>2085</v>
      </c>
      <c r="D49" s="55" t="s">
        <v>1884</v>
      </c>
      <c r="E49" s="33" t="s">
        <v>1971</v>
      </c>
      <c r="F49" s="7" t="s">
        <v>1975</v>
      </c>
      <c r="L49" s="40" t="s">
        <v>53</v>
      </c>
      <c r="M49" s="1" t="s">
        <v>53</v>
      </c>
      <c r="N49" s="44" t="s">
        <v>53</v>
      </c>
      <c r="O49" s="1" t="s">
        <v>53</v>
      </c>
      <c r="P49" s="1" t="s">
        <v>53</v>
      </c>
      <c r="Q49" s="30" t="s">
        <v>53</v>
      </c>
      <c r="R49" s="121" t="s">
        <v>53</v>
      </c>
      <c r="S49" s="116" t="b">
        <f>IF(OR(A49="Done",A49="In Progress"),TRUE)</f>
        <v>0</v>
      </c>
      <c r="T49" s="117" t="str">
        <f>"title: """&amp;D49&amp;""""</f>
        <v>title: "Page Title (what will display on website)"</v>
      </c>
      <c r="U49" s="120" t="str">
        <f>IF(LEN(J49)&gt;0,TRIM(CONCATENATE("["&amp;I49&amp;"](",J49,") ",IF(LEN(K49)&gt;0,"- "&amp;K49,K49))),"")</f>
        <v/>
      </c>
      <c r="V49" s="120" t="str">
        <f>IF(LEN(M49)&gt;0,TRIM(CONCATENATE("["&amp;L49&amp;"](",M49,") ",IF(LEN(N49)&gt;0,"- "&amp;N49,N49))),"")</f>
        <v/>
      </c>
      <c r="W49" s="120" t="str">
        <f>IF(LEN(P49)&gt;0,TRIM(CONCATENATE("["&amp;O49&amp;"](",P49,") ",IF(LEN(Q49)&gt;0,"- "&amp;Q49,Q49))),"")</f>
        <v/>
      </c>
      <c r="X49" s="120" t="str">
        <f>IF(LEN(U49)&gt;0,"* "&amp;U49&amp;CHAR(10),"")&amp;
IF(LEN(V49)&gt;0,"* "&amp;V49&amp;CHAR(10),"")&amp;
IF(LEN(W49)&gt;0,"* "&amp;W49&amp;CHAR(10),"")</f>
        <v/>
      </c>
      <c r="Y49" s="117" t="str">
        <f>IF(LEN(X49)&gt;0,concatl("#### More Information",X49),"")</f>
        <v/>
      </c>
      <c r="Z49" s="117" t="str">
        <f>IF(LEN(G49)&gt;1,concatll("#### Author's Note",G49,"-"&amp;B49),"")</f>
        <v/>
      </c>
      <c r="AA49" s="117" t="str">
        <f>IF(LEN(H49)&gt;1,concatll("#### Dedication",H49,"-"&amp;$B49),"")</f>
        <v/>
      </c>
      <c r="CA49" s="6" t="str">
        <f>IF(S49,concatll(concatl("---",T49,"---"),"*A collection of sites associated with this topic.*","#### Background",F49,Y49,Z49,AA49),"")</f>
        <v/>
      </c>
      <c r="CB49" s="6" t="str">
        <f>IF(S49,"tags\"&amp;C49&amp;"\_index.md","")</f>
        <v/>
      </c>
    </row>
    <row r="50" spans="1:80" ht="51" x14ac:dyDescent="0.25">
      <c r="A50" s="129" t="s">
        <v>1899</v>
      </c>
      <c r="B50" s="7" t="s">
        <v>1900</v>
      </c>
      <c r="C50" s="38" t="s">
        <v>2086</v>
      </c>
      <c r="D50" s="7" t="s">
        <v>1884</v>
      </c>
      <c r="E50" s="33" t="s">
        <v>1971</v>
      </c>
      <c r="F50" s="26" t="s">
        <v>1975</v>
      </c>
      <c r="L50" s="40" t="s">
        <v>53</v>
      </c>
      <c r="M50" s="1" t="s">
        <v>53</v>
      </c>
      <c r="N50" s="44" t="s">
        <v>53</v>
      </c>
      <c r="O50" s="1" t="s">
        <v>53</v>
      </c>
      <c r="P50" s="1" t="s">
        <v>53</v>
      </c>
      <c r="Q50" s="30" t="s">
        <v>53</v>
      </c>
      <c r="R50" s="121" t="s">
        <v>53</v>
      </c>
      <c r="S50" s="116" t="b">
        <f>IF(OR(A50="Done",A50="In Progress"),TRUE)</f>
        <v>0</v>
      </c>
      <c r="T50" s="117" t="str">
        <f>"title: """&amp;D50&amp;""""</f>
        <v>title: "Page Title (what will display on website)"</v>
      </c>
      <c r="U50" s="120" t="str">
        <f>IF(LEN(J50)&gt;0,TRIM(CONCATENATE("["&amp;I50&amp;"](",J50,") ",IF(LEN(K50)&gt;0,"- "&amp;K50,K50))),"")</f>
        <v/>
      </c>
      <c r="V50" s="120" t="str">
        <f>IF(LEN(M50)&gt;0,TRIM(CONCATENATE("["&amp;L50&amp;"](",M50,") ",IF(LEN(N50)&gt;0,"- "&amp;N50,N50))),"")</f>
        <v/>
      </c>
      <c r="W50" s="120" t="str">
        <f>IF(LEN(P50)&gt;0,TRIM(CONCATENATE("["&amp;O50&amp;"](",P50,") ",IF(LEN(Q50)&gt;0,"- "&amp;Q50,Q50))),"")</f>
        <v/>
      </c>
      <c r="X50" s="120" t="str">
        <f>IF(LEN(U50)&gt;0,"* "&amp;U50&amp;CHAR(10),"")&amp;
IF(LEN(V50)&gt;0,"* "&amp;V50&amp;CHAR(10),"")&amp;
IF(LEN(W50)&gt;0,"* "&amp;W50&amp;CHAR(10),"")</f>
        <v/>
      </c>
      <c r="Y50" s="117" t="str">
        <f>IF(LEN(X50)&gt;0,concatl("#### More Information",X50),"")</f>
        <v/>
      </c>
      <c r="Z50" s="117" t="str">
        <f>IF(LEN(G50)&gt;1,concatll("#### Author's Note",G50,"-"&amp;B50),"")</f>
        <v/>
      </c>
      <c r="AA50" s="117" t="str">
        <f>IF(LEN(H50)&gt;1,concatll("#### Dedication",H50,"-"&amp;$B50),"")</f>
        <v/>
      </c>
      <c r="CA50" s="6" t="str">
        <f>IF(S50,concatll(concatl("---",T50,"---"),"*A collection of sites associated with this topic.*","#### Background",F50,Y50,Z50,AA50),"")</f>
        <v/>
      </c>
      <c r="CB50" s="6" t="str">
        <f>IF(S50,"tags\"&amp;C50&amp;"\_index.md","")</f>
        <v/>
      </c>
    </row>
    <row r="51" spans="1:80" ht="51" x14ac:dyDescent="0.25">
      <c r="A51" s="129" t="s">
        <v>1899</v>
      </c>
      <c r="B51" s="130" t="s">
        <v>1900</v>
      </c>
      <c r="C51" s="61" t="s">
        <v>2087</v>
      </c>
      <c r="D51" s="55" t="s">
        <v>1884</v>
      </c>
      <c r="E51" s="61" t="s">
        <v>1971</v>
      </c>
      <c r="F51" s="26" t="s">
        <v>1975</v>
      </c>
      <c r="G51" s="152"/>
      <c r="H51" s="139"/>
      <c r="I51" s="159"/>
      <c r="J51" s="18"/>
      <c r="K51" s="63"/>
      <c r="L51" s="42" t="s">
        <v>53</v>
      </c>
      <c r="M51" s="18" t="s">
        <v>53</v>
      </c>
      <c r="N51" s="46" t="s">
        <v>53</v>
      </c>
      <c r="O51" s="18" t="s">
        <v>53</v>
      </c>
      <c r="P51" s="18" t="s">
        <v>53</v>
      </c>
      <c r="Q51" s="69" t="s">
        <v>53</v>
      </c>
      <c r="R51" s="121" t="s">
        <v>53</v>
      </c>
      <c r="S51" s="116" t="b">
        <f>IF(OR(A51="Done",A51="In Progress"),TRUE)</f>
        <v>0</v>
      </c>
      <c r="T51" s="117" t="str">
        <f>"title: """&amp;D51&amp;""""</f>
        <v>title: "Page Title (what will display on website)"</v>
      </c>
      <c r="U51" s="120" t="str">
        <f>IF(LEN(J51)&gt;0,TRIM(CONCATENATE("["&amp;I51&amp;"](",J51,") ",IF(LEN(K51)&gt;0,"- "&amp;K51,K51))),"")</f>
        <v/>
      </c>
      <c r="V51" s="120" t="str">
        <f>IF(LEN(M51)&gt;0,TRIM(CONCATENATE("["&amp;L51&amp;"](",M51,") ",IF(LEN(N51)&gt;0,"- "&amp;N51,N51))),"")</f>
        <v/>
      </c>
      <c r="W51" s="120" t="str">
        <f>IF(LEN(P51)&gt;0,TRIM(CONCATENATE("["&amp;O51&amp;"](",P51,") ",IF(LEN(Q51)&gt;0,"- "&amp;Q51,Q51))),"")</f>
        <v/>
      </c>
      <c r="X51" s="120" t="str">
        <f>IF(LEN(U51)&gt;0,"* "&amp;U51&amp;CHAR(10),"")&amp;
IF(LEN(V51)&gt;0,"* "&amp;V51&amp;CHAR(10),"")&amp;
IF(LEN(W51)&gt;0,"* "&amp;W51&amp;CHAR(10),"")</f>
        <v/>
      </c>
      <c r="Y51" s="117" t="str">
        <f>IF(LEN(X51)&gt;0,concatl("#### More Information",X51),"")</f>
        <v/>
      </c>
      <c r="Z51" s="117" t="str">
        <f>IF(LEN(G51)&gt;1,concatll("#### Author's Note",G51,"-"&amp;B51),"")</f>
        <v/>
      </c>
      <c r="AA51" s="117" t="str">
        <f>IF(LEN(H51)&gt;1,concatll("#### Dedication",H51,"-"&amp;$B51),"")</f>
        <v/>
      </c>
      <c r="CA51" s="6" t="str">
        <f>IF(S51,concatll(concatl("---",T51,"---"),"*A collection of sites associated with this topic.*","#### Background",F51,Y51,Z51,AA51),"")</f>
        <v/>
      </c>
      <c r="CB51" s="6" t="str">
        <f>IF(S51,"tags\"&amp;C51&amp;"\_index.md","")</f>
        <v/>
      </c>
    </row>
    <row r="52" spans="1:80" ht="51" x14ac:dyDescent="0.25">
      <c r="A52" s="129" t="s">
        <v>1899</v>
      </c>
      <c r="B52" s="130" t="s">
        <v>1900</v>
      </c>
      <c r="C52" s="61" t="s">
        <v>2088</v>
      </c>
      <c r="D52" s="55" t="s">
        <v>1884</v>
      </c>
      <c r="E52" s="61" t="s">
        <v>1971</v>
      </c>
      <c r="F52" s="130" t="s">
        <v>1975</v>
      </c>
      <c r="G52" s="154"/>
      <c r="H52" s="61"/>
      <c r="I52" s="156"/>
      <c r="L52" s="40" t="s">
        <v>53</v>
      </c>
      <c r="M52" s="1" t="s">
        <v>53</v>
      </c>
      <c r="N52" s="44" t="s">
        <v>53</v>
      </c>
      <c r="O52" s="1" t="s">
        <v>53</v>
      </c>
      <c r="P52" s="1" t="s">
        <v>53</v>
      </c>
      <c r="Q52" s="30" t="s">
        <v>53</v>
      </c>
      <c r="R52" s="121" t="s">
        <v>53</v>
      </c>
      <c r="S52" s="116" t="b">
        <f>IF(OR(A52="Done",A52="In Progress"),TRUE)</f>
        <v>0</v>
      </c>
      <c r="T52" s="117" t="str">
        <f>"title: """&amp;D52&amp;""""</f>
        <v>title: "Page Title (what will display on website)"</v>
      </c>
      <c r="U52" s="120" t="str">
        <f>IF(LEN(J52)&gt;0,TRIM(CONCATENATE("["&amp;I52&amp;"](",J52,") ",IF(LEN(K52)&gt;0,"- "&amp;K52,K52))),"")</f>
        <v/>
      </c>
      <c r="V52" s="120" t="str">
        <f>IF(LEN(M52)&gt;0,TRIM(CONCATENATE("["&amp;L52&amp;"](",M52,") ",IF(LEN(N52)&gt;0,"- "&amp;N52,N52))),"")</f>
        <v/>
      </c>
      <c r="W52" s="120" t="str">
        <f>IF(LEN(P52)&gt;0,TRIM(CONCATENATE("["&amp;O52&amp;"](",P52,") ",IF(LEN(Q52)&gt;0,"- "&amp;Q52,Q52))),"")</f>
        <v/>
      </c>
      <c r="X52" s="120" t="str">
        <f>IF(LEN(U52)&gt;0,"* "&amp;U52&amp;CHAR(10),"")&amp;
IF(LEN(V52)&gt;0,"* "&amp;V52&amp;CHAR(10),"")&amp;
IF(LEN(W52)&gt;0,"* "&amp;W52&amp;CHAR(10),"")</f>
        <v/>
      </c>
      <c r="Y52" s="117" t="str">
        <f>IF(LEN(X52)&gt;0,concatl("#### More Information",X52),"")</f>
        <v/>
      </c>
      <c r="Z52" s="117" t="str">
        <f>IF(LEN(G52)&gt;1,concatll("#### Author's Note",G52,"-"&amp;B52),"")</f>
        <v/>
      </c>
      <c r="AA52" s="117" t="str">
        <f>IF(LEN(H52)&gt;1,concatll("#### Dedication",H52,"-"&amp;$B52),"")</f>
        <v/>
      </c>
      <c r="CA52" s="6" t="str">
        <f>IF(S52,concatll(concatl("---",T52,"---"),"*A collection of sites associated with this topic.*","#### Background",F52,Y52,Z52,AA52),"")</f>
        <v/>
      </c>
      <c r="CB52" s="6" t="str">
        <f>IF(S52,"tags\"&amp;C52&amp;"\_index.md","")</f>
        <v/>
      </c>
    </row>
    <row r="53" spans="1:80" ht="51" x14ac:dyDescent="0.25">
      <c r="A53" s="129" t="s">
        <v>1899</v>
      </c>
      <c r="B53" s="130" t="s">
        <v>1900</v>
      </c>
      <c r="C53" s="33" t="s">
        <v>2089</v>
      </c>
      <c r="D53" s="7" t="s">
        <v>1884</v>
      </c>
      <c r="E53" s="61" t="s">
        <v>1971</v>
      </c>
      <c r="F53" s="130" t="s">
        <v>1975</v>
      </c>
      <c r="G53" s="152"/>
      <c r="H53" s="139"/>
      <c r="L53" s="40" t="s">
        <v>53</v>
      </c>
      <c r="M53" s="1" t="s">
        <v>53</v>
      </c>
      <c r="N53" s="44" t="s">
        <v>53</v>
      </c>
      <c r="O53" s="1" t="s">
        <v>53</v>
      </c>
      <c r="P53" s="1" t="s">
        <v>53</v>
      </c>
      <c r="Q53" s="30" t="s">
        <v>53</v>
      </c>
      <c r="R53" s="121" t="s">
        <v>53</v>
      </c>
      <c r="S53" s="116" t="b">
        <f>IF(OR(A53="Done",A53="In Progress"),TRUE)</f>
        <v>0</v>
      </c>
      <c r="T53" s="117" t="str">
        <f>"title: """&amp;D53&amp;""""</f>
        <v>title: "Page Title (what will display on website)"</v>
      </c>
      <c r="U53" s="120" t="str">
        <f>IF(LEN(J53)&gt;0,TRIM(CONCATENATE("["&amp;I53&amp;"](",J53,") ",IF(LEN(K53)&gt;0,"- "&amp;K53,K53))),"")</f>
        <v/>
      </c>
      <c r="V53" s="120" t="str">
        <f>IF(LEN(M53)&gt;0,TRIM(CONCATENATE("["&amp;L53&amp;"](",M53,") ",IF(LEN(N53)&gt;0,"- "&amp;N53,N53))),"")</f>
        <v/>
      </c>
      <c r="W53" s="120" t="str">
        <f>IF(LEN(P53)&gt;0,TRIM(CONCATENATE("["&amp;O53&amp;"](",P53,") ",IF(LEN(Q53)&gt;0,"- "&amp;Q53,Q53))),"")</f>
        <v/>
      </c>
      <c r="X53" s="120" t="str">
        <f>IF(LEN(U53)&gt;0,"* "&amp;U53&amp;CHAR(10),"")&amp;
IF(LEN(V53)&gt;0,"* "&amp;V53&amp;CHAR(10),"")&amp;
IF(LEN(W53)&gt;0,"* "&amp;W53&amp;CHAR(10),"")</f>
        <v/>
      </c>
      <c r="Y53" s="117" t="str">
        <f>IF(LEN(X53)&gt;0,concatl("#### More Information",X53),"")</f>
        <v/>
      </c>
      <c r="Z53" s="117" t="str">
        <f>IF(LEN(G53)&gt;1,concatll("#### Author's Note",G53,"-"&amp;B53),"")</f>
        <v/>
      </c>
      <c r="AA53" s="117" t="str">
        <f>IF(LEN(H53)&gt;1,concatll("#### Dedication",H53,"-"&amp;$B53),"")</f>
        <v/>
      </c>
      <c r="CA53" s="6" t="str">
        <f>IF(S53,concatll(concatl("---",T53,"---"),"*A collection of sites associated with this topic.*","#### Background",F53,Y53,Z53,AA53),"")</f>
        <v/>
      </c>
      <c r="CB53" s="6" t="str">
        <f>IF(S53,"tags\"&amp;C53&amp;"\_index.md","")</f>
        <v/>
      </c>
    </row>
    <row r="54" spans="1:80" ht="51" x14ac:dyDescent="0.25">
      <c r="A54" s="129" t="s">
        <v>1899</v>
      </c>
      <c r="B54" s="168" t="s">
        <v>1900</v>
      </c>
      <c r="C54" s="33" t="s">
        <v>2101</v>
      </c>
      <c r="D54" s="168" t="s">
        <v>1884</v>
      </c>
      <c r="E54" s="166" t="s">
        <v>1971</v>
      </c>
      <c r="F54" s="168" t="s">
        <v>1975</v>
      </c>
      <c r="L54" s="40" t="s">
        <v>53</v>
      </c>
      <c r="M54" s="1" t="s">
        <v>53</v>
      </c>
      <c r="N54" s="44" t="s">
        <v>53</v>
      </c>
      <c r="O54" s="1" t="s">
        <v>53</v>
      </c>
      <c r="P54" s="1" t="s">
        <v>53</v>
      </c>
      <c r="Q54" s="30" t="s">
        <v>53</v>
      </c>
      <c r="R54" s="121" t="s">
        <v>53</v>
      </c>
      <c r="S54" s="116" t="b">
        <f>IF(OR(A54="Done",A54="In Progress"),TRUE)</f>
        <v>0</v>
      </c>
      <c r="T54" s="117" t="str">
        <f>"title: """&amp;D54&amp;""""</f>
        <v>title: "Page Title (what will display on website)"</v>
      </c>
      <c r="U54" s="120" t="str">
        <f>IF(LEN(J54)&gt;0,TRIM(CONCATENATE("["&amp;I54&amp;"](",J54,") ",IF(LEN(K54)&gt;0,"- "&amp;K54,K54))),"")</f>
        <v/>
      </c>
      <c r="V54" s="120" t="str">
        <f>IF(LEN(M54)&gt;0,TRIM(CONCATENATE("["&amp;L54&amp;"](",M54,") ",IF(LEN(N54)&gt;0,"- "&amp;N54,N54))),"")</f>
        <v/>
      </c>
      <c r="W54" s="120" t="str">
        <f>IF(LEN(P54)&gt;0,TRIM(CONCATENATE("["&amp;O54&amp;"](",P54,") ",IF(LEN(Q54)&gt;0,"- "&amp;Q54,Q54))),"")</f>
        <v/>
      </c>
      <c r="X54" s="120" t="str">
        <f>IF(LEN(U54)&gt;0,"* "&amp;U54&amp;CHAR(10),"")&amp;
IF(LEN(V54)&gt;0,"* "&amp;V54&amp;CHAR(10),"")&amp;
IF(LEN(W54)&gt;0,"* "&amp;W54&amp;CHAR(10),"")</f>
        <v/>
      </c>
      <c r="Y54" s="117" t="str">
        <f>IF(LEN(X54)&gt;0,concatl("#### More Information",X54),"")</f>
        <v/>
      </c>
      <c r="Z54" s="117" t="str">
        <f>IF(LEN(G54)&gt;1,concatll("#### Author's Note",G54,"-"&amp;B54),"")</f>
        <v/>
      </c>
      <c r="AA54" s="117" t="str">
        <f>IF(LEN(H54)&gt;1,concatll("#### Dedication",H54,"-"&amp;$B54),"")</f>
        <v/>
      </c>
      <c r="CA54" s="6" t="str">
        <f>IF(S54,concatll(concatl("---",T54,"---"),"*A collection of sites associated with this topic.*","#### Background",F54,Y54,Z54,AA54),"")</f>
        <v/>
      </c>
      <c r="CB54" s="6" t="str">
        <f>IF(S54,"tags\"&amp;C54&amp;"\_index.md","")</f>
        <v/>
      </c>
    </row>
    <row r="55" spans="1:80" x14ac:dyDescent="0.25">
      <c r="C55" s="73"/>
      <c r="D55" s="71"/>
      <c r="F55" s="71"/>
      <c r="U55" s="120"/>
      <c r="V55" s="120"/>
      <c r="W55" s="120"/>
      <c r="X55" s="120"/>
      <c r="CB55" s="6"/>
    </row>
    <row r="56" spans="1:80" x14ac:dyDescent="0.25">
      <c r="C56" s="73"/>
      <c r="D56" s="71"/>
      <c r="E56" s="73"/>
      <c r="F56" s="71"/>
      <c r="I56" s="160"/>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160"/>
      <c r="U58" s="120"/>
      <c r="V58" s="120"/>
      <c r="W58" s="120"/>
      <c r="X58" s="120"/>
      <c r="CB58" s="6"/>
    </row>
    <row r="59" spans="1:80" x14ac:dyDescent="0.25">
      <c r="E59" s="61"/>
      <c r="F59" s="55"/>
      <c r="U59" s="120"/>
      <c r="V59" s="120"/>
      <c r="W59" s="120"/>
      <c r="X59" s="120"/>
      <c r="CB59" s="6"/>
    </row>
    <row r="60" spans="1:80" x14ac:dyDescent="0.25">
      <c r="D60" s="55"/>
      <c r="E60" s="61"/>
      <c r="F60" s="55"/>
      <c r="G60" s="152"/>
      <c r="H60" s="139"/>
      <c r="U60" s="120"/>
      <c r="V60" s="120"/>
      <c r="W60" s="120"/>
      <c r="X60" s="120"/>
      <c r="CB60" s="6"/>
    </row>
    <row r="61" spans="1:80" x14ac:dyDescent="0.25">
      <c r="U61" s="120"/>
      <c r="V61" s="120"/>
      <c r="W61" s="120"/>
      <c r="X61" s="120"/>
      <c r="CB61" s="6"/>
    </row>
    <row r="62" spans="1:80" x14ac:dyDescent="0.25">
      <c r="F62" s="23"/>
      <c r="G62" s="152"/>
      <c r="H62" s="139"/>
      <c r="U62" s="120"/>
      <c r="V62" s="120"/>
      <c r="W62" s="120"/>
      <c r="X62" s="120"/>
      <c r="CB62" s="6"/>
    </row>
    <row r="63" spans="1:80" x14ac:dyDescent="0.25">
      <c r="U63" s="120"/>
      <c r="V63" s="120"/>
      <c r="W63" s="120"/>
      <c r="X63" s="120"/>
      <c r="CB63" s="6"/>
    </row>
    <row r="64" spans="1:80" x14ac:dyDescent="0.25">
      <c r="C64" s="73"/>
      <c r="D64" s="71"/>
      <c r="F64" s="71"/>
      <c r="I64" s="160"/>
      <c r="K64" s="76"/>
      <c r="L64" s="75"/>
      <c r="O64" s="74"/>
      <c r="U64" s="120"/>
      <c r="V64" s="120"/>
      <c r="W64" s="120"/>
      <c r="X64" s="120"/>
      <c r="CB64" s="6"/>
    </row>
    <row r="65" spans="2:80" x14ac:dyDescent="0.25">
      <c r="B65" s="130"/>
      <c r="C65" s="61"/>
      <c r="D65" s="55"/>
      <c r="E65" s="139"/>
      <c r="F65" s="130"/>
      <c r="G65" s="152"/>
      <c r="H65" s="139"/>
      <c r="I65" s="156"/>
      <c r="U65" s="120"/>
      <c r="V65" s="120"/>
      <c r="W65" s="120"/>
      <c r="X65" s="120"/>
      <c r="CB65" s="6"/>
    </row>
    <row r="66" spans="2:80" x14ac:dyDescent="0.25">
      <c r="D66" s="55"/>
      <c r="E66" s="61"/>
      <c r="F66" s="130"/>
      <c r="G66" s="152"/>
      <c r="H66" s="139"/>
      <c r="I66" s="156"/>
      <c r="U66" s="120"/>
      <c r="V66" s="120"/>
      <c r="W66" s="120"/>
      <c r="X66" s="120"/>
      <c r="CB66" s="6"/>
    </row>
    <row r="67" spans="2:80" x14ac:dyDescent="0.25">
      <c r="B67" s="130"/>
      <c r="C67" s="139"/>
      <c r="D67" s="130"/>
      <c r="E67" s="139"/>
      <c r="F67" s="130"/>
      <c r="I67" s="156"/>
      <c r="K67" s="133"/>
      <c r="CB67" s="6"/>
    </row>
    <row r="68" spans="2:80" x14ac:dyDescent="0.25">
      <c r="C68" s="73"/>
      <c r="D68" s="80"/>
      <c r="F68" s="71"/>
      <c r="I68" s="160"/>
      <c r="K68" s="76"/>
      <c r="L68" s="75"/>
      <c r="N68" s="77"/>
      <c r="O68" s="74"/>
      <c r="CB68" s="6"/>
    </row>
    <row r="69" spans="2:80" x14ac:dyDescent="0.25">
      <c r="C69" s="73"/>
      <c r="D69" s="80"/>
      <c r="F69" s="71"/>
      <c r="I69" s="160"/>
      <c r="K69" s="76"/>
      <c r="CB69" s="6"/>
    </row>
    <row r="70" spans="2:80" x14ac:dyDescent="0.25">
      <c r="C70" s="73"/>
      <c r="D70" s="71"/>
      <c r="F70" s="71"/>
      <c r="I70" s="160"/>
      <c r="K70" s="76"/>
      <c r="L70" s="75"/>
      <c r="N70" s="76"/>
      <c r="CB70" s="6"/>
    </row>
    <row r="71" spans="2:80" x14ac:dyDescent="0.25">
      <c r="C71" s="81"/>
      <c r="D71" s="80"/>
      <c r="F71" s="71"/>
      <c r="I71" s="160"/>
      <c r="K71" s="76"/>
      <c r="CB71" s="6"/>
    </row>
    <row r="72" spans="2:80" x14ac:dyDescent="0.25">
      <c r="C72" s="73"/>
      <c r="D72" s="80"/>
      <c r="E72" s="73"/>
      <c r="F72" s="71"/>
      <c r="I72" s="160"/>
      <c r="CB72" s="6"/>
    </row>
    <row r="73" spans="2:80" x14ac:dyDescent="0.25">
      <c r="C73" s="73"/>
      <c r="D73" s="80"/>
      <c r="F73" s="71"/>
      <c r="G73" s="152"/>
      <c r="H73" s="139"/>
      <c r="I73" s="160"/>
      <c r="CB73" s="6"/>
    </row>
    <row r="74" spans="2:80" x14ac:dyDescent="0.25">
      <c r="C74" s="73"/>
      <c r="D74" s="71"/>
      <c r="F74" s="71"/>
      <c r="I74" s="160"/>
      <c r="CB74" s="6"/>
    </row>
    <row r="75" spans="2:80" x14ac:dyDescent="0.25">
      <c r="C75" s="73"/>
      <c r="D75" s="80"/>
      <c r="F75" s="71"/>
      <c r="G75" s="152"/>
      <c r="H75" s="139"/>
      <c r="I75" s="160"/>
      <c r="L75" s="78"/>
      <c r="CB75" s="6"/>
    </row>
    <row r="76" spans="2:80" x14ac:dyDescent="0.25">
      <c r="C76" s="73"/>
      <c r="D76" s="71"/>
      <c r="E76" s="73"/>
      <c r="F76" s="71"/>
      <c r="CB76" s="6"/>
    </row>
    <row r="77" spans="2:80" x14ac:dyDescent="0.25">
      <c r="D77" s="71"/>
      <c r="E77" s="73"/>
      <c r="F77" s="71"/>
      <c r="CB77" s="6"/>
    </row>
    <row r="78" spans="2:80" x14ac:dyDescent="0.25">
      <c r="F78" s="71"/>
      <c r="G78" s="152"/>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160"/>
      <c r="CB81" s="6"/>
    </row>
    <row r="82" spans="2:80" x14ac:dyDescent="0.25">
      <c r="C82" s="81"/>
      <c r="D82" s="80"/>
      <c r="E82" s="81"/>
      <c r="F82" s="115"/>
      <c r="CB82" s="6"/>
    </row>
    <row r="83" spans="2:80" x14ac:dyDescent="0.25">
      <c r="D83" s="90"/>
      <c r="F83" s="90"/>
      <c r="G83" s="152"/>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160"/>
      <c r="K87" s="63"/>
      <c r="CB87" s="6"/>
    </row>
    <row r="88" spans="2:80" x14ac:dyDescent="0.25">
      <c r="B88" s="130"/>
      <c r="E88" s="86"/>
      <c r="I88" s="164"/>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160"/>
      <c r="K110" s="63"/>
      <c r="CB110" s="6"/>
    </row>
    <row r="111" spans="2:80" x14ac:dyDescent="0.25">
      <c r="B111" s="130"/>
      <c r="C111" s="61"/>
      <c r="E111" s="61"/>
      <c r="F111" s="55"/>
      <c r="I111" s="165"/>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165"/>
      <c r="K116" s="63"/>
      <c r="CB116" s="6"/>
    </row>
    <row r="117" spans="2:80" x14ac:dyDescent="0.25">
      <c r="D117" s="55"/>
      <c r="E117" s="61"/>
      <c r="F117" s="55"/>
      <c r="G117" s="152"/>
      <c r="H117" s="139"/>
      <c r="CB117" s="6"/>
    </row>
    <row r="118" spans="2:80" x14ac:dyDescent="0.25">
      <c r="E118" s="61"/>
      <c r="F118" s="55"/>
      <c r="I118" s="165"/>
      <c r="K118" s="63"/>
      <c r="CB118" s="6"/>
    </row>
    <row r="119" spans="2:80" x14ac:dyDescent="0.25">
      <c r="D119" s="55"/>
      <c r="E119" s="61"/>
      <c r="F119" s="55"/>
      <c r="I119" s="165"/>
      <c r="J119" s="62"/>
      <c r="K119" s="63"/>
      <c r="L119" s="65"/>
      <c r="N119" s="63"/>
      <c r="CB119" s="6"/>
    </row>
    <row r="120" spans="2:80" x14ac:dyDescent="0.25">
      <c r="E120" s="61"/>
      <c r="F120" s="55"/>
      <c r="I120" s="165"/>
      <c r="K120" s="63"/>
      <c r="CB120" s="6"/>
    </row>
    <row r="121" spans="2:80" x14ac:dyDescent="0.25">
      <c r="D121" s="55"/>
      <c r="E121" s="61"/>
      <c r="F121" s="55"/>
      <c r="I121" s="165"/>
      <c r="K121" s="66"/>
      <c r="L121" s="67"/>
      <c r="M121" s="62"/>
      <c r="N121" s="66"/>
      <c r="P121" s="62"/>
      <c r="Q121" s="70"/>
      <c r="CB121" s="6"/>
    </row>
    <row r="122" spans="2:80" x14ac:dyDescent="0.25">
      <c r="D122" s="55"/>
      <c r="E122" s="61"/>
      <c r="F122" s="55"/>
      <c r="I122" s="165"/>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165"/>
      <c r="K125" s="63"/>
      <c r="CB125" s="6"/>
    </row>
    <row r="126" spans="2:80" x14ac:dyDescent="0.25">
      <c r="D126" s="55"/>
      <c r="E126" s="61"/>
      <c r="F126" s="55"/>
      <c r="K126" s="63"/>
      <c r="CB126" s="6"/>
    </row>
    <row r="127" spans="2:80" x14ac:dyDescent="0.25">
      <c r="B127" s="130"/>
      <c r="D127" s="94"/>
      <c r="E127" s="96"/>
      <c r="F127" s="98"/>
      <c r="CB127" s="6"/>
    </row>
    <row r="128" spans="2:80" x14ac:dyDescent="0.25">
      <c r="G128" s="152"/>
      <c r="H128" s="139"/>
      <c r="U128" s="120"/>
      <c r="V128" s="120"/>
      <c r="W128" s="120"/>
      <c r="X128" s="120"/>
      <c r="CB128" s="6"/>
    </row>
    <row r="129" spans="2:80" x14ac:dyDescent="0.25">
      <c r="B129" s="130"/>
      <c r="D129" s="94"/>
      <c r="E129" s="101"/>
      <c r="F129" s="102"/>
      <c r="G129" s="152"/>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52"/>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52"/>
      <c r="H136" s="139"/>
      <c r="U136" s="120"/>
      <c r="V136" s="120"/>
      <c r="W136" s="120"/>
      <c r="X136" s="120"/>
      <c r="CB136" s="6"/>
    </row>
    <row r="137" spans="2:80" x14ac:dyDescent="0.25">
      <c r="G137" s="152"/>
      <c r="H137" s="139"/>
      <c r="U137" s="120"/>
      <c r="V137" s="120"/>
      <c r="W137" s="120"/>
      <c r="X137" s="120"/>
      <c r="CB137" s="6"/>
    </row>
    <row r="138" spans="2:80" x14ac:dyDescent="0.25">
      <c r="G138" s="155"/>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29" activePane="bottomRight" state="frozen"/>
      <selection pane="topRight" activeCell="G1" sqref="G1"/>
      <selection pane="bottomLeft" activeCell="A2" sqref="A2"/>
      <selection pane="bottomRight" activeCell="A58" sqref="A58"/>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153" customWidth="1"/>
    <col min="11" max="11" width="45.5703125" style="33" customWidth="1"/>
    <col min="12" max="12" width="11.5703125" style="157"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66"/>
      <c r="G1" s="126"/>
      <c r="H1" s="139"/>
      <c r="I1" s="130"/>
      <c r="J1" s="152"/>
      <c r="K1" s="139"/>
      <c r="L1" s="169"/>
      <c r="M1" s="170"/>
      <c r="N1" s="151"/>
      <c r="O1" s="134"/>
      <c r="P1" s="135"/>
      <c r="Q1" s="136"/>
      <c r="R1" s="135"/>
      <c r="S1" s="135"/>
      <c r="T1" s="137"/>
      <c r="U1" s="142"/>
    </row>
    <row r="2" spans="1:80" x14ac:dyDescent="0.25">
      <c r="T2" s="125"/>
    </row>
    <row r="5" spans="1:80" s="47" customFormat="1" ht="26.25" thickBot="1" x14ac:dyDescent="0.3">
      <c r="A5" s="108" t="s">
        <v>787</v>
      </c>
      <c r="B5" s="108" t="s">
        <v>1904</v>
      </c>
      <c r="C5" s="107" t="s">
        <v>2160</v>
      </c>
      <c r="D5" s="108" t="s">
        <v>1534</v>
      </c>
      <c r="E5" s="108" t="s">
        <v>2161</v>
      </c>
      <c r="F5" s="110" t="s">
        <v>2162</v>
      </c>
      <c r="G5" s="108" t="s">
        <v>884</v>
      </c>
      <c r="H5" s="110" t="s">
        <v>1527</v>
      </c>
      <c r="I5" s="108" t="s">
        <v>1974</v>
      </c>
      <c r="J5" s="108" t="s">
        <v>84</v>
      </c>
      <c r="K5" s="110" t="s">
        <v>2103</v>
      </c>
      <c r="L5" s="107" t="s">
        <v>1203</v>
      </c>
      <c r="M5" s="107" t="s">
        <v>1204</v>
      </c>
      <c r="N5" s="112" t="s">
        <v>1895</v>
      </c>
      <c r="O5" s="111" t="s">
        <v>1206</v>
      </c>
      <c r="P5" s="107" t="s">
        <v>1207</v>
      </c>
      <c r="Q5" s="112" t="s">
        <v>1896</v>
      </c>
      <c r="R5" s="107" t="s">
        <v>1208</v>
      </c>
      <c r="S5" s="107" t="s">
        <v>1209</v>
      </c>
      <c r="T5" s="109" t="s">
        <v>1897</v>
      </c>
      <c r="U5" s="122" t="s">
        <v>53</v>
      </c>
      <c r="V5" s="118" t="s">
        <v>908</v>
      </c>
      <c r="W5" s="119" t="s">
        <v>706</v>
      </c>
      <c r="X5" s="119" t="s">
        <v>1229</v>
      </c>
      <c r="Y5" s="119" t="s">
        <v>1230</v>
      </c>
      <c r="Z5" s="119" t="s">
        <v>1231</v>
      </c>
      <c r="AA5" s="119" t="s">
        <v>1236</v>
      </c>
      <c r="AB5" s="119" t="s">
        <v>1674</v>
      </c>
      <c r="AC5" s="119" t="s">
        <v>1226</v>
      </c>
      <c r="AD5" s="119" t="s">
        <v>2105</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1233</v>
      </c>
      <c r="CB5" s="49" t="s">
        <v>699</v>
      </c>
    </row>
    <row r="6" spans="1:80" x14ac:dyDescent="0.25">
      <c r="A6" s="129" t="s">
        <v>786</v>
      </c>
      <c r="B6" s="168"/>
      <c r="C6" s="172" t="s">
        <v>206</v>
      </c>
      <c r="D6" s="168" t="s">
        <v>451</v>
      </c>
      <c r="E6" s="168" t="s">
        <v>911</v>
      </c>
      <c r="F6" s="146" t="s">
        <v>911</v>
      </c>
      <c r="G6" s="168" t="s">
        <v>206</v>
      </c>
      <c r="H6" s="166" t="s">
        <v>200</v>
      </c>
      <c r="I6" s="168" t="s">
        <v>2265</v>
      </c>
      <c r="J6" s="152"/>
      <c r="K6" s="139"/>
      <c r="L6" s="169" t="s">
        <v>53</v>
      </c>
      <c r="M6" s="170"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tags\andorra\_index.md</v>
      </c>
    </row>
    <row r="7" spans="1:80" x14ac:dyDescent="0.25">
      <c r="A7" s="129" t="s">
        <v>786</v>
      </c>
      <c r="B7" s="168"/>
      <c r="C7" s="172" t="s">
        <v>207</v>
      </c>
      <c r="D7" s="168" t="s">
        <v>452</v>
      </c>
      <c r="E7" s="168" t="s">
        <v>912</v>
      </c>
      <c r="F7" s="140" t="s">
        <v>912</v>
      </c>
      <c r="G7" s="168" t="s">
        <v>207</v>
      </c>
      <c r="H7" s="166"/>
      <c r="I7" s="168" t="s">
        <v>2537</v>
      </c>
      <c r="L7" s="169" t="s">
        <v>53</v>
      </c>
      <c r="M7" s="170"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tags\uae\_index.md</v>
      </c>
    </row>
    <row r="8" spans="1:80" x14ac:dyDescent="0.25">
      <c r="A8" s="129" t="s">
        <v>786</v>
      </c>
      <c r="B8" s="168"/>
      <c r="C8" s="172" t="s">
        <v>208</v>
      </c>
      <c r="D8" s="168" t="s">
        <v>453</v>
      </c>
      <c r="E8" s="168" t="s">
        <v>913</v>
      </c>
      <c r="F8" s="33" t="s">
        <v>913</v>
      </c>
      <c r="G8" s="168" t="s">
        <v>208</v>
      </c>
      <c r="H8" s="166"/>
      <c r="I8" s="168" t="s">
        <v>2266</v>
      </c>
      <c r="L8" s="169" t="s">
        <v>53</v>
      </c>
      <c r="M8" s="170"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tags\afghanistan\_index.md</v>
      </c>
    </row>
    <row r="9" spans="1:80" x14ac:dyDescent="0.25">
      <c r="A9" s="129" t="s">
        <v>786</v>
      </c>
      <c r="B9" s="168"/>
      <c r="C9" s="172" t="s">
        <v>209</v>
      </c>
      <c r="D9" s="168" t="s">
        <v>454</v>
      </c>
      <c r="E9" s="168" t="s">
        <v>914</v>
      </c>
      <c r="F9" s="33" t="s">
        <v>914</v>
      </c>
      <c r="G9" s="168" t="s">
        <v>209</v>
      </c>
      <c r="H9" s="166"/>
      <c r="I9" s="168" t="s">
        <v>2267</v>
      </c>
      <c r="J9" s="152"/>
      <c r="K9" s="139"/>
      <c r="L9" s="169" t="s">
        <v>53</v>
      </c>
      <c r="M9" s="170"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tags\antigua-barbuda\_index.md</v>
      </c>
    </row>
    <row r="10" spans="1:80" x14ac:dyDescent="0.25">
      <c r="A10" s="129" t="s">
        <v>786</v>
      </c>
      <c r="B10" s="168"/>
      <c r="C10" s="172" t="s">
        <v>210</v>
      </c>
      <c r="D10" s="168" t="s">
        <v>455</v>
      </c>
      <c r="E10" s="168" t="s">
        <v>915</v>
      </c>
      <c r="F10" s="33" t="s">
        <v>915</v>
      </c>
      <c r="G10" s="168" t="s">
        <v>210</v>
      </c>
      <c r="H10" s="166"/>
      <c r="I10" s="168" t="s">
        <v>2268</v>
      </c>
      <c r="L10" s="169" t="s">
        <v>53</v>
      </c>
      <c r="M10" s="170"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tags\anguilla\_index.md</v>
      </c>
    </row>
    <row r="11" spans="1:80" x14ac:dyDescent="0.25">
      <c r="A11" s="129" t="s">
        <v>786</v>
      </c>
      <c r="B11" s="168"/>
      <c r="C11" s="172" t="s">
        <v>211</v>
      </c>
      <c r="D11" s="168" t="s">
        <v>456</v>
      </c>
      <c r="E11" s="168" t="s">
        <v>916</v>
      </c>
      <c r="F11" s="139" t="s">
        <v>916</v>
      </c>
      <c r="G11" s="168" t="s">
        <v>211</v>
      </c>
      <c r="H11" s="166"/>
      <c r="I11" s="168" t="s">
        <v>2269</v>
      </c>
      <c r="L11" s="169" t="s">
        <v>53</v>
      </c>
      <c r="M11" s="170"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tags\albania\_index.md</v>
      </c>
    </row>
    <row r="12" spans="1:80" x14ac:dyDescent="0.25">
      <c r="A12" s="129" t="s">
        <v>786</v>
      </c>
      <c r="B12" s="168"/>
      <c r="C12" s="172" t="s">
        <v>212</v>
      </c>
      <c r="D12" s="168" t="s">
        <v>457</v>
      </c>
      <c r="E12" s="168" t="s">
        <v>917</v>
      </c>
      <c r="F12" s="33" t="s">
        <v>917</v>
      </c>
      <c r="G12" s="168" t="s">
        <v>212</v>
      </c>
      <c r="H12" s="166"/>
      <c r="I12" s="168" t="s">
        <v>2270</v>
      </c>
      <c r="L12" s="169" t="s">
        <v>53</v>
      </c>
      <c r="M12" s="170"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tags\armenia\_index.md</v>
      </c>
    </row>
    <row r="13" spans="1:80" x14ac:dyDescent="0.25">
      <c r="A13" s="129" t="s">
        <v>786</v>
      </c>
      <c r="B13" s="168"/>
      <c r="C13" s="172" t="s">
        <v>213</v>
      </c>
      <c r="D13" s="168" t="s">
        <v>458</v>
      </c>
      <c r="E13" s="168" t="s">
        <v>918</v>
      </c>
      <c r="F13" s="33" t="s">
        <v>918</v>
      </c>
      <c r="G13" s="168" t="s">
        <v>213</v>
      </c>
      <c r="I13" s="168" t="s">
        <v>2271</v>
      </c>
      <c r="L13" s="169" t="s">
        <v>53</v>
      </c>
      <c r="M13" s="170"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tags\angola\_index.md</v>
      </c>
    </row>
    <row r="14" spans="1:80" x14ac:dyDescent="0.25">
      <c r="A14" s="129" t="s">
        <v>786</v>
      </c>
      <c r="B14" s="168"/>
      <c r="C14" s="172" t="s">
        <v>214</v>
      </c>
      <c r="D14" s="168" t="s">
        <v>459</v>
      </c>
      <c r="E14" s="168" t="s">
        <v>919</v>
      </c>
      <c r="F14" s="92" t="s">
        <v>919</v>
      </c>
      <c r="G14" s="168" t="s">
        <v>214</v>
      </c>
      <c r="H14" s="166"/>
      <c r="I14" s="168" t="s">
        <v>2272</v>
      </c>
      <c r="J14" s="152"/>
      <c r="K14" s="139"/>
      <c r="L14" s="169" t="s">
        <v>53</v>
      </c>
      <c r="M14" s="170"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tags\antarctica\_index.md</v>
      </c>
    </row>
    <row r="15" spans="1:80" x14ac:dyDescent="0.25">
      <c r="A15" s="129" t="s">
        <v>786</v>
      </c>
      <c r="B15" s="168"/>
      <c r="C15" s="172" t="s">
        <v>215</v>
      </c>
      <c r="D15" s="168" t="s">
        <v>460</v>
      </c>
      <c r="E15" s="168" t="s">
        <v>920</v>
      </c>
      <c r="F15" s="33" t="s">
        <v>920</v>
      </c>
      <c r="G15" s="168" t="s">
        <v>215</v>
      </c>
      <c r="H15" s="166"/>
      <c r="I15" s="168" t="s">
        <v>2273</v>
      </c>
      <c r="L15" s="169" t="s">
        <v>53</v>
      </c>
      <c r="M15" s="170"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tags\argentina\_index.md</v>
      </c>
    </row>
    <row r="16" spans="1:80" x14ac:dyDescent="0.25">
      <c r="A16" s="129" t="s">
        <v>786</v>
      </c>
      <c r="B16" s="168"/>
      <c r="C16" s="172" t="s">
        <v>216</v>
      </c>
      <c r="D16" s="168" t="s">
        <v>461</v>
      </c>
      <c r="E16" s="168" t="s">
        <v>921</v>
      </c>
      <c r="F16" s="61" t="s">
        <v>921</v>
      </c>
      <c r="G16" s="168" t="s">
        <v>216</v>
      </c>
      <c r="I16" s="168" t="s">
        <v>2274</v>
      </c>
      <c r="L16" s="169" t="s">
        <v>53</v>
      </c>
      <c r="M16" s="170"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tags\american-samoa\_index.md</v>
      </c>
    </row>
    <row r="17" spans="1:80" x14ac:dyDescent="0.25">
      <c r="A17" s="129" t="s">
        <v>786</v>
      </c>
      <c r="B17" s="55"/>
      <c r="C17" s="62" t="s">
        <v>217</v>
      </c>
      <c r="D17" s="55" t="s">
        <v>462</v>
      </c>
      <c r="E17" s="55" t="s">
        <v>922</v>
      </c>
      <c r="F17" s="61" t="s">
        <v>922</v>
      </c>
      <c r="G17" s="168" t="s">
        <v>217</v>
      </c>
      <c r="H17" s="61"/>
      <c r="I17" s="168" t="s">
        <v>2275</v>
      </c>
      <c r="L17" s="169" t="s">
        <v>53</v>
      </c>
      <c r="M17" s="170"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tags\austria\_index.md</v>
      </c>
    </row>
    <row r="18" spans="1:80" x14ac:dyDescent="0.25">
      <c r="A18" s="129" t="s">
        <v>786</v>
      </c>
      <c r="B18" s="55"/>
      <c r="C18" s="62" t="s">
        <v>218</v>
      </c>
      <c r="D18" s="55" t="s">
        <v>463</v>
      </c>
      <c r="E18" s="55" t="s">
        <v>923</v>
      </c>
      <c r="F18" s="61" t="s">
        <v>923</v>
      </c>
      <c r="G18" s="168" t="s">
        <v>218</v>
      </c>
      <c r="H18" s="61"/>
      <c r="I18" s="168" t="s">
        <v>2276</v>
      </c>
      <c r="L18" s="169" t="s">
        <v>53</v>
      </c>
      <c r="M18" s="170"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tags\australia\_index.md</v>
      </c>
    </row>
    <row r="19" spans="1:80" x14ac:dyDescent="0.25">
      <c r="A19" s="129" t="s">
        <v>786</v>
      </c>
      <c r="C19" s="1" t="s">
        <v>219</v>
      </c>
      <c r="D19" s="7" t="s">
        <v>464</v>
      </c>
      <c r="E19" s="7" t="s">
        <v>924</v>
      </c>
      <c r="F19" s="33" t="s">
        <v>924</v>
      </c>
      <c r="G19" s="168" t="s">
        <v>219</v>
      </c>
      <c r="I19" s="168" t="s">
        <v>2277</v>
      </c>
      <c r="L19" s="169" t="s">
        <v>53</v>
      </c>
      <c r="M19" s="170"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tags\aruba\_index.md</v>
      </c>
    </row>
    <row r="20" spans="1:80" x14ac:dyDescent="0.25">
      <c r="A20" s="129" t="s">
        <v>786</v>
      </c>
      <c r="C20" s="1" t="s">
        <v>444</v>
      </c>
      <c r="D20" s="7" t="s">
        <v>465</v>
      </c>
      <c r="E20" s="7" t="s">
        <v>925</v>
      </c>
      <c r="F20" s="33" t="s">
        <v>925</v>
      </c>
      <c r="G20" s="168" t="s">
        <v>444</v>
      </c>
      <c r="I20" s="168" t="s">
        <v>2278</v>
      </c>
      <c r="J20" s="152"/>
      <c r="K20" s="139"/>
      <c r="L20" s="169" t="s">
        <v>53</v>
      </c>
      <c r="M20" s="170"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tags\aland-islands\_index.md</v>
      </c>
    </row>
    <row r="21" spans="1:80" x14ac:dyDescent="0.25">
      <c r="A21" s="129" t="s">
        <v>786</v>
      </c>
      <c r="C21" s="1" t="s">
        <v>220</v>
      </c>
      <c r="D21" s="7" t="s">
        <v>466</v>
      </c>
      <c r="E21" s="7" t="s">
        <v>926</v>
      </c>
      <c r="F21" s="38" t="s">
        <v>926</v>
      </c>
      <c r="G21" s="168" t="s">
        <v>220</v>
      </c>
      <c r="I21" s="168" t="s">
        <v>2279</v>
      </c>
      <c r="L21" s="169" t="s">
        <v>53</v>
      </c>
      <c r="M21" s="170"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tags\azerbaijan\_index.md</v>
      </c>
    </row>
    <row r="22" spans="1:80" x14ac:dyDescent="0.25">
      <c r="A22" s="129" t="s">
        <v>786</v>
      </c>
      <c r="B22" s="10"/>
      <c r="C22" s="22" t="s">
        <v>221</v>
      </c>
      <c r="D22" s="10" t="s">
        <v>467</v>
      </c>
      <c r="E22" s="10" t="s">
        <v>927</v>
      </c>
      <c r="F22" s="33" t="s">
        <v>927</v>
      </c>
      <c r="G22" s="168" t="s">
        <v>221</v>
      </c>
      <c r="I22" s="168" t="s">
        <v>2280</v>
      </c>
      <c r="J22" s="152"/>
      <c r="K22" s="139"/>
      <c r="L22" s="169" t="s">
        <v>53</v>
      </c>
      <c r="M22" s="170"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tags\bosnia-herzegovina\_index.md</v>
      </c>
    </row>
    <row r="23" spans="1:80" x14ac:dyDescent="0.25">
      <c r="A23" s="129" t="s">
        <v>786</v>
      </c>
      <c r="C23" s="1" t="s">
        <v>222</v>
      </c>
      <c r="D23" s="7" t="s">
        <v>468</v>
      </c>
      <c r="E23" s="7" t="s">
        <v>928</v>
      </c>
      <c r="F23" s="33" t="s">
        <v>928</v>
      </c>
      <c r="G23" s="168" t="s">
        <v>222</v>
      </c>
      <c r="H23" s="166"/>
      <c r="I23" s="168" t="s">
        <v>2281</v>
      </c>
      <c r="J23" s="152"/>
      <c r="K23" s="139"/>
      <c r="L23" s="169" t="s">
        <v>53</v>
      </c>
      <c r="M23" s="170"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tags\barbados\_index.md</v>
      </c>
    </row>
    <row r="24" spans="1:80" x14ac:dyDescent="0.25">
      <c r="A24" s="129" t="s">
        <v>786</v>
      </c>
      <c r="B24" s="168"/>
      <c r="C24" s="172" t="s">
        <v>223</v>
      </c>
      <c r="D24" s="168" t="s">
        <v>469</v>
      </c>
      <c r="E24" s="168" t="s">
        <v>929</v>
      </c>
      <c r="F24" s="81" t="s">
        <v>929</v>
      </c>
      <c r="G24" s="168" t="s">
        <v>223</v>
      </c>
      <c r="H24" s="166"/>
      <c r="I24" s="168" t="s">
        <v>2282</v>
      </c>
      <c r="L24" s="169" t="s">
        <v>53</v>
      </c>
      <c r="M24" s="170"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tags\bangladesh\_index.md</v>
      </c>
    </row>
    <row r="25" spans="1:80" x14ac:dyDescent="0.25">
      <c r="A25" s="129" t="s">
        <v>786</v>
      </c>
      <c r="B25" s="168"/>
      <c r="C25" s="172" t="s">
        <v>224</v>
      </c>
      <c r="D25" s="168" t="s">
        <v>470</v>
      </c>
      <c r="E25" s="168" t="s">
        <v>930</v>
      </c>
      <c r="F25" s="33" t="s">
        <v>930</v>
      </c>
      <c r="G25" s="168" t="s">
        <v>224</v>
      </c>
      <c r="H25" s="166"/>
      <c r="I25" s="168" t="s">
        <v>2283</v>
      </c>
      <c r="L25" s="169" t="s">
        <v>53</v>
      </c>
      <c r="M25" s="170"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tags\belgium\_index.md</v>
      </c>
    </row>
    <row r="26" spans="1:80" x14ac:dyDescent="0.25">
      <c r="A26" s="129" t="s">
        <v>786</v>
      </c>
      <c r="B26" s="168"/>
      <c r="C26" s="172" t="s">
        <v>225</v>
      </c>
      <c r="D26" s="168" t="s">
        <v>471</v>
      </c>
      <c r="E26" s="168" t="s">
        <v>931</v>
      </c>
      <c r="F26" s="33" t="s">
        <v>931</v>
      </c>
      <c r="G26" s="168" t="s">
        <v>225</v>
      </c>
      <c r="H26" s="166"/>
      <c r="I26" s="168" t="s">
        <v>2284</v>
      </c>
      <c r="J26" s="152"/>
      <c r="K26" s="139"/>
      <c r="L26" s="169" t="s">
        <v>53</v>
      </c>
      <c r="M26" s="170"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tags\burkina-faso\_index.md</v>
      </c>
    </row>
    <row r="27" spans="1:80" x14ac:dyDescent="0.25">
      <c r="A27" s="129" t="s">
        <v>786</v>
      </c>
      <c r="C27" s="1" t="s">
        <v>226</v>
      </c>
      <c r="D27" s="7" t="s">
        <v>472</v>
      </c>
      <c r="E27" s="7" t="s">
        <v>932</v>
      </c>
      <c r="F27" s="33" t="s">
        <v>932</v>
      </c>
      <c r="G27" s="55" t="s">
        <v>226</v>
      </c>
      <c r="H27" s="61"/>
      <c r="I27" s="168" t="s">
        <v>2285</v>
      </c>
      <c r="L27" s="169" t="s">
        <v>53</v>
      </c>
      <c r="M27" s="170"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tags\bulgaria\_index.md</v>
      </c>
    </row>
    <row r="28" spans="1:80" x14ac:dyDescent="0.25">
      <c r="A28" s="129" t="s">
        <v>786</v>
      </c>
      <c r="B28" s="130"/>
      <c r="C28" s="132" t="s">
        <v>227</v>
      </c>
      <c r="D28" s="130" t="s">
        <v>473</v>
      </c>
      <c r="E28" s="130" t="s">
        <v>933</v>
      </c>
      <c r="F28" s="73" t="s">
        <v>933</v>
      </c>
      <c r="G28" s="71" t="s">
        <v>227</v>
      </c>
      <c r="H28" s="73"/>
      <c r="I28" s="168" t="s">
        <v>2286</v>
      </c>
      <c r="L28" s="169" t="s">
        <v>53</v>
      </c>
      <c r="M28" s="170"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tags\bahrain\_index.md</v>
      </c>
    </row>
    <row r="29" spans="1:80" x14ac:dyDescent="0.25">
      <c r="A29" s="129" t="s">
        <v>786</v>
      </c>
      <c r="C29" s="1" t="s">
        <v>228</v>
      </c>
      <c r="D29" s="7" t="s">
        <v>474</v>
      </c>
      <c r="E29" s="7" t="s">
        <v>934</v>
      </c>
      <c r="F29" s="33" t="s">
        <v>934</v>
      </c>
      <c r="G29" s="71" t="s">
        <v>228</v>
      </c>
      <c r="H29" s="73"/>
      <c r="I29" s="168" t="s">
        <v>2287</v>
      </c>
      <c r="L29" s="169" t="s">
        <v>53</v>
      </c>
      <c r="M29" s="170"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tags\burundi\_index.md</v>
      </c>
    </row>
    <row r="30" spans="1:80" x14ac:dyDescent="0.25">
      <c r="A30" s="129" t="s">
        <v>786</v>
      </c>
      <c r="C30" s="1" t="s">
        <v>229</v>
      </c>
      <c r="D30" s="7" t="s">
        <v>475</v>
      </c>
      <c r="E30" s="7" t="s">
        <v>935</v>
      </c>
      <c r="F30" s="73" t="s">
        <v>935</v>
      </c>
      <c r="G30" s="71" t="s">
        <v>229</v>
      </c>
      <c r="I30" s="168" t="s">
        <v>2288</v>
      </c>
      <c r="L30" s="169" t="s">
        <v>53</v>
      </c>
      <c r="M30" s="170"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tags\benin\_index.md</v>
      </c>
    </row>
    <row r="31" spans="1:80" x14ac:dyDescent="0.25">
      <c r="A31" s="129" t="s">
        <v>786</v>
      </c>
      <c r="B31" s="130"/>
      <c r="C31" s="132" t="s">
        <v>443</v>
      </c>
      <c r="D31" s="130" t="s">
        <v>476</v>
      </c>
      <c r="E31" s="130" t="s">
        <v>936</v>
      </c>
      <c r="F31" s="139" t="s">
        <v>936</v>
      </c>
      <c r="G31" s="23" t="s">
        <v>443</v>
      </c>
      <c r="H31" s="139"/>
      <c r="I31" s="168" t="s">
        <v>2289</v>
      </c>
      <c r="J31" s="152"/>
      <c r="K31" s="139"/>
      <c r="L31" s="169" t="s">
        <v>53</v>
      </c>
      <c r="M31" s="170"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tags\saint-barthelemy\_index.md</v>
      </c>
    </row>
    <row r="32" spans="1:80" x14ac:dyDescent="0.25">
      <c r="A32" s="129" t="s">
        <v>786</v>
      </c>
      <c r="B32" s="130"/>
      <c r="C32" s="132" t="s">
        <v>230</v>
      </c>
      <c r="D32" s="130" t="s">
        <v>477</v>
      </c>
      <c r="E32" s="130" t="s">
        <v>937</v>
      </c>
      <c r="F32" s="139" t="s">
        <v>937</v>
      </c>
      <c r="G32" s="7" t="s">
        <v>230</v>
      </c>
      <c r="I32" s="168" t="s">
        <v>2290</v>
      </c>
      <c r="L32" s="169" t="s">
        <v>53</v>
      </c>
      <c r="M32" s="170"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tags\bermuda\_index.md</v>
      </c>
    </row>
    <row r="33" spans="1:80" x14ac:dyDescent="0.25">
      <c r="A33" s="129" t="s">
        <v>786</v>
      </c>
      <c r="B33" s="130"/>
      <c r="C33" s="132" t="s">
        <v>231</v>
      </c>
      <c r="D33" s="130" t="s">
        <v>478</v>
      </c>
      <c r="E33" s="130" t="s">
        <v>938</v>
      </c>
      <c r="F33" s="139" t="s">
        <v>938</v>
      </c>
      <c r="G33" s="130" t="s">
        <v>231</v>
      </c>
      <c r="H33" s="37"/>
      <c r="I33" s="168" t="s">
        <v>2291</v>
      </c>
      <c r="L33" s="169" t="s">
        <v>53</v>
      </c>
      <c r="M33" s="170"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tags\brunei\_index.md</v>
      </c>
    </row>
    <row r="34" spans="1:80" x14ac:dyDescent="0.25">
      <c r="A34" s="129" t="s">
        <v>786</v>
      </c>
      <c r="B34" s="130"/>
      <c r="C34" s="132" t="s">
        <v>421</v>
      </c>
      <c r="D34" s="130" t="s">
        <v>479</v>
      </c>
      <c r="E34" s="130" t="s">
        <v>939</v>
      </c>
      <c r="F34" s="33" t="s">
        <v>939</v>
      </c>
      <c r="G34" s="7" t="s">
        <v>421</v>
      </c>
      <c r="I34" s="168" t="s">
        <v>2292</v>
      </c>
      <c r="J34" s="152"/>
      <c r="K34" s="139"/>
      <c r="L34" s="169" t="s">
        <v>53</v>
      </c>
      <c r="M34" s="170"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tags\bolivia\_index.md</v>
      </c>
    </row>
    <row r="35" spans="1:80" x14ac:dyDescent="0.25">
      <c r="A35" s="129" t="s">
        <v>786</v>
      </c>
      <c r="B35" s="130"/>
      <c r="C35" s="132" t="s">
        <v>232</v>
      </c>
      <c r="D35" s="130" t="s">
        <v>480</v>
      </c>
      <c r="E35" s="130" t="s">
        <v>940</v>
      </c>
      <c r="F35" s="33" t="s">
        <v>940</v>
      </c>
      <c r="G35" s="7" t="s">
        <v>232</v>
      </c>
      <c r="I35" s="168" t="s">
        <v>2293</v>
      </c>
      <c r="J35" s="152"/>
      <c r="K35" s="139"/>
      <c r="L35" s="169" t="s">
        <v>53</v>
      </c>
      <c r="M35" s="170"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tags\bonaire\_index.md</v>
      </c>
    </row>
    <row r="36" spans="1:80" x14ac:dyDescent="0.25">
      <c r="A36" s="129" t="s">
        <v>786</v>
      </c>
      <c r="C36" s="1" t="s">
        <v>233</v>
      </c>
      <c r="D36" s="7" t="s">
        <v>481</v>
      </c>
      <c r="E36" s="7" t="s">
        <v>941</v>
      </c>
      <c r="F36" s="33" t="s">
        <v>941</v>
      </c>
      <c r="G36" s="7" t="s">
        <v>233</v>
      </c>
      <c r="I36" s="168" t="s">
        <v>2294</v>
      </c>
      <c r="J36" s="152"/>
      <c r="K36" s="139"/>
      <c r="L36" s="169" t="s">
        <v>53</v>
      </c>
      <c r="M36" s="170"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tags\brazil\_index.md</v>
      </c>
    </row>
    <row r="37" spans="1:80" x14ac:dyDescent="0.25">
      <c r="A37" s="129" t="s">
        <v>786</v>
      </c>
      <c r="B37" s="10"/>
      <c r="C37" s="22" t="s">
        <v>234</v>
      </c>
      <c r="D37" s="10" t="s">
        <v>482</v>
      </c>
      <c r="E37" s="10" t="s">
        <v>942</v>
      </c>
      <c r="F37" s="38" t="s">
        <v>942</v>
      </c>
      <c r="G37" s="7" t="s">
        <v>234</v>
      </c>
      <c r="I37" s="168" t="s">
        <v>2538</v>
      </c>
      <c r="J37" s="152"/>
      <c r="K37" s="139"/>
      <c r="L37" s="169" t="s">
        <v>53</v>
      </c>
      <c r="M37" s="170"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tags\bahamas\_index.md</v>
      </c>
    </row>
    <row r="38" spans="1:80" x14ac:dyDescent="0.25">
      <c r="A38" s="129" t="s">
        <v>786</v>
      </c>
      <c r="C38" s="1" t="s">
        <v>235</v>
      </c>
      <c r="D38" s="7" t="s">
        <v>483</v>
      </c>
      <c r="E38" s="7" t="s">
        <v>943</v>
      </c>
      <c r="F38" s="33" t="s">
        <v>943</v>
      </c>
      <c r="G38" s="7" t="s">
        <v>235</v>
      </c>
      <c r="I38" s="168" t="s">
        <v>2295</v>
      </c>
      <c r="L38" s="169" t="s">
        <v>53</v>
      </c>
      <c r="M38" s="170"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tags\bhutan\_index.md</v>
      </c>
    </row>
    <row r="39" spans="1:80" x14ac:dyDescent="0.25">
      <c r="A39" s="129" t="s">
        <v>786</v>
      </c>
      <c r="C39" s="1" t="s">
        <v>236</v>
      </c>
      <c r="D39" s="7" t="s">
        <v>484</v>
      </c>
      <c r="E39" s="7" t="s">
        <v>944</v>
      </c>
      <c r="F39" s="33" t="s">
        <v>944</v>
      </c>
      <c r="G39" s="7" t="s">
        <v>236</v>
      </c>
      <c r="I39" s="168" t="s">
        <v>2539</v>
      </c>
      <c r="L39" s="169" t="s">
        <v>53</v>
      </c>
      <c r="M39" s="170"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tags\bouvet-island\_index.md</v>
      </c>
    </row>
    <row r="40" spans="1:80" x14ac:dyDescent="0.25">
      <c r="A40" s="129" t="s">
        <v>786</v>
      </c>
      <c r="C40" s="1" t="s">
        <v>237</v>
      </c>
      <c r="D40" s="7" t="s">
        <v>485</v>
      </c>
      <c r="E40" s="7" t="s">
        <v>945</v>
      </c>
      <c r="F40" s="33" t="s">
        <v>945</v>
      </c>
      <c r="G40" s="7" t="s">
        <v>237</v>
      </c>
      <c r="I40" s="168" t="s">
        <v>2296</v>
      </c>
      <c r="L40" s="169" t="s">
        <v>53</v>
      </c>
      <c r="M40" s="170"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tags\botswana\_index.md</v>
      </c>
    </row>
    <row r="41" spans="1:80" x14ac:dyDescent="0.25">
      <c r="A41" s="129" t="s">
        <v>786</v>
      </c>
      <c r="B41" s="130"/>
      <c r="C41" s="132" t="s">
        <v>238</v>
      </c>
      <c r="D41" s="130" t="s">
        <v>486</v>
      </c>
      <c r="E41" s="130" t="s">
        <v>946</v>
      </c>
      <c r="F41" s="61" t="s">
        <v>946</v>
      </c>
      <c r="G41" s="7" t="s">
        <v>238</v>
      </c>
      <c r="H41" s="61"/>
      <c r="I41" s="168" t="s">
        <v>2297</v>
      </c>
      <c r="J41" s="152"/>
      <c r="K41" s="139"/>
      <c r="L41" s="169" t="s">
        <v>53</v>
      </c>
      <c r="M41" s="170"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tags\belarus\_index.md</v>
      </c>
    </row>
    <row r="42" spans="1:80" x14ac:dyDescent="0.25">
      <c r="A42" s="129" t="s">
        <v>786</v>
      </c>
      <c r="B42" s="130"/>
      <c r="C42" s="132" t="s">
        <v>239</v>
      </c>
      <c r="D42" s="130" t="s">
        <v>487</v>
      </c>
      <c r="E42" s="130" t="s">
        <v>947</v>
      </c>
      <c r="F42" s="33" t="s">
        <v>947</v>
      </c>
      <c r="G42" s="55" t="s">
        <v>239</v>
      </c>
      <c r="H42" s="61"/>
      <c r="I42" s="168" t="s">
        <v>2298</v>
      </c>
      <c r="L42" s="169" t="s">
        <v>53</v>
      </c>
      <c r="M42" s="170"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tags\belize\_index.md</v>
      </c>
    </row>
    <row r="43" spans="1:80" x14ac:dyDescent="0.25">
      <c r="A43" s="129" t="s">
        <v>786</v>
      </c>
      <c r="C43" s="1" t="s">
        <v>240</v>
      </c>
      <c r="D43" s="7" t="s">
        <v>488</v>
      </c>
      <c r="E43" s="7" t="s">
        <v>948</v>
      </c>
      <c r="F43" s="33" t="s">
        <v>948</v>
      </c>
      <c r="G43" s="7" t="s">
        <v>240</v>
      </c>
      <c r="H43" s="61"/>
      <c r="I43" s="168" t="s">
        <v>2299</v>
      </c>
      <c r="J43" s="152"/>
      <c r="K43" s="139"/>
      <c r="L43" s="169" t="s">
        <v>53</v>
      </c>
      <c r="M43" s="170"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tags\canada\_index.md</v>
      </c>
    </row>
    <row r="44" spans="1:80" x14ac:dyDescent="0.25">
      <c r="A44" s="129" t="s">
        <v>786</v>
      </c>
      <c r="C44" s="1" t="s">
        <v>241</v>
      </c>
      <c r="D44" s="7" t="s">
        <v>489</v>
      </c>
      <c r="E44" s="7" t="s">
        <v>949</v>
      </c>
      <c r="F44" s="33" t="s">
        <v>949</v>
      </c>
      <c r="G44" s="7" t="s">
        <v>241</v>
      </c>
      <c r="H44" s="61"/>
      <c r="I44" s="168" t="s">
        <v>2540</v>
      </c>
      <c r="J44" s="152"/>
      <c r="K44" s="139"/>
      <c r="L44" s="169" t="s">
        <v>53</v>
      </c>
      <c r="M44" s="170"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tags\cocos-islands\_index.md</v>
      </c>
    </row>
    <row r="45" spans="1:80" x14ac:dyDescent="0.25">
      <c r="A45" s="129" t="s">
        <v>786</v>
      </c>
      <c r="B45" s="130"/>
      <c r="C45" s="132" t="s">
        <v>422</v>
      </c>
      <c r="D45" s="130" t="s">
        <v>490</v>
      </c>
      <c r="E45" s="130" t="s">
        <v>950</v>
      </c>
      <c r="F45" s="61" t="s">
        <v>950</v>
      </c>
      <c r="G45" s="55" t="s">
        <v>422</v>
      </c>
      <c r="H45" s="61"/>
      <c r="I45" s="168" t="s">
        <v>2541</v>
      </c>
      <c r="L45" s="169" t="s">
        <v>53</v>
      </c>
      <c r="M45" s="170"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tags\drc\_index.md</v>
      </c>
    </row>
    <row r="46" spans="1:80" x14ac:dyDescent="0.25">
      <c r="A46" s="129" t="s">
        <v>786</v>
      </c>
      <c r="B46" s="130"/>
      <c r="C46" s="132" t="s">
        <v>242</v>
      </c>
      <c r="D46" s="130" t="s">
        <v>491</v>
      </c>
      <c r="E46" s="130" t="s">
        <v>951</v>
      </c>
      <c r="F46" s="141" t="s">
        <v>951</v>
      </c>
      <c r="G46" s="15" t="s">
        <v>242</v>
      </c>
      <c r="H46" s="37"/>
      <c r="I46" s="168" t="s">
        <v>2542</v>
      </c>
      <c r="L46" s="169" t="s">
        <v>53</v>
      </c>
      <c r="M46" s="170"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tags\central-african-republic\_index.md</v>
      </c>
    </row>
    <row r="47" spans="1:80" x14ac:dyDescent="0.25">
      <c r="A47" s="129" t="s">
        <v>786</v>
      </c>
      <c r="B47" s="130"/>
      <c r="C47" s="132" t="s">
        <v>243</v>
      </c>
      <c r="D47" s="130" t="s">
        <v>492</v>
      </c>
      <c r="E47" s="130" t="s">
        <v>952</v>
      </c>
      <c r="F47" s="33" t="s">
        <v>952</v>
      </c>
      <c r="G47" s="7" t="s">
        <v>243</v>
      </c>
      <c r="I47" s="168" t="s">
        <v>2300</v>
      </c>
      <c r="J47" s="152"/>
      <c r="K47" s="139"/>
      <c r="L47" s="169" t="s">
        <v>53</v>
      </c>
      <c r="M47" s="170"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tags\congo\_index.md</v>
      </c>
    </row>
    <row r="48" spans="1:80" x14ac:dyDescent="0.25">
      <c r="A48" s="129" t="s">
        <v>786</v>
      </c>
      <c r="B48" s="10"/>
      <c r="C48" s="22" t="s">
        <v>244</v>
      </c>
      <c r="D48" s="10" t="s">
        <v>493</v>
      </c>
      <c r="E48" s="10" t="s">
        <v>953</v>
      </c>
      <c r="F48" s="38" t="s">
        <v>953</v>
      </c>
      <c r="G48" s="7" t="s">
        <v>244</v>
      </c>
      <c r="I48" s="168" t="s">
        <v>2301</v>
      </c>
      <c r="L48" s="169" t="s">
        <v>53</v>
      </c>
      <c r="M48" s="170"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tags\switzerland\_index.md</v>
      </c>
    </row>
    <row r="49" spans="1:80" x14ac:dyDescent="0.25">
      <c r="A49" s="129" t="s">
        <v>786</v>
      </c>
      <c r="C49" s="1" t="s">
        <v>442</v>
      </c>
      <c r="D49" s="7" t="s">
        <v>494</v>
      </c>
      <c r="E49" s="7" t="s">
        <v>954</v>
      </c>
      <c r="F49" s="33" t="s">
        <v>954</v>
      </c>
      <c r="G49" s="55" t="s">
        <v>442</v>
      </c>
      <c r="I49" s="168" t="s">
        <v>2302</v>
      </c>
      <c r="L49" s="169" t="s">
        <v>53</v>
      </c>
      <c r="M49" s="170"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tags\ivory-coast\_index.md</v>
      </c>
    </row>
    <row r="50" spans="1:80" x14ac:dyDescent="0.25">
      <c r="A50" s="129" t="s">
        <v>786</v>
      </c>
      <c r="C50" s="1" t="s">
        <v>245</v>
      </c>
      <c r="D50" s="7" t="s">
        <v>495</v>
      </c>
      <c r="E50" s="7" t="s">
        <v>955</v>
      </c>
      <c r="F50" s="38" t="s">
        <v>955</v>
      </c>
      <c r="G50" s="7" t="s">
        <v>245</v>
      </c>
      <c r="I50" s="168" t="s">
        <v>2543</v>
      </c>
      <c r="L50" s="169" t="s">
        <v>53</v>
      </c>
      <c r="M50" s="170"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tags\cook-islands\_index.md</v>
      </c>
    </row>
    <row r="51" spans="1:80" x14ac:dyDescent="0.25">
      <c r="A51" s="129" t="s">
        <v>786</v>
      </c>
      <c r="B51" s="130"/>
      <c r="C51" s="132" t="s">
        <v>246</v>
      </c>
      <c r="D51" s="130" t="s">
        <v>496</v>
      </c>
      <c r="E51" s="130" t="s">
        <v>956</v>
      </c>
      <c r="F51" s="61" t="s">
        <v>956</v>
      </c>
      <c r="G51" s="55" t="s">
        <v>246</v>
      </c>
      <c r="H51" s="61"/>
      <c r="I51" s="168" t="s">
        <v>2303</v>
      </c>
      <c r="J51" s="152"/>
      <c r="K51" s="139"/>
      <c r="L51" s="169" t="s">
        <v>53</v>
      </c>
      <c r="M51" s="170"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tags\chile\_index.md</v>
      </c>
    </row>
    <row r="52" spans="1:80" x14ac:dyDescent="0.25">
      <c r="A52" s="129" t="s">
        <v>786</v>
      </c>
      <c r="B52" s="130"/>
      <c r="C52" s="132" t="s">
        <v>247</v>
      </c>
      <c r="D52" s="130" t="s">
        <v>497</v>
      </c>
      <c r="E52" s="130" t="s">
        <v>957</v>
      </c>
      <c r="F52" s="61" t="s">
        <v>957</v>
      </c>
      <c r="G52" s="55" t="s">
        <v>247</v>
      </c>
      <c r="H52" s="61"/>
      <c r="I52" s="168" t="s">
        <v>2304</v>
      </c>
      <c r="J52" s="154"/>
      <c r="K52" s="61"/>
      <c r="L52" s="169" t="s">
        <v>53</v>
      </c>
      <c r="M52" s="170"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tags\cameroon\_index.md</v>
      </c>
    </row>
    <row r="53" spans="1:80" x14ac:dyDescent="0.25">
      <c r="A53" s="129" t="s">
        <v>786</v>
      </c>
      <c r="B53" s="130"/>
      <c r="C53" s="132" t="s">
        <v>248</v>
      </c>
      <c r="D53" s="130" t="s">
        <v>498</v>
      </c>
      <c r="E53" s="130" t="s">
        <v>958</v>
      </c>
      <c r="F53" s="33" t="s">
        <v>958</v>
      </c>
      <c r="G53" s="7" t="s">
        <v>248</v>
      </c>
      <c r="H53" s="61"/>
      <c r="I53" s="168" t="s">
        <v>2305</v>
      </c>
      <c r="J53" s="152"/>
      <c r="K53" s="139"/>
      <c r="L53" s="169" t="s">
        <v>53</v>
      </c>
      <c r="M53" s="170"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tags\china\_index.md</v>
      </c>
    </row>
    <row r="54" spans="1:80" x14ac:dyDescent="0.25">
      <c r="A54" s="129" t="s">
        <v>786</v>
      </c>
      <c r="B54" s="168"/>
      <c r="C54" s="172" t="s">
        <v>249</v>
      </c>
      <c r="D54" s="168" t="s">
        <v>499</v>
      </c>
      <c r="E54" s="168" t="s">
        <v>959</v>
      </c>
      <c r="F54" s="33" t="s">
        <v>959</v>
      </c>
      <c r="G54" s="168" t="s">
        <v>249</v>
      </c>
      <c r="H54" s="166"/>
      <c r="I54" s="168" t="s">
        <v>2306</v>
      </c>
      <c r="L54" s="169" t="s">
        <v>53</v>
      </c>
      <c r="M54" s="170"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tags\colombia\_index.md</v>
      </c>
    </row>
    <row r="55" spans="1:80" x14ac:dyDescent="0.25">
      <c r="A55" s="129" t="s">
        <v>786</v>
      </c>
      <c r="C55" s="1" t="s">
        <v>250</v>
      </c>
      <c r="D55" s="7" t="s">
        <v>500</v>
      </c>
      <c r="E55" s="7" t="s">
        <v>960</v>
      </c>
      <c r="F55" s="73" t="s">
        <v>960</v>
      </c>
      <c r="G55" s="71" t="s">
        <v>250</v>
      </c>
      <c r="I55" s="168" t="s">
        <v>2307</v>
      </c>
      <c r="L55" s="169" t="s">
        <v>53</v>
      </c>
      <c r="M55" s="170"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tags\costa-rica\_index.md</v>
      </c>
    </row>
    <row r="56" spans="1:80" x14ac:dyDescent="0.25">
      <c r="A56" s="129" t="s">
        <v>786</v>
      </c>
      <c r="C56" s="1" t="s">
        <v>251</v>
      </c>
      <c r="D56" s="7" t="s">
        <v>501</v>
      </c>
      <c r="E56" s="7" t="s">
        <v>961</v>
      </c>
      <c r="F56" s="73" t="s">
        <v>961</v>
      </c>
      <c r="G56" s="71" t="s">
        <v>251</v>
      </c>
      <c r="H56" s="73"/>
      <c r="I56" s="168" t="s">
        <v>2308</v>
      </c>
      <c r="L56" s="169" t="s">
        <v>53</v>
      </c>
      <c r="M56" s="170"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tags\cuba\_index.md</v>
      </c>
    </row>
    <row r="57" spans="1:80" x14ac:dyDescent="0.25">
      <c r="A57" s="129" t="s">
        <v>786</v>
      </c>
      <c r="C57" s="1" t="s">
        <v>252</v>
      </c>
      <c r="D57" s="7" t="s">
        <v>502</v>
      </c>
      <c r="E57" s="7" t="s">
        <v>962</v>
      </c>
      <c r="F57" s="73" t="s">
        <v>962</v>
      </c>
      <c r="G57" s="71" t="s">
        <v>252</v>
      </c>
      <c r="H57" s="139"/>
      <c r="I57" s="168" t="s">
        <v>2309</v>
      </c>
      <c r="L57" s="169" t="s">
        <v>53</v>
      </c>
      <c r="M57" s="170"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tags\cabo-verde\_index.md</v>
      </c>
    </row>
    <row r="58" spans="1:80" x14ac:dyDescent="0.25">
      <c r="A58" s="129" t="s">
        <v>786</v>
      </c>
      <c r="B58" s="130"/>
      <c r="C58" s="132" t="s">
        <v>2158</v>
      </c>
      <c r="D58" s="130" t="s">
        <v>503</v>
      </c>
      <c r="E58" s="130" t="s">
        <v>2159</v>
      </c>
      <c r="F58" s="166" t="s">
        <v>2159</v>
      </c>
      <c r="G58" s="168" t="s">
        <v>2158</v>
      </c>
      <c r="H58" s="73"/>
      <c r="I58" s="168" t="s">
        <v>2565</v>
      </c>
      <c r="L58" s="169" t="s">
        <v>53</v>
      </c>
      <c r="M58" s="170"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tags\curacao\_index.md</v>
      </c>
    </row>
    <row r="59" spans="1:80" x14ac:dyDescent="0.25">
      <c r="A59" s="129" t="s">
        <v>786</v>
      </c>
      <c r="C59" s="1" t="s">
        <v>253</v>
      </c>
      <c r="D59" s="7" t="s">
        <v>504</v>
      </c>
      <c r="E59" s="7" t="s">
        <v>963</v>
      </c>
      <c r="F59" s="33" t="s">
        <v>963</v>
      </c>
      <c r="G59" s="7" t="s">
        <v>253</v>
      </c>
      <c r="H59" s="61"/>
      <c r="I59" s="168" t="s">
        <v>2310</v>
      </c>
      <c r="L59" s="169" t="s">
        <v>53</v>
      </c>
      <c r="M59" s="170"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tags\christmas-island\_index.md</v>
      </c>
    </row>
    <row r="60" spans="1:80" x14ac:dyDescent="0.25">
      <c r="A60" s="129" t="s">
        <v>786</v>
      </c>
      <c r="C60" s="1" t="s">
        <v>254</v>
      </c>
      <c r="D60" s="7" t="s">
        <v>505</v>
      </c>
      <c r="E60" s="7" t="s">
        <v>964</v>
      </c>
      <c r="F60" s="33" t="s">
        <v>964</v>
      </c>
      <c r="G60" s="55" t="s">
        <v>254</v>
      </c>
      <c r="H60" s="61"/>
      <c r="I60" s="168" t="s">
        <v>2311</v>
      </c>
      <c r="J60" s="152"/>
      <c r="K60" s="139"/>
      <c r="L60" s="169" t="s">
        <v>53</v>
      </c>
      <c r="M60" s="170"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tags\cyprus\_index.md</v>
      </c>
    </row>
    <row r="61" spans="1:80" x14ac:dyDescent="0.25">
      <c r="A61" s="129" t="s">
        <v>786</v>
      </c>
      <c r="C61" s="1" t="s">
        <v>255</v>
      </c>
      <c r="D61" s="7" t="s">
        <v>506</v>
      </c>
      <c r="E61" s="7" t="s">
        <v>965</v>
      </c>
      <c r="F61" s="33" t="s">
        <v>965</v>
      </c>
      <c r="G61" s="7" t="s">
        <v>255</v>
      </c>
      <c r="I61" s="168" t="s">
        <v>2312</v>
      </c>
      <c r="L61" s="169" t="s">
        <v>53</v>
      </c>
      <c r="M61" s="170"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tags\czechia\_index.md</v>
      </c>
    </row>
    <row r="62" spans="1:80" x14ac:dyDescent="0.25">
      <c r="A62" s="129" t="s">
        <v>786</v>
      </c>
      <c r="C62" s="1" t="s">
        <v>256</v>
      </c>
      <c r="D62" s="7" t="s">
        <v>507</v>
      </c>
      <c r="E62" s="7" t="s">
        <v>966</v>
      </c>
      <c r="F62" s="33" t="s">
        <v>966</v>
      </c>
      <c r="G62" s="7" t="s">
        <v>256</v>
      </c>
      <c r="I62" s="168" t="s">
        <v>2313</v>
      </c>
      <c r="J62" s="152"/>
      <c r="K62" s="139"/>
      <c r="L62" s="169" t="s">
        <v>53</v>
      </c>
      <c r="M62" s="170"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tags\germany\_index.md</v>
      </c>
    </row>
    <row r="63" spans="1:80" x14ac:dyDescent="0.25">
      <c r="A63" s="129" t="s">
        <v>786</v>
      </c>
      <c r="C63" s="1" t="s">
        <v>257</v>
      </c>
      <c r="D63" s="7" t="s">
        <v>508</v>
      </c>
      <c r="E63" s="7" t="s">
        <v>967</v>
      </c>
      <c r="F63" s="33" t="s">
        <v>967</v>
      </c>
      <c r="G63" s="7" t="s">
        <v>257</v>
      </c>
      <c r="I63" s="168" t="s">
        <v>2314</v>
      </c>
      <c r="L63" s="169" t="s">
        <v>53</v>
      </c>
      <c r="M63" s="170"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tags\djibouti\_index.md</v>
      </c>
    </row>
    <row r="64" spans="1:80" x14ac:dyDescent="0.25">
      <c r="A64" s="129" t="s">
        <v>786</v>
      </c>
      <c r="C64" s="1" t="s">
        <v>258</v>
      </c>
      <c r="D64" s="7" t="s">
        <v>509</v>
      </c>
      <c r="E64" s="7" t="s">
        <v>968</v>
      </c>
      <c r="F64" s="73" t="s">
        <v>968</v>
      </c>
      <c r="G64" s="71" t="s">
        <v>258</v>
      </c>
      <c r="I64" s="168" t="s">
        <v>2315</v>
      </c>
      <c r="L64" s="169" t="s">
        <v>53</v>
      </c>
      <c r="M64" s="170"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tags\denmark\_index.md</v>
      </c>
    </row>
    <row r="65" spans="1:80" x14ac:dyDescent="0.25">
      <c r="A65" s="129" t="s">
        <v>786</v>
      </c>
      <c r="B65" s="130"/>
      <c r="C65" s="132" t="s">
        <v>259</v>
      </c>
      <c r="D65" s="130" t="s">
        <v>510</v>
      </c>
      <c r="E65" s="130" t="s">
        <v>969</v>
      </c>
      <c r="F65" s="61" t="s">
        <v>969</v>
      </c>
      <c r="G65" s="55" t="s">
        <v>259</v>
      </c>
      <c r="H65" s="139"/>
      <c r="I65" s="168" t="s">
        <v>2316</v>
      </c>
      <c r="J65" s="152"/>
      <c r="K65" s="139"/>
      <c r="L65" s="169" t="s">
        <v>53</v>
      </c>
      <c r="M65" s="170"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tags\dominica\_index.md</v>
      </c>
    </row>
    <row r="66" spans="1:80" x14ac:dyDescent="0.25">
      <c r="A66" s="129" t="s">
        <v>786</v>
      </c>
      <c r="C66" s="1" t="s">
        <v>260</v>
      </c>
      <c r="D66" s="7" t="s">
        <v>511</v>
      </c>
      <c r="E66" s="7" t="s">
        <v>970</v>
      </c>
      <c r="F66" s="33" t="s">
        <v>970</v>
      </c>
      <c r="G66" s="55" t="s">
        <v>260</v>
      </c>
      <c r="H66" s="61"/>
      <c r="I66" s="168" t="s">
        <v>2544</v>
      </c>
      <c r="J66" s="152"/>
      <c r="K66" s="139"/>
      <c r="L66" s="169" t="s">
        <v>53</v>
      </c>
      <c r="M66" s="170"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tags\dominican-republic\_index.md</v>
      </c>
    </row>
    <row r="67" spans="1:80" x14ac:dyDescent="0.25">
      <c r="A67" s="129" t="s">
        <v>786</v>
      </c>
      <c r="B67" s="130"/>
      <c r="C67" s="132" t="s">
        <v>261</v>
      </c>
      <c r="D67" s="130" t="s">
        <v>512</v>
      </c>
      <c r="E67" s="130" t="s">
        <v>971</v>
      </c>
      <c r="F67" s="139" t="s">
        <v>971</v>
      </c>
      <c r="G67" s="130" t="s">
        <v>261</v>
      </c>
      <c r="H67" s="139"/>
      <c r="I67" s="168" t="s">
        <v>2317</v>
      </c>
      <c r="L67" s="169" t="s">
        <v>53</v>
      </c>
      <c r="M67" s="170"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tags\algeria\_index.md</v>
      </c>
    </row>
    <row r="68" spans="1:80" x14ac:dyDescent="0.25">
      <c r="A68" s="129" t="s">
        <v>786</v>
      </c>
      <c r="C68" s="1" t="s">
        <v>262</v>
      </c>
      <c r="D68" s="7" t="s">
        <v>513</v>
      </c>
      <c r="E68" s="7" t="s">
        <v>972</v>
      </c>
      <c r="F68" s="73" t="s">
        <v>972</v>
      </c>
      <c r="G68" s="80" t="s">
        <v>262</v>
      </c>
      <c r="I68" s="168" t="s">
        <v>2318</v>
      </c>
      <c r="L68" s="169" t="s">
        <v>53</v>
      </c>
      <c r="M68" s="170"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tags\ecuador\_index.md</v>
      </c>
    </row>
    <row r="69" spans="1:80" x14ac:dyDescent="0.25">
      <c r="A69" s="129" t="s">
        <v>786</v>
      </c>
      <c r="C69" s="1" t="s">
        <v>263</v>
      </c>
      <c r="D69" s="7" t="s">
        <v>514</v>
      </c>
      <c r="E69" s="7" t="s">
        <v>973</v>
      </c>
      <c r="F69" s="73" t="s">
        <v>973</v>
      </c>
      <c r="G69" s="80" t="s">
        <v>263</v>
      </c>
      <c r="I69" s="168" t="s">
        <v>2319</v>
      </c>
      <c r="L69" s="169" t="s">
        <v>53</v>
      </c>
      <c r="M69" s="170"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tags\estonia\_index.md</v>
      </c>
    </row>
    <row r="70" spans="1:80" x14ac:dyDescent="0.25">
      <c r="A70" s="129" t="s">
        <v>786</v>
      </c>
      <c r="C70" s="1" t="s">
        <v>2</v>
      </c>
      <c r="D70" s="7" t="s">
        <v>515</v>
      </c>
      <c r="E70" s="7" t="s">
        <v>974</v>
      </c>
      <c r="F70" s="73" t="s">
        <v>974</v>
      </c>
      <c r="G70" s="71" t="s">
        <v>2</v>
      </c>
      <c r="I70" s="168" t="s">
        <v>2320</v>
      </c>
      <c r="L70" s="169" t="s">
        <v>53</v>
      </c>
      <c r="M70" s="170"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tags\egypt\_index.md</v>
      </c>
    </row>
    <row r="71" spans="1:80" x14ac:dyDescent="0.25">
      <c r="A71" s="129" t="s">
        <v>786</v>
      </c>
      <c r="C71" s="1" t="s">
        <v>264</v>
      </c>
      <c r="D71" s="7" t="s">
        <v>516</v>
      </c>
      <c r="E71" s="7" t="s">
        <v>975</v>
      </c>
      <c r="F71" s="81" t="s">
        <v>975</v>
      </c>
      <c r="G71" s="80" t="s">
        <v>264</v>
      </c>
      <c r="I71" s="168" t="s">
        <v>2321</v>
      </c>
      <c r="L71" s="169" t="s">
        <v>53</v>
      </c>
      <c r="M71" s="170"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tags\western-sahara\_index.md</v>
      </c>
    </row>
    <row r="72" spans="1:80" x14ac:dyDescent="0.25">
      <c r="A72" s="129" t="s">
        <v>786</v>
      </c>
      <c r="C72" s="1" t="s">
        <v>265</v>
      </c>
      <c r="D72" s="7" t="s">
        <v>517</v>
      </c>
      <c r="E72" s="7" t="s">
        <v>976</v>
      </c>
      <c r="F72" s="73" t="s">
        <v>976</v>
      </c>
      <c r="G72" s="80" t="s">
        <v>265</v>
      </c>
      <c r="H72" s="73"/>
      <c r="I72" s="168" t="s">
        <v>2322</v>
      </c>
      <c r="L72" s="169" t="s">
        <v>53</v>
      </c>
      <c r="M72" s="170"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tags\eritrea\_index.md</v>
      </c>
    </row>
    <row r="73" spans="1:80" x14ac:dyDescent="0.25">
      <c r="A73" s="129" t="s">
        <v>786</v>
      </c>
      <c r="C73" s="1" t="s">
        <v>266</v>
      </c>
      <c r="D73" s="7" t="s">
        <v>518</v>
      </c>
      <c r="E73" s="7" t="s">
        <v>977</v>
      </c>
      <c r="F73" s="73" t="s">
        <v>977</v>
      </c>
      <c r="G73" s="80" t="s">
        <v>266</v>
      </c>
      <c r="I73" s="168" t="s">
        <v>2323</v>
      </c>
      <c r="J73" s="152"/>
      <c r="K73" s="139"/>
      <c r="L73" s="169" t="s">
        <v>53</v>
      </c>
      <c r="M73" s="170"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tags\spain\_index.md</v>
      </c>
    </row>
    <row r="74" spans="1:80" x14ac:dyDescent="0.25">
      <c r="A74" s="129" t="s">
        <v>786</v>
      </c>
      <c r="C74" s="1" t="s">
        <v>267</v>
      </c>
      <c r="D74" s="7" t="s">
        <v>519</v>
      </c>
      <c r="E74" s="7" t="s">
        <v>978</v>
      </c>
      <c r="F74" s="73" t="s">
        <v>978</v>
      </c>
      <c r="G74" s="71" t="s">
        <v>267</v>
      </c>
      <c r="I74" s="168" t="s">
        <v>2324</v>
      </c>
      <c r="L74" s="169" t="s">
        <v>53</v>
      </c>
      <c r="M74" s="170"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tags\ethiopia\_index.md</v>
      </c>
    </row>
    <row r="75" spans="1:80" x14ac:dyDescent="0.25">
      <c r="A75" s="129" t="s">
        <v>786</v>
      </c>
      <c r="C75" s="1" t="s">
        <v>268</v>
      </c>
      <c r="D75" s="7" t="s">
        <v>520</v>
      </c>
      <c r="E75" s="7" t="s">
        <v>979</v>
      </c>
      <c r="F75" s="73" t="s">
        <v>979</v>
      </c>
      <c r="G75" s="80" t="s">
        <v>268</v>
      </c>
      <c r="I75" s="168" t="s">
        <v>2325</v>
      </c>
      <c r="J75" s="152"/>
      <c r="K75" s="139"/>
      <c r="L75" s="169" t="s">
        <v>53</v>
      </c>
      <c r="M75" s="170"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tags\finland\_index.md</v>
      </c>
    </row>
    <row r="76" spans="1:80" x14ac:dyDescent="0.25">
      <c r="A76" s="129" t="s">
        <v>786</v>
      </c>
      <c r="C76" s="1" t="s">
        <v>269</v>
      </c>
      <c r="D76" s="7" t="s">
        <v>521</v>
      </c>
      <c r="E76" s="7" t="s">
        <v>980</v>
      </c>
      <c r="F76" s="73" t="s">
        <v>980</v>
      </c>
      <c r="G76" s="71" t="s">
        <v>269</v>
      </c>
      <c r="H76" s="73"/>
      <c r="I76" s="168" t="s">
        <v>2326</v>
      </c>
      <c r="L76" s="169" t="s">
        <v>53</v>
      </c>
      <c r="M76" s="170"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tags\fiji\_index.md</v>
      </c>
    </row>
    <row r="77" spans="1:80" x14ac:dyDescent="0.25">
      <c r="A77" s="129" t="s">
        <v>786</v>
      </c>
      <c r="C77" s="1" t="s">
        <v>423</v>
      </c>
      <c r="D77" s="7" t="s">
        <v>522</v>
      </c>
      <c r="E77" s="7" t="s">
        <v>981</v>
      </c>
      <c r="F77" s="33" t="s">
        <v>981</v>
      </c>
      <c r="G77" s="71" t="s">
        <v>423</v>
      </c>
      <c r="H77" s="73"/>
      <c r="I77" s="168" t="s">
        <v>2545</v>
      </c>
      <c r="L77" s="169" t="s">
        <v>53</v>
      </c>
      <c r="M77" s="170"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tags\falkland-islands\_index.md</v>
      </c>
    </row>
    <row r="78" spans="1:80" x14ac:dyDescent="0.25">
      <c r="A78" s="129" t="s">
        <v>786</v>
      </c>
      <c r="C78" s="1" t="s">
        <v>424</v>
      </c>
      <c r="D78" s="7" t="s">
        <v>523</v>
      </c>
      <c r="E78" s="7" t="s">
        <v>982</v>
      </c>
      <c r="F78" s="33" t="s">
        <v>982</v>
      </c>
      <c r="G78" s="7" t="s">
        <v>424</v>
      </c>
      <c r="I78" s="168" t="s">
        <v>2327</v>
      </c>
      <c r="J78" s="152"/>
      <c r="K78" s="139"/>
      <c r="L78" s="169" t="s">
        <v>53</v>
      </c>
      <c r="M78" s="170"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tags\micronesia\_index.md</v>
      </c>
    </row>
    <row r="79" spans="1:80" x14ac:dyDescent="0.25">
      <c r="A79" s="129" t="s">
        <v>786</v>
      </c>
      <c r="C79" s="1" t="s">
        <v>270</v>
      </c>
      <c r="D79" s="7" t="s">
        <v>524</v>
      </c>
      <c r="E79" s="7" t="s">
        <v>983</v>
      </c>
      <c r="F79" s="73" t="s">
        <v>983</v>
      </c>
      <c r="G79" s="71" t="s">
        <v>270</v>
      </c>
      <c r="H79" s="73"/>
      <c r="I79" s="168" t="s">
        <v>2546</v>
      </c>
      <c r="L79" s="169" t="s">
        <v>53</v>
      </c>
      <c r="M79" s="170"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tags\faroe-islands\_index.md</v>
      </c>
    </row>
    <row r="80" spans="1:80" x14ac:dyDescent="0.25">
      <c r="A80" s="129" t="s">
        <v>786</v>
      </c>
      <c r="C80" s="1" t="s">
        <v>271</v>
      </c>
      <c r="D80" s="7" t="s">
        <v>525</v>
      </c>
      <c r="E80" s="7" t="s">
        <v>898</v>
      </c>
      <c r="F80" s="73" t="s">
        <v>898</v>
      </c>
      <c r="G80" s="71" t="s">
        <v>271</v>
      </c>
      <c r="H80" s="73"/>
      <c r="I80" s="168" t="s">
        <v>2328</v>
      </c>
      <c r="L80" s="169" t="s">
        <v>53</v>
      </c>
      <c r="M80" s="170"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tags\france\_index.md</v>
      </c>
    </row>
    <row r="81" spans="1:80" x14ac:dyDescent="0.25">
      <c r="A81" s="129" t="s">
        <v>786</v>
      </c>
      <c r="C81" s="1" t="s">
        <v>272</v>
      </c>
      <c r="D81" s="7" t="s">
        <v>526</v>
      </c>
      <c r="E81" s="7" t="s">
        <v>984</v>
      </c>
      <c r="F81" s="73" t="s">
        <v>984</v>
      </c>
      <c r="G81" s="71" t="s">
        <v>272</v>
      </c>
      <c r="H81" s="73"/>
      <c r="I81" s="168" t="s">
        <v>2329</v>
      </c>
      <c r="L81" s="169" t="s">
        <v>53</v>
      </c>
      <c r="M81" s="170"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tags\gabon\_index.md</v>
      </c>
    </row>
    <row r="82" spans="1:80" x14ac:dyDescent="0.25">
      <c r="A82" s="129" t="s">
        <v>786</v>
      </c>
      <c r="C82" s="1" t="s">
        <v>445</v>
      </c>
      <c r="D82" s="7" t="s">
        <v>527</v>
      </c>
      <c r="E82" s="7" t="s">
        <v>896</v>
      </c>
      <c r="F82" s="81" t="s">
        <v>896</v>
      </c>
      <c r="G82" s="80" t="s">
        <v>445</v>
      </c>
      <c r="H82" s="81"/>
      <c r="I82" s="168" t="s">
        <v>2547</v>
      </c>
      <c r="L82" s="169" t="s">
        <v>53</v>
      </c>
      <c r="M82" s="170"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tags\uk\_index.md</v>
      </c>
    </row>
    <row r="83" spans="1:80" x14ac:dyDescent="0.25">
      <c r="A83" s="129" t="s">
        <v>786</v>
      </c>
      <c r="C83" s="1" t="s">
        <v>273</v>
      </c>
      <c r="D83" s="7" t="s">
        <v>528</v>
      </c>
      <c r="E83" s="7" t="s">
        <v>985</v>
      </c>
      <c r="F83" s="33" t="s">
        <v>985</v>
      </c>
      <c r="G83" s="90" t="s">
        <v>273</v>
      </c>
      <c r="I83" s="168" t="s">
        <v>2330</v>
      </c>
      <c r="J83" s="152"/>
      <c r="K83" s="139"/>
      <c r="L83" s="169" t="s">
        <v>53</v>
      </c>
      <c r="M83" s="170"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tags\grenada\_index.md</v>
      </c>
    </row>
    <row r="84" spans="1:80" x14ac:dyDescent="0.25">
      <c r="A84" s="129" t="s">
        <v>786</v>
      </c>
      <c r="C84" s="1" t="s">
        <v>274</v>
      </c>
      <c r="D84" s="7" t="s">
        <v>529</v>
      </c>
      <c r="E84" s="7" t="s">
        <v>986</v>
      </c>
      <c r="F84" s="33" t="s">
        <v>986</v>
      </c>
      <c r="G84" s="90" t="s">
        <v>274</v>
      </c>
      <c r="I84" s="168" t="s">
        <v>2331</v>
      </c>
      <c r="L84" s="169" t="s">
        <v>53</v>
      </c>
      <c r="M84" s="170"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tags\georgia\_index.md</v>
      </c>
    </row>
    <row r="85" spans="1:80" x14ac:dyDescent="0.25">
      <c r="A85" s="129" t="s">
        <v>786</v>
      </c>
      <c r="B85" s="90"/>
      <c r="C85" s="91" t="s">
        <v>275</v>
      </c>
      <c r="D85" s="90" t="s">
        <v>530</v>
      </c>
      <c r="E85" s="90" t="s">
        <v>987</v>
      </c>
      <c r="F85" s="92" t="s">
        <v>987</v>
      </c>
      <c r="G85" s="90" t="s">
        <v>275</v>
      </c>
      <c r="H85" s="92"/>
      <c r="I85" s="168" t="s">
        <v>2332</v>
      </c>
      <c r="L85" s="169" t="s">
        <v>53</v>
      </c>
      <c r="M85" s="170"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tags\french-guiana\_index.md</v>
      </c>
    </row>
    <row r="86" spans="1:80" x14ac:dyDescent="0.25">
      <c r="A86" s="129" t="s">
        <v>786</v>
      </c>
      <c r="B86" s="130"/>
      <c r="C86" s="132" t="s">
        <v>276</v>
      </c>
      <c r="D86" s="130" t="s">
        <v>531</v>
      </c>
      <c r="E86" s="130" t="s">
        <v>988</v>
      </c>
      <c r="F86" s="86" t="s">
        <v>988</v>
      </c>
      <c r="G86" s="84" t="s">
        <v>276</v>
      </c>
      <c r="I86" s="168" t="s">
        <v>2333</v>
      </c>
      <c r="L86" s="169" t="s">
        <v>53</v>
      </c>
      <c r="M86" s="170"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tags\guernsey\_index.md</v>
      </c>
    </row>
    <row r="87" spans="1:80" x14ac:dyDescent="0.25">
      <c r="A87" s="129" t="s">
        <v>786</v>
      </c>
      <c r="B87" s="55"/>
      <c r="C87" s="62" t="s">
        <v>277</v>
      </c>
      <c r="D87" s="55" t="s">
        <v>532</v>
      </c>
      <c r="E87" s="55" t="s">
        <v>989</v>
      </c>
      <c r="F87" s="61" t="s">
        <v>989</v>
      </c>
      <c r="G87" s="7" t="s">
        <v>277</v>
      </c>
      <c r="H87" s="61"/>
      <c r="I87" s="168" t="s">
        <v>2334</v>
      </c>
      <c r="L87" s="169" t="s">
        <v>53</v>
      </c>
      <c r="M87" s="170"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tags\ghana\_index.md</v>
      </c>
    </row>
    <row r="88" spans="1:80" x14ac:dyDescent="0.25">
      <c r="A88" s="129" t="s">
        <v>786</v>
      </c>
      <c r="B88" s="130"/>
      <c r="C88" s="132" t="s">
        <v>278</v>
      </c>
      <c r="D88" s="130" t="s">
        <v>533</v>
      </c>
      <c r="E88" s="130" t="s">
        <v>990</v>
      </c>
      <c r="F88" s="33" t="s">
        <v>990</v>
      </c>
      <c r="G88" s="7" t="s">
        <v>278</v>
      </c>
      <c r="H88" s="86"/>
      <c r="I88" s="168" t="s">
        <v>2335</v>
      </c>
      <c r="L88" s="169" t="s">
        <v>53</v>
      </c>
      <c r="M88" s="170"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tags\gibraltar\_index.md</v>
      </c>
    </row>
    <row r="89" spans="1:80" x14ac:dyDescent="0.25">
      <c r="A89" s="129" t="s">
        <v>786</v>
      </c>
      <c r="C89" s="1" t="s">
        <v>279</v>
      </c>
      <c r="D89" s="7" t="s">
        <v>534</v>
      </c>
      <c r="E89" s="7" t="s">
        <v>991</v>
      </c>
      <c r="F89" s="33" t="s">
        <v>991</v>
      </c>
      <c r="G89" s="7" t="s">
        <v>279</v>
      </c>
      <c r="H89" s="86"/>
      <c r="I89" s="168" t="s">
        <v>2336</v>
      </c>
      <c r="L89" s="169" t="s">
        <v>53</v>
      </c>
      <c r="M89" s="170"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tags\greenland\_index.md</v>
      </c>
    </row>
    <row r="90" spans="1:80" x14ac:dyDescent="0.25">
      <c r="A90" s="129" t="s">
        <v>786</v>
      </c>
      <c r="C90" s="1" t="s">
        <v>280</v>
      </c>
      <c r="D90" s="7" t="s">
        <v>535</v>
      </c>
      <c r="E90" s="7" t="s">
        <v>992</v>
      </c>
      <c r="F90" s="33" t="s">
        <v>992</v>
      </c>
      <c r="G90" s="7" t="s">
        <v>280</v>
      </c>
      <c r="H90" s="86"/>
      <c r="I90" s="168" t="s">
        <v>2337</v>
      </c>
      <c r="L90" s="169" t="s">
        <v>53</v>
      </c>
      <c r="M90" s="170"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tags\gambia\_index.md</v>
      </c>
    </row>
    <row r="91" spans="1:80" x14ac:dyDescent="0.25">
      <c r="A91" s="129" t="s">
        <v>786</v>
      </c>
      <c r="C91" s="1" t="s">
        <v>281</v>
      </c>
      <c r="D91" s="7" t="s">
        <v>536</v>
      </c>
      <c r="E91" s="7" t="s">
        <v>993</v>
      </c>
      <c r="F91" s="33" t="s">
        <v>993</v>
      </c>
      <c r="G91" s="7" t="s">
        <v>281</v>
      </c>
      <c r="H91" s="86"/>
      <c r="I91" s="168" t="s">
        <v>2338</v>
      </c>
      <c r="L91" s="169" t="s">
        <v>53</v>
      </c>
      <c r="M91" s="170"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tags\guinea\_index.md</v>
      </c>
    </row>
    <row r="92" spans="1:80" x14ac:dyDescent="0.25">
      <c r="A92" s="129" t="s">
        <v>786</v>
      </c>
      <c r="C92" s="1" t="s">
        <v>282</v>
      </c>
      <c r="D92" s="7" t="s">
        <v>537</v>
      </c>
      <c r="E92" s="7" t="s">
        <v>994</v>
      </c>
      <c r="F92" s="33" t="s">
        <v>994</v>
      </c>
      <c r="G92" s="7" t="s">
        <v>282</v>
      </c>
      <c r="H92" s="86"/>
      <c r="I92" s="168" t="s">
        <v>2339</v>
      </c>
      <c r="L92" s="169" t="s">
        <v>53</v>
      </c>
      <c r="M92" s="170"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tags\guadeloupe\_index.md</v>
      </c>
    </row>
    <row r="93" spans="1:80" x14ac:dyDescent="0.25">
      <c r="A93" s="129" t="s">
        <v>786</v>
      </c>
      <c r="C93" s="1" t="s">
        <v>283</v>
      </c>
      <c r="D93" s="7" t="s">
        <v>538</v>
      </c>
      <c r="E93" s="7" t="s">
        <v>995</v>
      </c>
      <c r="F93" s="33" t="s">
        <v>995</v>
      </c>
      <c r="G93" s="7" t="s">
        <v>283</v>
      </c>
      <c r="H93" s="86"/>
      <c r="I93" s="168" t="s">
        <v>2340</v>
      </c>
      <c r="L93" s="169" t="s">
        <v>53</v>
      </c>
      <c r="M93" s="170"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tags\equatorial-guinea\_index.md</v>
      </c>
    </row>
    <row r="94" spans="1:80" x14ac:dyDescent="0.25">
      <c r="A94" s="129" t="s">
        <v>786</v>
      </c>
      <c r="C94" s="1" t="s">
        <v>284</v>
      </c>
      <c r="D94" s="7" t="s">
        <v>539</v>
      </c>
      <c r="E94" s="7" t="s">
        <v>996</v>
      </c>
      <c r="F94" s="33" t="s">
        <v>996</v>
      </c>
      <c r="G94" s="7" t="s">
        <v>284</v>
      </c>
      <c r="I94" s="168" t="s">
        <v>2341</v>
      </c>
      <c r="L94" s="169" t="s">
        <v>53</v>
      </c>
      <c r="M94" s="170"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tags\greece\_index.md</v>
      </c>
    </row>
    <row r="95" spans="1:80" x14ac:dyDescent="0.25">
      <c r="A95" s="129" t="s">
        <v>786</v>
      </c>
      <c r="C95" s="1" t="s">
        <v>285</v>
      </c>
      <c r="D95" s="7" t="s">
        <v>540</v>
      </c>
      <c r="E95" s="7" t="s">
        <v>997</v>
      </c>
      <c r="F95" s="33" t="s">
        <v>997</v>
      </c>
      <c r="G95" s="7" t="s">
        <v>285</v>
      </c>
      <c r="H95" s="86"/>
      <c r="I95" s="168" t="s">
        <v>2342</v>
      </c>
      <c r="L95" s="169" t="s">
        <v>53</v>
      </c>
      <c r="M95" s="170"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tags\south-georgia\_index.md</v>
      </c>
    </row>
    <row r="96" spans="1:80" x14ac:dyDescent="0.25">
      <c r="A96" s="129" t="s">
        <v>786</v>
      </c>
      <c r="C96" s="1" t="s">
        <v>286</v>
      </c>
      <c r="D96" s="7" t="s">
        <v>541</v>
      </c>
      <c r="E96" s="7" t="s">
        <v>998</v>
      </c>
      <c r="F96" s="33" t="s">
        <v>998</v>
      </c>
      <c r="G96" s="7" t="s">
        <v>286</v>
      </c>
      <c r="I96" s="168" t="s">
        <v>2343</v>
      </c>
      <c r="L96" s="169" t="s">
        <v>53</v>
      </c>
      <c r="M96" s="170"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tags\guatemala\_index.md</v>
      </c>
    </row>
    <row r="97" spans="1:80" x14ac:dyDescent="0.25">
      <c r="A97" s="129" t="s">
        <v>786</v>
      </c>
      <c r="C97" s="1" t="s">
        <v>287</v>
      </c>
      <c r="D97" s="7" t="s">
        <v>542</v>
      </c>
      <c r="E97" s="7" t="s">
        <v>999</v>
      </c>
      <c r="F97" s="33" t="s">
        <v>999</v>
      </c>
      <c r="G97" s="7" t="s">
        <v>287</v>
      </c>
      <c r="I97" s="168" t="s">
        <v>2344</v>
      </c>
      <c r="L97" s="169" t="s">
        <v>53</v>
      </c>
      <c r="M97" s="170"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tags\guam\_index.md</v>
      </c>
    </row>
    <row r="98" spans="1:80" x14ac:dyDescent="0.25">
      <c r="A98" s="129" t="s">
        <v>786</v>
      </c>
      <c r="C98" s="1" t="s">
        <v>288</v>
      </c>
      <c r="D98" s="7" t="s">
        <v>543</v>
      </c>
      <c r="E98" s="7" t="s">
        <v>1000</v>
      </c>
      <c r="F98" s="33" t="s">
        <v>1000</v>
      </c>
      <c r="G98" s="7" t="s">
        <v>288</v>
      </c>
      <c r="H98" s="86"/>
      <c r="I98" s="168" t="s">
        <v>2345</v>
      </c>
      <c r="L98" s="169" t="s">
        <v>53</v>
      </c>
      <c r="M98" s="170"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tags\guinea-bissau\_index.md</v>
      </c>
    </row>
    <row r="99" spans="1:80" x14ac:dyDescent="0.25">
      <c r="A99" s="129" t="s">
        <v>786</v>
      </c>
      <c r="C99" s="1" t="s">
        <v>289</v>
      </c>
      <c r="D99" s="7" t="s">
        <v>544</v>
      </c>
      <c r="E99" s="7" t="s">
        <v>1001</v>
      </c>
      <c r="F99" s="33" t="s">
        <v>1001</v>
      </c>
      <c r="G99" s="7" t="s">
        <v>289</v>
      </c>
      <c r="I99" s="168" t="s">
        <v>2346</v>
      </c>
      <c r="L99" s="169" t="s">
        <v>53</v>
      </c>
      <c r="M99" s="170"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tags\guyana\_index.md</v>
      </c>
    </row>
    <row r="100" spans="1:80" x14ac:dyDescent="0.25">
      <c r="A100" s="129" t="s">
        <v>786</v>
      </c>
      <c r="C100" s="1" t="s">
        <v>290</v>
      </c>
      <c r="D100" s="7" t="s">
        <v>545</v>
      </c>
      <c r="E100" s="7" t="s">
        <v>1002</v>
      </c>
      <c r="F100" s="33" t="s">
        <v>1002</v>
      </c>
      <c r="G100" s="7" t="s">
        <v>290</v>
      </c>
      <c r="H100" s="86"/>
      <c r="I100" s="168" t="s">
        <v>2347</v>
      </c>
      <c r="L100" s="169" t="s">
        <v>53</v>
      </c>
      <c r="M100" s="170"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tags\hong-kong\_index.md</v>
      </c>
    </row>
    <row r="101" spans="1:80" x14ac:dyDescent="0.25">
      <c r="A101" s="129" t="s">
        <v>786</v>
      </c>
      <c r="C101" s="1" t="s">
        <v>291</v>
      </c>
      <c r="D101" s="7" t="s">
        <v>546</v>
      </c>
      <c r="E101" s="7" t="s">
        <v>1003</v>
      </c>
      <c r="F101" s="33" t="s">
        <v>1003</v>
      </c>
      <c r="G101" s="7" t="s">
        <v>291</v>
      </c>
      <c r="I101" s="168" t="s">
        <v>2548</v>
      </c>
      <c r="L101" s="169" t="s">
        <v>53</v>
      </c>
      <c r="M101" s="170"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tags\heard-island\_index.md</v>
      </c>
    </row>
    <row r="102" spans="1:80" x14ac:dyDescent="0.25">
      <c r="A102" s="129" t="s">
        <v>786</v>
      </c>
      <c r="C102" s="1" t="s">
        <v>292</v>
      </c>
      <c r="D102" s="7" t="s">
        <v>547</v>
      </c>
      <c r="E102" s="7" t="s">
        <v>1004</v>
      </c>
      <c r="F102" s="33" t="s">
        <v>1004</v>
      </c>
      <c r="G102" s="7" t="s">
        <v>292</v>
      </c>
      <c r="I102" s="168" t="s">
        <v>2348</v>
      </c>
      <c r="L102" s="169" t="s">
        <v>53</v>
      </c>
      <c r="M102" s="170"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tags\honduras\_index.md</v>
      </c>
    </row>
    <row r="103" spans="1:80" x14ac:dyDescent="0.25">
      <c r="A103" s="129" t="s">
        <v>786</v>
      </c>
      <c r="C103" s="1" t="s">
        <v>293</v>
      </c>
      <c r="D103" s="7" t="s">
        <v>548</v>
      </c>
      <c r="E103" s="7" t="s">
        <v>1005</v>
      </c>
      <c r="F103" s="33" t="s">
        <v>1005</v>
      </c>
      <c r="G103" s="7" t="s">
        <v>293</v>
      </c>
      <c r="H103" s="86"/>
      <c r="I103" s="168" t="s">
        <v>2349</v>
      </c>
      <c r="L103" s="169" t="s">
        <v>53</v>
      </c>
      <c r="M103" s="170"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tags\croatia\_index.md</v>
      </c>
    </row>
    <row r="104" spans="1:80" x14ac:dyDescent="0.25">
      <c r="A104" s="129" t="s">
        <v>786</v>
      </c>
      <c r="C104" s="1" t="s">
        <v>294</v>
      </c>
      <c r="D104" s="7" t="s">
        <v>549</v>
      </c>
      <c r="E104" s="7" t="s">
        <v>1006</v>
      </c>
      <c r="F104" s="33" t="s">
        <v>1006</v>
      </c>
      <c r="G104" s="7" t="s">
        <v>294</v>
      </c>
      <c r="H104" s="86"/>
      <c r="I104" s="168" t="s">
        <v>2350</v>
      </c>
      <c r="L104" s="169" t="s">
        <v>53</v>
      </c>
      <c r="M104" s="170"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tags\haiti\_index.md</v>
      </c>
    </row>
    <row r="105" spans="1:80" x14ac:dyDescent="0.25">
      <c r="A105" s="129" t="s">
        <v>786</v>
      </c>
      <c r="C105" s="1" t="s">
        <v>295</v>
      </c>
      <c r="D105" s="7" t="s">
        <v>550</v>
      </c>
      <c r="E105" s="7" t="s">
        <v>1007</v>
      </c>
      <c r="F105" s="33" t="s">
        <v>1007</v>
      </c>
      <c r="G105" s="7" t="s">
        <v>295</v>
      </c>
      <c r="H105" s="86"/>
      <c r="I105" s="168" t="s">
        <v>2351</v>
      </c>
      <c r="L105" s="169" t="s">
        <v>53</v>
      </c>
      <c r="M105" s="170"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tags\hungary\_index.md</v>
      </c>
    </row>
    <row r="106" spans="1:80" x14ac:dyDescent="0.25">
      <c r="A106" s="129" t="s">
        <v>786</v>
      </c>
      <c r="C106" s="1" t="s">
        <v>296</v>
      </c>
      <c r="D106" s="7" t="s">
        <v>167</v>
      </c>
      <c r="E106" s="7" t="s">
        <v>1008</v>
      </c>
      <c r="F106" s="33" t="s">
        <v>1008</v>
      </c>
      <c r="G106" s="7" t="s">
        <v>296</v>
      </c>
      <c r="I106" s="168" t="s">
        <v>2352</v>
      </c>
      <c r="L106" s="169" t="s">
        <v>53</v>
      </c>
      <c r="M106" s="170"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tags\indonesia\_index.md</v>
      </c>
    </row>
    <row r="107" spans="1:80" x14ac:dyDescent="0.25">
      <c r="A107" s="129" t="s">
        <v>786</v>
      </c>
      <c r="C107" s="1" t="s">
        <v>297</v>
      </c>
      <c r="D107" s="7" t="s">
        <v>551</v>
      </c>
      <c r="E107" s="7" t="s">
        <v>1009</v>
      </c>
      <c r="F107" s="33" t="s">
        <v>1009</v>
      </c>
      <c r="G107" s="84" t="s">
        <v>297</v>
      </c>
      <c r="H107" s="86"/>
      <c r="I107" s="168" t="s">
        <v>2353</v>
      </c>
      <c r="L107" s="169" t="s">
        <v>53</v>
      </c>
      <c r="M107" s="170"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tags\ireland\_index.md</v>
      </c>
    </row>
    <row r="108" spans="1:80" x14ac:dyDescent="0.25">
      <c r="A108" s="129" t="s">
        <v>786</v>
      </c>
      <c r="C108" s="1" t="s">
        <v>298</v>
      </c>
      <c r="D108" s="7" t="s">
        <v>552</v>
      </c>
      <c r="E108" s="7" t="s">
        <v>1010</v>
      </c>
      <c r="F108" s="33" t="s">
        <v>1010</v>
      </c>
      <c r="G108" s="7" t="s">
        <v>298</v>
      </c>
      <c r="I108" s="168" t="s">
        <v>2354</v>
      </c>
      <c r="L108" s="169" t="s">
        <v>53</v>
      </c>
      <c r="M108" s="170"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tags\israel\_index.md</v>
      </c>
    </row>
    <row r="109" spans="1:80" x14ac:dyDescent="0.25">
      <c r="A109" s="129" t="s">
        <v>786</v>
      </c>
      <c r="B109" s="130"/>
      <c r="C109" s="132" t="s">
        <v>299</v>
      </c>
      <c r="D109" s="130" t="s">
        <v>553</v>
      </c>
      <c r="E109" s="130" t="s">
        <v>1011</v>
      </c>
      <c r="F109" s="61" t="s">
        <v>1011</v>
      </c>
      <c r="G109" s="7" t="s">
        <v>299</v>
      </c>
      <c r="H109" s="61"/>
      <c r="I109" s="168" t="s">
        <v>2549</v>
      </c>
      <c r="L109" s="169" t="s">
        <v>53</v>
      </c>
      <c r="M109" s="170"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tags\isle-of-man\_index.md</v>
      </c>
    </row>
    <row r="110" spans="1:80" x14ac:dyDescent="0.25">
      <c r="A110" s="129" t="s">
        <v>786</v>
      </c>
      <c r="B110" s="130"/>
      <c r="C110" s="132" t="s">
        <v>0</v>
      </c>
      <c r="D110" s="130" t="s">
        <v>554</v>
      </c>
      <c r="E110" s="130" t="s">
        <v>1012</v>
      </c>
      <c r="F110" s="61" t="s">
        <v>1012</v>
      </c>
      <c r="G110" s="7" t="s">
        <v>0</v>
      </c>
      <c r="H110" s="61"/>
      <c r="I110" s="168" t="s">
        <v>2355</v>
      </c>
      <c r="L110" s="169" t="s">
        <v>53</v>
      </c>
      <c r="M110" s="170"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tags\india\_index.md</v>
      </c>
    </row>
    <row r="111" spans="1:80" x14ac:dyDescent="0.25">
      <c r="A111" s="129" t="s">
        <v>786</v>
      </c>
      <c r="B111" s="130"/>
      <c r="C111" s="132" t="s">
        <v>300</v>
      </c>
      <c r="D111" s="130" t="s">
        <v>555</v>
      </c>
      <c r="E111" s="130" t="s">
        <v>1013</v>
      </c>
      <c r="F111" s="61" t="s">
        <v>1013</v>
      </c>
      <c r="G111" s="7" t="s">
        <v>300</v>
      </c>
      <c r="H111" s="61"/>
      <c r="I111" s="168" t="s">
        <v>2356</v>
      </c>
      <c r="L111" s="169" t="s">
        <v>53</v>
      </c>
      <c r="M111" s="170"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tags\biot\_index.md</v>
      </c>
    </row>
    <row r="112" spans="1:80" x14ac:dyDescent="0.25">
      <c r="A112" s="129" t="s">
        <v>786</v>
      </c>
      <c r="B112" s="130"/>
      <c r="C112" s="132" t="s">
        <v>301</v>
      </c>
      <c r="D112" s="130" t="s">
        <v>556</v>
      </c>
      <c r="E112" s="130" t="s">
        <v>1014</v>
      </c>
      <c r="F112" s="33" t="s">
        <v>1014</v>
      </c>
      <c r="G112" s="55" t="s">
        <v>301</v>
      </c>
      <c r="I112" s="168" t="s">
        <v>2357</v>
      </c>
      <c r="L112" s="169" t="s">
        <v>53</v>
      </c>
      <c r="M112" s="170"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tags\iraq\_index.md</v>
      </c>
    </row>
    <row r="113" spans="1:80" x14ac:dyDescent="0.25">
      <c r="A113" s="129" t="s">
        <v>786</v>
      </c>
      <c r="B113" s="130"/>
      <c r="C113" s="132" t="s">
        <v>425</v>
      </c>
      <c r="D113" s="130" t="s">
        <v>557</v>
      </c>
      <c r="E113" s="130" t="s">
        <v>1015</v>
      </c>
      <c r="F113" s="61" t="s">
        <v>1015</v>
      </c>
      <c r="G113" s="55" t="s">
        <v>425</v>
      </c>
      <c r="H113" s="61"/>
      <c r="I113" s="168" t="s">
        <v>2358</v>
      </c>
      <c r="L113" s="169" t="s">
        <v>53</v>
      </c>
      <c r="M113" s="170"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tags\iran\_index.md</v>
      </c>
    </row>
    <row r="114" spans="1:80" x14ac:dyDescent="0.25">
      <c r="A114" s="129" t="s">
        <v>786</v>
      </c>
      <c r="C114" s="1" t="s">
        <v>302</v>
      </c>
      <c r="D114" s="7" t="s">
        <v>558</v>
      </c>
      <c r="E114" s="7" t="s">
        <v>1016</v>
      </c>
      <c r="F114" s="61" t="s">
        <v>1016</v>
      </c>
      <c r="G114" s="7" t="s">
        <v>302</v>
      </c>
      <c r="H114" s="61"/>
      <c r="I114" s="168" t="s">
        <v>2359</v>
      </c>
      <c r="L114" s="169" t="s">
        <v>53</v>
      </c>
      <c r="M114" s="170"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tags\iceland\_index.md</v>
      </c>
    </row>
    <row r="115" spans="1:80" x14ac:dyDescent="0.25">
      <c r="A115" s="129" t="s">
        <v>786</v>
      </c>
      <c r="B115" s="55"/>
      <c r="C115" s="62" t="s">
        <v>1</v>
      </c>
      <c r="D115" s="55" t="s">
        <v>559</v>
      </c>
      <c r="E115" s="55" t="s">
        <v>897</v>
      </c>
      <c r="F115" s="61" t="s">
        <v>897</v>
      </c>
      <c r="G115" s="55" t="s">
        <v>1</v>
      </c>
      <c r="I115" s="168" t="s">
        <v>2360</v>
      </c>
      <c r="L115" s="169" t="s">
        <v>53</v>
      </c>
      <c r="M115" s="170"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tags\italy\_index.md</v>
      </c>
    </row>
    <row r="116" spans="1:80" x14ac:dyDescent="0.25">
      <c r="A116" s="129" t="s">
        <v>786</v>
      </c>
      <c r="B116" s="130"/>
      <c r="C116" s="132" t="s">
        <v>303</v>
      </c>
      <c r="D116" s="130" t="s">
        <v>560</v>
      </c>
      <c r="E116" s="130" t="s">
        <v>1017</v>
      </c>
      <c r="F116" s="61" t="s">
        <v>1017</v>
      </c>
      <c r="G116" s="55" t="s">
        <v>303</v>
      </c>
      <c r="H116" s="61"/>
      <c r="I116" s="168" t="s">
        <v>2361</v>
      </c>
      <c r="L116" s="169" t="s">
        <v>53</v>
      </c>
      <c r="M116" s="170"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tags\jersey\_index.md</v>
      </c>
    </row>
    <row r="117" spans="1:80" x14ac:dyDescent="0.25">
      <c r="A117" s="129" t="s">
        <v>786</v>
      </c>
      <c r="C117" s="1" t="s">
        <v>304</v>
      </c>
      <c r="D117" s="7" t="s">
        <v>561</v>
      </c>
      <c r="E117" s="7" t="s">
        <v>1018</v>
      </c>
      <c r="F117" s="33" t="s">
        <v>1018</v>
      </c>
      <c r="G117" s="55" t="s">
        <v>304</v>
      </c>
      <c r="H117" s="61"/>
      <c r="I117" s="168" t="s">
        <v>2362</v>
      </c>
      <c r="J117" s="152"/>
      <c r="K117" s="139"/>
      <c r="L117" s="169" t="s">
        <v>53</v>
      </c>
      <c r="M117" s="170"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tags\jamaica\_index.md</v>
      </c>
    </row>
    <row r="118" spans="1:80" x14ac:dyDescent="0.25">
      <c r="A118" s="129" t="s">
        <v>786</v>
      </c>
      <c r="C118" s="1" t="s">
        <v>305</v>
      </c>
      <c r="D118" s="7" t="s">
        <v>562</v>
      </c>
      <c r="E118" s="7" t="s">
        <v>1019</v>
      </c>
      <c r="F118" s="33" t="s">
        <v>1019</v>
      </c>
      <c r="G118" s="7" t="s">
        <v>305</v>
      </c>
      <c r="H118" s="61"/>
      <c r="I118" s="168" t="s">
        <v>2363</v>
      </c>
      <c r="L118" s="169" t="s">
        <v>53</v>
      </c>
      <c r="M118" s="170"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tags\jordan\_index.md</v>
      </c>
    </row>
    <row r="119" spans="1:80" x14ac:dyDescent="0.25">
      <c r="A119" s="129" t="s">
        <v>786</v>
      </c>
      <c r="C119" s="1" t="s">
        <v>306</v>
      </c>
      <c r="D119" s="7" t="s">
        <v>563</v>
      </c>
      <c r="E119" s="7" t="s">
        <v>1020</v>
      </c>
      <c r="F119" s="33" t="s">
        <v>1020</v>
      </c>
      <c r="G119" s="55" t="s">
        <v>306</v>
      </c>
      <c r="H119" s="61"/>
      <c r="I119" s="168" t="s">
        <v>2364</v>
      </c>
      <c r="L119" s="169" t="s">
        <v>53</v>
      </c>
      <c r="M119" s="170"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tags\japan\_index.md</v>
      </c>
    </row>
    <row r="120" spans="1:80" x14ac:dyDescent="0.25">
      <c r="A120" s="129" t="s">
        <v>786</v>
      </c>
      <c r="C120" s="1" t="s">
        <v>307</v>
      </c>
      <c r="D120" s="7" t="s">
        <v>564</v>
      </c>
      <c r="E120" s="7" t="s">
        <v>1021</v>
      </c>
      <c r="F120" s="33" t="s">
        <v>1021</v>
      </c>
      <c r="G120" s="7" t="s">
        <v>307</v>
      </c>
      <c r="H120" s="61"/>
      <c r="I120" s="168" t="s">
        <v>2365</v>
      </c>
      <c r="L120" s="169" t="s">
        <v>53</v>
      </c>
      <c r="M120" s="170"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tags\kenya\_index.md</v>
      </c>
    </row>
    <row r="121" spans="1:80" x14ac:dyDescent="0.25">
      <c r="A121" s="129" t="s">
        <v>786</v>
      </c>
      <c r="C121" s="1" t="s">
        <v>308</v>
      </c>
      <c r="D121" s="7" t="s">
        <v>565</v>
      </c>
      <c r="E121" s="7" t="s">
        <v>1022</v>
      </c>
      <c r="F121" s="33" t="s">
        <v>1022</v>
      </c>
      <c r="G121" s="55" t="s">
        <v>308</v>
      </c>
      <c r="H121" s="61"/>
      <c r="I121" s="168" t="s">
        <v>2366</v>
      </c>
      <c r="L121" s="169" t="s">
        <v>53</v>
      </c>
      <c r="M121" s="170"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tags\kyrgyzstan\_index.md</v>
      </c>
    </row>
    <row r="122" spans="1:80" x14ac:dyDescent="0.25">
      <c r="A122" s="129" t="s">
        <v>786</v>
      </c>
      <c r="C122" s="1" t="s">
        <v>309</v>
      </c>
      <c r="D122" s="7" t="s">
        <v>566</v>
      </c>
      <c r="E122" s="7" t="s">
        <v>1023</v>
      </c>
      <c r="F122" s="33" t="s">
        <v>1023</v>
      </c>
      <c r="G122" s="55" t="s">
        <v>309</v>
      </c>
      <c r="H122" s="61"/>
      <c r="I122" s="168" t="s">
        <v>2367</v>
      </c>
      <c r="L122" s="169" t="s">
        <v>53</v>
      </c>
      <c r="M122" s="170"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tags\cambodia\_index.md</v>
      </c>
    </row>
    <row r="123" spans="1:80" x14ac:dyDescent="0.25">
      <c r="A123" s="129" t="s">
        <v>786</v>
      </c>
      <c r="C123" s="1" t="s">
        <v>310</v>
      </c>
      <c r="D123" s="7" t="s">
        <v>567</v>
      </c>
      <c r="E123" s="7" t="s">
        <v>1024</v>
      </c>
      <c r="F123" s="33" t="s">
        <v>1024</v>
      </c>
      <c r="G123" s="55" t="s">
        <v>310</v>
      </c>
      <c r="H123" s="61"/>
      <c r="I123" s="168" t="s">
        <v>2368</v>
      </c>
      <c r="L123" s="169" t="s">
        <v>53</v>
      </c>
      <c r="M123" s="170"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tags\kiribati\_index.md</v>
      </c>
    </row>
    <row r="124" spans="1:80" x14ac:dyDescent="0.25">
      <c r="A124" s="129" t="s">
        <v>786</v>
      </c>
      <c r="C124" s="1" t="s">
        <v>311</v>
      </c>
      <c r="D124" s="7" t="s">
        <v>568</v>
      </c>
      <c r="E124" s="7" t="s">
        <v>1025</v>
      </c>
      <c r="F124" s="33" t="s">
        <v>1025</v>
      </c>
      <c r="G124" s="55" t="s">
        <v>311</v>
      </c>
      <c r="H124" s="61"/>
      <c r="I124" s="168" t="s">
        <v>2550</v>
      </c>
      <c r="L124" s="169" t="s">
        <v>53</v>
      </c>
      <c r="M124" s="170"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tags\comoros\_index.md</v>
      </c>
    </row>
    <row r="125" spans="1:80" x14ac:dyDescent="0.25">
      <c r="A125" s="129" t="s">
        <v>786</v>
      </c>
      <c r="C125" s="1" t="s">
        <v>312</v>
      </c>
      <c r="D125" s="7" t="s">
        <v>569</v>
      </c>
      <c r="E125" s="7" t="s">
        <v>1026</v>
      </c>
      <c r="F125" s="33" t="s">
        <v>1026</v>
      </c>
      <c r="G125" s="7" t="s">
        <v>312</v>
      </c>
      <c r="H125" s="61"/>
      <c r="I125" s="168" t="s">
        <v>2369</v>
      </c>
      <c r="L125" s="169" t="s">
        <v>53</v>
      </c>
      <c r="M125" s="170"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tags\kitts-nevis\_index.md</v>
      </c>
    </row>
    <row r="126" spans="1:80" x14ac:dyDescent="0.25">
      <c r="A126" s="129" t="s">
        <v>786</v>
      </c>
      <c r="C126" s="1" t="s">
        <v>426</v>
      </c>
      <c r="D126" s="7" t="s">
        <v>570</v>
      </c>
      <c r="E126" s="7" t="s">
        <v>1027</v>
      </c>
      <c r="F126" s="33" t="s">
        <v>1027</v>
      </c>
      <c r="G126" s="55" t="s">
        <v>426</v>
      </c>
      <c r="H126" s="61"/>
      <c r="I126" s="168" t="s">
        <v>2370</v>
      </c>
      <c r="L126" s="169" t="s">
        <v>53</v>
      </c>
      <c r="M126" s="170"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tags\north-korea\_index.md</v>
      </c>
    </row>
    <row r="127" spans="1:80" x14ac:dyDescent="0.25">
      <c r="A127" s="129" t="s">
        <v>786</v>
      </c>
      <c r="B127" s="130"/>
      <c r="C127" s="132" t="s">
        <v>432</v>
      </c>
      <c r="D127" s="130" t="s">
        <v>571</v>
      </c>
      <c r="E127" s="130" t="s">
        <v>1028</v>
      </c>
      <c r="F127" s="33" t="s">
        <v>1028</v>
      </c>
      <c r="G127" s="94" t="s">
        <v>432</v>
      </c>
      <c r="H127" s="96"/>
      <c r="I127" s="168" t="s">
        <v>2371</v>
      </c>
      <c r="L127" s="169" t="s">
        <v>53</v>
      </c>
      <c r="M127" s="170"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tags\south-korea\_index.md</v>
      </c>
    </row>
    <row r="128" spans="1:80" x14ac:dyDescent="0.25">
      <c r="A128" s="129" t="s">
        <v>786</v>
      </c>
      <c r="C128" s="1" t="s">
        <v>313</v>
      </c>
      <c r="D128" s="7" t="s">
        <v>572</v>
      </c>
      <c r="E128" s="7" t="s">
        <v>1029</v>
      </c>
      <c r="F128" s="33" t="s">
        <v>1029</v>
      </c>
      <c r="G128" s="7" t="s">
        <v>313</v>
      </c>
      <c r="I128" s="168" t="s">
        <v>2372</v>
      </c>
      <c r="J128" s="152"/>
      <c r="K128" s="139"/>
      <c r="L128" s="169" t="s">
        <v>53</v>
      </c>
      <c r="M128" s="170"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tags\kuwait\_index.md</v>
      </c>
    </row>
    <row r="129" spans="1:80" x14ac:dyDescent="0.25">
      <c r="A129" s="129" t="s">
        <v>786</v>
      </c>
      <c r="B129" s="130"/>
      <c r="C129" s="132" t="s">
        <v>314</v>
      </c>
      <c r="D129" s="130" t="s">
        <v>573</v>
      </c>
      <c r="E129" s="130" t="s">
        <v>1030</v>
      </c>
      <c r="F129" s="33" t="s">
        <v>1030</v>
      </c>
      <c r="G129" s="94" t="s">
        <v>314</v>
      </c>
      <c r="H129" s="101"/>
      <c r="I129" s="168" t="s">
        <v>2551</v>
      </c>
      <c r="J129" s="152"/>
      <c r="K129" s="139"/>
      <c r="L129" s="169" t="s">
        <v>53</v>
      </c>
      <c r="M129" s="170"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tags\cayman-islands\_index.md</v>
      </c>
    </row>
    <row r="130" spans="1:80" x14ac:dyDescent="0.25">
      <c r="A130" s="129" t="s">
        <v>786</v>
      </c>
      <c r="C130" s="1" t="s">
        <v>315</v>
      </c>
      <c r="D130" s="7" t="s">
        <v>574</v>
      </c>
      <c r="E130" s="7" t="s">
        <v>1031</v>
      </c>
      <c r="F130" s="33" t="s">
        <v>1031</v>
      </c>
      <c r="G130" s="7" t="s">
        <v>315</v>
      </c>
      <c r="I130" s="168" t="s">
        <v>2373</v>
      </c>
      <c r="L130" s="169" t="s">
        <v>53</v>
      </c>
      <c r="M130" s="170"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tags\kazakhstan\_index.md</v>
      </c>
    </row>
    <row r="131" spans="1:80" x14ac:dyDescent="0.25">
      <c r="A131" s="129" t="s">
        <v>786</v>
      </c>
      <c r="C131" s="1" t="s">
        <v>446</v>
      </c>
      <c r="D131" s="7" t="s">
        <v>575</v>
      </c>
      <c r="E131" s="7" t="s">
        <v>1032</v>
      </c>
      <c r="F131" s="33" t="s">
        <v>1032</v>
      </c>
      <c r="G131" s="10" t="s">
        <v>446</v>
      </c>
      <c r="I131" s="168" t="s">
        <v>2374</v>
      </c>
      <c r="L131" s="169" t="s">
        <v>53</v>
      </c>
      <c r="M131" s="170"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tags\laos\_index.md</v>
      </c>
    </row>
    <row r="132" spans="1:80" x14ac:dyDescent="0.25">
      <c r="A132" s="129" t="s">
        <v>786</v>
      </c>
      <c r="B132" s="26"/>
      <c r="C132" s="18" t="s">
        <v>198</v>
      </c>
      <c r="D132" s="26" t="s">
        <v>576</v>
      </c>
      <c r="E132" s="26" t="s">
        <v>1033</v>
      </c>
      <c r="F132" s="61" t="s">
        <v>1033</v>
      </c>
      <c r="G132" s="26" t="s">
        <v>198</v>
      </c>
      <c r="H132" s="38"/>
      <c r="I132" s="168" t="s">
        <v>2375</v>
      </c>
      <c r="J132" s="152"/>
      <c r="K132" s="139"/>
      <c r="L132" s="169" t="s">
        <v>53</v>
      </c>
      <c r="M132" s="170"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tags\lebanon\_index.md</v>
      </c>
    </row>
    <row r="133" spans="1:80" x14ac:dyDescent="0.25">
      <c r="A133" s="129" t="s">
        <v>786</v>
      </c>
      <c r="C133" s="1" t="s">
        <v>316</v>
      </c>
      <c r="D133" s="7" t="s">
        <v>577</v>
      </c>
      <c r="E133" s="7" t="s">
        <v>1034</v>
      </c>
      <c r="F133" s="33" t="s">
        <v>1034</v>
      </c>
      <c r="G133" s="23" t="s">
        <v>316</v>
      </c>
      <c r="H133" s="34"/>
      <c r="I133" s="168" t="s">
        <v>2376</v>
      </c>
      <c r="L133" s="169" t="s">
        <v>53</v>
      </c>
      <c r="M133" s="170"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tags\saint-lucia\_index.md</v>
      </c>
    </row>
    <row r="134" spans="1:80" x14ac:dyDescent="0.25">
      <c r="A134" s="129" t="s">
        <v>786</v>
      </c>
      <c r="C134" s="1" t="s">
        <v>317</v>
      </c>
      <c r="D134" s="7" t="s">
        <v>578</v>
      </c>
      <c r="E134" s="7" t="s">
        <v>1035</v>
      </c>
      <c r="F134" s="38" t="s">
        <v>1035</v>
      </c>
      <c r="G134" s="7" t="s">
        <v>317</v>
      </c>
      <c r="I134" s="168" t="s">
        <v>2377</v>
      </c>
      <c r="L134" s="169" t="s">
        <v>53</v>
      </c>
      <c r="M134" s="170"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tags\liechtenstein\_index.md</v>
      </c>
    </row>
    <row r="135" spans="1:80" x14ac:dyDescent="0.25">
      <c r="A135" s="129" t="s">
        <v>786</v>
      </c>
      <c r="C135" s="1" t="s">
        <v>318</v>
      </c>
      <c r="D135" s="7" t="s">
        <v>579</v>
      </c>
      <c r="E135" s="7" t="s">
        <v>1036</v>
      </c>
      <c r="F135" s="33" t="s">
        <v>1036</v>
      </c>
      <c r="G135" s="7" t="s">
        <v>318</v>
      </c>
      <c r="H135" s="34"/>
      <c r="I135" s="168" t="s">
        <v>2378</v>
      </c>
      <c r="L135" s="169" t="s">
        <v>53</v>
      </c>
      <c r="M135" s="170"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tags\sri-lanka\_index.md</v>
      </c>
    </row>
    <row r="136" spans="1:80" x14ac:dyDescent="0.25">
      <c r="A136" s="129" t="s">
        <v>786</v>
      </c>
      <c r="C136" s="1" t="s">
        <v>319</v>
      </c>
      <c r="D136" s="7" t="s">
        <v>580</v>
      </c>
      <c r="E136" s="7" t="s">
        <v>1037</v>
      </c>
      <c r="F136" s="33" t="s">
        <v>1037</v>
      </c>
      <c r="G136" s="7" t="s">
        <v>319</v>
      </c>
      <c r="I136" s="168" t="s">
        <v>2379</v>
      </c>
      <c r="J136" s="152"/>
      <c r="K136" s="139"/>
      <c r="L136" s="169" t="s">
        <v>53</v>
      </c>
      <c r="M136" s="170"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tags\liberia\_index.md</v>
      </c>
    </row>
    <row r="137" spans="1:80" x14ac:dyDescent="0.25">
      <c r="A137" s="129" t="s">
        <v>786</v>
      </c>
      <c r="C137" s="1" t="s">
        <v>320</v>
      </c>
      <c r="D137" s="7" t="s">
        <v>581</v>
      </c>
      <c r="E137" s="7" t="s">
        <v>1038</v>
      </c>
      <c r="F137" s="33" t="s">
        <v>1038</v>
      </c>
      <c r="G137" s="7" t="s">
        <v>320</v>
      </c>
      <c r="I137" s="168" t="s">
        <v>2380</v>
      </c>
      <c r="J137" s="152"/>
      <c r="K137" s="139"/>
      <c r="L137" s="169" t="s">
        <v>53</v>
      </c>
      <c r="M137" s="170"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tags\lesotho\_index.md</v>
      </c>
    </row>
    <row r="138" spans="1:80" x14ac:dyDescent="0.25">
      <c r="A138" s="129" t="s">
        <v>786</v>
      </c>
      <c r="C138" s="1" t="s">
        <v>321</v>
      </c>
      <c r="D138" s="7" t="s">
        <v>582</v>
      </c>
      <c r="E138" s="7" t="s">
        <v>1039</v>
      </c>
      <c r="F138" s="33" t="s">
        <v>1039</v>
      </c>
      <c r="G138" s="7" t="s">
        <v>321</v>
      </c>
      <c r="I138" s="168" t="s">
        <v>2381</v>
      </c>
      <c r="J138" s="155"/>
      <c r="K138" s="35"/>
      <c r="L138" s="169" t="s">
        <v>53</v>
      </c>
      <c r="M138" s="170"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tags\lithuania\_index.md</v>
      </c>
    </row>
    <row r="139" spans="1:80" x14ac:dyDescent="0.25">
      <c r="A139" s="129" t="s">
        <v>786</v>
      </c>
      <c r="C139" s="1" t="s">
        <v>322</v>
      </c>
      <c r="D139" s="7" t="s">
        <v>583</v>
      </c>
      <c r="E139" s="7" t="s">
        <v>1040</v>
      </c>
      <c r="F139" s="33" t="s">
        <v>1040</v>
      </c>
      <c r="G139" s="7" t="s">
        <v>322</v>
      </c>
      <c r="I139" s="168" t="s">
        <v>2382</v>
      </c>
      <c r="L139" s="169" t="s">
        <v>53</v>
      </c>
      <c r="M139" s="170"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tags\luxembourg\_index.md</v>
      </c>
    </row>
    <row r="140" spans="1:80" x14ac:dyDescent="0.25">
      <c r="A140" s="129" t="s">
        <v>786</v>
      </c>
      <c r="C140" s="1" t="s">
        <v>323</v>
      </c>
      <c r="D140" s="7" t="s">
        <v>584</v>
      </c>
      <c r="E140" s="7" t="s">
        <v>1041</v>
      </c>
      <c r="F140" s="33" t="s">
        <v>1041</v>
      </c>
      <c r="G140" s="15" t="s">
        <v>323</v>
      </c>
      <c r="H140" s="37"/>
      <c r="I140" s="168" t="s">
        <v>2383</v>
      </c>
      <c r="L140" s="169" t="s">
        <v>53</v>
      </c>
      <c r="M140" s="170"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tags\latvia\_index.md</v>
      </c>
    </row>
    <row r="141" spans="1:80" x14ac:dyDescent="0.25">
      <c r="A141" s="129" t="s">
        <v>786</v>
      </c>
      <c r="C141" s="1" t="s">
        <v>324</v>
      </c>
      <c r="D141" s="7" t="s">
        <v>585</v>
      </c>
      <c r="E141" s="7" t="s">
        <v>1042</v>
      </c>
      <c r="F141" s="33" t="s">
        <v>1042</v>
      </c>
      <c r="G141" s="7" t="s">
        <v>324</v>
      </c>
      <c r="I141" s="168" t="s">
        <v>2384</v>
      </c>
      <c r="L141" s="169" t="s">
        <v>53</v>
      </c>
      <c r="M141" s="170"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tags\libya\_index.md</v>
      </c>
    </row>
    <row r="142" spans="1:80" x14ac:dyDescent="0.25">
      <c r="A142" s="129" t="s">
        <v>786</v>
      </c>
      <c r="C142" s="1" t="s">
        <v>325</v>
      </c>
      <c r="D142" s="7" t="s">
        <v>586</v>
      </c>
      <c r="E142" s="7" t="s">
        <v>1043</v>
      </c>
      <c r="F142" s="33" t="s">
        <v>1043</v>
      </c>
      <c r="G142" s="7" t="s">
        <v>325</v>
      </c>
      <c r="I142" s="168" t="s">
        <v>2385</v>
      </c>
      <c r="L142" s="169" t="s">
        <v>53</v>
      </c>
      <c r="M142" s="170"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tags\morocco\_index.md</v>
      </c>
    </row>
    <row r="143" spans="1:80" x14ac:dyDescent="0.25">
      <c r="A143" s="129" t="s">
        <v>786</v>
      </c>
      <c r="C143" s="1" t="s">
        <v>326</v>
      </c>
      <c r="D143" s="7" t="s">
        <v>587</v>
      </c>
      <c r="E143" s="7" t="s">
        <v>1044</v>
      </c>
      <c r="F143" s="33" t="s">
        <v>1044</v>
      </c>
      <c r="G143" s="7" t="s">
        <v>326</v>
      </c>
      <c r="I143" s="168" t="s">
        <v>2386</v>
      </c>
      <c r="L143" s="169" t="s">
        <v>53</v>
      </c>
      <c r="M143" s="170"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tags\monaco\_index.md</v>
      </c>
    </row>
    <row r="144" spans="1:80" x14ac:dyDescent="0.25">
      <c r="A144" s="129" t="s">
        <v>786</v>
      </c>
      <c r="C144" s="1" t="s">
        <v>433</v>
      </c>
      <c r="D144" s="7" t="s">
        <v>588</v>
      </c>
      <c r="E144" s="7" t="s">
        <v>1045</v>
      </c>
      <c r="F144" s="33" t="s">
        <v>1045</v>
      </c>
      <c r="G144" s="7" t="s">
        <v>433</v>
      </c>
      <c r="I144" s="168" t="s">
        <v>2387</v>
      </c>
      <c r="L144" s="169" t="s">
        <v>53</v>
      </c>
      <c r="M144" s="170"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tags\moldova\_index.md</v>
      </c>
    </row>
    <row r="145" spans="1:80" x14ac:dyDescent="0.25">
      <c r="A145" s="129" t="s">
        <v>786</v>
      </c>
      <c r="C145" s="1" t="s">
        <v>327</v>
      </c>
      <c r="D145" s="7" t="s">
        <v>589</v>
      </c>
      <c r="E145" s="7" t="s">
        <v>1046</v>
      </c>
      <c r="F145" s="33" t="s">
        <v>1046</v>
      </c>
      <c r="G145" s="7" t="s">
        <v>327</v>
      </c>
      <c r="I145" s="168" t="s">
        <v>2388</v>
      </c>
      <c r="L145" s="169" t="s">
        <v>53</v>
      </c>
      <c r="M145" s="170"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tags\montenegro\_index.md</v>
      </c>
    </row>
    <row r="146" spans="1:80" x14ac:dyDescent="0.25">
      <c r="A146" s="129" t="s">
        <v>786</v>
      </c>
      <c r="C146" s="1" t="s">
        <v>427</v>
      </c>
      <c r="D146" s="7" t="s">
        <v>590</v>
      </c>
      <c r="E146" s="7" t="s">
        <v>1047</v>
      </c>
      <c r="F146" s="33" t="s">
        <v>1047</v>
      </c>
      <c r="G146" s="7" t="s">
        <v>427</v>
      </c>
      <c r="I146" s="168" t="s">
        <v>2389</v>
      </c>
      <c r="L146" s="169" t="s">
        <v>53</v>
      </c>
      <c r="M146" s="170"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tags\saint-martin\_index.md</v>
      </c>
    </row>
    <row r="147" spans="1:80" x14ac:dyDescent="0.25">
      <c r="A147" s="129" t="s">
        <v>786</v>
      </c>
      <c r="C147" s="1" t="s">
        <v>328</v>
      </c>
      <c r="D147" s="7" t="s">
        <v>591</v>
      </c>
      <c r="E147" s="7" t="s">
        <v>1048</v>
      </c>
      <c r="F147" s="33" t="s">
        <v>1048</v>
      </c>
      <c r="G147" s="7" t="s">
        <v>328</v>
      </c>
      <c r="I147" s="168" t="s">
        <v>2390</v>
      </c>
      <c r="L147" s="169" t="s">
        <v>53</v>
      </c>
      <c r="M147" s="170"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tags\madagascar\_index.md</v>
      </c>
    </row>
    <row r="148" spans="1:80" x14ac:dyDescent="0.25">
      <c r="A148" s="129" t="s">
        <v>786</v>
      </c>
      <c r="C148" s="1" t="s">
        <v>329</v>
      </c>
      <c r="D148" s="7" t="s">
        <v>592</v>
      </c>
      <c r="E148" s="7" t="s">
        <v>1049</v>
      </c>
      <c r="F148" s="33" t="s">
        <v>1049</v>
      </c>
      <c r="G148" s="7" t="s">
        <v>329</v>
      </c>
      <c r="I148" s="168" t="s">
        <v>2552</v>
      </c>
      <c r="L148" s="169" t="s">
        <v>53</v>
      </c>
      <c r="M148" s="170"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tags\marshall-islands\_index.md</v>
      </c>
    </row>
    <row r="149" spans="1:80" x14ac:dyDescent="0.25">
      <c r="A149" s="129" t="s">
        <v>786</v>
      </c>
      <c r="C149" s="1" t="s">
        <v>330</v>
      </c>
      <c r="D149" s="7" t="s">
        <v>593</v>
      </c>
      <c r="E149" s="7" t="s">
        <v>1050</v>
      </c>
      <c r="F149" s="33" t="s">
        <v>1050</v>
      </c>
      <c r="G149" s="7" t="s">
        <v>330</v>
      </c>
      <c r="I149" s="168" t="s">
        <v>2391</v>
      </c>
      <c r="L149" s="169" t="s">
        <v>53</v>
      </c>
      <c r="M149" s="170"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tags\north-macedonia\_index.md</v>
      </c>
    </row>
    <row r="150" spans="1:80" x14ac:dyDescent="0.25">
      <c r="A150" s="129" t="s">
        <v>786</v>
      </c>
      <c r="C150" s="1" t="s">
        <v>331</v>
      </c>
      <c r="D150" s="7" t="s">
        <v>594</v>
      </c>
      <c r="E150" s="7" t="s">
        <v>1051</v>
      </c>
      <c r="F150" s="33" t="s">
        <v>1051</v>
      </c>
      <c r="G150" s="7" t="s">
        <v>331</v>
      </c>
      <c r="I150" s="168" t="s">
        <v>2392</v>
      </c>
      <c r="L150" s="169" t="s">
        <v>53</v>
      </c>
      <c r="M150" s="170"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tags\mali\_index.md</v>
      </c>
    </row>
    <row r="151" spans="1:80" x14ac:dyDescent="0.25">
      <c r="A151" s="129" t="s">
        <v>786</v>
      </c>
      <c r="C151" s="1" t="s">
        <v>332</v>
      </c>
      <c r="D151" s="7" t="s">
        <v>595</v>
      </c>
      <c r="E151" s="7" t="s">
        <v>1052</v>
      </c>
      <c r="F151" s="33" t="s">
        <v>1052</v>
      </c>
      <c r="G151" s="7" t="s">
        <v>332</v>
      </c>
      <c r="I151" s="168" t="s">
        <v>2393</v>
      </c>
      <c r="L151" s="169" t="s">
        <v>53</v>
      </c>
      <c r="M151" s="170"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tags\myanmar\_index.md</v>
      </c>
    </row>
    <row r="152" spans="1:80" x14ac:dyDescent="0.25">
      <c r="A152" s="129" t="s">
        <v>786</v>
      </c>
      <c r="C152" s="1" t="s">
        <v>333</v>
      </c>
      <c r="D152" s="7" t="s">
        <v>596</v>
      </c>
      <c r="E152" s="7" t="s">
        <v>1053</v>
      </c>
      <c r="F152" s="33" t="s">
        <v>1053</v>
      </c>
      <c r="G152" s="7" t="s">
        <v>333</v>
      </c>
      <c r="I152" s="168" t="s">
        <v>2394</v>
      </c>
      <c r="L152" s="169" t="s">
        <v>53</v>
      </c>
      <c r="M152" s="170"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tags\mongolia\_index.md</v>
      </c>
    </row>
    <row r="153" spans="1:80" x14ac:dyDescent="0.25">
      <c r="A153" s="129" t="s">
        <v>786</v>
      </c>
      <c r="C153" s="1" t="s">
        <v>334</v>
      </c>
      <c r="D153" s="7" t="s">
        <v>597</v>
      </c>
      <c r="E153" s="7" t="s">
        <v>1054</v>
      </c>
      <c r="F153" s="33" t="s">
        <v>1054</v>
      </c>
      <c r="G153" s="7" t="s">
        <v>334</v>
      </c>
      <c r="I153" s="168" t="s">
        <v>2395</v>
      </c>
      <c r="L153" s="169" t="s">
        <v>53</v>
      </c>
      <c r="M153" s="170"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tags\macao\_index.md</v>
      </c>
    </row>
    <row r="154" spans="1:80" x14ac:dyDescent="0.25">
      <c r="A154" s="129" t="s">
        <v>786</v>
      </c>
      <c r="C154" s="1" t="s">
        <v>336</v>
      </c>
      <c r="D154" s="7" t="s">
        <v>598</v>
      </c>
      <c r="E154" s="7" t="s">
        <v>1055</v>
      </c>
      <c r="F154" s="33" t="s">
        <v>1055</v>
      </c>
      <c r="G154" s="7" t="s">
        <v>336</v>
      </c>
      <c r="I154" s="168" t="s">
        <v>2553</v>
      </c>
      <c r="L154" s="169" t="s">
        <v>53</v>
      </c>
      <c r="M154" s="170"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tags\northern-mariana-islands\_index.md</v>
      </c>
    </row>
    <row r="155" spans="1:80" x14ac:dyDescent="0.25">
      <c r="A155" s="129" t="s">
        <v>786</v>
      </c>
      <c r="C155" s="1" t="s">
        <v>337</v>
      </c>
      <c r="D155" s="7" t="s">
        <v>599</v>
      </c>
      <c r="E155" s="7" t="s">
        <v>1056</v>
      </c>
      <c r="F155" s="33" t="s">
        <v>1056</v>
      </c>
      <c r="G155" s="7" t="s">
        <v>337</v>
      </c>
      <c r="I155" s="168" t="s">
        <v>2396</v>
      </c>
      <c r="L155" s="169" t="s">
        <v>53</v>
      </c>
      <c r="M155" s="170"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tags\martinique\_index.md</v>
      </c>
    </row>
    <row r="156" spans="1:80" x14ac:dyDescent="0.25">
      <c r="A156" s="129" t="s">
        <v>786</v>
      </c>
      <c r="C156" s="1" t="s">
        <v>338</v>
      </c>
      <c r="D156" s="7" t="s">
        <v>600</v>
      </c>
      <c r="E156" s="7" t="s">
        <v>1057</v>
      </c>
      <c r="F156" s="33" t="s">
        <v>1057</v>
      </c>
      <c r="G156" s="7" t="s">
        <v>338</v>
      </c>
      <c r="I156" s="168" t="s">
        <v>2397</v>
      </c>
      <c r="L156" s="169" t="s">
        <v>53</v>
      </c>
      <c r="M156" s="170"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tags\mauritania\_index.md</v>
      </c>
    </row>
    <row r="157" spans="1:80" x14ac:dyDescent="0.25">
      <c r="A157" s="129" t="s">
        <v>786</v>
      </c>
      <c r="C157" s="1" t="s">
        <v>339</v>
      </c>
      <c r="D157" s="7" t="s">
        <v>601</v>
      </c>
      <c r="E157" s="7" t="s">
        <v>1058</v>
      </c>
      <c r="F157" s="33" t="s">
        <v>1058</v>
      </c>
      <c r="G157" s="7" t="s">
        <v>339</v>
      </c>
      <c r="I157" s="168" t="s">
        <v>2398</v>
      </c>
      <c r="L157" s="169" t="s">
        <v>53</v>
      </c>
      <c r="M157" s="170"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tags\montserrat\_index.md</v>
      </c>
    </row>
    <row r="158" spans="1:80" x14ac:dyDescent="0.25">
      <c r="A158" s="129" t="s">
        <v>786</v>
      </c>
      <c r="C158" s="1" t="s">
        <v>340</v>
      </c>
      <c r="D158" s="7" t="s">
        <v>602</v>
      </c>
      <c r="E158" s="7" t="s">
        <v>1059</v>
      </c>
      <c r="F158" s="33" t="s">
        <v>1059</v>
      </c>
      <c r="G158" s="7" t="s">
        <v>340</v>
      </c>
      <c r="I158" s="168" t="s">
        <v>2399</v>
      </c>
      <c r="L158" s="169" t="s">
        <v>53</v>
      </c>
      <c r="M158" s="170"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tags\malta\_index.md</v>
      </c>
    </row>
    <row r="159" spans="1:80" x14ac:dyDescent="0.25">
      <c r="A159" s="129" t="s">
        <v>786</v>
      </c>
      <c r="C159" s="1" t="s">
        <v>341</v>
      </c>
      <c r="D159" s="7" t="s">
        <v>603</v>
      </c>
      <c r="E159" s="7" t="s">
        <v>1060</v>
      </c>
      <c r="F159" s="33" t="s">
        <v>1060</v>
      </c>
      <c r="G159" s="7" t="s">
        <v>341</v>
      </c>
      <c r="I159" s="168" t="s">
        <v>2400</v>
      </c>
      <c r="L159" s="169" t="s">
        <v>53</v>
      </c>
      <c r="M159" s="170"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tags\mauritius\_index.md</v>
      </c>
    </row>
    <row r="160" spans="1:80" x14ac:dyDescent="0.25">
      <c r="A160" s="129" t="s">
        <v>786</v>
      </c>
      <c r="C160" s="1" t="s">
        <v>342</v>
      </c>
      <c r="D160" s="7" t="s">
        <v>604</v>
      </c>
      <c r="E160" s="7" t="s">
        <v>1061</v>
      </c>
      <c r="F160" s="33" t="s">
        <v>1061</v>
      </c>
      <c r="G160" s="7" t="s">
        <v>342</v>
      </c>
      <c r="I160" s="168" t="s">
        <v>2401</v>
      </c>
      <c r="L160" s="169" t="s">
        <v>53</v>
      </c>
      <c r="M160" s="170"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tags\maldives\_index.md</v>
      </c>
    </row>
    <row r="161" spans="1:80" x14ac:dyDescent="0.25">
      <c r="A161" s="129" t="s">
        <v>786</v>
      </c>
      <c r="C161" s="1" t="s">
        <v>343</v>
      </c>
      <c r="D161" s="7" t="s">
        <v>605</v>
      </c>
      <c r="E161" s="7" t="s">
        <v>1062</v>
      </c>
      <c r="F161" s="33" t="s">
        <v>1062</v>
      </c>
      <c r="G161" s="7" t="s">
        <v>343</v>
      </c>
      <c r="I161" s="168" t="s">
        <v>2402</v>
      </c>
      <c r="L161" s="169" t="s">
        <v>53</v>
      </c>
      <c r="M161" s="170"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tags\malawi\_index.md</v>
      </c>
    </row>
    <row r="162" spans="1:80" x14ac:dyDescent="0.25">
      <c r="A162" s="129" t="s">
        <v>786</v>
      </c>
      <c r="C162" s="1" t="s">
        <v>344</v>
      </c>
      <c r="D162" s="7" t="s">
        <v>606</v>
      </c>
      <c r="E162" s="7" t="s">
        <v>1063</v>
      </c>
      <c r="F162" s="33" t="s">
        <v>1063</v>
      </c>
      <c r="G162" s="7" t="s">
        <v>344</v>
      </c>
      <c r="I162" s="168" t="s">
        <v>2403</v>
      </c>
      <c r="L162" s="169" t="s">
        <v>53</v>
      </c>
      <c r="M162" s="170"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tags\mexico\_index.md</v>
      </c>
    </row>
    <row r="163" spans="1:80" x14ac:dyDescent="0.25">
      <c r="A163" s="129" t="s">
        <v>786</v>
      </c>
      <c r="C163" s="1" t="s">
        <v>345</v>
      </c>
      <c r="D163" s="7" t="s">
        <v>607</v>
      </c>
      <c r="E163" s="7" t="s">
        <v>1064</v>
      </c>
      <c r="F163" s="33" t="s">
        <v>1064</v>
      </c>
      <c r="G163" s="7" t="s">
        <v>345</v>
      </c>
      <c r="I163" s="168" t="s">
        <v>2404</v>
      </c>
      <c r="L163" s="169" t="s">
        <v>53</v>
      </c>
      <c r="M163" s="170"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tags\malaysia\_index.md</v>
      </c>
    </row>
    <row r="164" spans="1:80" x14ac:dyDescent="0.25">
      <c r="A164" s="129" t="s">
        <v>786</v>
      </c>
      <c r="C164" s="1" t="s">
        <v>346</v>
      </c>
      <c r="D164" s="7" t="s">
        <v>608</v>
      </c>
      <c r="E164" s="7" t="s">
        <v>1065</v>
      </c>
      <c r="F164" s="33" t="s">
        <v>1065</v>
      </c>
      <c r="G164" s="7" t="s">
        <v>346</v>
      </c>
      <c r="I164" s="168" t="s">
        <v>2405</v>
      </c>
      <c r="L164" s="169" t="s">
        <v>53</v>
      </c>
      <c r="M164" s="170"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tags\mozambique\_index.md</v>
      </c>
    </row>
    <row r="165" spans="1:80" x14ac:dyDescent="0.25">
      <c r="A165" s="129" t="s">
        <v>786</v>
      </c>
      <c r="C165" s="1" t="s">
        <v>347</v>
      </c>
      <c r="D165" s="7" t="s">
        <v>609</v>
      </c>
      <c r="E165" s="7" t="s">
        <v>1066</v>
      </c>
      <c r="F165" s="33" t="s">
        <v>1066</v>
      </c>
      <c r="G165" s="7" t="s">
        <v>347</v>
      </c>
      <c r="I165" s="168" t="s">
        <v>2406</v>
      </c>
      <c r="L165" s="169" t="s">
        <v>53</v>
      </c>
      <c r="M165" s="170"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tags\namibia\_index.md</v>
      </c>
    </row>
    <row r="166" spans="1:80" x14ac:dyDescent="0.25">
      <c r="A166" s="129" t="s">
        <v>786</v>
      </c>
      <c r="C166" s="1" t="s">
        <v>348</v>
      </c>
      <c r="D166" s="7" t="s">
        <v>610</v>
      </c>
      <c r="E166" s="7" t="s">
        <v>1067</v>
      </c>
      <c r="F166" s="33" t="s">
        <v>1067</v>
      </c>
      <c r="G166" s="7" t="s">
        <v>348</v>
      </c>
      <c r="I166" s="168" t="s">
        <v>2407</v>
      </c>
      <c r="L166" s="169" t="s">
        <v>53</v>
      </c>
      <c r="M166" s="170"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tags\new-caledonia\_index.md</v>
      </c>
    </row>
    <row r="167" spans="1:80" x14ac:dyDescent="0.25">
      <c r="A167" s="129" t="s">
        <v>786</v>
      </c>
      <c r="C167" s="1" t="s">
        <v>349</v>
      </c>
      <c r="D167" s="7" t="s">
        <v>611</v>
      </c>
      <c r="E167" s="7" t="s">
        <v>1068</v>
      </c>
      <c r="F167" s="33" t="s">
        <v>1068</v>
      </c>
      <c r="G167" s="7" t="s">
        <v>349</v>
      </c>
      <c r="I167" s="168" t="s">
        <v>2408</v>
      </c>
      <c r="L167" s="169" t="s">
        <v>53</v>
      </c>
      <c r="M167" s="170"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tags\niger\_index.md</v>
      </c>
    </row>
    <row r="168" spans="1:80" x14ac:dyDescent="0.25">
      <c r="A168" s="129" t="s">
        <v>786</v>
      </c>
      <c r="C168" s="1" t="s">
        <v>350</v>
      </c>
      <c r="D168" s="7" t="s">
        <v>612</v>
      </c>
      <c r="E168" s="7" t="s">
        <v>1069</v>
      </c>
      <c r="F168" s="33" t="s">
        <v>1069</v>
      </c>
      <c r="G168" s="7" t="s">
        <v>350</v>
      </c>
      <c r="I168" s="168" t="s">
        <v>2409</v>
      </c>
      <c r="L168" s="169" t="s">
        <v>53</v>
      </c>
      <c r="M168" s="170"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tags\norfolk-island\_index.md</v>
      </c>
    </row>
    <row r="169" spans="1:80" x14ac:dyDescent="0.25">
      <c r="A169" s="129" t="s">
        <v>786</v>
      </c>
      <c r="C169" s="1" t="s">
        <v>351</v>
      </c>
      <c r="D169" s="7" t="s">
        <v>613</v>
      </c>
      <c r="E169" s="7" t="s">
        <v>1070</v>
      </c>
      <c r="F169" s="33" t="s">
        <v>1070</v>
      </c>
      <c r="G169" s="7" t="s">
        <v>351</v>
      </c>
      <c r="I169" s="168" t="s">
        <v>2410</v>
      </c>
      <c r="L169" s="169" t="s">
        <v>53</v>
      </c>
      <c r="M169" s="170"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tags\nigeria\_index.md</v>
      </c>
    </row>
    <row r="170" spans="1:80" x14ac:dyDescent="0.25">
      <c r="A170" s="129" t="s">
        <v>786</v>
      </c>
      <c r="C170" s="1" t="s">
        <v>352</v>
      </c>
      <c r="D170" s="7" t="s">
        <v>614</v>
      </c>
      <c r="E170" s="7" t="s">
        <v>1071</v>
      </c>
      <c r="F170" s="33" t="s">
        <v>1071</v>
      </c>
      <c r="G170" s="7" t="s">
        <v>352</v>
      </c>
      <c r="I170" s="168" t="s">
        <v>2411</v>
      </c>
      <c r="L170" s="169" t="s">
        <v>53</v>
      </c>
      <c r="M170" s="170"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tags\nicaragua\_index.md</v>
      </c>
    </row>
    <row r="171" spans="1:80" x14ac:dyDescent="0.25">
      <c r="A171" s="129" t="s">
        <v>786</v>
      </c>
      <c r="C171" s="1" t="s">
        <v>434</v>
      </c>
      <c r="D171" s="7" t="s">
        <v>615</v>
      </c>
      <c r="E171" s="7" t="s">
        <v>1072</v>
      </c>
      <c r="F171" s="33" t="s">
        <v>1072</v>
      </c>
      <c r="G171" s="7" t="s">
        <v>434</v>
      </c>
      <c r="I171" s="168" t="s">
        <v>2412</v>
      </c>
      <c r="L171" s="169" t="s">
        <v>53</v>
      </c>
      <c r="M171" s="170"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tags\netherlands\_index.md</v>
      </c>
    </row>
    <row r="172" spans="1:80" x14ac:dyDescent="0.25">
      <c r="A172" s="129" t="s">
        <v>786</v>
      </c>
      <c r="C172" s="1" t="s">
        <v>353</v>
      </c>
      <c r="D172" s="7" t="s">
        <v>616</v>
      </c>
      <c r="E172" s="7" t="s">
        <v>1073</v>
      </c>
      <c r="F172" s="33" t="s">
        <v>1073</v>
      </c>
      <c r="G172" s="7" t="s">
        <v>353</v>
      </c>
      <c r="I172" s="168" t="s">
        <v>2413</v>
      </c>
      <c r="L172" s="169" t="s">
        <v>53</v>
      </c>
      <c r="M172" s="170"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tags\norway\_index.md</v>
      </c>
    </row>
    <row r="173" spans="1:80" x14ac:dyDescent="0.25">
      <c r="A173" s="129" t="s">
        <v>786</v>
      </c>
      <c r="C173" s="1" t="s">
        <v>354</v>
      </c>
      <c r="D173" s="7" t="s">
        <v>617</v>
      </c>
      <c r="E173" s="7" t="s">
        <v>1074</v>
      </c>
      <c r="F173" s="33" t="s">
        <v>1074</v>
      </c>
      <c r="G173" s="7" t="s">
        <v>354</v>
      </c>
      <c r="I173" s="168" t="s">
        <v>2414</v>
      </c>
      <c r="L173" s="169" t="s">
        <v>53</v>
      </c>
      <c r="M173" s="170"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tags\nepal\_index.md</v>
      </c>
    </row>
    <row r="174" spans="1:80" x14ac:dyDescent="0.25">
      <c r="A174" s="129" t="s">
        <v>786</v>
      </c>
      <c r="C174" s="1" t="s">
        <v>355</v>
      </c>
      <c r="D174" s="7" t="s">
        <v>618</v>
      </c>
      <c r="E174" s="7" t="s">
        <v>1075</v>
      </c>
      <c r="F174" s="33" t="s">
        <v>1075</v>
      </c>
      <c r="G174" s="7" t="s">
        <v>355</v>
      </c>
      <c r="I174" s="168" t="s">
        <v>2415</v>
      </c>
      <c r="L174" s="169" t="s">
        <v>53</v>
      </c>
      <c r="M174" s="170"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tags\nauru\_index.md</v>
      </c>
    </row>
    <row r="175" spans="1:80" x14ac:dyDescent="0.25">
      <c r="A175" s="129" t="s">
        <v>786</v>
      </c>
      <c r="C175" s="1" t="s">
        <v>356</v>
      </c>
      <c r="D175" s="7" t="s">
        <v>619</v>
      </c>
      <c r="E175" s="7" t="s">
        <v>1076</v>
      </c>
      <c r="F175" s="33" t="s">
        <v>1076</v>
      </c>
      <c r="G175" s="7" t="s">
        <v>356</v>
      </c>
      <c r="I175" s="168" t="s">
        <v>2416</v>
      </c>
      <c r="L175" s="169" t="s">
        <v>53</v>
      </c>
      <c r="M175" s="170"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tags\niue\_index.md</v>
      </c>
    </row>
    <row r="176" spans="1:80" x14ac:dyDescent="0.25">
      <c r="A176" s="129" t="s">
        <v>786</v>
      </c>
      <c r="C176" s="1" t="s">
        <v>357</v>
      </c>
      <c r="D176" s="7" t="s">
        <v>620</v>
      </c>
      <c r="E176" s="7" t="s">
        <v>1077</v>
      </c>
      <c r="F176" s="33" t="s">
        <v>1077</v>
      </c>
      <c r="G176" s="7" t="s">
        <v>357</v>
      </c>
      <c r="I176" s="168" t="s">
        <v>2417</v>
      </c>
      <c r="L176" s="169" t="s">
        <v>53</v>
      </c>
      <c r="M176" s="170"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tags\new-zealand\_index.md</v>
      </c>
    </row>
    <row r="177" spans="1:80" x14ac:dyDescent="0.25">
      <c r="A177" s="129" t="s">
        <v>786</v>
      </c>
      <c r="C177" s="1" t="s">
        <v>358</v>
      </c>
      <c r="D177" s="7" t="s">
        <v>621</v>
      </c>
      <c r="E177" s="7" t="s">
        <v>1078</v>
      </c>
      <c r="F177" s="33" t="s">
        <v>1078</v>
      </c>
      <c r="G177" s="7" t="s">
        <v>358</v>
      </c>
      <c r="I177" s="168" t="s">
        <v>2418</v>
      </c>
      <c r="L177" s="169" t="s">
        <v>53</v>
      </c>
      <c r="M177" s="170"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tags\oman\_index.md</v>
      </c>
    </row>
    <row r="178" spans="1:80" x14ac:dyDescent="0.25">
      <c r="A178" s="129" t="s">
        <v>786</v>
      </c>
      <c r="C178" s="1" t="s">
        <v>359</v>
      </c>
      <c r="D178" s="7" t="s">
        <v>622</v>
      </c>
      <c r="E178" s="7" t="s">
        <v>1079</v>
      </c>
      <c r="F178" s="33" t="s">
        <v>1079</v>
      </c>
      <c r="G178" s="7" t="s">
        <v>359</v>
      </c>
      <c r="I178" s="168" t="s">
        <v>2419</v>
      </c>
      <c r="L178" s="169" t="s">
        <v>53</v>
      </c>
      <c r="M178" s="170"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tags\panama\_index.md</v>
      </c>
    </row>
    <row r="179" spans="1:80" x14ac:dyDescent="0.25">
      <c r="A179" s="129" t="s">
        <v>786</v>
      </c>
      <c r="C179" s="1" t="s">
        <v>360</v>
      </c>
      <c r="D179" s="7" t="s">
        <v>623</v>
      </c>
      <c r="E179" s="7" t="s">
        <v>1080</v>
      </c>
      <c r="F179" s="33" t="s">
        <v>1080</v>
      </c>
      <c r="G179" s="7" t="s">
        <v>360</v>
      </c>
      <c r="I179" s="168" t="s">
        <v>2420</v>
      </c>
      <c r="L179" s="169" t="s">
        <v>53</v>
      </c>
      <c r="M179" s="170"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tags\peru\_index.md</v>
      </c>
    </row>
    <row r="180" spans="1:80" x14ac:dyDescent="0.25">
      <c r="A180" s="129" t="s">
        <v>786</v>
      </c>
      <c r="C180" s="1" t="s">
        <v>361</v>
      </c>
      <c r="D180" s="7" t="s">
        <v>624</v>
      </c>
      <c r="E180" s="7" t="s">
        <v>1081</v>
      </c>
      <c r="F180" s="33" t="s">
        <v>1081</v>
      </c>
      <c r="G180" s="7" t="s">
        <v>361</v>
      </c>
      <c r="I180" s="168" t="s">
        <v>2421</v>
      </c>
      <c r="L180" s="169" t="s">
        <v>53</v>
      </c>
      <c r="M180" s="170"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tags\french-polynesia\_index.md</v>
      </c>
    </row>
    <row r="181" spans="1:80" x14ac:dyDescent="0.25">
      <c r="A181" s="129" t="s">
        <v>786</v>
      </c>
      <c r="C181" s="1" t="s">
        <v>362</v>
      </c>
      <c r="D181" s="7" t="s">
        <v>625</v>
      </c>
      <c r="E181" s="7" t="s">
        <v>1082</v>
      </c>
      <c r="F181" s="33" t="s">
        <v>1082</v>
      </c>
      <c r="G181" s="7" t="s">
        <v>362</v>
      </c>
      <c r="I181" s="168" t="s">
        <v>2422</v>
      </c>
      <c r="L181" s="169" t="s">
        <v>53</v>
      </c>
      <c r="M181" s="170"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tags\png\_index.md</v>
      </c>
    </row>
    <row r="182" spans="1:80" x14ac:dyDescent="0.25">
      <c r="A182" s="129" t="s">
        <v>786</v>
      </c>
      <c r="C182" s="1" t="s">
        <v>363</v>
      </c>
      <c r="D182" s="7" t="s">
        <v>626</v>
      </c>
      <c r="E182" s="7" t="s">
        <v>1083</v>
      </c>
      <c r="F182" s="33" t="s">
        <v>1083</v>
      </c>
      <c r="G182" s="7" t="s">
        <v>363</v>
      </c>
      <c r="I182" s="168" t="s">
        <v>2554</v>
      </c>
      <c r="L182" s="169" t="s">
        <v>53</v>
      </c>
      <c r="M182" s="170"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tags\philippines\_index.md</v>
      </c>
    </row>
    <row r="183" spans="1:80" x14ac:dyDescent="0.25">
      <c r="A183" s="129" t="s">
        <v>786</v>
      </c>
      <c r="C183" s="1" t="s">
        <v>364</v>
      </c>
      <c r="D183" s="7" t="s">
        <v>627</v>
      </c>
      <c r="E183" s="7" t="s">
        <v>1084</v>
      </c>
      <c r="F183" s="33" t="s">
        <v>1084</v>
      </c>
      <c r="G183" s="7" t="s">
        <v>364</v>
      </c>
      <c r="I183" s="168" t="s">
        <v>2423</v>
      </c>
      <c r="L183" s="169" t="s">
        <v>53</v>
      </c>
      <c r="M183" s="170"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tags\pakistan\_index.md</v>
      </c>
    </row>
    <row r="184" spans="1:80" x14ac:dyDescent="0.25">
      <c r="A184" s="129" t="s">
        <v>786</v>
      </c>
      <c r="C184" s="1" t="s">
        <v>365</v>
      </c>
      <c r="D184" s="7" t="s">
        <v>628</v>
      </c>
      <c r="E184" s="7" t="s">
        <v>900</v>
      </c>
      <c r="F184" s="33" t="s">
        <v>900</v>
      </c>
      <c r="G184" s="7" t="s">
        <v>365</v>
      </c>
      <c r="I184" s="168" t="s">
        <v>2424</v>
      </c>
      <c r="L184" s="169" t="s">
        <v>53</v>
      </c>
      <c r="M184" s="170"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tags\poland\_index.md</v>
      </c>
    </row>
    <row r="185" spans="1:80" x14ac:dyDescent="0.25">
      <c r="A185" s="129" t="s">
        <v>786</v>
      </c>
      <c r="C185" s="1" t="s">
        <v>366</v>
      </c>
      <c r="D185" s="7" t="s">
        <v>629</v>
      </c>
      <c r="E185" s="7" t="s">
        <v>1085</v>
      </c>
      <c r="F185" s="33" t="s">
        <v>1085</v>
      </c>
      <c r="G185" s="7" t="s">
        <v>366</v>
      </c>
      <c r="I185" s="168" t="s">
        <v>2425</v>
      </c>
      <c r="L185" s="169" t="s">
        <v>53</v>
      </c>
      <c r="M185" s="170"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tags\saint-pierre-miquelon\_index.md</v>
      </c>
    </row>
    <row r="186" spans="1:80" x14ac:dyDescent="0.25">
      <c r="A186" s="129" t="s">
        <v>786</v>
      </c>
      <c r="C186" s="1" t="s">
        <v>367</v>
      </c>
      <c r="D186" s="7" t="s">
        <v>630</v>
      </c>
      <c r="E186" s="7" t="s">
        <v>1086</v>
      </c>
      <c r="F186" s="33" t="s">
        <v>1086</v>
      </c>
      <c r="G186" s="7" t="s">
        <v>367</v>
      </c>
      <c r="I186" s="168" t="s">
        <v>2426</v>
      </c>
      <c r="L186" s="169" t="s">
        <v>53</v>
      </c>
      <c r="M186" s="170"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tags\pitcairn\_index.md</v>
      </c>
    </row>
    <row r="187" spans="1:80" x14ac:dyDescent="0.25">
      <c r="A187" s="129" t="s">
        <v>786</v>
      </c>
      <c r="C187" s="1" t="s">
        <v>368</v>
      </c>
      <c r="D187" s="7" t="s">
        <v>631</v>
      </c>
      <c r="E187" s="7" t="s">
        <v>1087</v>
      </c>
      <c r="F187" s="33" t="s">
        <v>1087</v>
      </c>
      <c r="G187" s="7" t="s">
        <v>368</v>
      </c>
      <c r="I187" s="168" t="s">
        <v>2427</v>
      </c>
      <c r="L187" s="169" t="s">
        <v>53</v>
      </c>
      <c r="M187" s="170"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tags\puerto-rico\_index.md</v>
      </c>
    </row>
    <row r="188" spans="1:80" x14ac:dyDescent="0.25">
      <c r="A188" s="129" t="s">
        <v>786</v>
      </c>
      <c r="C188" s="1" t="s">
        <v>435</v>
      </c>
      <c r="D188" s="7" t="s">
        <v>632</v>
      </c>
      <c r="E188" s="7" t="s">
        <v>1088</v>
      </c>
      <c r="F188" s="33" t="s">
        <v>1088</v>
      </c>
      <c r="G188" s="7" t="s">
        <v>435</v>
      </c>
      <c r="I188" s="168" t="s">
        <v>2428</v>
      </c>
      <c r="L188" s="169" t="s">
        <v>53</v>
      </c>
      <c r="M188" s="170"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tags\palestine\_index.md</v>
      </c>
    </row>
    <row r="189" spans="1:80" x14ac:dyDescent="0.25">
      <c r="A189" s="129" t="s">
        <v>786</v>
      </c>
      <c r="C189" s="1" t="s">
        <v>369</v>
      </c>
      <c r="D189" s="7" t="s">
        <v>633</v>
      </c>
      <c r="E189" s="7" t="s">
        <v>899</v>
      </c>
      <c r="F189" s="33" t="s">
        <v>899</v>
      </c>
      <c r="G189" s="7" t="s">
        <v>369</v>
      </c>
      <c r="I189" s="168" t="s">
        <v>2429</v>
      </c>
      <c r="L189" s="169" t="s">
        <v>53</v>
      </c>
      <c r="M189" s="170"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tags\portugal\_index.md</v>
      </c>
    </row>
    <row r="190" spans="1:80" x14ac:dyDescent="0.25">
      <c r="A190" s="129" t="s">
        <v>786</v>
      </c>
      <c r="C190" s="1" t="s">
        <v>370</v>
      </c>
      <c r="D190" s="7" t="s">
        <v>634</v>
      </c>
      <c r="E190" s="7" t="s">
        <v>1089</v>
      </c>
      <c r="F190" s="33" t="s">
        <v>1089</v>
      </c>
      <c r="G190" s="7" t="s">
        <v>370</v>
      </c>
      <c r="I190" s="168" t="s">
        <v>2430</v>
      </c>
      <c r="L190" s="169" t="s">
        <v>53</v>
      </c>
      <c r="M190" s="170"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tags\palau\_index.md</v>
      </c>
    </row>
    <row r="191" spans="1:80" x14ac:dyDescent="0.25">
      <c r="A191" s="129" t="s">
        <v>786</v>
      </c>
      <c r="C191" s="1" t="s">
        <v>371</v>
      </c>
      <c r="D191" s="7" t="s">
        <v>635</v>
      </c>
      <c r="E191" s="7" t="s">
        <v>1090</v>
      </c>
      <c r="F191" s="33" t="s">
        <v>1090</v>
      </c>
      <c r="G191" s="7" t="s">
        <v>371</v>
      </c>
      <c r="I191" s="168" t="s">
        <v>2431</v>
      </c>
      <c r="L191" s="169" t="s">
        <v>53</v>
      </c>
      <c r="M191" s="170"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tags\paraguay\_index.md</v>
      </c>
    </row>
    <row r="192" spans="1:80" x14ac:dyDescent="0.25">
      <c r="A192" s="129" t="s">
        <v>786</v>
      </c>
      <c r="C192" s="1" t="s">
        <v>372</v>
      </c>
      <c r="D192" s="7" t="s">
        <v>636</v>
      </c>
      <c r="E192" s="7" t="s">
        <v>1091</v>
      </c>
      <c r="F192" s="33" t="s">
        <v>1091</v>
      </c>
      <c r="G192" s="7" t="s">
        <v>372</v>
      </c>
      <c r="I192" s="168" t="s">
        <v>2432</v>
      </c>
      <c r="L192" s="169" t="s">
        <v>53</v>
      </c>
      <c r="M192" s="170"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tags\qatar\_index.md</v>
      </c>
    </row>
    <row r="193" spans="1:80" x14ac:dyDescent="0.25">
      <c r="A193" s="129" t="s">
        <v>786</v>
      </c>
      <c r="C193" s="172" t="s">
        <v>2556</v>
      </c>
      <c r="D193" s="7" t="s">
        <v>637</v>
      </c>
      <c r="E193" s="168" t="s">
        <v>2557</v>
      </c>
      <c r="F193" s="33" t="s">
        <v>1092</v>
      </c>
      <c r="G193" s="168" t="s">
        <v>2556</v>
      </c>
      <c r="I193" s="168" t="s">
        <v>2555</v>
      </c>
      <c r="L193" s="169" t="s">
        <v>53</v>
      </c>
      <c r="M193" s="170"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tags\réunion\_index.md</v>
      </c>
    </row>
    <row r="194" spans="1:80" x14ac:dyDescent="0.25">
      <c r="A194" s="129" t="s">
        <v>786</v>
      </c>
      <c r="C194" s="1" t="s">
        <v>373</v>
      </c>
      <c r="D194" s="7" t="s">
        <v>638</v>
      </c>
      <c r="E194" s="7" t="s">
        <v>1093</v>
      </c>
      <c r="F194" s="33" t="s">
        <v>1093</v>
      </c>
      <c r="G194" s="7" t="s">
        <v>373</v>
      </c>
      <c r="I194" s="168" t="s">
        <v>2433</v>
      </c>
      <c r="L194" s="169" t="s">
        <v>53</v>
      </c>
      <c r="M194" s="170"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tags\romania\_index.md</v>
      </c>
    </row>
    <row r="195" spans="1:80" x14ac:dyDescent="0.25">
      <c r="A195" s="129" t="s">
        <v>786</v>
      </c>
      <c r="C195" s="1" t="s">
        <v>374</v>
      </c>
      <c r="D195" s="7" t="s">
        <v>639</v>
      </c>
      <c r="E195" s="7" t="s">
        <v>1094</v>
      </c>
      <c r="F195" s="33" t="s">
        <v>1094</v>
      </c>
      <c r="G195" s="7" t="s">
        <v>374</v>
      </c>
      <c r="I195" s="168" t="s">
        <v>2434</v>
      </c>
      <c r="L195" s="169" t="s">
        <v>53</v>
      </c>
      <c r="M195" s="170"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tags\serbia\_index.md</v>
      </c>
    </row>
    <row r="196" spans="1:80" x14ac:dyDescent="0.25">
      <c r="A196" s="129" t="s">
        <v>786</v>
      </c>
      <c r="C196" s="1" t="s">
        <v>447</v>
      </c>
      <c r="D196" s="7" t="s">
        <v>640</v>
      </c>
      <c r="E196" s="7" t="s">
        <v>1095</v>
      </c>
      <c r="F196" s="33" t="s">
        <v>1095</v>
      </c>
      <c r="G196" s="7" t="s">
        <v>447</v>
      </c>
      <c r="I196" s="168" t="s">
        <v>2435</v>
      </c>
      <c r="L196" s="169" t="s">
        <v>53</v>
      </c>
      <c r="M196" s="170"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tags\russia\_index.md</v>
      </c>
    </row>
    <row r="197" spans="1:80" x14ac:dyDescent="0.25">
      <c r="A197" s="129" t="s">
        <v>786</v>
      </c>
      <c r="C197" s="1" t="s">
        <v>197</v>
      </c>
      <c r="D197" s="7" t="s">
        <v>641</v>
      </c>
      <c r="E197" s="7" t="s">
        <v>1096</v>
      </c>
      <c r="F197" s="33" t="s">
        <v>1096</v>
      </c>
      <c r="G197" s="7" t="s">
        <v>197</v>
      </c>
      <c r="I197" s="168" t="s">
        <v>2436</v>
      </c>
      <c r="L197" s="169" t="s">
        <v>53</v>
      </c>
      <c r="M197" s="170"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tags\rwanda\_index.md</v>
      </c>
    </row>
    <row r="198" spans="1:80" x14ac:dyDescent="0.25">
      <c r="A198" s="129" t="s">
        <v>786</v>
      </c>
      <c r="C198" s="1" t="s">
        <v>375</v>
      </c>
      <c r="D198" s="7" t="s">
        <v>642</v>
      </c>
      <c r="E198" s="7" t="s">
        <v>1097</v>
      </c>
      <c r="F198" s="33" t="s">
        <v>1097</v>
      </c>
      <c r="G198" s="7" t="s">
        <v>375</v>
      </c>
      <c r="I198" s="168" t="s">
        <v>2437</v>
      </c>
      <c r="L198" s="169" t="s">
        <v>53</v>
      </c>
      <c r="M198" s="170"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tags\saudi-arabia\_index.md</v>
      </c>
    </row>
    <row r="199" spans="1:80" x14ac:dyDescent="0.25">
      <c r="A199" s="129" t="s">
        <v>786</v>
      </c>
      <c r="C199" s="1" t="s">
        <v>376</v>
      </c>
      <c r="D199" s="7" t="s">
        <v>643</v>
      </c>
      <c r="E199" s="7" t="s">
        <v>1098</v>
      </c>
      <c r="F199" s="33" t="s">
        <v>1098</v>
      </c>
      <c r="G199" s="7" t="s">
        <v>376</v>
      </c>
      <c r="I199" s="168" t="s">
        <v>2558</v>
      </c>
      <c r="L199" s="169" t="s">
        <v>53</v>
      </c>
      <c r="M199" s="170"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tags\solomon-islands\_index.md</v>
      </c>
    </row>
    <row r="200" spans="1:80" x14ac:dyDescent="0.25">
      <c r="A200" s="129" t="s">
        <v>786</v>
      </c>
      <c r="C200" s="1" t="s">
        <v>377</v>
      </c>
      <c r="D200" s="7" t="s">
        <v>644</v>
      </c>
      <c r="E200" s="7" t="s">
        <v>1099</v>
      </c>
      <c r="F200" s="33" t="s">
        <v>1099</v>
      </c>
      <c r="G200" s="7" t="s">
        <v>377</v>
      </c>
      <c r="I200" s="168" t="s">
        <v>2559</v>
      </c>
      <c r="L200" s="169" t="s">
        <v>53</v>
      </c>
      <c r="M200" s="170"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tags\seychelles\_index.md</v>
      </c>
    </row>
    <row r="201" spans="1:80" x14ac:dyDescent="0.25">
      <c r="A201" s="129" t="s">
        <v>786</v>
      </c>
      <c r="C201" s="1" t="s">
        <v>378</v>
      </c>
      <c r="D201" s="7" t="s">
        <v>645</v>
      </c>
      <c r="E201" s="7" t="s">
        <v>1100</v>
      </c>
      <c r="F201" s="33" t="s">
        <v>1100</v>
      </c>
      <c r="G201" s="7" t="s">
        <v>378</v>
      </c>
      <c r="I201" s="168" t="s">
        <v>2438</v>
      </c>
      <c r="L201" s="169" t="s">
        <v>53</v>
      </c>
      <c r="M201" s="170"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tags\sudan\_index.md</v>
      </c>
    </row>
    <row r="202" spans="1:80" x14ac:dyDescent="0.25">
      <c r="A202" s="129" t="s">
        <v>786</v>
      </c>
      <c r="C202" s="1" t="s">
        <v>379</v>
      </c>
      <c r="D202" s="7" t="s">
        <v>646</v>
      </c>
      <c r="E202" s="7" t="s">
        <v>1101</v>
      </c>
      <c r="F202" s="33" t="s">
        <v>1101</v>
      </c>
      <c r="G202" s="7" t="s">
        <v>379</v>
      </c>
      <c r="I202" s="168" t="s">
        <v>2439</v>
      </c>
      <c r="L202" s="169" t="s">
        <v>53</v>
      </c>
      <c r="M202" s="170"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tags\sweden\_index.md</v>
      </c>
    </row>
    <row r="203" spans="1:80" x14ac:dyDescent="0.25">
      <c r="A203" s="129" t="s">
        <v>786</v>
      </c>
      <c r="C203" s="1" t="s">
        <v>380</v>
      </c>
      <c r="D203" s="7" t="s">
        <v>647</v>
      </c>
      <c r="E203" s="7" t="s">
        <v>1102</v>
      </c>
      <c r="F203" s="33" t="s">
        <v>1102</v>
      </c>
      <c r="G203" s="7" t="s">
        <v>380</v>
      </c>
      <c r="I203" s="168" t="s">
        <v>2440</v>
      </c>
      <c r="L203" s="169" t="s">
        <v>53</v>
      </c>
      <c r="M203" s="170"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tags\singapore\_index.md</v>
      </c>
    </row>
    <row r="204" spans="1:80" x14ac:dyDescent="0.25">
      <c r="A204" s="129" t="s">
        <v>786</v>
      </c>
      <c r="C204" s="1" t="s">
        <v>381</v>
      </c>
      <c r="D204" s="7" t="s">
        <v>648</v>
      </c>
      <c r="E204" s="7" t="s">
        <v>1103</v>
      </c>
      <c r="F204" s="33" t="s">
        <v>1103</v>
      </c>
      <c r="G204" s="7" t="s">
        <v>381</v>
      </c>
      <c r="I204" s="168" t="s">
        <v>2441</v>
      </c>
      <c r="L204" s="169" t="s">
        <v>53</v>
      </c>
      <c r="M204" s="170"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tags\saint-helena\_index.md</v>
      </c>
    </row>
    <row r="205" spans="1:80" x14ac:dyDescent="0.25">
      <c r="A205" s="129" t="s">
        <v>786</v>
      </c>
      <c r="C205" s="1" t="s">
        <v>382</v>
      </c>
      <c r="D205" s="7" t="s">
        <v>649</v>
      </c>
      <c r="E205" s="7" t="s">
        <v>1104</v>
      </c>
      <c r="F205" s="33" t="s">
        <v>1104</v>
      </c>
      <c r="G205" s="7" t="s">
        <v>382</v>
      </c>
      <c r="I205" s="168" t="s">
        <v>2442</v>
      </c>
      <c r="L205" s="169" t="s">
        <v>53</v>
      </c>
      <c r="M205" s="170"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tags\slovenia\_index.md</v>
      </c>
    </row>
    <row r="206" spans="1:80" x14ac:dyDescent="0.25">
      <c r="A206" s="129" t="s">
        <v>786</v>
      </c>
      <c r="C206" s="1" t="s">
        <v>383</v>
      </c>
      <c r="D206" s="7" t="s">
        <v>650</v>
      </c>
      <c r="E206" s="7" t="s">
        <v>1105</v>
      </c>
      <c r="F206" s="33" t="s">
        <v>1105</v>
      </c>
      <c r="G206" s="7" t="s">
        <v>383</v>
      </c>
      <c r="I206" s="168" t="s">
        <v>2443</v>
      </c>
      <c r="L206" s="169" t="s">
        <v>53</v>
      </c>
      <c r="M206" s="170"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tags\svalbard\_index.md</v>
      </c>
    </row>
    <row r="207" spans="1:80" x14ac:dyDescent="0.25">
      <c r="A207" s="129" t="s">
        <v>786</v>
      </c>
      <c r="C207" s="1" t="s">
        <v>384</v>
      </c>
      <c r="D207" s="7" t="s">
        <v>651</v>
      </c>
      <c r="E207" s="7" t="s">
        <v>1106</v>
      </c>
      <c r="F207" s="33" t="s">
        <v>1106</v>
      </c>
      <c r="G207" s="7" t="s">
        <v>384</v>
      </c>
      <c r="I207" s="168" t="s">
        <v>2444</v>
      </c>
      <c r="L207" s="169" t="s">
        <v>53</v>
      </c>
      <c r="M207" s="170"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tags\slovakia\_index.md</v>
      </c>
    </row>
    <row r="208" spans="1:80" x14ac:dyDescent="0.25">
      <c r="A208" s="129" t="s">
        <v>786</v>
      </c>
      <c r="C208" s="1" t="s">
        <v>385</v>
      </c>
      <c r="D208" s="7" t="s">
        <v>652</v>
      </c>
      <c r="E208" s="7" t="s">
        <v>1107</v>
      </c>
      <c r="F208" s="33" t="s">
        <v>1107</v>
      </c>
      <c r="G208" s="7" t="s">
        <v>385</v>
      </c>
      <c r="I208" s="168" t="s">
        <v>2445</v>
      </c>
      <c r="L208" s="169" t="s">
        <v>53</v>
      </c>
      <c r="M208" s="170"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tags\sierra-leone\_index.md</v>
      </c>
    </row>
    <row r="209" spans="1:80" x14ac:dyDescent="0.25">
      <c r="A209" s="129" t="s">
        <v>786</v>
      </c>
      <c r="C209" s="1" t="s">
        <v>386</v>
      </c>
      <c r="D209" s="7" t="s">
        <v>653</v>
      </c>
      <c r="E209" s="7" t="s">
        <v>1108</v>
      </c>
      <c r="F209" s="33" t="s">
        <v>1108</v>
      </c>
      <c r="G209" s="7" t="s">
        <v>386</v>
      </c>
      <c r="I209" s="168" t="s">
        <v>2446</v>
      </c>
      <c r="L209" s="169" t="s">
        <v>53</v>
      </c>
      <c r="M209" s="170"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tags\san-marino\_index.md</v>
      </c>
    </row>
    <row r="210" spans="1:80" x14ac:dyDescent="0.25">
      <c r="A210" s="129" t="s">
        <v>786</v>
      </c>
      <c r="C210" s="1" t="s">
        <v>387</v>
      </c>
      <c r="D210" s="7" t="s">
        <v>654</v>
      </c>
      <c r="E210" s="7" t="s">
        <v>1109</v>
      </c>
      <c r="F210" s="33" t="s">
        <v>1109</v>
      </c>
      <c r="G210" s="7" t="s">
        <v>387</v>
      </c>
      <c r="I210" s="168" t="s">
        <v>2447</v>
      </c>
      <c r="L210" s="169" t="s">
        <v>53</v>
      </c>
      <c r="M210" s="170"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tags\senegal\_index.md</v>
      </c>
    </row>
    <row r="211" spans="1:80" x14ac:dyDescent="0.25">
      <c r="A211" s="129" t="s">
        <v>786</v>
      </c>
      <c r="C211" s="1" t="s">
        <v>388</v>
      </c>
      <c r="D211" s="7" t="s">
        <v>655</v>
      </c>
      <c r="E211" s="7" t="s">
        <v>1110</v>
      </c>
      <c r="F211" s="33" t="s">
        <v>1110</v>
      </c>
      <c r="G211" s="7" t="s">
        <v>388</v>
      </c>
      <c r="I211" s="168" t="s">
        <v>2448</v>
      </c>
      <c r="L211" s="169" t="s">
        <v>53</v>
      </c>
      <c r="M211" s="170"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tags\somalia\_index.md</v>
      </c>
    </row>
    <row r="212" spans="1:80" x14ac:dyDescent="0.25">
      <c r="A212" s="129" t="s">
        <v>786</v>
      </c>
      <c r="C212" s="1" t="s">
        <v>389</v>
      </c>
      <c r="D212" s="7" t="s">
        <v>656</v>
      </c>
      <c r="E212" s="7" t="s">
        <v>1111</v>
      </c>
      <c r="F212" s="33" t="s">
        <v>1111</v>
      </c>
      <c r="G212" s="7" t="s">
        <v>389</v>
      </c>
      <c r="I212" s="168" t="s">
        <v>2449</v>
      </c>
      <c r="L212" s="169" t="s">
        <v>53</v>
      </c>
      <c r="M212" s="170"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tags\suriname\_index.md</v>
      </c>
    </row>
    <row r="213" spans="1:80" x14ac:dyDescent="0.25">
      <c r="A213" s="129" t="s">
        <v>786</v>
      </c>
      <c r="C213" s="1" t="s">
        <v>390</v>
      </c>
      <c r="D213" s="7" t="s">
        <v>657</v>
      </c>
      <c r="E213" s="7" t="s">
        <v>1112</v>
      </c>
      <c r="F213" s="33" t="s">
        <v>1112</v>
      </c>
      <c r="G213" s="7" t="s">
        <v>390</v>
      </c>
      <c r="I213" s="168" t="s">
        <v>2450</v>
      </c>
      <c r="L213" s="169" t="s">
        <v>53</v>
      </c>
      <c r="M213" s="170"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tags\south-sudan\_index.md</v>
      </c>
    </row>
    <row r="214" spans="1:80" x14ac:dyDescent="0.25">
      <c r="A214" s="129" t="s">
        <v>786</v>
      </c>
      <c r="C214" s="1" t="s">
        <v>391</v>
      </c>
      <c r="D214" s="7" t="s">
        <v>658</v>
      </c>
      <c r="E214" s="7" t="s">
        <v>1113</v>
      </c>
      <c r="F214" s="33" t="s">
        <v>1113</v>
      </c>
      <c r="G214" s="7" t="s">
        <v>391</v>
      </c>
      <c r="I214" s="168" t="s">
        <v>2451</v>
      </c>
      <c r="L214" s="169" t="s">
        <v>53</v>
      </c>
      <c r="M214" s="170"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tags\sao-tome-principe\_index.md</v>
      </c>
    </row>
    <row r="215" spans="1:80" x14ac:dyDescent="0.25">
      <c r="A215" s="129" t="s">
        <v>786</v>
      </c>
      <c r="C215" s="1" t="s">
        <v>392</v>
      </c>
      <c r="D215" s="7" t="s">
        <v>659</v>
      </c>
      <c r="E215" s="7" t="s">
        <v>1114</v>
      </c>
      <c r="F215" s="33" t="s">
        <v>1114</v>
      </c>
      <c r="G215" s="7" t="s">
        <v>392</v>
      </c>
      <c r="I215" s="168" t="s">
        <v>2452</v>
      </c>
      <c r="L215" s="169" t="s">
        <v>53</v>
      </c>
      <c r="M215" s="170"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tags\el-salvador\_index.md</v>
      </c>
    </row>
    <row r="216" spans="1:80" x14ac:dyDescent="0.25">
      <c r="A216" s="129" t="s">
        <v>786</v>
      </c>
      <c r="C216" s="1" t="s">
        <v>428</v>
      </c>
      <c r="D216" s="7" t="s">
        <v>660</v>
      </c>
      <c r="E216" s="7" t="s">
        <v>1115</v>
      </c>
      <c r="F216" s="33" t="s">
        <v>1115</v>
      </c>
      <c r="G216" s="7" t="s">
        <v>428</v>
      </c>
      <c r="I216" s="168" t="s">
        <v>2453</v>
      </c>
      <c r="L216" s="169" t="s">
        <v>53</v>
      </c>
      <c r="M216" s="170"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tags\sint-maarten\_index.md</v>
      </c>
    </row>
    <row r="217" spans="1:80" x14ac:dyDescent="0.25">
      <c r="A217" s="129" t="s">
        <v>786</v>
      </c>
      <c r="C217" s="1" t="s">
        <v>448</v>
      </c>
      <c r="D217" s="7" t="s">
        <v>661</v>
      </c>
      <c r="E217" s="7" t="s">
        <v>1116</v>
      </c>
      <c r="F217" s="33" t="s">
        <v>1116</v>
      </c>
      <c r="G217" s="7" t="s">
        <v>448</v>
      </c>
      <c r="I217" s="168" t="s">
        <v>2454</v>
      </c>
      <c r="L217" s="169" t="s">
        <v>53</v>
      </c>
      <c r="M217" s="170"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tags\syria\_index.md</v>
      </c>
    </row>
    <row r="218" spans="1:80" x14ac:dyDescent="0.25">
      <c r="A218" s="129" t="s">
        <v>786</v>
      </c>
      <c r="C218" s="1" t="s">
        <v>393</v>
      </c>
      <c r="D218" s="7" t="s">
        <v>662</v>
      </c>
      <c r="E218" s="7" t="s">
        <v>1117</v>
      </c>
      <c r="F218" s="33" t="s">
        <v>1117</v>
      </c>
      <c r="G218" s="7" t="s">
        <v>393</v>
      </c>
      <c r="I218" s="168" t="s">
        <v>2455</v>
      </c>
      <c r="L218" s="169" t="s">
        <v>53</v>
      </c>
      <c r="M218" s="170"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tags\eswatini\_index.md</v>
      </c>
    </row>
    <row r="219" spans="1:80" x14ac:dyDescent="0.25">
      <c r="A219" s="129" t="s">
        <v>786</v>
      </c>
      <c r="C219" s="1" t="s">
        <v>449</v>
      </c>
      <c r="D219" s="7" t="s">
        <v>663</v>
      </c>
      <c r="E219" s="7" t="s">
        <v>1118</v>
      </c>
      <c r="F219" s="33" t="s">
        <v>1118</v>
      </c>
      <c r="G219" s="7" t="s">
        <v>449</v>
      </c>
      <c r="I219" s="168" t="s">
        <v>2456</v>
      </c>
      <c r="L219" s="169" t="s">
        <v>53</v>
      </c>
      <c r="M219" s="170"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tags\turks-caicos\_index.md</v>
      </c>
    </row>
    <row r="220" spans="1:80" x14ac:dyDescent="0.25">
      <c r="A220" s="129" t="s">
        <v>786</v>
      </c>
      <c r="C220" s="1" t="s">
        <v>394</v>
      </c>
      <c r="D220" s="7" t="s">
        <v>664</v>
      </c>
      <c r="E220" s="7" t="s">
        <v>1119</v>
      </c>
      <c r="F220" s="33" t="s">
        <v>1119</v>
      </c>
      <c r="G220" s="7" t="s">
        <v>394</v>
      </c>
      <c r="I220" s="168" t="s">
        <v>2457</v>
      </c>
      <c r="L220" s="169" t="s">
        <v>53</v>
      </c>
      <c r="M220" s="170"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tags\chad\_index.md</v>
      </c>
    </row>
    <row r="221" spans="1:80" x14ac:dyDescent="0.25">
      <c r="A221" s="129" t="s">
        <v>786</v>
      </c>
      <c r="C221" s="1" t="s">
        <v>395</v>
      </c>
      <c r="D221" s="7" t="s">
        <v>665</v>
      </c>
      <c r="E221" s="7" t="s">
        <v>1120</v>
      </c>
      <c r="F221" s="33" t="s">
        <v>1120</v>
      </c>
      <c r="G221" s="7" t="s">
        <v>395</v>
      </c>
      <c r="I221" s="168" t="s">
        <v>2560</v>
      </c>
      <c r="L221" s="169" t="s">
        <v>53</v>
      </c>
      <c r="M221" s="170"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tags\french-southern-territories\_index.md</v>
      </c>
    </row>
    <row r="222" spans="1:80" x14ac:dyDescent="0.25">
      <c r="A222" s="129" t="s">
        <v>786</v>
      </c>
      <c r="C222" s="1" t="s">
        <v>396</v>
      </c>
      <c r="D222" s="7" t="s">
        <v>666</v>
      </c>
      <c r="E222" s="7" t="s">
        <v>1121</v>
      </c>
      <c r="F222" s="33" t="s">
        <v>1121</v>
      </c>
      <c r="G222" s="7" t="s">
        <v>396</v>
      </c>
      <c r="H222" s="33" t="s">
        <v>200</v>
      </c>
      <c r="I222" s="168" t="s">
        <v>2458</v>
      </c>
      <c r="L222" s="169" t="s">
        <v>53</v>
      </c>
      <c r="M222" s="170"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tags\togo\_index.md</v>
      </c>
    </row>
    <row r="223" spans="1:80" x14ac:dyDescent="0.25">
      <c r="A223" s="129" t="s">
        <v>786</v>
      </c>
      <c r="C223" s="1" t="s">
        <v>397</v>
      </c>
      <c r="D223" s="7" t="s">
        <v>667</v>
      </c>
      <c r="E223" s="7" t="s">
        <v>1122</v>
      </c>
      <c r="F223" s="33" t="s">
        <v>1122</v>
      </c>
      <c r="G223" s="7" t="s">
        <v>397</v>
      </c>
      <c r="H223" s="33" t="s">
        <v>200</v>
      </c>
      <c r="I223" s="168" t="s">
        <v>2459</v>
      </c>
      <c r="L223" s="169" t="s">
        <v>53</v>
      </c>
      <c r="M223" s="170"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tags\thailand\_index.md</v>
      </c>
    </row>
    <row r="224" spans="1:80" x14ac:dyDescent="0.25">
      <c r="A224" s="129" t="s">
        <v>786</v>
      </c>
      <c r="C224" s="1" t="s">
        <v>398</v>
      </c>
      <c r="D224" s="7" t="s">
        <v>668</v>
      </c>
      <c r="E224" s="7" t="s">
        <v>1123</v>
      </c>
      <c r="F224" s="33" t="s">
        <v>1123</v>
      </c>
      <c r="G224" s="7" t="s">
        <v>398</v>
      </c>
      <c r="H224" s="33" t="s">
        <v>200</v>
      </c>
      <c r="I224" s="168" t="s">
        <v>2460</v>
      </c>
      <c r="L224" s="169" t="s">
        <v>53</v>
      </c>
      <c r="M224" s="170"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tags\tajikistan\_index.md</v>
      </c>
    </row>
    <row r="225" spans="1:80" x14ac:dyDescent="0.25">
      <c r="A225" s="129" t="s">
        <v>786</v>
      </c>
      <c r="C225" s="1" t="s">
        <v>399</v>
      </c>
      <c r="D225" s="7" t="s">
        <v>669</v>
      </c>
      <c r="E225" s="7" t="s">
        <v>1124</v>
      </c>
      <c r="F225" s="33" t="s">
        <v>1124</v>
      </c>
      <c r="G225" s="7" t="s">
        <v>399</v>
      </c>
      <c r="H225" s="33" t="s">
        <v>200</v>
      </c>
      <c r="I225" s="168" t="s">
        <v>2461</v>
      </c>
      <c r="L225" s="169" t="s">
        <v>53</v>
      </c>
      <c r="M225" s="170"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tags\tokelau\_index.md</v>
      </c>
    </row>
    <row r="226" spans="1:80" x14ac:dyDescent="0.25">
      <c r="A226" s="129" t="s">
        <v>786</v>
      </c>
      <c r="C226" s="1" t="s">
        <v>400</v>
      </c>
      <c r="D226" s="7" t="s">
        <v>670</v>
      </c>
      <c r="E226" s="7" t="s">
        <v>1125</v>
      </c>
      <c r="F226" s="33" t="s">
        <v>1125</v>
      </c>
      <c r="G226" s="7" t="s">
        <v>400</v>
      </c>
      <c r="H226" s="33" t="s">
        <v>200</v>
      </c>
      <c r="I226" s="168" t="s">
        <v>2462</v>
      </c>
      <c r="L226" s="169" t="s">
        <v>53</v>
      </c>
      <c r="M226" s="170"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tags\timor-leste\_index.md</v>
      </c>
    </row>
    <row r="227" spans="1:80" x14ac:dyDescent="0.25">
      <c r="A227" s="129" t="s">
        <v>786</v>
      </c>
      <c r="C227" s="1" t="s">
        <v>401</v>
      </c>
      <c r="D227" s="7" t="s">
        <v>671</v>
      </c>
      <c r="E227" s="7" t="s">
        <v>1126</v>
      </c>
      <c r="F227" s="33" t="s">
        <v>1126</v>
      </c>
      <c r="G227" s="7" t="s">
        <v>401</v>
      </c>
      <c r="H227" s="33" t="s">
        <v>200</v>
      </c>
      <c r="I227" s="168" t="s">
        <v>2463</v>
      </c>
      <c r="L227" s="169" t="s">
        <v>53</v>
      </c>
      <c r="M227" s="170"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tags\turkmenistan\_index.md</v>
      </c>
    </row>
    <row r="228" spans="1:80" x14ac:dyDescent="0.25">
      <c r="A228" s="129" t="s">
        <v>786</v>
      </c>
      <c r="C228" s="1" t="s">
        <v>402</v>
      </c>
      <c r="D228" s="7" t="s">
        <v>672</v>
      </c>
      <c r="E228" s="7" t="s">
        <v>1127</v>
      </c>
      <c r="F228" s="33" t="s">
        <v>1127</v>
      </c>
      <c r="G228" s="7" t="s">
        <v>402</v>
      </c>
      <c r="H228" s="33" t="s">
        <v>200</v>
      </c>
      <c r="I228" s="168" t="s">
        <v>2464</v>
      </c>
      <c r="L228" s="169" t="s">
        <v>53</v>
      </c>
      <c r="M228" s="170"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tags\tunisia\_index.md</v>
      </c>
    </row>
    <row r="229" spans="1:80" x14ac:dyDescent="0.25">
      <c r="A229" s="129" t="s">
        <v>786</v>
      </c>
      <c r="C229" s="1" t="s">
        <v>403</v>
      </c>
      <c r="D229" s="7" t="s">
        <v>673</v>
      </c>
      <c r="E229" s="7" t="s">
        <v>1128</v>
      </c>
      <c r="F229" s="33" t="s">
        <v>1128</v>
      </c>
      <c r="G229" s="7" t="s">
        <v>403</v>
      </c>
      <c r="H229" s="33" t="s">
        <v>200</v>
      </c>
      <c r="I229" s="168" t="s">
        <v>2465</v>
      </c>
      <c r="L229" s="169" t="s">
        <v>53</v>
      </c>
      <c r="M229" s="170"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tags\tonga\_index.md</v>
      </c>
    </row>
    <row r="230" spans="1:80" x14ac:dyDescent="0.25">
      <c r="A230" s="129" t="s">
        <v>786</v>
      </c>
      <c r="C230" s="1" t="s">
        <v>1837</v>
      </c>
      <c r="D230" s="7" t="s">
        <v>674</v>
      </c>
      <c r="E230" s="7" t="s">
        <v>1838</v>
      </c>
      <c r="F230" s="33" t="s">
        <v>1838</v>
      </c>
      <c r="G230" s="7" t="s">
        <v>1837</v>
      </c>
      <c r="H230" s="33" t="s">
        <v>200</v>
      </c>
      <c r="I230" s="168" t="s">
        <v>2466</v>
      </c>
      <c r="L230" s="169" t="s">
        <v>53</v>
      </c>
      <c r="M230" s="170"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tags\turkey\_index.md</v>
      </c>
    </row>
    <row r="231" spans="1:80" x14ac:dyDescent="0.25">
      <c r="A231" s="129" t="s">
        <v>786</v>
      </c>
      <c r="C231" s="1" t="s">
        <v>404</v>
      </c>
      <c r="D231" s="7" t="s">
        <v>675</v>
      </c>
      <c r="E231" s="7" t="s">
        <v>1129</v>
      </c>
      <c r="F231" s="33" t="s">
        <v>1129</v>
      </c>
      <c r="G231" s="7" t="s">
        <v>404</v>
      </c>
      <c r="H231" s="33" t="s">
        <v>200</v>
      </c>
      <c r="I231" s="168" t="s">
        <v>2467</v>
      </c>
      <c r="L231" s="169" t="s">
        <v>53</v>
      </c>
      <c r="M231" s="170"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tags\trinidad-tobago\_index.md</v>
      </c>
    </row>
    <row r="232" spans="1:80" x14ac:dyDescent="0.25">
      <c r="A232" s="129" t="s">
        <v>786</v>
      </c>
      <c r="C232" s="1" t="s">
        <v>405</v>
      </c>
      <c r="D232" s="7" t="s">
        <v>676</v>
      </c>
      <c r="E232" s="7" t="s">
        <v>1130</v>
      </c>
      <c r="F232" s="33" t="s">
        <v>1130</v>
      </c>
      <c r="G232" s="7" t="s">
        <v>405</v>
      </c>
      <c r="H232" s="33" t="s">
        <v>200</v>
      </c>
      <c r="I232" s="168" t="s">
        <v>2468</v>
      </c>
      <c r="L232" s="169" t="s">
        <v>53</v>
      </c>
      <c r="M232" s="170"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tags\tuvalu\_index.md</v>
      </c>
    </row>
    <row r="233" spans="1:80" x14ac:dyDescent="0.25">
      <c r="A233" s="129" t="s">
        <v>786</v>
      </c>
      <c r="C233" s="1" t="s">
        <v>436</v>
      </c>
      <c r="D233" s="7" t="s">
        <v>677</v>
      </c>
      <c r="E233" s="7" t="s">
        <v>1131</v>
      </c>
      <c r="F233" s="33" t="s">
        <v>1131</v>
      </c>
      <c r="G233" s="7" t="s">
        <v>436</v>
      </c>
      <c r="H233" s="33" t="s">
        <v>200</v>
      </c>
      <c r="I233" s="168" t="s">
        <v>2469</v>
      </c>
      <c r="L233" s="169" t="s">
        <v>53</v>
      </c>
      <c r="M233" s="170"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tags\taiwan\_index.md</v>
      </c>
    </row>
    <row r="234" spans="1:80" x14ac:dyDescent="0.25">
      <c r="A234" s="129" t="s">
        <v>786</v>
      </c>
      <c r="C234" s="1" t="s">
        <v>437</v>
      </c>
      <c r="D234" s="7" t="s">
        <v>678</v>
      </c>
      <c r="E234" s="7" t="s">
        <v>1132</v>
      </c>
      <c r="F234" s="33" t="s">
        <v>1132</v>
      </c>
      <c r="G234" s="7" t="s">
        <v>437</v>
      </c>
      <c r="H234" s="33" t="s">
        <v>200</v>
      </c>
      <c r="I234" s="168" t="s">
        <v>2470</v>
      </c>
      <c r="L234" s="169" t="s">
        <v>53</v>
      </c>
      <c r="M234" s="170"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tags\tanzania\_index.md</v>
      </c>
    </row>
    <row r="235" spans="1:80" x14ac:dyDescent="0.25">
      <c r="A235" s="129" t="s">
        <v>786</v>
      </c>
      <c r="C235" s="1" t="s">
        <v>406</v>
      </c>
      <c r="D235" s="7" t="s">
        <v>679</v>
      </c>
      <c r="E235" s="7" t="s">
        <v>1133</v>
      </c>
      <c r="F235" s="33" t="s">
        <v>1133</v>
      </c>
      <c r="G235" s="7" t="s">
        <v>406</v>
      </c>
      <c r="H235" s="33" t="s">
        <v>200</v>
      </c>
      <c r="I235" s="168" t="s">
        <v>2471</v>
      </c>
      <c r="L235" s="169" t="s">
        <v>53</v>
      </c>
      <c r="M235" s="170"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tags\ukraine\_index.md</v>
      </c>
    </row>
    <row r="236" spans="1:80" x14ac:dyDescent="0.25">
      <c r="A236" s="129" t="s">
        <v>786</v>
      </c>
      <c r="C236" s="1" t="s">
        <v>407</v>
      </c>
      <c r="D236" s="7" t="s">
        <v>680</v>
      </c>
      <c r="E236" s="7" t="s">
        <v>1134</v>
      </c>
      <c r="F236" s="33" t="s">
        <v>1134</v>
      </c>
      <c r="G236" s="7" t="s">
        <v>407</v>
      </c>
      <c r="H236" s="33" t="s">
        <v>200</v>
      </c>
      <c r="I236" s="168" t="s">
        <v>2472</v>
      </c>
      <c r="L236" s="169" t="s">
        <v>53</v>
      </c>
      <c r="M236" s="170"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tags\uganda\_index.md</v>
      </c>
    </row>
    <row r="237" spans="1:80" x14ac:dyDescent="0.25">
      <c r="A237" s="129" t="s">
        <v>786</v>
      </c>
      <c r="C237" s="1" t="s">
        <v>408</v>
      </c>
      <c r="D237" s="7" t="s">
        <v>681</v>
      </c>
      <c r="E237" s="168" t="s">
        <v>1135</v>
      </c>
      <c r="F237" s="33" t="s">
        <v>1135</v>
      </c>
      <c r="G237" s="7" t="s">
        <v>408</v>
      </c>
      <c r="H237" s="33" t="s">
        <v>200</v>
      </c>
      <c r="I237" s="168" t="s">
        <v>2561</v>
      </c>
      <c r="L237" s="169" t="s">
        <v>53</v>
      </c>
      <c r="M237" s="170"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tags\us-minor-outlying-islands\_index.md</v>
      </c>
    </row>
    <row r="238" spans="1:80" x14ac:dyDescent="0.25">
      <c r="A238" s="129" t="s">
        <v>786</v>
      </c>
      <c r="C238" s="1" t="s">
        <v>410</v>
      </c>
      <c r="D238" s="7" t="s">
        <v>683</v>
      </c>
      <c r="E238" s="7" t="s">
        <v>1137</v>
      </c>
      <c r="F238" s="33" t="s">
        <v>1137</v>
      </c>
      <c r="G238" s="7" t="s">
        <v>410</v>
      </c>
      <c r="H238" s="33" t="s">
        <v>200</v>
      </c>
      <c r="I238" s="168" t="s">
        <v>2473</v>
      </c>
      <c r="L238" s="169" t="s">
        <v>53</v>
      </c>
      <c r="M238" s="170"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tags\uruguay\_index.md</v>
      </c>
    </row>
    <row r="239" spans="1:80" x14ac:dyDescent="0.25">
      <c r="A239" s="129" t="s">
        <v>786</v>
      </c>
      <c r="C239" s="1" t="s">
        <v>411</v>
      </c>
      <c r="D239" s="7" t="s">
        <v>684</v>
      </c>
      <c r="E239" s="7" t="s">
        <v>1138</v>
      </c>
      <c r="F239" s="33" t="s">
        <v>1138</v>
      </c>
      <c r="G239" s="7" t="s">
        <v>411</v>
      </c>
      <c r="H239" s="33" t="s">
        <v>200</v>
      </c>
      <c r="I239" s="168" t="s">
        <v>2474</v>
      </c>
      <c r="L239" s="169" t="s">
        <v>53</v>
      </c>
      <c r="M239" s="170"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tags\uzbekistan\_index.md</v>
      </c>
    </row>
    <row r="240" spans="1:80" ht="25.5" x14ac:dyDescent="0.25">
      <c r="A240" s="129" t="s">
        <v>786</v>
      </c>
      <c r="C240" s="1" t="s">
        <v>1851</v>
      </c>
      <c r="D240" s="7" t="s">
        <v>685</v>
      </c>
      <c r="E240" s="7" t="s">
        <v>1856</v>
      </c>
      <c r="F240" s="166" t="s">
        <v>2263</v>
      </c>
      <c r="G240" s="7" t="s">
        <v>1851</v>
      </c>
      <c r="H240" s="33" t="s">
        <v>200</v>
      </c>
      <c r="I240" s="168" t="s">
        <v>2475</v>
      </c>
      <c r="L240" s="169" t="s">
        <v>53</v>
      </c>
      <c r="M240" s="170"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tags\vatican\_index.md</v>
      </c>
    </row>
    <row r="241" spans="1:80" x14ac:dyDescent="0.25">
      <c r="A241" s="129" t="s">
        <v>786</v>
      </c>
      <c r="C241" s="1" t="s">
        <v>412</v>
      </c>
      <c r="D241" s="7" t="s">
        <v>686</v>
      </c>
      <c r="E241" s="168" t="s">
        <v>1139</v>
      </c>
      <c r="F241" s="33" t="s">
        <v>1139</v>
      </c>
      <c r="G241" s="7" t="s">
        <v>412</v>
      </c>
      <c r="H241" s="33" t="s">
        <v>200</v>
      </c>
      <c r="I241" s="168" t="s">
        <v>2476</v>
      </c>
      <c r="L241" s="169" t="s">
        <v>53</v>
      </c>
      <c r="M241" s="170"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tags\saint-vincent-grenadines\_index.md</v>
      </c>
    </row>
    <row r="242" spans="1:80" x14ac:dyDescent="0.25">
      <c r="A242" s="129" t="s">
        <v>786</v>
      </c>
      <c r="C242" s="1" t="s">
        <v>429</v>
      </c>
      <c r="D242" s="7" t="s">
        <v>687</v>
      </c>
      <c r="E242" s="7" t="s">
        <v>1140</v>
      </c>
      <c r="F242" s="33" t="s">
        <v>1140</v>
      </c>
      <c r="G242" s="7" t="s">
        <v>429</v>
      </c>
      <c r="H242" s="33" t="s">
        <v>200</v>
      </c>
      <c r="I242" s="168" t="s">
        <v>2477</v>
      </c>
      <c r="L242" s="169" t="s">
        <v>53</v>
      </c>
      <c r="M242" s="170"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tags\venezuela\_index.md</v>
      </c>
    </row>
    <row r="243" spans="1:80" x14ac:dyDescent="0.25">
      <c r="A243" s="129" t="s">
        <v>786</v>
      </c>
      <c r="C243" s="1" t="s">
        <v>430</v>
      </c>
      <c r="D243" s="7" t="s">
        <v>688</v>
      </c>
      <c r="E243" s="7" t="s">
        <v>1141</v>
      </c>
      <c r="F243" s="33" t="s">
        <v>1141</v>
      </c>
      <c r="G243" s="7" t="s">
        <v>430</v>
      </c>
      <c r="H243" s="33" t="s">
        <v>200</v>
      </c>
      <c r="I243" s="168" t="s">
        <v>2562</v>
      </c>
      <c r="L243" s="169" t="s">
        <v>53</v>
      </c>
      <c r="M243" s="170"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tags\bvi\_index.md</v>
      </c>
    </row>
    <row r="244" spans="1:80" x14ac:dyDescent="0.25">
      <c r="A244" s="129" t="s">
        <v>786</v>
      </c>
      <c r="C244" s="1" t="s">
        <v>431</v>
      </c>
      <c r="D244" s="7" t="s">
        <v>689</v>
      </c>
      <c r="E244" s="7" t="s">
        <v>1142</v>
      </c>
      <c r="F244" s="33" t="s">
        <v>1142</v>
      </c>
      <c r="G244" s="7" t="s">
        <v>431</v>
      </c>
      <c r="H244" s="33" t="s">
        <v>200</v>
      </c>
      <c r="I244" s="168" t="s">
        <v>2563</v>
      </c>
      <c r="L244" s="169" t="s">
        <v>53</v>
      </c>
      <c r="M244" s="170"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tags\usvi\_index.md</v>
      </c>
    </row>
    <row r="245" spans="1:80" x14ac:dyDescent="0.25">
      <c r="A245" s="129" t="s">
        <v>786</v>
      </c>
      <c r="C245" s="1" t="s">
        <v>450</v>
      </c>
      <c r="D245" s="7" t="s">
        <v>690</v>
      </c>
      <c r="E245" s="7" t="s">
        <v>1143</v>
      </c>
      <c r="F245" s="33" t="s">
        <v>1143</v>
      </c>
      <c r="G245" s="7" t="s">
        <v>450</v>
      </c>
      <c r="H245" s="33" t="s">
        <v>200</v>
      </c>
      <c r="I245" s="168" t="s">
        <v>2478</v>
      </c>
      <c r="L245" s="169" t="s">
        <v>53</v>
      </c>
      <c r="M245" s="170"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tags\vietnam\_index.md</v>
      </c>
    </row>
    <row r="246" spans="1:80" x14ac:dyDescent="0.25">
      <c r="A246" s="129" t="s">
        <v>786</v>
      </c>
      <c r="C246" s="1" t="s">
        <v>413</v>
      </c>
      <c r="D246" s="7" t="s">
        <v>691</v>
      </c>
      <c r="E246" s="7" t="s">
        <v>1144</v>
      </c>
      <c r="F246" s="33" t="s">
        <v>1144</v>
      </c>
      <c r="G246" s="7" t="s">
        <v>413</v>
      </c>
      <c r="H246" s="33" t="s">
        <v>200</v>
      </c>
      <c r="I246" s="168" t="s">
        <v>2479</v>
      </c>
      <c r="L246" s="169" t="s">
        <v>53</v>
      </c>
      <c r="M246" s="170"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tags\vanuatu\_index.md</v>
      </c>
    </row>
    <row r="247" spans="1:80" x14ac:dyDescent="0.25">
      <c r="A247" s="129" t="s">
        <v>786</v>
      </c>
      <c r="C247" s="1" t="s">
        <v>414</v>
      </c>
      <c r="D247" s="7" t="s">
        <v>692</v>
      </c>
      <c r="E247" s="7" t="s">
        <v>1145</v>
      </c>
      <c r="F247" s="33" t="s">
        <v>1145</v>
      </c>
      <c r="G247" s="7" t="s">
        <v>414</v>
      </c>
      <c r="H247" s="33" t="s">
        <v>200</v>
      </c>
      <c r="I247" s="168" t="s">
        <v>2480</v>
      </c>
      <c r="L247" s="169" t="s">
        <v>53</v>
      </c>
      <c r="M247" s="170"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tags\wallis-futuna\_index.md</v>
      </c>
    </row>
    <row r="248" spans="1:80" x14ac:dyDescent="0.25">
      <c r="A248" s="129" t="s">
        <v>786</v>
      </c>
      <c r="C248" s="1" t="s">
        <v>415</v>
      </c>
      <c r="D248" s="7" t="s">
        <v>693</v>
      </c>
      <c r="E248" s="7" t="s">
        <v>1146</v>
      </c>
      <c r="F248" s="33" t="s">
        <v>1146</v>
      </c>
      <c r="G248" s="7" t="s">
        <v>415</v>
      </c>
      <c r="H248" s="33" t="s">
        <v>200</v>
      </c>
      <c r="I248" s="168" t="s">
        <v>2481</v>
      </c>
      <c r="L248" s="169" t="s">
        <v>53</v>
      </c>
      <c r="M248" s="170"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tags\samoa\_index.md</v>
      </c>
    </row>
    <row r="249" spans="1:80" x14ac:dyDescent="0.25">
      <c r="A249" s="129" t="s">
        <v>786</v>
      </c>
      <c r="C249" s="1" t="s">
        <v>416</v>
      </c>
      <c r="D249" s="7" t="s">
        <v>694</v>
      </c>
      <c r="E249" s="7" t="s">
        <v>1147</v>
      </c>
      <c r="F249" s="33" t="s">
        <v>1147</v>
      </c>
      <c r="G249" s="7" t="s">
        <v>416</v>
      </c>
      <c r="H249" s="33" t="s">
        <v>200</v>
      </c>
      <c r="I249" s="168" t="s">
        <v>2482</v>
      </c>
      <c r="L249" s="169" t="s">
        <v>53</v>
      </c>
      <c r="M249" s="170"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tags\yemen\_index.md</v>
      </c>
    </row>
    <row r="250" spans="1:80" x14ac:dyDescent="0.25">
      <c r="A250" s="129" t="s">
        <v>786</v>
      </c>
      <c r="C250" s="1" t="s">
        <v>417</v>
      </c>
      <c r="D250" s="7" t="s">
        <v>695</v>
      </c>
      <c r="E250" s="7" t="s">
        <v>1148</v>
      </c>
      <c r="F250" s="33" t="s">
        <v>1148</v>
      </c>
      <c r="G250" s="7" t="s">
        <v>417</v>
      </c>
      <c r="H250" s="33" t="s">
        <v>200</v>
      </c>
      <c r="I250" s="168" t="s">
        <v>2483</v>
      </c>
      <c r="L250" s="169" t="s">
        <v>53</v>
      </c>
      <c r="M250" s="170"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tags\mayotte\_index.md</v>
      </c>
    </row>
    <row r="251" spans="1:80" x14ac:dyDescent="0.25">
      <c r="A251" s="129" t="s">
        <v>786</v>
      </c>
      <c r="C251" s="1" t="s">
        <v>418</v>
      </c>
      <c r="D251" s="7" t="s">
        <v>696</v>
      </c>
      <c r="E251" s="7" t="s">
        <v>1149</v>
      </c>
      <c r="F251" s="33" t="s">
        <v>1149</v>
      </c>
      <c r="G251" s="7" t="s">
        <v>418</v>
      </c>
      <c r="H251" s="33" t="s">
        <v>200</v>
      </c>
      <c r="I251" s="168" t="s">
        <v>2484</v>
      </c>
      <c r="L251" s="169" t="s">
        <v>53</v>
      </c>
      <c r="M251" s="170"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tags\south-africa\_index.md</v>
      </c>
    </row>
    <row r="252" spans="1:80" x14ac:dyDescent="0.25">
      <c r="A252" s="129" t="s">
        <v>786</v>
      </c>
      <c r="C252" s="1" t="s">
        <v>419</v>
      </c>
      <c r="D252" s="7" t="s">
        <v>697</v>
      </c>
      <c r="E252" s="7" t="s">
        <v>1150</v>
      </c>
      <c r="F252" s="33" t="s">
        <v>1150</v>
      </c>
      <c r="G252" s="7" t="s">
        <v>419</v>
      </c>
      <c r="H252" s="33" t="s">
        <v>200</v>
      </c>
      <c r="I252" s="168" t="s">
        <v>2485</v>
      </c>
      <c r="L252" s="169" t="s">
        <v>53</v>
      </c>
      <c r="M252" s="170"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tags\zambia\_index.md</v>
      </c>
    </row>
    <row r="253" spans="1:80" x14ac:dyDescent="0.25">
      <c r="A253" s="129" t="s">
        <v>786</v>
      </c>
      <c r="C253" s="1" t="s">
        <v>420</v>
      </c>
      <c r="D253" s="7" t="s">
        <v>698</v>
      </c>
      <c r="E253" s="7" t="s">
        <v>1151</v>
      </c>
      <c r="F253" s="33" t="s">
        <v>1151</v>
      </c>
      <c r="G253" s="7" t="s">
        <v>420</v>
      </c>
      <c r="H253" s="33" t="s">
        <v>200</v>
      </c>
      <c r="I253" s="168" t="s">
        <v>2486</v>
      </c>
      <c r="L253" s="169" t="s">
        <v>53</v>
      </c>
      <c r="M253" s="170"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tags\zimbabwe\_index.md</v>
      </c>
    </row>
    <row r="254" spans="1:80" x14ac:dyDescent="0.25">
      <c r="A254" s="129" t="s">
        <v>786</v>
      </c>
      <c r="C254" s="1" t="s">
        <v>409</v>
      </c>
      <c r="D254" s="7" t="s">
        <v>682</v>
      </c>
      <c r="E254" s="7" t="s">
        <v>1136</v>
      </c>
      <c r="F254" s="33" t="s">
        <v>1136</v>
      </c>
      <c r="G254" s="168" t="s">
        <v>409</v>
      </c>
      <c r="H254" s="33" t="s">
        <v>200</v>
      </c>
      <c r="I254" s="168" t="s">
        <v>2564</v>
      </c>
      <c r="L254" s="169" t="s">
        <v>53</v>
      </c>
      <c r="M254" s="170"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tags\usa\_index.md</v>
      </c>
    </row>
    <row r="255" spans="1:80" ht="25.5" x14ac:dyDescent="0.25">
      <c r="A255" s="129" t="s">
        <v>786</v>
      </c>
      <c r="C255" s="1" t="s">
        <v>1317</v>
      </c>
      <c r="D255" s="7" t="s">
        <v>1367</v>
      </c>
      <c r="E255" s="7" t="s">
        <v>1994</v>
      </c>
      <c r="F255" s="33" t="s">
        <v>2163</v>
      </c>
      <c r="G255" s="7" t="s">
        <v>2213</v>
      </c>
      <c r="H255" s="166" t="s">
        <v>2264</v>
      </c>
      <c r="I255" s="168" t="s">
        <v>2487</v>
      </c>
      <c r="L255" s="169" t="s">
        <v>53</v>
      </c>
      <c r="M255" s="170"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1318</v>
      </c>
      <c r="D256" s="7" t="s">
        <v>1368</v>
      </c>
      <c r="E256" s="7" t="s">
        <v>1995</v>
      </c>
      <c r="F256" s="33" t="s">
        <v>2164</v>
      </c>
      <c r="G256" s="7" t="s">
        <v>2214</v>
      </c>
      <c r="H256" s="33" t="s">
        <v>2264</v>
      </c>
      <c r="I256" s="168" t="s">
        <v>2488</v>
      </c>
      <c r="L256" s="169" t="s">
        <v>53</v>
      </c>
      <c r="M256" s="170"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tags\alaska\_index.md</v>
      </c>
    </row>
    <row r="257" spans="1:80" ht="25.5" x14ac:dyDescent="0.25">
      <c r="A257" s="129" t="s">
        <v>786</v>
      </c>
      <c r="C257" s="1" t="s">
        <v>1319</v>
      </c>
      <c r="D257" s="7" t="s">
        <v>1369</v>
      </c>
      <c r="E257" s="7" t="s">
        <v>1996</v>
      </c>
      <c r="F257" s="33" t="s">
        <v>2165</v>
      </c>
      <c r="G257" s="7" t="s">
        <v>2215</v>
      </c>
      <c r="H257" s="33" t="s">
        <v>2264</v>
      </c>
      <c r="I257" s="168" t="s">
        <v>2489</v>
      </c>
      <c r="L257" s="169" t="s">
        <v>53</v>
      </c>
      <c r="M257" s="170"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tags\arizona\_index.md</v>
      </c>
    </row>
    <row r="258" spans="1:80" ht="25.5" x14ac:dyDescent="0.25">
      <c r="A258" s="129" t="s">
        <v>786</v>
      </c>
      <c r="C258" s="1" t="s">
        <v>1316</v>
      </c>
      <c r="D258" s="7" t="s">
        <v>1370</v>
      </c>
      <c r="E258" s="7" t="s">
        <v>1997</v>
      </c>
      <c r="F258" s="33" t="s">
        <v>2166</v>
      </c>
      <c r="G258" s="7" t="s">
        <v>2216</v>
      </c>
      <c r="H258" s="33" t="s">
        <v>2264</v>
      </c>
      <c r="I258" s="168" t="s">
        <v>2490</v>
      </c>
      <c r="L258" s="169" t="s">
        <v>53</v>
      </c>
      <c r="M258" s="170"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tags\arkansas\_index.md</v>
      </c>
    </row>
    <row r="259" spans="1:80" ht="25.5" x14ac:dyDescent="0.25">
      <c r="A259" s="129" t="s">
        <v>786</v>
      </c>
      <c r="C259" s="1" t="s">
        <v>1320</v>
      </c>
      <c r="D259" s="7" t="s">
        <v>1371</v>
      </c>
      <c r="E259" s="7" t="s">
        <v>1998</v>
      </c>
      <c r="F259" s="33" t="s">
        <v>2167</v>
      </c>
      <c r="G259" s="7" t="s">
        <v>2217</v>
      </c>
      <c r="H259" s="33" t="s">
        <v>2264</v>
      </c>
      <c r="I259" s="168" t="s">
        <v>2491</v>
      </c>
      <c r="L259" s="169" t="s">
        <v>53</v>
      </c>
      <c r="M259" s="170"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tags\california\_index.md</v>
      </c>
    </row>
    <row r="260" spans="1:80" ht="25.5" x14ac:dyDescent="0.25">
      <c r="A260" s="129" t="s">
        <v>786</v>
      </c>
      <c r="C260" s="1" t="s">
        <v>1321</v>
      </c>
      <c r="D260" s="7" t="s">
        <v>1372</v>
      </c>
      <c r="E260" s="7" t="s">
        <v>1999</v>
      </c>
      <c r="F260" s="33" t="s">
        <v>2168</v>
      </c>
      <c r="G260" s="7" t="s">
        <v>2218</v>
      </c>
      <c r="H260" s="33" t="s">
        <v>2264</v>
      </c>
      <c r="I260" s="168" t="s">
        <v>2492</v>
      </c>
      <c r="L260" s="169" t="s">
        <v>53</v>
      </c>
      <c r="M260" s="170"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tags\colorado\_index.md</v>
      </c>
    </row>
    <row r="261" spans="1:80" ht="25.5" x14ac:dyDescent="0.25">
      <c r="A261" s="129" t="s">
        <v>786</v>
      </c>
      <c r="C261" s="1" t="s">
        <v>1322</v>
      </c>
      <c r="D261" s="7" t="s">
        <v>1373</v>
      </c>
      <c r="E261" s="7" t="s">
        <v>2000</v>
      </c>
      <c r="F261" s="33" t="s">
        <v>2169</v>
      </c>
      <c r="G261" s="7" t="s">
        <v>2219</v>
      </c>
      <c r="H261" s="33" t="s">
        <v>2264</v>
      </c>
      <c r="I261" s="168" t="s">
        <v>2493</v>
      </c>
      <c r="L261" s="169" t="s">
        <v>53</v>
      </c>
      <c r="M261" s="170"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tags\connecticut\_index.md</v>
      </c>
    </row>
    <row r="262" spans="1:80" ht="25.5" x14ac:dyDescent="0.25">
      <c r="A262" s="129" t="s">
        <v>786</v>
      </c>
      <c r="C262" s="1" t="s">
        <v>1323</v>
      </c>
      <c r="D262" s="7" t="s">
        <v>1374</v>
      </c>
      <c r="E262" s="7" t="s">
        <v>2001</v>
      </c>
      <c r="F262" s="33" t="s">
        <v>2170</v>
      </c>
      <c r="G262" s="7" t="s">
        <v>2220</v>
      </c>
      <c r="H262" s="33" t="s">
        <v>2264</v>
      </c>
      <c r="I262" s="168" t="s">
        <v>2494</v>
      </c>
      <c r="L262" s="169" t="s">
        <v>53</v>
      </c>
      <c r="M262" s="170"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tags\delaware\_index.md</v>
      </c>
    </row>
    <row r="263" spans="1:80" ht="25.5" x14ac:dyDescent="0.25">
      <c r="A263" s="129" t="s">
        <v>786</v>
      </c>
      <c r="C263" s="1" t="s">
        <v>1324</v>
      </c>
      <c r="D263" s="7" t="s">
        <v>1375</v>
      </c>
      <c r="E263" s="7" t="s">
        <v>2002</v>
      </c>
      <c r="F263" s="33" t="s">
        <v>2171</v>
      </c>
      <c r="G263" s="168" t="s">
        <v>2262</v>
      </c>
      <c r="H263" s="33" t="s">
        <v>2264</v>
      </c>
      <c r="I263" s="168" t="s">
        <v>2495</v>
      </c>
      <c r="L263" s="169" t="s">
        <v>53</v>
      </c>
      <c r="M263" s="170" t="s">
        <v>53</v>
      </c>
      <c r="N263" s="151" t="s">
        <v>53</v>
      </c>
      <c r="O263" s="40" t="s">
        <v>53</v>
      </c>
      <c r="P263" s="1" t="s">
        <v>53</v>
      </c>
      <c r="Q263" s="44" t="s">
        <v>53</v>
      </c>
      <c r="R263" s="1" t="s">
        <v>53</v>
      </c>
      <c r="S263" s="1" t="s">
        <v>53</v>
      </c>
      <c r="T263" s="30" t="s">
        <v>53</v>
      </c>
      <c r="U263" s="121" t="s">
        <v>53</v>
      </c>
      <c r="V263" s="116" t="b">
        <f t="shared" ref="V263:V305" si="32">IF(OR(A263="Done",A263="In Progress"),TRUE)</f>
        <v>1</v>
      </c>
      <c r="W263" s="117" t="str">
        <f t="shared" ref="W263:W305" si="33">"title: """&amp;G263&amp;""""</f>
        <v>title: "Washington, DC"</v>
      </c>
      <c r="X263" s="120" t="str">
        <f t="shared" ref="X263:X305" si="34">IF(LEN(M263)&gt;0,TRIM(CONCATENATE("["&amp;L263&amp;"](",M263,") ",IF(LEN(N263)&gt;0,"- "&amp;N263,N263))),"")</f>
        <v/>
      </c>
      <c r="Y263" s="120" t="str">
        <f t="shared" ref="Y263:Y305" si="35">IF(LEN(P263)&gt;0,TRIM(CONCATENATE("["&amp;O263&amp;"](",P263,") ",IF(LEN(Q263)&gt;0,"- "&amp;Q263,Q263))),"")</f>
        <v/>
      </c>
      <c r="Z263" s="120" t="str">
        <f t="shared" ref="Z263:Z305" si="36">IF(LEN(S263)&gt;0,TRIM(CONCATENATE("["&amp;R263&amp;"](",S263,") ",IF(LEN(T263)&gt;0,"- "&amp;T263,T263))),"")</f>
        <v/>
      </c>
      <c r="AA263" s="120" t="str">
        <f t="shared" ref="AA263:AA305" si="37">IF(LEN(X263)&gt;0,"* "&amp;X263&amp;CHAR(10),"")&amp;
IF(LEN(Y263)&gt;0,"* "&amp;Y263&amp;CHAR(10),"")&amp;
IF(LEN(Z263)&gt;0,"* "&amp;Z263&amp;CHAR(10),"")</f>
        <v/>
      </c>
      <c r="AB263" s="117" t="str">
        <f t="shared" ref="AB263:AB305" si="38">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39">IF(V263,"tags\"&amp;F263&amp;"\_index.md","")</f>
        <v>tags\dc\_index.md</v>
      </c>
    </row>
    <row r="264" spans="1:80" ht="25.5" x14ac:dyDescent="0.25">
      <c r="A264" s="129" t="s">
        <v>786</v>
      </c>
      <c r="C264" s="1" t="s">
        <v>1325</v>
      </c>
      <c r="D264" s="7" t="s">
        <v>1376</v>
      </c>
      <c r="E264" s="7" t="s">
        <v>2003</v>
      </c>
      <c r="F264" s="33" t="s">
        <v>2172</v>
      </c>
      <c r="G264" s="7" t="s">
        <v>2221</v>
      </c>
      <c r="H264" s="33" t="s">
        <v>2264</v>
      </c>
      <c r="I264" s="168" t="s">
        <v>2496</v>
      </c>
      <c r="L264" s="169" t="s">
        <v>53</v>
      </c>
      <c r="M264" s="170" t="s">
        <v>53</v>
      </c>
      <c r="N264" s="151" t="s">
        <v>53</v>
      </c>
      <c r="O264" s="40" t="s">
        <v>53</v>
      </c>
      <c r="P264" s="1" t="s">
        <v>53</v>
      </c>
      <c r="Q264" s="44" t="s">
        <v>53</v>
      </c>
      <c r="R264" s="1" t="s">
        <v>53</v>
      </c>
      <c r="S264" s="1" t="s">
        <v>53</v>
      </c>
      <c r="T264" s="30" t="s">
        <v>53</v>
      </c>
      <c r="U264" s="121" t="s">
        <v>53</v>
      </c>
      <c r="V264" s="116" t="b">
        <f t="shared" si="32"/>
        <v>1</v>
      </c>
      <c r="W264" s="117" t="str">
        <f t="shared" si="33"/>
        <v>title: "Florida"</v>
      </c>
      <c r="X264" s="120" t="str">
        <f t="shared" si="34"/>
        <v/>
      </c>
      <c r="Y264" s="120" t="str">
        <f t="shared" si="35"/>
        <v/>
      </c>
      <c r="Z264" s="120" t="str">
        <f t="shared" si="36"/>
        <v/>
      </c>
      <c r="AA264" s="120" t="str">
        <f t="shared" si="37"/>
        <v/>
      </c>
      <c r="AB264" s="117" t="str">
        <f t="shared" si="38"/>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39"/>
        <v>tags\florida\_index.md</v>
      </c>
    </row>
    <row r="265" spans="1:80" ht="25.5" x14ac:dyDescent="0.25">
      <c r="A265" s="129" t="s">
        <v>786</v>
      </c>
      <c r="C265" s="1" t="s">
        <v>1326</v>
      </c>
      <c r="D265" s="7" t="s">
        <v>1377</v>
      </c>
      <c r="E265" s="7" t="s">
        <v>2004</v>
      </c>
      <c r="F265" s="33" t="s">
        <v>986</v>
      </c>
      <c r="G265" s="7" t="s">
        <v>274</v>
      </c>
      <c r="H265" s="33" t="s">
        <v>2264</v>
      </c>
      <c r="I265" s="168" t="s">
        <v>2331</v>
      </c>
      <c r="L265" s="169" t="s">
        <v>53</v>
      </c>
      <c r="M265" s="170" t="s">
        <v>53</v>
      </c>
      <c r="N265" s="151" t="s">
        <v>53</v>
      </c>
      <c r="O265" s="40" t="s">
        <v>53</v>
      </c>
      <c r="P265" s="1" t="s">
        <v>53</v>
      </c>
      <c r="Q265" s="44" t="s">
        <v>53</v>
      </c>
      <c r="R265" s="1" t="s">
        <v>53</v>
      </c>
      <c r="S265" s="1" t="s">
        <v>53</v>
      </c>
      <c r="T265" s="30" t="s">
        <v>53</v>
      </c>
      <c r="U265" s="121" t="s">
        <v>53</v>
      </c>
      <c r="V265" s="116" t="b">
        <f t="shared" si="32"/>
        <v>1</v>
      </c>
      <c r="W265" s="117" t="str">
        <f t="shared" si="33"/>
        <v>title: "Georgia"</v>
      </c>
      <c r="X265" s="120" t="str">
        <f t="shared" si="34"/>
        <v/>
      </c>
      <c r="Y265" s="120" t="str">
        <f t="shared" si="35"/>
        <v/>
      </c>
      <c r="Z265" s="120" t="str">
        <f t="shared" si="36"/>
        <v/>
      </c>
      <c r="AA265" s="120" t="str">
        <f t="shared" si="37"/>
        <v/>
      </c>
      <c r="AB265" s="117" t="str">
        <f t="shared" si="38"/>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39"/>
        <v>tags\georgia\_index.md</v>
      </c>
    </row>
    <row r="266" spans="1:80" ht="25.5" x14ac:dyDescent="0.25">
      <c r="A266" s="129" t="s">
        <v>786</v>
      </c>
      <c r="C266" s="1" t="s">
        <v>1327</v>
      </c>
      <c r="D266" s="7" t="s">
        <v>1378</v>
      </c>
      <c r="E266" s="7" t="s">
        <v>2005</v>
      </c>
      <c r="F266" s="33" t="s">
        <v>2173</v>
      </c>
      <c r="G266" s="7" t="s">
        <v>2222</v>
      </c>
      <c r="H266" s="33" t="s">
        <v>2264</v>
      </c>
      <c r="I266" s="168" t="s">
        <v>2497</v>
      </c>
      <c r="L266" s="169" t="s">
        <v>53</v>
      </c>
      <c r="M266" s="170" t="s">
        <v>53</v>
      </c>
      <c r="N266" s="151" t="s">
        <v>53</v>
      </c>
      <c r="O266" s="40" t="s">
        <v>53</v>
      </c>
      <c r="P266" s="1" t="s">
        <v>53</v>
      </c>
      <c r="Q266" s="44" t="s">
        <v>53</v>
      </c>
      <c r="R266" s="1" t="s">
        <v>53</v>
      </c>
      <c r="S266" s="1" t="s">
        <v>53</v>
      </c>
      <c r="T266" s="30" t="s">
        <v>53</v>
      </c>
      <c r="U266" s="121" t="s">
        <v>53</v>
      </c>
      <c r="V266" s="116" t="b">
        <f t="shared" si="32"/>
        <v>1</v>
      </c>
      <c r="W266" s="117" t="str">
        <f t="shared" si="33"/>
        <v>title: "Hawaii"</v>
      </c>
      <c r="X266" s="120" t="str">
        <f t="shared" si="34"/>
        <v/>
      </c>
      <c r="Y266" s="120" t="str">
        <f t="shared" si="35"/>
        <v/>
      </c>
      <c r="Z266" s="120" t="str">
        <f t="shared" si="36"/>
        <v/>
      </c>
      <c r="AA266" s="120" t="str">
        <f t="shared" si="37"/>
        <v/>
      </c>
      <c r="AB266" s="117" t="str">
        <f t="shared" si="38"/>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39"/>
        <v>tags\hawaii\_index.md</v>
      </c>
    </row>
    <row r="267" spans="1:80" ht="25.5" x14ac:dyDescent="0.25">
      <c r="A267" s="129" t="s">
        <v>786</v>
      </c>
      <c r="C267" s="1" t="s">
        <v>1328</v>
      </c>
      <c r="D267" s="7" t="s">
        <v>1379</v>
      </c>
      <c r="E267" s="7" t="s">
        <v>2006</v>
      </c>
      <c r="F267" s="33" t="s">
        <v>2174</v>
      </c>
      <c r="G267" s="7" t="s">
        <v>2223</v>
      </c>
      <c r="H267" s="33" t="s">
        <v>2264</v>
      </c>
      <c r="I267" s="168" t="s">
        <v>2498</v>
      </c>
      <c r="L267" s="169" t="s">
        <v>53</v>
      </c>
      <c r="M267" s="170" t="s">
        <v>53</v>
      </c>
      <c r="N267" s="151" t="s">
        <v>53</v>
      </c>
      <c r="O267" s="40" t="s">
        <v>53</v>
      </c>
      <c r="P267" s="1" t="s">
        <v>53</v>
      </c>
      <c r="Q267" s="44" t="s">
        <v>53</v>
      </c>
      <c r="R267" s="1" t="s">
        <v>53</v>
      </c>
      <c r="S267" s="1" t="s">
        <v>53</v>
      </c>
      <c r="T267" s="30" t="s">
        <v>53</v>
      </c>
      <c r="U267" s="121" t="s">
        <v>53</v>
      </c>
      <c r="V267" s="116" t="b">
        <f t="shared" si="32"/>
        <v>1</v>
      </c>
      <c r="W267" s="117" t="str">
        <f t="shared" si="33"/>
        <v>title: "Idaho"</v>
      </c>
      <c r="X267" s="120" t="str">
        <f t="shared" si="34"/>
        <v/>
      </c>
      <c r="Y267" s="120" t="str">
        <f t="shared" si="35"/>
        <v/>
      </c>
      <c r="Z267" s="120" t="str">
        <f t="shared" si="36"/>
        <v/>
      </c>
      <c r="AA267" s="120" t="str">
        <f t="shared" si="37"/>
        <v/>
      </c>
      <c r="AB267" s="117" t="str">
        <f t="shared" si="38"/>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39"/>
        <v>tags\idaho\_index.md</v>
      </c>
    </row>
    <row r="268" spans="1:80" ht="25.5" x14ac:dyDescent="0.25">
      <c r="A268" s="129" t="s">
        <v>786</v>
      </c>
      <c r="C268" s="1" t="s">
        <v>1329</v>
      </c>
      <c r="D268" s="7" t="s">
        <v>1380</v>
      </c>
      <c r="E268" s="7" t="s">
        <v>2007</v>
      </c>
      <c r="F268" s="33" t="s">
        <v>2175</v>
      </c>
      <c r="G268" s="7" t="s">
        <v>2224</v>
      </c>
      <c r="H268" s="33" t="s">
        <v>2264</v>
      </c>
      <c r="I268" s="168" t="s">
        <v>2499</v>
      </c>
      <c r="L268" s="169" t="s">
        <v>53</v>
      </c>
      <c r="M268" s="170" t="s">
        <v>53</v>
      </c>
      <c r="N268" s="151" t="s">
        <v>53</v>
      </c>
      <c r="O268" s="40" t="s">
        <v>53</v>
      </c>
      <c r="P268" s="1" t="s">
        <v>53</v>
      </c>
      <c r="Q268" s="44" t="s">
        <v>53</v>
      </c>
      <c r="R268" s="1" t="s">
        <v>53</v>
      </c>
      <c r="S268" s="1" t="s">
        <v>53</v>
      </c>
      <c r="T268" s="30" t="s">
        <v>53</v>
      </c>
      <c r="U268" s="121" t="s">
        <v>53</v>
      </c>
      <c r="V268" s="116" t="b">
        <f t="shared" si="32"/>
        <v>1</v>
      </c>
      <c r="W268" s="117" t="str">
        <f t="shared" si="33"/>
        <v>title: "Illinois"</v>
      </c>
      <c r="X268" s="120" t="str">
        <f t="shared" si="34"/>
        <v/>
      </c>
      <c r="Y268" s="120" t="str">
        <f t="shared" si="35"/>
        <v/>
      </c>
      <c r="Z268" s="120" t="str">
        <f t="shared" si="36"/>
        <v/>
      </c>
      <c r="AA268" s="120" t="str">
        <f t="shared" si="37"/>
        <v/>
      </c>
      <c r="AB268" s="117" t="str">
        <f t="shared" si="38"/>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39"/>
        <v>tags\illinois\_index.md</v>
      </c>
    </row>
    <row r="269" spans="1:80" ht="25.5" x14ac:dyDescent="0.25">
      <c r="A269" s="129" t="s">
        <v>786</v>
      </c>
      <c r="C269" s="1" t="s">
        <v>1330</v>
      </c>
      <c r="D269" s="7" t="s">
        <v>1381</v>
      </c>
      <c r="E269" s="7" t="s">
        <v>2008</v>
      </c>
      <c r="F269" s="33" t="s">
        <v>2176</v>
      </c>
      <c r="G269" s="7" t="s">
        <v>2225</v>
      </c>
      <c r="H269" s="33" t="s">
        <v>2264</v>
      </c>
      <c r="I269" s="168" t="s">
        <v>2500</v>
      </c>
      <c r="L269" s="169" t="s">
        <v>53</v>
      </c>
      <c r="M269" s="170" t="s">
        <v>53</v>
      </c>
      <c r="N269" s="151" t="s">
        <v>53</v>
      </c>
      <c r="O269" s="40" t="s">
        <v>53</v>
      </c>
      <c r="P269" s="1" t="s">
        <v>53</v>
      </c>
      <c r="Q269" s="44" t="s">
        <v>53</v>
      </c>
      <c r="R269" s="1" t="s">
        <v>53</v>
      </c>
      <c r="S269" s="1" t="s">
        <v>53</v>
      </c>
      <c r="T269" s="30" t="s">
        <v>53</v>
      </c>
      <c r="U269" s="121" t="s">
        <v>53</v>
      </c>
      <c r="V269" s="116" t="b">
        <f t="shared" si="32"/>
        <v>1</v>
      </c>
      <c r="W269" s="117" t="str">
        <f t="shared" si="33"/>
        <v>title: "Indiana"</v>
      </c>
      <c r="X269" s="120" t="str">
        <f t="shared" si="34"/>
        <v/>
      </c>
      <c r="Y269" s="120" t="str">
        <f t="shared" si="35"/>
        <v/>
      </c>
      <c r="Z269" s="120" t="str">
        <f t="shared" si="36"/>
        <v/>
      </c>
      <c r="AA269" s="120" t="str">
        <f t="shared" si="37"/>
        <v/>
      </c>
      <c r="AB269" s="117" t="str">
        <f t="shared" si="38"/>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39"/>
        <v>tags\indiana\_index.md</v>
      </c>
    </row>
    <row r="270" spans="1:80" ht="25.5" x14ac:dyDescent="0.25">
      <c r="A270" s="129" t="s">
        <v>786</v>
      </c>
      <c r="C270" s="1" t="s">
        <v>1331</v>
      </c>
      <c r="D270" s="7" t="s">
        <v>1382</v>
      </c>
      <c r="E270" s="7" t="s">
        <v>2009</v>
      </c>
      <c r="F270" s="33" t="s">
        <v>2177</v>
      </c>
      <c r="G270" s="7" t="s">
        <v>2226</v>
      </c>
      <c r="H270" s="33" t="s">
        <v>2264</v>
      </c>
      <c r="I270" s="168" t="s">
        <v>2501</v>
      </c>
      <c r="L270" s="169" t="s">
        <v>53</v>
      </c>
      <c r="M270" s="170" t="s">
        <v>53</v>
      </c>
      <c r="N270" s="151" t="s">
        <v>53</v>
      </c>
      <c r="O270" s="40" t="s">
        <v>53</v>
      </c>
      <c r="P270" s="1" t="s">
        <v>53</v>
      </c>
      <c r="Q270" s="44" t="s">
        <v>53</v>
      </c>
      <c r="R270" s="1" t="s">
        <v>53</v>
      </c>
      <c r="S270" s="1" t="s">
        <v>53</v>
      </c>
      <c r="T270" s="30" t="s">
        <v>53</v>
      </c>
      <c r="U270" s="121" t="s">
        <v>53</v>
      </c>
      <c r="V270" s="116" t="b">
        <f t="shared" si="32"/>
        <v>1</v>
      </c>
      <c r="W270" s="117" t="str">
        <f t="shared" si="33"/>
        <v>title: "Iowa"</v>
      </c>
      <c r="X270" s="120" t="str">
        <f t="shared" si="34"/>
        <v/>
      </c>
      <c r="Y270" s="120" t="str">
        <f t="shared" si="35"/>
        <v/>
      </c>
      <c r="Z270" s="120" t="str">
        <f t="shared" si="36"/>
        <v/>
      </c>
      <c r="AA270" s="120" t="str">
        <f t="shared" si="37"/>
        <v/>
      </c>
      <c r="AB270" s="117" t="str">
        <f t="shared" si="38"/>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39"/>
        <v>tags\iowa\_index.md</v>
      </c>
    </row>
    <row r="271" spans="1:80" ht="25.5" x14ac:dyDescent="0.25">
      <c r="A271" s="129" t="s">
        <v>786</v>
      </c>
      <c r="C271" s="1" t="s">
        <v>1332</v>
      </c>
      <c r="D271" s="7" t="s">
        <v>1383</v>
      </c>
      <c r="E271" s="7" t="s">
        <v>2010</v>
      </c>
      <c r="F271" s="33" t="s">
        <v>2178</v>
      </c>
      <c r="G271" s="7" t="s">
        <v>2227</v>
      </c>
      <c r="H271" s="33" t="s">
        <v>2264</v>
      </c>
      <c r="I271" s="168" t="s">
        <v>2502</v>
      </c>
      <c r="L271" s="169" t="s">
        <v>53</v>
      </c>
      <c r="M271" s="170" t="s">
        <v>53</v>
      </c>
      <c r="N271" s="151" t="s">
        <v>53</v>
      </c>
      <c r="O271" s="40" t="s">
        <v>53</v>
      </c>
      <c r="P271" s="1" t="s">
        <v>53</v>
      </c>
      <c r="Q271" s="44" t="s">
        <v>53</v>
      </c>
      <c r="R271" s="1" t="s">
        <v>53</v>
      </c>
      <c r="S271" s="1" t="s">
        <v>53</v>
      </c>
      <c r="T271" s="30" t="s">
        <v>53</v>
      </c>
      <c r="U271" s="121" t="s">
        <v>53</v>
      </c>
      <c r="V271" s="116" t="b">
        <f t="shared" si="32"/>
        <v>1</v>
      </c>
      <c r="W271" s="117" t="str">
        <f t="shared" si="33"/>
        <v>title: "Kansas"</v>
      </c>
      <c r="X271" s="120" t="str">
        <f t="shared" si="34"/>
        <v/>
      </c>
      <c r="Y271" s="120" t="str">
        <f t="shared" si="35"/>
        <v/>
      </c>
      <c r="Z271" s="120" t="str">
        <f t="shared" si="36"/>
        <v/>
      </c>
      <c r="AA271" s="120" t="str">
        <f t="shared" si="37"/>
        <v/>
      </c>
      <c r="AB271" s="117" t="str">
        <f t="shared" si="38"/>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39"/>
        <v>tags\kansas\_index.md</v>
      </c>
    </row>
    <row r="272" spans="1:80" ht="25.5" x14ac:dyDescent="0.25">
      <c r="A272" s="129" t="s">
        <v>786</v>
      </c>
      <c r="C272" s="1" t="s">
        <v>1333</v>
      </c>
      <c r="D272" s="7" t="s">
        <v>1384</v>
      </c>
      <c r="E272" s="7" t="s">
        <v>2011</v>
      </c>
      <c r="F272" s="33" t="s">
        <v>2179</v>
      </c>
      <c r="G272" s="7" t="s">
        <v>2228</v>
      </c>
      <c r="H272" s="33" t="s">
        <v>2264</v>
      </c>
      <c r="I272" s="168" t="s">
        <v>2503</v>
      </c>
      <c r="L272" s="169" t="s">
        <v>53</v>
      </c>
      <c r="M272" s="170" t="s">
        <v>53</v>
      </c>
      <c r="N272" s="151" t="s">
        <v>53</v>
      </c>
      <c r="O272" s="40" t="s">
        <v>53</v>
      </c>
      <c r="P272" s="1" t="s">
        <v>53</v>
      </c>
      <c r="Q272" s="44" t="s">
        <v>53</v>
      </c>
      <c r="R272" s="1" t="s">
        <v>53</v>
      </c>
      <c r="S272" s="1" t="s">
        <v>53</v>
      </c>
      <c r="T272" s="30" t="s">
        <v>53</v>
      </c>
      <c r="U272" s="121" t="s">
        <v>53</v>
      </c>
      <c r="V272" s="116" t="b">
        <f t="shared" si="32"/>
        <v>1</v>
      </c>
      <c r="W272" s="117" t="str">
        <f t="shared" si="33"/>
        <v>title: "Kentucky"</v>
      </c>
      <c r="X272" s="120" t="str">
        <f t="shared" si="34"/>
        <v/>
      </c>
      <c r="Y272" s="120" t="str">
        <f t="shared" si="35"/>
        <v/>
      </c>
      <c r="Z272" s="120" t="str">
        <f t="shared" si="36"/>
        <v/>
      </c>
      <c r="AA272" s="120" t="str">
        <f t="shared" si="37"/>
        <v/>
      </c>
      <c r="AB272" s="117" t="str">
        <f t="shared" si="38"/>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39"/>
        <v>tags\kentucky\_index.md</v>
      </c>
    </row>
    <row r="273" spans="1:80" ht="25.5" x14ac:dyDescent="0.25">
      <c r="A273" s="129" t="s">
        <v>786</v>
      </c>
      <c r="C273" s="1" t="s">
        <v>1334</v>
      </c>
      <c r="D273" s="7" t="s">
        <v>1385</v>
      </c>
      <c r="E273" s="7" t="s">
        <v>2012</v>
      </c>
      <c r="F273" s="33" t="s">
        <v>2180</v>
      </c>
      <c r="G273" s="7" t="s">
        <v>2229</v>
      </c>
      <c r="H273" s="33" t="s">
        <v>2264</v>
      </c>
      <c r="I273" s="168" t="s">
        <v>2504</v>
      </c>
      <c r="L273" s="169" t="s">
        <v>53</v>
      </c>
      <c r="M273" s="170" t="s">
        <v>53</v>
      </c>
      <c r="N273" s="151" t="s">
        <v>53</v>
      </c>
      <c r="O273" s="40" t="s">
        <v>53</v>
      </c>
      <c r="P273" s="1" t="s">
        <v>53</v>
      </c>
      <c r="Q273" s="44" t="s">
        <v>53</v>
      </c>
      <c r="R273" s="1" t="s">
        <v>53</v>
      </c>
      <c r="S273" s="1" t="s">
        <v>53</v>
      </c>
      <c r="T273" s="30" t="s">
        <v>53</v>
      </c>
      <c r="U273" s="121" t="s">
        <v>53</v>
      </c>
      <c r="V273" s="116" t="b">
        <f t="shared" si="32"/>
        <v>1</v>
      </c>
      <c r="W273" s="117" t="str">
        <f t="shared" si="33"/>
        <v>title: "Louisiana"</v>
      </c>
      <c r="X273" s="120" t="str">
        <f t="shared" si="34"/>
        <v/>
      </c>
      <c r="Y273" s="120" t="str">
        <f t="shared" si="35"/>
        <v/>
      </c>
      <c r="Z273" s="120" t="str">
        <f t="shared" si="36"/>
        <v/>
      </c>
      <c r="AA273" s="120" t="str">
        <f t="shared" si="37"/>
        <v/>
      </c>
      <c r="AB273" s="117" t="str">
        <f t="shared" si="38"/>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39"/>
        <v>tags\louisiana\_index.md</v>
      </c>
    </row>
    <row r="274" spans="1:80" ht="25.5" x14ac:dyDescent="0.25">
      <c r="A274" s="129" t="s">
        <v>786</v>
      </c>
      <c r="C274" s="1" t="s">
        <v>1335</v>
      </c>
      <c r="D274" s="7" t="s">
        <v>1386</v>
      </c>
      <c r="E274" s="7" t="s">
        <v>2013</v>
      </c>
      <c r="F274" s="33" t="s">
        <v>2181</v>
      </c>
      <c r="G274" s="7" t="s">
        <v>2230</v>
      </c>
      <c r="H274" s="33" t="s">
        <v>2264</v>
      </c>
      <c r="I274" s="168" t="s">
        <v>2505</v>
      </c>
      <c r="L274" s="169" t="s">
        <v>53</v>
      </c>
      <c r="M274" s="170" t="s">
        <v>53</v>
      </c>
      <c r="N274" s="151" t="s">
        <v>53</v>
      </c>
      <c r="O274" s="40" t="s">
        <v>53</v>
      </c>
      <c r="P274" s="1" t="s">
        <v>53</v>
      </c>
      <c r="Q274" s="44" t="s">
        <v>53</v>
      </c>
      <c r="R274" s="1" t="s">
        <v>53</v>
      </c>
      <c r="S274" s="1" t="s">
        <v>53</v>
      </c>
      <c r="T274" s="30" t="s">
        <v>53</v>
      </c>
      <c r="U274" s="121" t="s">
        <v>53</v>
      </c>
      <c r="V274" s="116" t="b">
        <f t="shared" si="32"/>
        <v>1</v>
      </c>
      <c r="W274" s="117" t="str">
        <f t="shared" si="33"/>
        <v>title: "Maine"</v>
      </c>
      <c r="X274" s="120" t="str">
        <f t="shared" si="34"/>
        <v/>
      </c>
      <c r="Y274" s="120" t="str">
        <f t="shared" si="35"/>
        <v/>
      </c>
      <c r="Z274" s="120" t="str">
        <f t="shared" si="36"/>
        <v/>
      </c>
      <c r="AA274" s="120" t="str">
        <f t="shared" si="37"/>
        <v/>
      </c>
      <c r="AB274" s="117" t="str">
        <f t="shared" si="38"/>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39"/>
        <v>tags\maine\_index.md</v>
      </c>
    </row>
    <row r="275" spans="1:80" ht="25.5" x14ac:dyDescent="0.25">
      <c r="A275" s="129" t="s">
        <v>786</v>
      </c>
      <c r="C275" s="1" t="s">
        <v>1336</v>
      </c>
      <c r="D275" s="7" t="s">
        <v>1387</v>
      </c>
      <c r="E275" s="7" t="s">
        <v>2014</v>
      </c>
      <c r="F275" s="33" t="s">
        <v>2182</v>
      </c>
      <c r="G275" s="7" t="s">
        <v>2231</v>
      </c>
      <c r="H275" s="33" t="s">
        <v>2264</v>
      </c>
      <c r="I275" s="168" t="s">
        <v>2506</v>
      </c>
      <c r="L275" s="169" t="s">
        <v>53</v>
      </c>
      <c r="M275" s="170" t="s">
        <v>53</v>
      </c>
      <c r="N275" s="151" t="s">
        <v>53</v>
      </c>
      <c r="O275" s="40" t="s">
        <v>53</v>
      </c>
      <c r="P275" s="1" t="s">
        <v>53</v>
      </c>
      <c r="Q275" s="44" t="s">
        <v>53</v>
      </c>
      <c r="R275" s="1" t="s">
        <v>53</v>
      </c>
      <c r="S275" s="1" t="s">
        <v>53</v>
      </c>
      <c r="T275" s="30" t="s">
        <v>53</v>
      </c>
      <c r="U275" s="121" t="s">
        <v>53</v>
      </c>
      <c r="V275" s="116" t="b">
        <f t="shared" si="32"/>
        <v>1</v>
      </c>
      <c r="W275" s="117" t="str">
        <f t="shared" si="33"/>
        <v>title: "Maryland"</v>
      </c>
      <c r="X275" s="120" t="str">
        <f t="shared" si="34"/>
        <v/>
      </c>
      <c r="Y275" s="120" t="str">
        <f t="shared" si="35"/>
        <v/>
      </c>
      <c r="Z275" s="120" t="str">
        <f t="shared" si="36"/>
        <v/>
      </c>
      <c r="AA275" s="120" t="str">
        <f t="shared" si="37"/>
        <v/>
      </c>
      <c r="AB275" s="117" t="str">
        <f t="shared" si="38"/>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39"/>
        <v>tags\maryland\_index.md</v>
      </c>
    </row>
    <row r="276" spans="1:80" ht="25.5" x14ac:dyDescent="0.25">
      <c r="A276" s="129" t="s">
        <v>786</v>
      </c>
      <c r="C276" s="1" t="s">
        <v>1337</v>
      </c>
      <c r="D276" s="7" t="s">
        <v>1388</v>
      </c>
      <c r="E276" s="7" t="s">
        <v>2015</v>
      </c>
      <c r="F276" s="33" t="s">
        <v>2183</v>
      </c>
      <c r="G276" s="7" t="s">
        <v>2232</v>
      </c>
      <c r="H276" s="33" t="s">
        <v>2264</v>
      </c>
      <c r="I276" s="168" t="s">
        <v>2507</v>
      </c>
      <c r="L276" s="169" t="s">
        <v>53</v>
      </c>
      <c r="M276" s="170" t="s">
        <v>53</v>
      </c>
      <c r="N276" s="151" t="s">
        <v>53</v>
      </c>
      <c r="O276" s="40" t="s">
        <v>53</v>
      </c>
      <c r="P276" s="1" t="s">
        <v>53</v>
      </c>
      <c r="Q276" s="44" t="s">
        <v>53</v>
      </c>
      <c r="R276" s="1" t="s">
        <v>53</v>
      </c>
      <c r="S276" s="1" t="s">
        <v>53</v>
      </c>
      <c r="T276" s="30" t="s">
        <v>53</v>
      </c>
      <c r="U276" s="121" t="s">
        <v>53</v>
      </c>
      <c r="V276" s="116" t="b">
        <f t="shared" si="32"/>
        <v>1</v>
      </c>
      <c r="W276" s="117" t="str">
        <f t="shared" si="33"/>
        <v>title: "Massachusetts"</v>
      </c>
      <c r="X276" s="120" t="str">
        <f t="shared" si="34"/>
        <v/>
      </c>
      <c r="Y276" s="120" t="str">
        <f t="shared" si="35"/>
        <v/>
      </c>
      <c r="Z276" s="120" t="str">
        <f t="shared" si="36"/>
        <v/>
      </c>
      <c r="AA276" s="120" t="str">
        <f t="shared" si="37"/>
        <v/>
      </c>
      <c r="AB276" s="117" t="str">
        <f t="shared" si="38"/>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39"/>
        <v>tags\massachusetts\_index.md</v>
      </c>
    </row>
    <row r="277" spans="1:80" ht="25.5" x14ac:dyDescent="0.25">
      <c r="A277" s="129" t="s">
        <v>786</v>
      </c>
      <c r="C277" s="1" t="s">
        <v>1338</v>
      </c>
      <c r="D277" s="7" t="s">
        <v>1389</v>
      </c>
      <c r="E277" s="7" t="s">
        <v>2016</v>
      </c>
      <c r="F277" s="33" t="s">
        <v>2184</v>
      </c>
      <c r="G277" s="7" t="s">
        <v>2233</v>
      </c>
      <c r="H277" s="33" t="s">
        <v>2264</v>
      </c>
      <c r="I277" s="168" t="s">
        <v>2508</v>
      </c>
      <c r="L277" s="169" t="s">
        <v>53</v>
      </c>
      <c r="M277" s="170" t="s">
        <v>53</v>
      </c>
      <c r="N277" s="151" t="s">
        <v>53</v>
      </c>
      <c r="O277" s="40" t="s">
        <v>53</v>
      </c>
      <c r="P277" s="1" t="s">
        <v>53</v>
      </c>
      <c r="Q277" s="44" t="s">
        <v>53</v>
      </c>
      <c r="R277" s="1" t="s">
        <v>53</v>
      </c>
      <c r="S277" s="1" t="s">
        <v>53</v>
      </c>
      <c r="T277" s="30" t="s">
        <v>53</v>
      </c>
      <c r="U277" s="121" t="s">
        <v>53</v>
      </c>
      <c r="V277" s="116" t="b">
        <f t="shared" si="32"/>
        <v>1</v>
      </c>
      <c r="W277" s="117" t="str">
        <f t="shared" si="33"/>
        <v>title: "Michigan"</v>
      </c>
      <c r="X277" s="120" t="str">
        <f t="shared" si="34"/>
        <v/>
      </c>
      <c r="Y277" s="120" t="str">
        <f t="shared" si="35"/>
        <v/>
      </c>
      <c r="Z277" s="120" t="str">
        <f t="shared" si="36"/>
        <v/>
      </c>
      <c r="AA277" s="120" t="str">
        <f t="shared" si="37"/>
        <v/>
      </c>
      <c r="AB277" s="117" t="str">
        <f t="shared" si="38"/>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39"/>
        <v>tags\michigan\_index.md</v>
      </c>
    </row>
    <row r="278" spans="1:80" ht="25.5" x14ac:dyDescent="0.25">
      <c r="A278" s="129" t="s">
        <v>786</v>
      </c>
      <c r="C278" s="1" t="s">
        <v>1339</v>
      </c>
      <c r="D278" s="7" t="s">
        <v>1390</v>
      </c>
      <c r="E278" s="7" t="s">
        <v>2017</v>
      </c>
      <c r="F278" s="33" t="s">
        <v>2185</v>
      </c>
      <c r="G278" s="7" t="s">
        <v>2234</v>
      </c>
      <c r="H278" s="33" t="s">
        <v>2264</v>
      </c>
      <c r="I278" s="168" t="s">
        <v>2509</v>
      </c>
      <c r="L278" s="169" t="s">
        <v>53</v>
      </c>
      <c r="M278" s="170" t="s">
        <v>53</v>
      </c>
      <c r="N278" s="151" t="s">
        <v>53</v>
      </c>
      <c r="O278" s="40" t="s">
        <v>53</v>
      </c>
      <c r="P278" s="1" t="s">
        <v>53</v>
      </c>
      <c r="Q278" s="44" t="s">
        <v>53</v>
      </c>
      <c r="R278" s="1" t="s">
        <v>53</v>
      </c>
      <c r="S278" s="1" t="s">
        <v>53</v>
      </c>
      <c r="T278" s="30" t="s">
        <v>53</v>
      </c>
      <c r="U278" s="121" t="s">
        <v>53</v>
      </c>
      <c r="V278" s="116" t="b">
        <f t="shared" si="32"/>
        <v>1</v>
      </c>
      <c r="W278" s="117" t="str">
        <f t="shared" si="33"/>
        <v>title: "Minnesota"</v>
      </c>
      <c r="X278" s="120" t="str">
        <f t="shared" si="34"/>
        <v/>
      </c>
      <c r="Y278" s="120" t="str">
        <f t="shared" si="35"/>
        <v/>
      </c>
      <c r="Z278" s="120" t="str">
        <f t="shared" si="36"/>
        <v/>
      </c>
      <c r="AA278" s="120" t="str">
        <f t="shared" si="37"/>
        <v/>
      </c>
      <c r="AB278" s="117" t="str">
        <f t="shared" si="38"/>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39"/>
        <v>tags\minnesota\_index.md</v>
      </c>
    </row>
    <row r="279" spans="1:80" ht="25.5" x14ac:dyDescent="0.25">
      <c r="A279" s="129" t="s">
        <v>786</v>
      </c>
      <c r="C279" s="1" t="s">
        <v>1340</v>
      </c>
      <c r="D279" s="7" t="s">
        <v>1391</v>
      </c>
      <c r="E279" s="7" t="s">
        <v>2018</v>
      </c>
      <c r="F279" s="33" t="s">
        <v>2186</v>
      </c>
      <c r="G279" s="7" t="s">
        <v>2235</v>
      </c>
      <c r="H279" s="33" t="s">
        <v>2264</v>
      </c>
      <c r="I279" s="168" t="s">
        <v>2510</v>
      </c>
      <c r="L279" s="169" t="s">
        <v>53</v>
      </c>
      <c r="M279" s="170" t="s">
        <v>53</v>
      </c>
      <c r="N279" s="151" t="s">
        <v>53</v>
      </c>
      <c r="O279" s="40" t="s">
        <v>53</v>
      </c>
      <c r="P279" s="1" t="s">
        <v>53</v>
      </c>
      <c r="Q279" s="44" t="s">
        <v>53</v>
      </c>
      <c r="R279" s="1" t="s">
        <v>53</v>
      </c>
      <c r="S279" s="1" t="s">
        <v>53</v>
      </c>
      <c r="T279" s="30" t="s">
        <v>53</v>
      </c>
      <c r="U279" s="121" t="s">
        <v>53</v>
      </c>
      <c r="V279" s="116" t="b">
        <f t="shared" si="32"/>
        <v>1</v>
      </c>
      <c r="W279" s="117" t="str">
        <f t="shared" si="33"/>
        <v>title: "Mississippi"</v>
      </c>
      <c r="X279" s="120" t="str">
        <f t="shared" si="34"/>
        <v/>
      </c>
      <c r="Y279" s="120" t="str">
        <f t="shared" si="35"/>
        <v/>
      </c>
      <c r="Z279" s="120" t="str">
        <f t="shared" si="36"/>
        <v/>
      </c>
      <c r="AA279" s="120" t="str">
        <f t="shared" si="37"/>
        <v/>
      </c>
      <c r="AB279" s="117" t="str">
        <f t="shared" si="38"/>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39"/>
        <v>tags\mississippi\_index.md</v>
      </c>
    </row>
    <row r="280" spans="1:80" ht="25.5" x14ac:dyDescent="0.25">
      <c r="A280" s="129" t="s">
        <v>786</v>
      </c>
      <c r="C280" s="1" t="s">
        <v>1341</v>
      </c>
      <c r="D280" s="7" t="s">
        <v>1392</v>
      </c>
      <c r="E280" s="7" t="s">
        <v>2019</v>
      </c>
      <c r="F280" s="33" t="s">
        <v>2187</v>
      </c>
      <c r="G280" s="7" t="s">
        <v>2236</v>
      </c>
      <c r="H280" s="33" t="s">
        <v>2264</v>
      </c>
      <c r="I280" s="168" t="s">
        <v>2511</v>
      </c>
      <c r="L280" s="169" t="s">
        <v>53</v>
      </c>
      <c r="M280" s="170" t="s">
        <v>53</v>
      </c>
      <c r="N280" s="151" t="s">
        <v>53</v>
      </c>
      <c r="O280" s="40" t="s">
        <v>53</v>
      </c>
      <c r="P280" s="1" t="s">
        <v>53</v>
      </c>
      <c r="Q280" s="44" t="s">
        <v>53</v>
      </c>
      <c r="R280" s="1" t="s">
        <v>53</v>
      </c>
      <c r="S280" s="1" t="s">
        <v>53</v>
      </c>
      <c r="T280" s="30" t="s">
        <v>53</v>
      </c>
      <c r="U280" s="121" t="s">
        <v>53</v>
      </c>
      <c r="V280" s="116" t="b">
        <f t="shared" si="32"/>
        <v>1</v>
      </c>
      <c r="W280" s="117" t="str">
        <f t="shared" si="33"/>
        <v>title: "Missouri"</v>
      </c>
      <c r="X280" s="120" t="str">
        <f t="shared" si="34"/>
        <v/>
      </c>
      <c r="Y280" s="120" t="str">
        <f t="shared" si="35"/>
        <v/>
      </c>
      <c r="Z280" s="120" t="str">
        <f t="shared" si="36"/>
        <v/>
      </c>
      <c r="AA280" s="120" t="str">
        <f t="shared" si="37"/>
        <v/>
      </c>
      <c r="AB280" s="117" t="str">
        <f t="shared" si="38"/>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39"/>
        <v>tags\missouri\_index.md</v>
      </c>
    </row>
    <row r="281" spans="1:80" ht="25.5" x14ac:dyDescent="0.25">
      <c r="A281" s="129" t="s">
        <v>786</v>
      </c>
      <c r="C281" s="1" t="s">
        <v>1342</v>
      </c>
      <c r="D281" s="7" t="s">
        <v>1393</v>
      </c>
      <c r="E281" s="7" t="s">
        <v>2020</v>
      </c>
      <c r="F281" s="33" t="s">
        <v>2188</v>
      </c>
      <c r="G281" s="7" t="s">
        <v>2237</v>
      </c>
      <c r="H281" s="33" t="s">
        <v>2264</v>
      </c>
      <c r="I281" s="168" t="s">
        <v>2512</v>
      </c>
      <c r="L281" s="169" t="s">
        <v>53</v>
      </c>
      <c r="M281" s="170" t="s">
        <v>53</v>
      </c>
      <c r="N281" s="151" t="s">
        <v>53</v>
      </c>
      <c r="O281" s="40" t="s">
        <v>53</v>
      </c>
      <c r="P281" s="1" t="s">
        <v>53</v>
      </c>
      <c r="Q281" s="44" t="s">
        <v>53</v>
      </c>
      <c r="R281" s="1" t="s">
        <v>53</v>
      </c>
      <c r="S281" s="1" t="s">
        <v>53</v>
      </c>
      <c r="T281" s="30" t="s">
        <v>53</v>
      </c>
      <c r="U281" s="121" t="s">
        <v>53</v>
      </c>
      <c r="V281" s="116" t="b">
        <f t="shared" si="32"/>
        <v>1</v>
      </c>
      <c r="W281" s="117" t="str">
        <f t="shared" si="33"/>
        <v>title: "Montana"</v>
      </c>
      <c r="X281" s="120" t="str">
        <f t="shared" si="34"/>
        <v/>
      </c>
      <c r="Y281" s="120" t="str">
        <f t="shared" si="35"/>
        <v/>
      </c>
      <c r="Z281" s="120" t="str">
        <f t="shared" si="36"/>
        <v/>
      </c>
      <c r="AA281" s="120" t="str">
        <f t="shared" si="37"/>
        <v/>
      </c>
      <c r="AB281" s="117" t="str">
        <f t="shared" si="38"/>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39"/>
        <v>tags\montana\_index.md</v>
      </c>
    </row>
    <row r="282" spans="1:80" ht="25.5" x14ac:dyDescent="0.25">
      <c r="A282" s="129" t="s">
        <v>786</v>
      </c>
      <c r="C282" s="1" t="s">
        <v>1343</v>
      </c>
      <c r="D282" s="7" t="s">
        <v>1394</v>
      </c>
      <c r="E282" s="7" t="s">
        <v>2021</v>
      </c>
      <c r="F282" s="33" t="s">
        <v>2189</v>
      </c>
      <c r="G282" s="7" t="s">
        <v>2238</v>
      </c>
      <c r="H282" s="33" t="s">
        <v>2264</v>
      </c>
      <c r="I282" s="168" t="s">
        <v>2513</v>
      </c>
      <c r="L282" s="169" t="s">
        <v>53</v>
      </c>
      <c r="M282" s="170" t="s">
        <v>53</v>
      </c>
      <c r="N282" s="151" t="s">
        <v>53</v>
      </c>
      <c r="O282" s="40" t="s">
        <v>53</v>
      </c>
      <c r="P282" s="1" t="s">
        <v>53</v>
      </c>
      <c r="Q282" s="44" t="s">
        <v>53</v>
      </c>
      <c r="R282" s="1" t="s">
        <v>53</v>
      </c>
      <c r="S282" s="1" t="s">
        <v>53</v>
      </c>
      <c r="T282" s="30" t="s">
        <v>53</v>
      </c>
      <c r="U282" s="121" t="s">
        <v>53</v>
      </c>
      <c r="V282" s="116" t="b">
        <f t="shared" si="32"/>
        <v>1</v>
      </c>
      <c r="W282" s="117" t="str">
        <f t="shared" si="33"/>
        <v>title: "Nebraska"</v>
      </c>
      <c r="X282" s="120" t="str">
        <f t="shared" si="34"/>
        <v/>
      </c>
      <c r="Y282" s="120" t="str">
        <f t="shared" si="35"/>
        <v/>
      </c>
      <c r="Z282" s="120" t="str">
        <f t="shared" si="36"/>
        <v/>
      </c>
      <c r="AA282" s="120" t="str">
        <f t="shared" si="37"/>
        <v/>
      </c>
      <c r="AB282" s="117" t="str">
        <f t="shared" si="38"/>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39"/>
        <v>tags\nebraska\_index.md</v>
      </c>
    </row>
    <row r="283" spans="1:80" ht="25.5" x14ac:dyDescent="0.25">
      <c r="A283" s="129" t="s">
        <v>786</v>
      </c>
      <c r="C283" s="1" t="s">
        <v>1344</v>
      </c>
      <c r="D283" s="7" t="s">
        <v>1395</v>
      </c>
      <c r="E283" s="7" t="s">
        <v>2022</v>
      </c>
      <c r="F283" s="33" t="s">
        <v>2190</v>
      </c>
      <c r="G283" s="7" t="s">
        <v>2239</v>
      </c>
      <c r="H283" s="33" t="s">
        <v>2264</v>
      </c>
      <c r="I283" s="168" t="s">
        <v>2514</v>
      </c>
      <c r="L283" s="169" t="s">
        <v>53</v>
      </c>
      <c r="M283" s="170" t="s">
        <v>53</v>
      </c>
      <c r="N283" s="151" t="s">
        <v>53</v>
      </c>
      <c r="O283" s="40" t="s">
        <v>53</v>
      </c>
      <c r="P283" s="1" t="s">
        <v>53</v>
      </c>
      <c r="Q283" s="44" t="s">
        <v>53</v>
      </c>
      <c r="R283" s="1" t="s">
        <v>53</v>
      </c>
      <c r="S283" s="1" t="s">
        <v>53</v>
      </c>
      <c r="T283" s="30" t="s">
        <v>53</v>
      </c>
      <c r="U283" s="121" t="s">
        <v>53</v>
      </c>
      <c r="V283" s="116" t="b">
        <f t="shared" si="32"/>
        <v>1</v>
      </c>
      <c r="W283" s="117" t="str">
        <f t="shared" si="33"/>
        <v>title: "Nevada"</v>
      </c>
      <c r="X283" s="120" t="str">
        <f t="shared" si="34"/>
        <v/>
      </c>
      <c r="Y283" s="120" t="str">
        <f t="shared" si="35"/>
        <v/>
      </c>
      <c r="Z283" s="120" t="str">
        <f t="shared" si="36"/>
        <v/>
      </c>
      <c r="AA283" s="120" t="str">
        <f t="shared" si="37"/>
        <v/>
      </c>
      <c r="AB283" s="117" t="str">
        <f t="shared" si="38"/>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39"/>
        <v>tags\nevada\_index.md</v>
      </c>
    </row>
    <row r="284" spans="1:80" ht="25.5" x14ac:dyDescent="0.25">
      <c r="A284" s="129" t="s">
        <v>786</v>
      </c>
      <c r="C284" s="1" t="s">
        <v>1345</v>
      </c>
      <c r="D284" s="7" t="s">
        <v>1396</v>
      </c>
      <c r="E284" s="7" t="s">
        <v>2023</v>
      </c>
      <c r="F284" s="33" t="s">
        <v>2191</v>
      </c>
      <c r="G284" s="7" t="s">
        <v>2240</v>
      </c>
      <c r="H284" s="33" t="s">
        <v>2264</v>
      </c>
      <c r="I284" s="168" t="s">
        <v>2515</v>
      </c>
      <c r="L284" s="169" t="s">
        <v>53</v>
      </c>
      <c r="M284" s="170" t="s">
        <v>53</v>
      </c>
      <c r="N284" s="151" t="s">
        <v>53</v>
      </c>
      <c r="O284" s="40" t="s">
        <v>53</v>
      </c>
      <c r="P284" s="1" t="s">
        <v>53</v>
      </c>
      <c r="Q284" s="44" t="s">
        <v>53</v>
      </c>
      <c r="R284" s="1" t="s">
        <v>53</v>
      </c>
      <c r="S284" s="1" t="s">
        <v>53</v>
      </c>
      <c r="T284" s="30" t="s">
        <v>53</v>
      </c>
      <c r="U284" s="121" t="s">
        <v>53</v>
      </c>
      <c r="V284" s="116" t="b">
        <f t="shared" si="32"/>
        <v>1</v>
      </c>
      <c r="W284" s="117" t="str">
        <f t="shared" si="33"/>
        <v>title: "New Hampshire"</v>
      </c>
      <c r="X284" s="120" t="str">
        <f t="shared" si="34"/>
        <v/>
      </c>
      <c r="Y284" s="120" t="str">
        <f t="shared" si="35"/>
        <v/>
      </c>
      <c r="Z284" s="120" t="str">
        <f t="shared" si="36"/>
        <v/>
      </c>
      <c r="AA284" s="120" t="str">
        <f t="shared" si="37"/>
        <v/>
      </c>
      <c r="AB284" s="117" t="str">
        <f t="shared" si="38"/>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39"/>
        <v>tags\new-hampshire\_index.md</v>
      </c>
    </row>
    <row r="285" spans="1:80" ht="25.5" x14ac:dyDescent="0.25">
      <c r="A285" s="129" t="s">
        <v>786</v>
      </c>
      <c r="C285" s="1" t="s">
        <v>1346</v>
      </c>
      <c r="D285" s="7" t="s">
        <v>1397</v>
      </c>
      <c r="E285" s="7" t="s">
        <v>2024</v>
      </c>
      <c r="F285" s="33" t="s">
        <v>2192</v>
      </c>
      <c r="G285" s="7" t="s">
        <v>2241</v>
      </c>
      <c r="H285" s="33" t="s">
        <v>2264</v>
      </c>
      <c r="I285" s="168" t="s">
        <v>2516</v>
      </c>
      <c r="L285" s="169" t="s">
        <v>53</v>
      </c>
      <c r="M285" s="170" t="s">
        <v>53</v>
      </c>
      <c r="N285" s="151" t="s">
        <v>53</v>
      </c>
      <c r="O285" s="40" t="s">
        <v>53</v>
      </c>
      <c r="P285" s="1" t="s">
        <v>53</v>
      </c>
      <c r="Q285" s="44" t="s">
        <v>53</v>
      </c>
      <c r="R285" s="1" t="s">
        <v>53</v>
      </c>
      <c r="S285" s="1" t="s">
        <v>53</v>
      </c>
      <c r="T285" s="30" t="s">
        <v>53</v>
      </c>
      <c r="U285" s="121" t="s">
        <v>53</v>
      </c>
      <c r="V285" s="116" t="b">
        <f t="shared" si="32"/>
        <v>1</v>
      </c>
      <c r="W285" s="117" t="str">
        <f t="shared" si="33"/>
        <v>title: "New Jersey"</v>
      </c>
      <c r="X285" s="120" t="str">
        <f t="shared" si="34"/>
        <v/>
      </c>
      <c r="Y285" s="120" t="str">
        <f t="shared" si="35"/>
        <v/>
      </c>
      <c r="Z285" s="120" t="str">
        <f t="shared" si="36"/>
        <v/>
      </c>
      <c r="AA285" s="120" t="str">
        <f t="shared" si="37"/>
        <v/>
      </c>
      <c r="AB285" s="117" t="str">
        <f t="shared" si="38"/>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39"/>
        <v>tags\new-jersey\_index.md</v>
      </c>
    </row>
    <row r="286" spans="1:80" ht="25.5" x14ac:dyDescent="0.25">
      <c r="A286" s="129" t="s">
        <v>786</v>
      </c>
      <c r="C286" s="1" t="s">
        <v>1347</v>
      </c>
      <c r="D286" s="7" t="s">
        <v>1398</v>
      </c>
      <c r="E286" s="7" t="s">
        <v>2025</v>
      </c>
      <c r="F286" s="33" t="s">
        <v>2193</v>
      </c>
      <c r="G286" s="7" t="s">
        <v>2242</v>
      </c>
      <c r="H286" s="33" t="s">
        <v>2264</v>
      </c>
      <c r="I286" s="168" t="s">
        <v>2517</v>
      </c>
      <c r="L286" s="169" t="s">
        <v>53</v>
      </c>
      <c r="M286" s="170" t="s">
        <v>53</v>
      </c>
      <c r="N286" s="151" t="s">
        <v>53</v>
      </c>
      <c r="O286" s="40" t="s">
        <v>53</v>
      </c>
      <c r="P286" s="1" t="s">
        <v>53</v>
      </c>
      <c r="Q286" s="44" t="s">
        <v>53</v>
      </c>
      <c r="R286" s="1" t="s">
        <v>53</v>
      </c>
      <c r="S286" s="1" t="s">
        <v>53</v>
      </c>
      <c r="T286" s="30" t="s">
        <v>53</v>
      </c>
      <c r="U286" s="121" t="s">
        <v>53</v>
      </c>
      <c r="V286" s="116" t="b">
        <f t="shared" si="32"/>
        <v>1</v>
      </c>
      <c r="W286" s="117" t="str">
        <f t="shared" si="33"/>
        <v>title: "New Mexico"</v>
      </c>
      <c r="X286" s="120" t="str">
        <f t="shared" si="34"/>
        <v/>
      </c>
      <c r="Y286" s="120" t="str">
        <f t="shared" si="35"/>
        <v/>
      </c>
      <c r="Z286" s="120" t="str">
        <f t="shared" si="36"/>
        <v/>
      </c>
      <c r="AA286" s="120" t="str">
        <f t="shared" si="37"/>
        <v/>
      </c>
      <c r="AB286" s="117" t="str">
        <f t="shared" si="38"/>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39"/>
        <v>tags\new-mexico\_index.md</v>
      </c>
    </row>
    <row r="287" spans="1:80" ht="25.5" x14ac:dyDescent="0.25">
      <c r="A287" s="129" t="s">
        <v>786</v>
      </c>
      <c r="C287" s="1" t="s">
        <v>1348</v>
      </c>
      <c r="D287" s="7" t="s">
        <v>1399</v>
      </c>
      <c r="E287" s="7" t="s">
        <v>2026</v>
      </c>
      <c r="F287" s="33" t="s">
        <v>2194</v>
      </c>
      <c r="G287" s="7" t="s">
        <v>2243</v>
      </c>
      <c r="H287" s="33" t="s">
        <v>2264</v>
      </c>
      <c r="I287" s="168" t="s">
        <v>2518</v>
      </c>
      <c r="L287" s="169" t="s">
        <v>53</v>
      </c>
      <c r="M287" s="170" t="s">
        <v>53</v>
      </c>
      <c r="N287" s="151" t="s">
        <v>53</v>
      </c>
      <c r="O287" s="40" t="s">
        <v>53</v>
      </c>
      <c r="P287" s="1" t="s">
        <v>53</v>
      </c>
      <c r="Q287" s="44" t="s">
        <v>53</v>
      </c>
      <c r="R287" s="1" t="s">
        <v>53</v>
      </c>
      <c r="S287" s="1" t="s">
        <v>53</v>
      </c>
      <c r="T287" s="30" t="s">
        <v>53</v>
      </c>
      <c r="U287" s="121" t="s">
        <v>53</v>
      </c>
      <c r="V287" s="116" t="b">
        <f t="shared" si="32"/>
        <v>1</v>
      </c>
      <c r="W287" s="117" t="str">
        <f t="shared" si="33"/>
        <v>title: "New York"</v>
      </c>
      <c r="X287" s="120" t="str">
        <f t="shared" si="34"/>
        <v/>
      </c>
      <c r="Y287" s="120" t="str">
        <f t="shared" si="35"/>
        <v/>
      </c>
      <c r="Z287" s="120" t="str">
        <f t="shared" si="36"/>
        <v/>
      </c>
      <c r="AA287" s="120" t="str">
        <f t="shared" si="37"/>
        <v/>
      </c>
      <c r="AB287" s="117" t="str">
        <f t="shared" si="38"/>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39"/>
        <v>tags\new-york\_index.md</v>
      </c>
    </row>
    <row r="288" spans="1:80" ht="25.5" x14ac:dyDescent="0.25">
      <c r="A288" s="129" t="s">
        <v>786</v>
      </c>
      <c r="C288" s="1" t="s">
        <v>1349</v>
      </c>
      <c r="D288" s="7" t="s">
        <v>1400</v>
      </c>
      <c r="E288" s="7" t="s">
        <v>2027</v>
      </c>
      <c r="F288" s="33" t="s">
        <v>2195</v>
      </c>
      <c r="G288" s="7" t="s">
        <v>2244</v>
      </c>
      <c r="H288" s="33" t="s">
        <v>2264</v>
      </c>
      <c r="I288" s="168" t="s">
        <v>2519</v>
      </c>
      <c r="L288" s="169" t="s">
        <v>53</v>
      </c>
      <c r="M288" s="170" t="s">
        <v>53</v>
      </c>
      <c r="N288" s="151" t="s">
        <v>53</v>
      </c>
      <c r="O288" s="40" t="s">
        <v>53</v>
      </c>
      <c r="P288" s="1" t="s">
        <v>53</v>
      </c>
      <c r="Q288" s="44" t="s">
        <v>53</v>
      </c>
      <c r="R288" s="1" t="s">
        <v>53</v>
      </c>
      <c r="S288" s="1" t="s">
        <v>53</v>
      </c>
      <c r="T288" s="30" t="s">
        <v>53</v>
      </c>
      <c r="U288" s="121" t="s">
        <v>53</v>
      </c>
      <c r="V288" s="116" t="b">
        <f t="shared" si="32"/>
        <v>1</v>
      </c>
      <c r="W288" s="117" t="str">
        <f t="shared" si="33"/>
        <v>title: "North Carolina"</v>
      </c>
      <c r="X288" s="120" t="str">
        <f t="shared" si="34"/>
        <v/>
      </c>
      <c r="Y288" s="120" t="str">
        <f t="shared" si="35"/>
        <v/>
      </c>
      <c r="Z288" s="120" t="str">
        <f t="shared" si="36"/>
        <v/>
      </c>
      <c r="AA288" s="120" t="str">
        <f t="shared" si="37"/>
        <v/>
      </c>
      <c r="AB288" s="117" t="str">
        <f t="shared" si="38"/>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39"/>
        <v>tags\north-carolina\_index.md</v>
      </c>
    </row>
    <row r="289" spans="1:80" ht="25.5" x14ac:dyDescent="0.25">
      <c r="A289" s="129" t="s">
        <v>786</v>
      </c>
      <c r="C289" s="1" t="s">
        <v>1350</v>
      </c>
      <c r="D289" s="7" t="s">
        <v>1401</v>
      </c>
      <c r="E289" s="7" t="s">
        <v>2028</v>
      </c>
      <c r="F289" s="33" t="s">
        <v>2196</v>
      </c>
      <c r="G289" s="7" t="s">
        <v>2245</v>
      </c>
      <c r="H289" s="33" t="s">
        <v>2264</v>
      </c>
      <c r="I289" s="168" t="s">
        <v>2520</v>
      </c>
      <c r="L289" s="169" t="s">
        <v>53</v>
      </c>
      <c r="M289" s="170" t="s">
        <v>53</v>
      </c>
      <c r="N289" s="151" t="s">
        <v>53</v>
      </c>
      <c r="O289" s="40" t="s">
        <v>53</v>
      </c>
      <c r="P289" s="1" t="s">
        <v>53</v>
      </c>
      <c r="Q289" s="44" t="s">
        <v>53</v>
      </c>
      <c r="R289" s="1" t="s">
        <v>53</v>
      </c>
      <c r="S289" s="1" t="s">
        <v>53</v>
      </c>
      <c r="T289" s="30" t="s">
        <v>53</v>
      </c>
      <c r="U289" s="121" t="s">
        <v>53</v>
      </c>
      <c r="V289" s="116" t="b">
        <f t="shared" si="32"/>
        <v>1</v>
      </c>
      <c r="W289" s="117" t="str">
        <f t="shared" si="33"/>
        <v>title: "North Dakota"</v>
      </c>
      <c r="X289" s="120" t="str">
        <f t="shared" si="34"/>
        <v/>
      </c>
      <c r="Y289" s="120" t="str">
        <f t="shared" si="35"/>
        <v/>
      </c>
      <c r="Z289" s="120" t="str">
        <f t="shared" si="36"/>
        <v/>
      </c>
      <c r="AA289" s="120" t="str">
        <f t="shared" si="37"/>
        <v/>
      </c>
      <c r="AB289" s="117" t="str">
        <f t="shared" si="38"/>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39"/>
        <v>tags\north-dakota\_index.md</v>
      </c>
    </row>
    <row r="290" spans="1:80" ht="25.5" x14ac:dyDescent="0.25">
      <c r="A290" s="129" t="s">
        <v>786</v>
      </c>
      <c r="C290" s="1" t="s">
        <v>1351</v>
      </c>
      <c r="D290" s="7" t="s">
        <v>1402</v>
      </c>
      <c r="E290" s="7" t="s">
        <v>2029</v>
      </c>
      <c r="F290" s="33" t="s">
        <v>2197</v>
      </c>
      <c r="G290" s="7" t="s">
        <v>2246</v>
      </c>
      <c r="H290" s="33" t="s">
        <v>2264</v>
      </c>
      <c r="I290" s="168" t="s">
        <v>2521</v>
      </c>
      <c r="L290" s="169" t="s">
        <v>53</v>
      </c>
      <c r="M290" s="170" t="s">
        <v>53</v>
      </c>
      <c r="N290" s="151" t="s">
        <v>53</v>
      </c>
      <c r="O290" s="40" t="s">
        <v>53</v>
      </c>
      <c r="P290" s="1" t="s">
        <v>53</v>
      </c>
      <c r="Q290" s="44" t="s">
        <v>53</v>
      </c>
      <c r="R290" s="1" t="s">
        <v>53</v>
      </c>
      <c r="S290" s="1" t="s">
        <v>53</v>
      </c>
      <c r="T290" s="30" t="s">
        <v>53</v>
      </c>
      <c r="U290" s="121" t="s">
        <v>53</v>
      </c>
      <c r="V290" s="116" t="b">
        <f t="shared" si="32"/>
        <v>1</v>
      </c>
      <c r="W290" s="117" t="str">
        <f t="shared" si="33"/>
        <v>title: "Ohio"</v>
      </c>
      <c r="X290" s="120" t="str">
        <f t="shared" si="34"/>
        <v/>
      </c>
      <c r="Y290" s="120" t="str">
        <f t="shared" si="35"/>
        <v/>
      </c>
      <c r="Z290" s="120" t="str">
        <f t="shared" si="36"/>
        <v/>
      </c>
      <c r="AA290" s="120" t="str">
        <f t="shared" si="37"/>
        <v/>
      </c>
      <c r="AB290" s="117" t="str">
        <f t="shared" si="38"/>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39"/>
        <v>tags\ohio\_index.md</v>
      </c>
    </row>
    <row r="291" spans="1:80" ht="25.5" x14ac:dyDescent="0.25">
      <c r="A291" s="129" t="s">
        <v>786</v>
      </c>
      <c r="C291" s="1" t="s">
        <v>1352</v>
      </c>
      <c r="D291" s="7" t="s">
        <v>1403</v>
      </c>
      <c r="E291" s="7" t="s">
        <v>2030</v>
      </c>
      <c r="F291" s="33" t="s">
        <v>2198</v>
      </c>
      <c r="G291" s="7" t="s">
        <v>2247</v>
      </c>
      <c r="H291" s="33" t="s">
        <v>2264</v>
      </c>
      <c r="I291" s="168" t="s">
        <v>2522</v>
      </c>
      <c r="L291" s="169" t="s">
        <v>53</v>
      </c>
      <c r="M291" s="170" t="s">
        <v>53</v>
      </c>
      <c r="N291" s="151" t="s">
        <v>53</v>
      </c>
      <c r="O291" s="40" t="s">
        <v>53</v>
      </c>
      <c r="P291" s="1" t="s">
        <v>53</v>
      </c>
      <c r="Q291" s="44" t="s">
        <v>53</v>
      </c>
      <c r="R291" s="1" t="s">
        <v>53</v>
      </c>
      <c r="S291" s="1" t="s">
        <v>53</v>
      </c>
      <c r="T291" s="30" t="s">
        <v>53</v>
      </c>
      <c r="U291" s="121" t="s">
        <v>53</v>
      </c>
      <c r="V291" s="116" t="b">
        <f t="shared" si="32"/>
        <v>1</v>
      </c>
      <c r="W291" s="117" t="str">
        <f t="shared" si="33"/>
        <v>title: "Oklahoma"</v>
      </c>
      <c r="X291" s="120" t="str">
        <f t="shared" si="34"/>
        <v/>
      </c>
      <c r="Y291" s="120" t="str">
        <f t="shared" si="35"/>
        <v/>
      </c>
      <c r="Z291" s="120" t="str">
        <f t="shared" si="36"/>
        <v/>
      </c>
      <c r="AA291" s="120" t="str">
        <f t="shared" si="37"/>
        <v/>
      </c>
      <c r="AB291" s="117" t="str">
        <f t="shared" si="38"/>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39"/>
        <v>tags\oklahoma\_index.md</v>
      </c>
    </row>
    <row r="292" spans="1:80" ht="25.5" x14ac:dyDescent="0.25">
      <c r="A292" s="129" t="s">
        <v>786</v>
      </c>
      <c r="C292" s="1" t="s">
        <v>1353</v>
      </c>
      <c r="D292" s="7" t="s">
        <v>1404</v>
      </c>
      <c r="E292" s="7" t="s">
        <v>2031</v>
      </c>
      <c r="F292" s="33" t="s">
        <v>2199</v>
      </c>
      <c r="G292" s="7" t="s">
        <v>2248</v>
      </c>
      <c r="H292" s="33" t="s">
        <v>2264</v>
      </c>
      <c r="I292" s="168" t="s">
        <v>2523</v>
      </c>
      <c r="L292" s="169" t="s">
        <v>53</v>
      </c>
      <c r="M292" s="170" t="s">
        <v>53</v>
      </c>
      <c r="N292" s="151" t="s">
        <v>53</v>
      </c>
      <c r="O292" s="40" t="s">
        <v>53</v>
      </c>
      <c r="P292" s="1" t="s">
        <v>53</v>
      </c>
      <c r="Q292" s="44" t="s">
        <v>53</v>
      </c>
      <c r="R292" s="1" t="s">
        <v>53</v>
      </c>
      <c r="S292" s="1" t="s">
        <v>53</v>
      </c>
      <c r="T292" s="30" t="s">
        <v>53</v>
      </c>
      <c r="U292" s="121" t="s">
        <v>53</v>
      </c>
      <c r="V292" s="116" t="b">
        <f t="shared" si="32"/>
        <v>1</v>
      </c>
      <c r="W292" s="117" t="str">
        <f t="shared" si="33"/>
        <v>title: "Oregon"</v>
      </c>
      <c r="X292" s="120" t="str">
        <f t="shared" si="34"/>
        <v/>
      </c>
      <c r="Y292" s="120" t="str">
        <f t="shared" si="35"/>
        <v/>
      </c>
      <c r="Z292" s="120" t="str">
        <f t="shared" si="36"/>
        <v/>
      </c>
      <c r="AA292" s="120" t="str">
        <f t="shared" si="37"/>
        <v/>
      </c>
      <c r="AB292" s="117" t="str">
        <f t="shared" si="38"/>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39"/>
        <v>tags\oregon\_index.md</v>
      </c>
    </row>
    <row r="293" spans="1:80" ht="25.5" x14ac:dyDescent="0.25">
      <c r="A293" s="129" t="s">
        <v>786</v>
      </c>
      <c r="C293" s="1" t="s">
        <v>1354</v>
      </c>
      <c r="D293" s="7" t="s">
        <v>1405</v>
      </c>
      <c r="E293" s="7" t="s">
        <v>2032</v>
      </c>
      <c r="F293" s="33" t="s">
        <v>2200</v>
      </c>
      <c r="G293" s="7" t="s">
        <v>2249</v>
      </c>
      <c r="H293" s="33" t="s">
        <v>2264</v>
      </c>
      <c r="I293" s="168" t="s">
        <v>2524</v>
      </c>
      <c r="L293" s="169" t="s">
        <v>53</v>
      </c>
      <c r="M293" s="170" t="s">
        <v>53</v>
      </c>
      <c r="N293" s="151" t="s">
        <v>53</v>
      </c>
      <c r="O293" s="40" t="s">
        <v>53</v>
      </c>
      <c r="P293" s="1" t="s">
        <v>53</v>
      </c>
      <c r="Q293" s="44" t="s">
        <v>53</v>
      </c>
      <c r="R293" s="1" t="s">
        <v>53</v>
      </c>
      <c r="S293" s="1" t="s">
        <v>53</v>
      </c>
      <c r="T293" s="30" t="s">
        <v>53</v>
      </c>
      <c r="U293" s="121" t="s">
        <v>53</v>
      </c>
      <c r="V293" s="116" t="b">
        <f t="shared" si="32"/>
        <v>1</v>
      </c>
      <c r="W293" s="117" t="str">
        <f t="shared" si="33"/>
        <v>title: "Pennsylvania"</v>
      </c>
      <c r="X293" s="120" t="str">
        <f t="shared" si="34"/>
        <v/>
      </c>
      <c r="Y293" s="120" t="str">
        <f t="shared" si="35"/>
        <v/>
      </c>
      <c r="Z293" s="120" t="str">
        <f t="shared" si="36"/>
        <v/>
      </c>
      <c r="AA293" s="120" t="str">
        <f t="shared" si="37"/>
        <v/>
      </c>
      <c r="AB293" s="117" t="str">
        <f t="shared" si="38"/>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39"/>
        <v>tags\pennsylvania\_index.md</v>
      </c>
    </row>
    <row r="294" spans="1:80" ht="25.5" x14ac:dyDescent="0.25">
      <c r="A294" s="129" t="s">
        <v>786</v>
      </c>
      <c r="C294" s="1" t="s">
        <v>1355</v>
      </c>
      <c r="D294" s="7" t="s">
        <v>1406</v>
      </c>
      <c r="E294" s="7" t="s">
        <v>2033</v>
      </c>
      <c r="F294" s="33" t="s">
        <v>2201</v>
      </c>
      <c r="G294" s="7" t="s">
        <v>2250</v>
      </c>
      <c r="H294" s="33" t="s">
        <v>2264</v>
      </c>
      <c r="I294" s="168" t="s">
        <v>2525</v>
      </c>
      <c r="L294" s="169" t="s">
        <v>53</v>
      </c>
      <c r="M294" s="170" t="s">
        <v>53</v>
      </c>
      <c r="N294" s="151" t="s">
        <v>53</v>
      </c>
      <c r="O294" s="40" t="s">
        <v>53</v>
      </c>
      <c r="P294" s="1" t="s">
        <v>53</v>
      </c>
      <c r="Q294" s="44" t="s">
        <v>53</v>
      </c>
      <c r="R294" s="1" t="s">
        <v>53</v>
      </c>
      <c r="S294" s="1" t="s">
        <v>53</v>
      </c>
      <c r="T294" s="30" t="s">
        <v>53</v>
      </c>
      <c r="U294" s="121" t="s">
        <v>53</v>
      </c>
      <c r="V294" s="116" t="b">
        <f t="shared" si="32"/>
        <v>1</v>
      </c>
      <c r="W294" s="117" t="str">
        <f t="shared" si="33"/>
        <v>title: "Rhode Island"</v>
      </c>
      <c r="X294" s="120" t="str">
        <f t="shared" si="34"/>
        <v/>
      </c>
      <c r="Y294" s="120" t="str">
        <f t="shared" si="35"/>
        <v/>
      </c>
      <c r="Z294" s="120" t="str">
        <f t="shared" si="36"/>
        <v/>
      </c>
      <c r="AA294" s="120" t="str">
        <f t="shared" si="37"/>
        <v/>
      </c>
      <c r="AB294" s="117" t="str">
        <f t="shared" si="38"/>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39"/>
        <v>tags\rhode-island\_index.md</v>
      </c>
    </row>
    <row r="295" spans="1:80" ht="25.5" x14ac:dyDescent="0.25">
      <c r="A295" s="129" t="s">
        <v>786</v>
      </c>
      <c r="C295" s="1" t="s">
        <v>1356</v>
      </c>
      <c r="D295" s="7" t="s">
        <v>1407</v>
      </c>
      <c r="E295" s="7" t="s">
        <v>2034</v>
      </c>
      <c r="F295" s="33" t="s">
        <v>2202</v>
      </c>
      <c r="G295" s="7" t="s">
        <v>2251</v>
      </c>
      <c r="H295" s="33" t="s">
        <v>2264</v>
      </c>
      <c r="I295" s="168" t="s">
        <v>2526</v>
      </c>
      <c r="L295" s="169" t="s">
        <v>53</v>
      </c>
      <c r="M295" s="170" t="s">
        <v>53</v>
      </c>
      <c r="N295" s="151" t="s">
        <v>53</v>
      </c>
      <c r="O295" s="40" t="s">
        <v>53</v>
      </c>
      <c r="P295" s="1" t="s">
        <v>53</v>
      </c>
      <c r="Q295" s="44" t="s">
        <v>53</v>
      </c>
      <c r="R295" s="1" t="s">
        <v>53</v>
      </c>
      <c r="S295" s="1" t="s">
        <v>53</v>
      </c>
      <c r="T295" s="30" t="s">
        <v>53</v>
      </c>
      <c r="U295" s="121" t="s">
        <v>53</v>
      </c>
      <c r="V295" s="116" t="b">
        <f t="shared" si="32"/>
        <v>1</v>
      </c>
      <c r="W295" s="117" t="str">
        <f t="shared" si="33"/>
        <v>title: "South Carolina"</v>
      </c>
      <c r="X295" s="120" t="str">
        <f t="shared" si="34"/>
        <v/>
      </c>
      <c r="Y295" s="120" t="str">
        <f t="shared" si="35"/>
        <v/>
      </c>
      <c r="Z295" s="120" t="str">
        <f t="shared" si="36"/>
        <v/>
      </c>
      <c r="AA295" s="120" t="str">
        <f t="shared" si="37"/>
        <v/>
      </c>
      <c r="AB295" s="117" t="str">
        <f t="shared" si="38"/>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39"/>
        <v>tags\south-carolina\_index.md</v>
      </c>
    </row>
    <row r="296" spans="1:80" ht="25.5" x14ac:dyDescent="0.25">
      <c r="A296" s="129" t="s">
        <v>786</v>
      </c>
      <c r="C296" s="1" t="s">
        <v>1357</v>
      </c>
      <c r="D296" s="7" t="s">
        <v>1408</v>
      </c>
      <c r="E296" s="7" t="s">
        <v>2035</v>
      </c>
      <c r="F296" s="33" t="s">
        <v>2203</v>
      </c>
      <c r="G296" s="7" t="s">
        <v>2252</v>
      </c>
      <c r="H296" s="33" t="s">
        <v>2264</v>
      </c>
      <c r="I296" s="168" t="s">
        <v>2527</v>
      </c>
      <c r="L296" s="169" t="s">
        <v>53</v>
      </c>
      <c r="M296" s="170" t="s">
        <v>53</v>
      </c>
      <c r="N296" s="151" t="s">
        <v>53</v>
      </c>
      <c r="O296" s="40" t="s">
        <v>53</v>
      </c>
      <c r="P296" s="1" t="s">
        <v>53</v>
      </c>
      <c r="Q296" s="44" t="s">
        <v>53</v>
      </c>
      <c r="R296" s="1" t="s">
        <v>53</v>
      </c>
      <c r="S296" s="1" t="s">
        <v>53</v>
      </c>
      <c r="T296" s="30" t="s">
        <v>53</v>
      </c>
      <c r="U296" s="121" t="s">
        <v>53</v>
      </c>
      <c r="V296" s="116" t="b">
        <f t="shared" si="32"/>
        <v>1</v>
      </c>
      <c r="W296" s="117" t="str">
        <f t="shared" si="33"/>
        <v>title: "South Dakota"</v>
      </c>
      <c r="X296" s="120" t="str">
        <f t="shared" si="34"/>
        <v/>
      </c>
      <c r="Y296" s="120" t="str">
        <f t="shared" si="35"/>
        <v/>
      </c>
      <c r="Z296" s="120" t="str">
        <f t="shared" si="36"/>
        <v/>
      </c>
      <c r="AA296" s="120" t="str">
        <f t="shared" si="37"/>
        <v/>
      </c>
      <c r="AB296" s="117" t="str">
        <f t="shared" si="38"/>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39"/>
        <v>tags\south-dakota\_index.md</v>
      </c>
    </row>
    <row r="297" spans="1:80" ht="25.5" x14ac:dyDescent="0.25">
      <c r="A297" s="129" t="s">
        <v>786</v>
      </c>
      <c r="C297" s="1" t="s">
        <v>1358</v>
      </c>
      <c r="D297" s="7" t="s">
        <v>1409</v>
      </c>
      <c r="E297" s="7" t="s">
        <v>2036</v>
      </c>
      <c r="F297" s="33" t="s">
        <v>2204</v>
      </c>
      <c r="G297" s="7" t="s">
        <v>2253</v>
      </c>
      <c r="H297" s="33" t="s">
        <v>2264</v>
      </c>
      <c r="I297" s="168" t="s">
        <v>2528</v>
      </c>
      <c r="L297" s="169" t="s">
        <v>53</v>
      </c>
      <c r="M297" s="170" t="s">
        <v>53</v>
      </c>
      <c r="N297" s="151" t="s">
        <v>53</v>
      </c>
      <c r="O297" s="40" t="s">
        <v>53</v>
      </c>
      <c r="P297" s="1" t="s">
        <v>53</v>
      </c>
      <c r="Q297" s="44" t="s">
        <v>53</v>
      </c>
      <c r="R297" s="1" t="s">
        <v>53</v>
      </c>
      <c r="S297" s="1" t="s">
        <v>53</v>
      </c>
      <c r="T297" s="30" t="s">
        <v>53</v>
      </c>
      <c r="U297" s="121" t="s">
        <v>53</v>
      </c>
      <c r="V297" s="116" t="b">
        <f t="shared" si="32"/>
        <v>1</v>
      </c>
      <c r="W297" s="117" t="str">
        <f t="shared" si="33"/>
        <v>title: "Tennessee"</v>
      </c>
      <c r="X297" s="120" t="str">
        <f t="shared" si="34"/>
        <v/>
      </c>
      <c r="Y297" s="120" t="str">
        <f t="shared" si="35"/>
        <v/>
      </c>
      <c r="Z297" s="120" t="str">
        <f t="shared" si="36"/>
        <v/>
      </c>
      <c r="AA297" s="120" t="str">
        <f t="shared" si="37"/>
        <v/>
      </c>
      <c r="AB297" s="117" t="str">
        <f t="shared" si="38"/>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39"/>
        <v>tags\tennessee\_index.md</v>
      </c>
    </row>
    <row r="298" spans="1:80" ht="25.5" x14ac:dyDescent="0.25">
      <c r="A298" s="129" t="s">
        <v>786</v>
      </c>
      <c r="C298" s="1" t="s">
        <v>1359</v>
      </c>
      <c r="D298" s="7" t="s">
        <v>1410</v>
      </c>
      <c r="E298" s="7" t="s">
        <v>2037</v>
      </c>
      <c r="F298" s="33" t="s">
        <v>2205</v>
      </c>
      <c r="G298" s="7" t="s">
        <v>2254</v>
      </c>
      <c r="H298" s="33" t="s">
        <v>2264</v>
      </c>
      <c r="I298" s="168" t="s">
        <v>2529</v>
      </c>
      <c r="L298" s="169" t="s">
        <v>53</v>
      </c>
      <c r="M298" s="170" t="s">
        <v>53</v>
      </c>
      <c r="N298" s="151" t="s">
        <v>53</v>
      </c>
      <c r="O298" s="40" t="s">
        <v>53</v>
      </c>
      <c r="P298" s="1" t="s">
        <v>53</v>
      </c>
      <c r="Q298" s="44" t="s">
        <v>53</v>
      </c>
      <c r="R298" s="1" t="s">
        <v>53</v>
      </c>
      <c r="S298" s="1" t="s">
        <v>53</v>
      </c>
      <c r="T298" s="30" t="s">
        <v>53</v>
      </c>
      <c r="U298" s="121" t="s">
        <v>53</v>
      </c>
      <c r="V298" s="116" t="b">
        <f t="shared" si="32"/>
        <v>1</v>
      </c>
      <c r="W298" s="117" t="str">
        <f t="shared" si="33"/>
        <v>title: "Texas"</v>
      </c>
      <c r="X298" s="120" t="str">
        <f t="shared" si="34"/>
        <v/>
      </c>
      <c r="Y298" s="120" t="str">
        <f t="shared" si="35"/>
        <v/>
      </c>
      <c r="Z298" s="120" t="str">
        <f t="shared" si="36"/>
        <v/>
      </c>
      <c r="AA298" s="120" t="str">
        <f t="shared" si="37"/>
        <v/>
      </c>
      <c r="AB298" s="117" t="str">
        <f t="shared" si="38"/>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39"/>
        <v>tags\texas\_index.md</v>
      </c>
    </row>
    <row r="299" spans="1:80" ht="25.5" x14ac:dyDescent="0.25">
      <c r="A299" s="129" t="s">
        <v>786</v>
      </c>
      <c r="C299" s="1" t="s">
        <v>1360</v>
      </c>
      <c r="D299" s="7" t="s">
        <v>1411</v>
      </c>
      <c r="E299" s="7" t="s">
        <v>2038</v>
      </c>
      <c r="F299" s="33" t="s">
        <v>2206</v>
      </c>
      <c r="G299" s="7" t="s">
        <v>2255</v>
      </c>
      <c r="H299" s="33" t="s">
        <v>2264</v>
      </c>
      <c r="I299" s="168" t="s">
        <v>2530</v>
      </c>
      <c r="L299" s="169" t="s">
        <v>53</v>
      </c>
      <c r="M299" s="170" t="s">
        <v>53</v>
      </c>
      <c r="N299" s="151" t="s">
        <v>53</v>
      </c>
      <c r="O299" s="40" t="s">
        <v>53</v>
      </c>
      <c r="P299" s="1" t="s">
        <v>53</v>
      </c>
      <c r="Q299" s="44" t="s">
        <v>53</v>
      </c>
      <c r="R299" s="1" t="s">
        <v>53</v>
      </c>
      <c r="S299" s="1" t="s">
        <v>53</v>
      </c>
      <c r="T299" s="30" t="s">
        <v>53</v>
      </c>
      <c r="U299" s="121" t="s">
        <v>53</v>
      </c>
      <c r="V299" s="116" t="b">
        <f t="shared" si="32"/>
        <v>1</v>
      </c>
      <c r="W299" s="117" t="str">
        <f t="shared" si="33"/>
        <v>title: "Utah"</v>
      </c>
      <c r="X299" s="120" t="str">
        <f t="shared" si="34"/>
        <v/>
      </c>
      <c r="Y299" s="120" t="str">
        <f t="shared" si="35"/>
        <v/>
      </c>
      <c r="Z299" s="120" t="str">
        <f t="shared" si="36"/>
        <v/>
      </c>
      <c r="AA299" s="120" t="str">
        <f t="shared" si="37"/>
        <v/>
      </c>
      <c r="AB299" s="117" t="str">
        <f t="shared" si="38"/>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39"/>
        <v>tags\utah\_index.md</v>
      </c>
    </row>
    <row r="300" spans="1:80" ht="25.5" x14ac:dyDescent="0.25">
      <c r="A300" s="129" t="s">
        <v>786</v>
      </c>
      <c r="C300" s="1" t="s">
        <v>1361</v>
      </c>
      <c r="D300" s="7" t="s">
        <v>1412</v>
      </c>
      <c r="E300" s="7" t="s">
        <v>2039</v>
      </c>
      <c r="F300" s="33" t="s">
        <v>2207</v>
      </c>
      <c r="G300" s="7" t="s">
        <v>2256</v>
      </c>
      <c r="H300" s="33" t="s">
        <v>2264</v>
      </c>
      <c r="I300" s="168" t="s">
        <v>2531</v>
      </c>
      <c r="L300" s="169" t="s">
        <v>53</v>
      </c>
      <c r="M300" s="170" t="s">
        <v>53</v>
      </c>
      <c r="N300" s="151" t="s">
        <v>53</v>
      </c>
      <c r="O300" s="40" t="s">
        <v>53</v>
      </c>
      <c r="P300" s="1" t="s">
        <v>53</v>
      </c>
      <c r="Q300" s="44" t="s">
        <v>53</v>
      </c>
      <c r="R300" s="1" t="s">
        <v>53</v>
      </c>
      <c r="S300" s="1" t="s">
        <v>53</v>
      </c>
      <c r="T300" s="30" t="s">
        <v>53</v>
      </c>
      <c r="U300" s="121" t="s">
        <v>53</v>
      </c>
      <c r="V300" s="116" t="b">
        <f t="shared" si="32"/>
        <v>1</v>
      </c>
      <c r="W300" s="117" t="str">
        <f t="shared" si="33"/>
        <v>title: "Vermont"</v>
      </c>
      <c r="X300" s="120" t="str">
        <f t="shared" si="34"/>
        <v/>
      </c>
      <c r="Y300" s="120" t="str">
        <f t="shared" si="35"/>
        <v/>
      </c>
      <c r="Z300" s="120" t="str">
        <f t="shared" si="36"/>
        <v/>
      </c>
      <c r="AA300" s="120" t="str">
        <f t="shared" si="37"/>
        <v/>
      </c>
      <c r="AB300" s="117" t="str">
        <f t="shared" si="38"/>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39"/>
        <v>tags\vermont\_index.md</v>
      </c>
    </row>
    <row r="301" spans="1:80" ht="25.5" x14ac:dyDescent="0.25">
      <c r="A301" s="129" t="s">
        <v>786</v>
      </c>
      <c r="C301" s="1" t="s">
        <v>1362</v>
      </c>
      <c r="D301" s="7" t="s">
        <v>1413</v>
      </c>
      <c r="E301" s="7" t="s">
        <v>2040</v>
      </c>
      <c r="F301" s="33" t="s">
        <v>2208</v>
      </c>
      <c r="G301" s="7" t="s">
        <v>2257</v>
      </c>
      <c r="H301" s="33" t="s">
        <v>2264</v>
      </c>
      <c r="I301" s="168" t="s">
        <v>2532</v>
      </c>
      <c r="L301" s="169" t="s">
        <v>53</v>
      </c>
      <c r="M301" s="170" t="s">
        <v>53</v>
      </c>
      <c r="N301" s="151" t="s">
        <v>53</v>
      </c>
      <c r="O301" s="40" t="s">
        <v>53</v>
      </c>
      <c r="P301" s="1" t="s">
        <v>53</v>
      </c>
      <c r="Q301" s="44" t="s">
        <v>53</v>
      </c>
      <c r="R301" s="1" t="s">
        <v>53</v>
      </c>
      <c r="S301" s="1" t="s">
        <v>53</v>
      </c>
      <c r="T301" s="30" t="s">
        <v>53</v>
      </c>
      <c r="U301" s="121" t="s">
        <v>53</v>
      </c>
      <c r="V301" s="116" t="b">
        <f t="shared" si="32"/>
        <v>1</v>
      </c>
      <c r="W301" s="117" t="str">
        <f t="shared" si="33"/>
        <v>title: "Virginia"</v>
      </c>
      <c r="X301" s="120" t="str">
        <f t="shared" si="34"/>
        <v/>
      </c>
      <c r="Y301" s="120" t="str">
        <f t="shared" si="35"/>
        <v/>
      </c>
      <c r="Z301" s="120" t="str">
        <f t="shared" si="36"/>
        <v/>
      </c>
      <c r="AA301" s="120" t="str">
        <f t="shared" si="37"/>
        <v/>
      </c>
      <c r="AB301" s="117" t="str">
        <f t="shared" si="38"/>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39"/>
        <v>tags\virginia\_index.md</v>
      </c>
    </row>
    <row r="302" spans="1:80" ht="25.5" x14ac:dyDescent="0.25">
      <c r="A302" s="129" t="s">
        <v>786</v>
      </c>
      <c r="C302" s="1" t="s">
        <v>1363</v>
      </c>
      <c r="D302" s="7" t="s">
        <v>1414</v>
      </c>
      <c r="E302" s="7" t="s">
        <v>2041</v>
      </c>
      <c r="F302" s="33" t="s">
        <v>2209</v>
      </c>
      <c r="G302" s="7" t="s">
        <v>2258</v>
      </c>
      <c r="H302" s="33" t="s">
        <v>2264</v>
      </c>
      <c r="I302" s="168" t="s">
        <v>2533</v>
      </c>
      <c r="L302" s="169" t="s">
        <v>53</v>
      </c>
      <c r="M302" s="170" t="s">
        <v>53</v>
      </c>
      <c r="N302" s="151" t="s">
        <v>53</v>
      </c>
      <c r="O302" s="40" t="s">
        <v>53</v>
      </c>
      <c r="P302" s="1" t="s">
        <v>53</v>
      </c>
      <c r="Q302" s="44" t="s">
        <v>53</v>
      </c>
      <c r="R302" s="1" t="s">
        <v>53</v>
      </c>
      <c r="S302" s="1" t="s">
        <v>53</v>
      </c>
      <c r="T302" s="30" t="s">
        <v>53</v>
      </c>
      <c r="U302" s="121" t="s">
        <v>53</v>
      </c>
      <c r="V302" s="116" t="b">
        <f t="shared" si="32"/>
        <v>1</v>
      </c>
      <c r="W302" s="117" t="str">
        <f t="shared" si="33"/>
        <v>title: "Washington"</v>
      </c>
      <c r="X302" s="120" t="str">
        <f t="shared" si="34"/>
        <v/>
      </c>
      <c r="Y302" s="120" t="str">
        <f t="shared" si="35"/>
        <v/>
      </c>
      <c r="Z302" s="120" t="str">
        <f t="shared" si="36"/>
        <v/>
      </c>
      <c r="AA302" s="120" t="str">
        <f t="shared" si="37"/>
        <v/>
      </c>
      <c r="AB302" s="117" t="str">
        <f t="shared" si="38"/>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39"/>
        <v>tags\washington\_index.md</v>
      </c>
    </row>
    <row r="303" spans="1:80" ht="25.5" x14ac:dyDescent="0.25">
      <c r="A303" s="129" t="s">
        <v>786</v>
      </c>
      <c r="C303" s="1" t="s">
        <v>1364</v>
      </c>
      <c r="D303" s="7" t="s">
        <v>1415</v>
      </c>
      <c r="E303" s="7" t="s">
        <v>2042</v>
      </c>
      <c r="F303" s="33" t="s">
        <v>2210</v>
      </c>
      <c r="G303" s="7" t="s">
        <v>2259</v>
      </c>
      <c r="H303" s="33" t="s">
        <v>2264</v>
      </c>
      <c r="I303" s="168" t="s">
        <v>2534</v>
      </c>
      <c r="L303" s="169" t="s">
        <v>53</v>
      </c>
      <c r="M303" s="170" t="s">
        <v>53</v>
      </c>
      <c r="N303" s="151" t="s">
        <v>53</v>
      </c>
      <c r="O303" s="40" t="s">
        <v>53</v>
      </c>
      <c r="P303" s="1" t="s">
        <v>53</v>
      </c>
      <c r="Q303" s="44" t="s">
        <v>53</v>
      </c>
      <c r="R303" s="1" t="s">
        <v>53</v>
      </c>
      <c r="S303" s="1" t="s">
        <v>53</v>
      </c>
      <c r="T303" s="30" t="s">
        <v>53</v>
      </c>
      <c r="U303" s="121" t="s">
        <v>53</v>
      </c>
      <c r="V303" s="116" t="b">
        <f t="shared" si="32"/>
        <v>1</v>
      </c>
      <c r="W303" s="117" t="str">
        <f t="shared" si="33"/>
        <v>title: "West Virginia"</v>
      </c>
      <c r="X303" s="120" t="str">
        <f t="shared" si="34"/>
        <v/>
      </c>
      <c r="Y303" s="120" t="str">
        <f t="shared" si="35"/>
        <v/>
      </c>
      <c r="Z303" s="120" t="str">
        <f t="shared" si="36"/>
        <v/>
      </c>
      <c r="AA303" s="120" t="str">
        <f t="shared" si="37"/>
        <v/>
      </c>
      <c r="AB303" s="117" t="str">
        <f t="shared" si="38"/>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39"/>
        <v>tags\west-virginia\_index.md</v>
      </c>
    </row>
    <row r="304" spans="1:80" ht="25.5" x14ac:dyDescent="0.25">
      <c r="A304" s="129" t="s">
        <v>786</v>
      </c>
      <c r="C304" s="1" t="s">
        <v>1365</v>
      </c>
      <c r="D304" s="7" t="s">
        <v>1416</v>
      </c>
      <c r="E304" s="7" t="s">
        <v>2043</v>
      </c>
      <c r="F304" s="33" t="s">
        <v>2211</v>
      </c>
      <c r="G304" s="7" t="s">
        <v>2260</v>
      </c>
      <c r="H304" s="33" t="s">
        <v>2264</v>
      </c>
      <c r="I304" s="168" t="s">
        <v>2535</v>
      </c>
      <c r="L304" s="169" t="s">
        <v>53</v>
      </c>
      <c r="M304" s="170" t="s">
        <v>53</v>
      </c>
      <c r="N304" s="151" t="s">
        <v>53</v>
      </c>
      <c r="O304" s="40" t="s">
        <v>53</v>
      </c>
      <c r="P304" s="1" t="s">
        <v>53</v>
      </c>
      <c r="Q304" s="44" t="s">
        <v>53</v>
      </c>
      <c r="R304" s="1" t="s">
        <v>53</v>
      </c>
      <c r="S304" s="1" t="s">
        <v>53</v>
      </c>
      <c r="T304" s="30" t="s">
        <v>53</v>
      </c>
      <c r="U304" s="121" t="s">
        <v>53</v>
      </c>
      <c r="V304" s="116" t="b">
        <f t="shared" si="32"/>
        <v>1</v>
      </c>
      <c r="W304" s="117" t="str">
        <f t="shared" si="33"/>
        <v>title: "Wisconsin"</v>
      </c>
      <c r="X304" s="120" t="str">
        <f t="shared" si="34"/>
        <v/>
      </c>
      <c r="Y304" s="120" t="str">
        <f t="shared" si="35"/>
        <v/>
      </c>
      <c r="Z304" s="120" t="str">
        <f t="shared" si="36"/>
        <v/>
      </c>
      <c r="AA304" s="120" t="str">
        <f t="shared" si="37"/>
        <v/>
      </c>
      <c r="AB304" s="117" t="str">
        <f t="shared" si="38"/>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39"/>
        <v>tags\wisconsin\_index.md</v>
      </c>
    </row>
    <row r="305" spans="1:80" ht="25.5" x14ac:dyDescent="0.25">
      <c r="A305" s="129" t="s">
        <v>786</v>
      </c>
      <c r="C305" s="1" t="s">
        <v>1366</v>
      </c>
      <c r="D305" s="7" t="s">
        <v>1417</v>
      </c>
      <c r="E305" s="7" t="s">
        <v>2044</v>
      </c>
      <c r="F305" s="33" t="s">
        <v>2212</v>
      </c>
      <c r="G305" s="7" t="s">
        <v>2261</v>
      </c>
      <c r="H305" s="33" t="s">
        <v>2264</v>
      </c>
      <c r="I305" s="168" t="s">
        <v>2536</v>
      </c>
      <c r="L305" s="169" t="s">
        <v>53</v>
      </c>
      <c r="M305" s="170" t="s">
        <v>53</v>
      </c>
      <c r="N305" s="151" t="s">
        <v>53</v>
      </c>
      <c r="O305" s="40" t="s">
        <v>53</v>
      </c>
      <c r="P305" s="1" t="s">
        <v>53</v>
      </c>
      <c r="Q305" s="44" t="s">
        <v>53</v>
      </c>
      <c r="R305" s="1" t="s">
        <v>53</v>
      </c>
      <c r="S305" s="1" t="s">
        <v>53</v>
      </c>
      <c r="T305" s="30" t="s">
        <v>53</v>
      </c>
      <c r="U305" s="121" t="s">
        <v>53</v>
      </c>
      <c r="V305" s="116" t="b">
        <f t="shared" si="32"/>
        <v>1</v>
      </c>
      <c r="W305" s="117" t="str">
        <f t="shared" si="33"/>
        <v>title: "Wyoming"</v>
      </c>
      <c r="X305" s="120" t="str">
        <f t="shared" si="34"/>
        <v/>
      </c>
      <c r="Y305" s="120" t="str">
        <f t="shared" si="35"/>
        <v/>
      </c>
      <c r="Z305" s="120" t="str">
        <f t="shared" si="36"/>
        <v/>
      </c>
      <c r="AA305" s="120" t="str">
        <f t="shared" si="37"/>
        <v/>
      </c>
      <c r="AB305" s="117" t="str">
        <f t="shared" si="38"/>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39"/>
        <v>tags\wyoming\_index.md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2024-03-06T21:50:04Z</dcterms:modified>
</cp:coreProperties>
</file>